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updateLinks="always" codeName="ThisWorkbook"/>
  <mc:AlternateContent xmlns:mc="http://schemas.openxmlformats.org/markup-compatibility/2006">
    <mc:Choice Requires="x15">
      <x15ac:absPath xmlns:x15ac="http://schemas.microsoft.com/office/spreadsheetml/2010/11/ac" url="D:\DATA Report\REFRIG\"/>
    </mc:Choice>
  </mc:AlternateContent>
  <xr:revisionPtr revIDLastSave="0" documentId="8_{EFF1D3F8-842E-4187-8EFD-EB6646139A43}" xr6:coauthVersionLast="47" xr6:coauthVersionMax="47" xr10:uidLastSave="{00000000-0000-0000-0000-000000000000}"/>
  <bookViews>
    <workbookView xWindow="-120" yWindow="-120" windowWidth="29040" windowHeight="15720" tabRatio="370" xr2:uid="{52F308C2-26C6-44F1-A3CB-67D45FF3DCC8}"/>
  </bookViews>
  <sheets>
    <sheet name="Data" sheetId="3" r:id="rId1"/>
    <sheet name="Volt p-p" sheetId="8" r:id="rId2"/>
    <sheet name="Volt p-n" sheetId="9" r:id="rId3"/>
    <sheet name="Current" sheetId="10" r:id="rId4"/>
    <sheet name="PF" sheetId="7" r:id="rId5"/>
    <sheet name="kWh" sheetId="11" r:id="rId6"/>
    <sheet name="DataAnalysis" sheetId="6" r:id="rId7"/>
  </sheets>
  <definedNames>
    <definedName name="_xlnm.Print_Area" localSheetId="3">Current!$A$1:$O$23</definedName>
    <definedName name="_xlnm.Print_Area" localSheetId="0">Data!$A$1:$R$26</definedName>
    <definedName name="_xlnm.Print_Area" localSheetId="5">kWh!$A$1:$O$23</definedName>
    <definedName name="_xlnm.Print_Area" localSheetId="4">PF!$A$1:$O$23</definedName>
    <definedName name="_xlnm.Print_Area" localSheetId="2">'Volt p-n'!$A$1:$O$23</definedName>
    <definedName name="_xlnm.Print_Area" localSheetId="1">'Volt p-p'!$A$1:$O$23</definedName>
    <definedName name="_xlnm.Print_Titles" localSheetId="0">Data!$8:$10</definedName>
  </definedNames>
  <calcPr calcId="191029"/>
</workbook>
</file>

<file path=xl/calcChain.xml><?xml version="1.0" encoding="utf-8"?>
<calcChain xmlns="http://schemas.openxmlformats.org/spreadsheetml/2006/main">
  <c r="B7" i="3" l="1"/>
  <c r="A7" i="3"/>
  <c r="H20" i="6"/>
  <c r="F21" i="6"/>
  <c r="F16" i="6"/>
  <c r="E21" i="6"/>
  <c r="E18" i="6"/>
  <c r="E17" i="6"/>
  <c r="F17" i="6" s="1"/>
  <c r="H16" i="6"/>
  <c r="C9" i="6"/>
  <c r="C5" i="6"/>
  <c r="C4" i="6"/>
  <c r="C8" i="6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12" i="3"/>
  <c r="C11" i="6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T11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12" i="3"/>
  <c r="C12" i="6" l="1"/>
  <c r="C13" i="6" s="1"/>
  <c r="C14" i="6" s="1"/>
  <c r="E9" i="6"/>
  <c r="F8" i="6"/>
  <c r="E7" i="6"/>
  <c r="E8" i="6"/>
  <c r="F7" i="6"/>
  <c r="F9" i="6" l="1"/>
</calcChain>
</file>

<file path=xl/sharedStrings.xml><?xml version="1.0" encoding="utf-8"?>
<sst xmlns="http://schemas.openxmlformats.org/spreadsheetml/2006/main" count="86" uniqueCount="63">
  <si>
    <t>REMARK</t>
  </si>
  <si>
    <t xml:space="preserve"> </t>
  </si>
  <si>
    <t>TIME</t>
  </si>
  <si>
    <t>(hh:mm:ss)</t>
  </si>
  <si>
    <t>Time</t>
  </si>
  <si>
    <t>Use kWh</t>
  </si>
  <si>
    <t>Previous Date</t>
  </si>
  <si>
    <t>Stop kWh</t>
  </si>
  <si>
    <t>Start kWh</t>
  </si>
  <si>
    <t>To Day</t>
  </si>
  <si>
    <t>Raw Data</t>
  </si>
  <si>
    <t>Previous Date Wh</t>
  </si>
  <si>
    <t>ToDay Wh</t>
  </si>
  <si>
    <t>Compare with yesterday.</t>
  </si>
  <si>
    <t>TranferWord</t>
  </si>
  <si>
    <t>Next Day</t>
  </si>
  <si>
    <t>00:00~09:00</t>
  </si>
  <si>
    <t>TOU Offpeak</t>
  </si>
  <si>
    <t>22:00~NextDay 00:00</t>
  </si>
  <si>
    <t>TOU Peak</t>
  </si>
  <si>
    <t>09:00~22:00</t>
  </si>
  <si>
    <t>Start</t>
  </si>
  <si>
    <t>Stop</t>
  </si>
  <si>
    <t>Result</t>
  </si>
  <si>
    <t>NameDate</t>
  </si>
  <si>
    <t>Cal %</t>
  </si>
  <si>
    <t>Peak</t>
  </si>
  <si>
    <t>Off Peak</t>
  </si>
  <si>
    <t>SATS Food Solutions (Thailand) Co., Ltd.</t>
  </si>
  <si>
    <t>kg/cm²</t>
  </si>
  <si>
    <r>
      <t>o</t>
    </r>
    <r>
      <rPr>
        <b/>
        <sz val="11"/>
        <rFont val="Times New Roman"/>
        <family val="1"/>
      </rPr>
      <t>C</t>
    </r>
  </si>
  <si>
    <t>COMP01</t>
  </si>
  <si>
    <t>Refrigeration System report</t>
  </si>
  <si>
    <t xml:space="preserve">LOW RECEIVER </t>
  </si>
  <si>
    <t>NO.1</t>
  </si>
  <si>
    <t>NO.2</t>
  </si>
  <si>
    <t>NO.3</t>
  </si>
  <si>
    <t xml:space="preserve">SUCTION TEMP MLF01 </t>
  </si>
  <si>
    <t>A</t>
  </si>
  <si>
    <t>B</t>
  </si>
  <si>
    <t>C</t>
  </si>
  <si>
    <t>PT</t>
  </si>
  <si>
    <t>SUCTION TEMP MLF02</t>
  </si>
  <si>
    <t>SUCTION TEMP MLF03</t>
  </si>
  <si>
    <t>REFRIG</t>
  </si>
  <si>
    <t>Refrigeration System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</si>
  <si>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</si>
  <si>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</si>
  <si>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</si>
  <si>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</si>
  <si>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</si>
  <si>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</si>
  <si>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</si>
  <si>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</si>
  <si>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</si>
  <si>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10:00:00</t>
  </si>
  <si>
    <t>11:00:00</t>
  </si>
  <si>
    <t>12:00:00</t>
  </si>
  <si>
    <t>13:00:00</t>
  </si>
  <si>
    <t>14:00:00</t>
  </si>
  <si>
    <t>16:00:00</t>
  </si>
  <si>
    <t>17:00:00</t>
  </si>
  <si>
    <t xml:space="preserve">Datetime: 2025-11-28   SamplingRate:  60 Minute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</si>
</sst>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0.000"/>
    <numFmt numFmtId="165" formatCode="h:mm;@"/>
    <numFmt numFmtId="166" formatCode="h:mm:ss;@"/>
    <numFmt numFmtId="167" formatCode="0.00\ &quot;%&quot;"/>
    <numFmt numFmtId="168" formatCode="#,##0.0"/>
    <numFmt numFmtId="169" formatCode="&quot;maximum :&quot;\ 0\ &quot;kWh&quot;"/>
    <numFmt numFmtId="170" formatCode="&quot;minimum :&quot;\ 0\ &quot;kWh&quot;"/>
    <numFmt numFmtId="171" formatCode="&quot;average :&quot;\ 0\ &quot;kWh&quot;"/>
    <numFmt numFmtId="172" formatCode="ddd"/>
    <numFmt numFmtId="173" formatCode="\≈\ #,##0"/>
    <numFmt numFmtId="174" formatCode="&quot;average PF : &quot;0.00"/>
    <numFmt numFmtId="175" formatCode="&quot;max PF : &quot;0.00"/>
    <numFmt numFmtId="176" formatCode="&quot;min PF : &quot;0.00"/>
    <numFmt numFmtId="177" formatCode="[$-F400]h:mm:ss\ AM/PM"/>
    <numFmt numFmtId="178" formatCode="0.0"/>
  </numFmts>
  <fonts count="28" x14ac:knownFonts="1">
    <font>
      <sz val="14"/>
      <name val="Cordia New"/>
      <charset val="222"/>
    </font>
    <font>
      <sz val="14"/>
      <name val="Cordia New"/>
      <family val="2"/>
    </font>
    <font>
      <sz val="14"/>
      <name val="Cordia New"/>
      <family val="2"/>
    </font>
    <font>
      <b/>
      <sz val="20"/>
      <name val="LilyUPC"/>
      <family val="2"/>
      <charset val="222"/>
    </font>
    <font>
      <b/>
      <sz val="16"/>
      <color indexed="10"/>
      <name val="Arial Black"/>
      <family val="2"/>
    </font>
    <font>
      <b/>
      <sz val="14"/>
      <name val="AngsanaUPC"/>
      <family val="1"/>
      <charset val="222"/>
    </font>
    <font>
      <b/>
      <sz val="9"/>
      <name val="Angsana New"/>
      <family val="1"/>
      <charset val="222"/>
    </font>
    <font>
      <sz val="9"/>
      <name val="Angsana New"/>
      <family val="1"/>
      <charset val="222"/>
    </font>
    <font>
      <sz val="12"/>
      <name val="Angsana New"/>
      <family val="1"/>
      <charset val="222"/>
    </font>
    <font>
      <b/>
      <sz val="18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6"/>
      <name val="AngsanaUPC"/>
      <family val="1"/>
      <charset val="222"/>
    </font>
    <font>
      <sz val="14"/>
      <name val="Angsana New"/>
      <family val="1"/>
      <charset val="222"/>
    </font>
    <font>
      <sz val="14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20"/>
      <color rgb="FF0000FF"/>
      <name val="Times New Roman"/>
      <family val="1"/>
    </font>
    <font>
      <sz val="14"/>
      <color theme="0"/>
      <name val="Cordia New"/>
      <family val="2"/>
    </font>
    <font>
      <b/>
      <sz val="14"/>
      <color theme="0" tint="-0.34998626667073579"/>
      <name val="Angsana New"/>
      <family val="1"/>
      <charset val="222"/>
    </font>
    <font>
      <sz val="16"/>
      <color theme="0" tint="-0.34998626667073579"/>
      <name val="Angsana New"/>
      <family val="1"/>
      <charset val="222"/>
    </font>
    <font>
      <sz val="14"/>
      <color theme="0" tint="-0.34998626667073579"/>
      <name val="Cordia New"/>
      <family val="2"/>
    </font>
    <font>
      <b/>
      <sz val="9"/>
      <color theme="0" tint="-0.34998626667073579"/>
      <name val="Angsana New"/>
      <family val="1"/>
      <charset val="222"/>
    </font>
    <font>
      <sz val="9"/>
      <color theme="0" tint="-0.34998626667073579"/>
      <name val="Angsana New"/>
      <family val="1"/>
      <charset val="222"/>
    </font>
    <font>
      <b/>
      <sz val="12"/>
      <color theme="0" tint="-0.34998626667073579"/>
      <name val="Angsana New"/>
      <family val="1"/>
      <charset val="222"/>
    </font>
    <font>
      <b/>
      <sz val="14"/>
      <color theme="0" tint="-0.34998626667073579"/>
      <name val="Cordia New"/>
      <family val="2"/>
    </font>
    <font>
      <b/>
      <sz val="24"/>
      <color rgb="FF0000FF"/>
      <name val="Times New Roman"/>
      <family val="1"/>
    </font>
    <font>
      <b/>
      <vertAlign val="superscript"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/>
      <bottom style="thick">
        <color auto="1"/>
      </bottom>
      <diagonal/>
    </border>
    <border>
      <left/>
      <right style="thin">
        <color indexed="64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medium">
        <color indexed="64"/>
      </right>
      <top style="hair">
        <color indexed="64"/>
      </top>
      <bottom style="thick">
        <color auto="1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" fontId="3" fillId="0" borderId="0" xfId="0" applyNumberFormat="1" applyFont="1" applyAlignment="1">
      <alignment vertical="center"/>
    </xf>
    <xf numFmtId="4" fontId="1" fillId="0" borderId="0" xfId="0" applyNumberFormat="1" applyFont="1" applyAlignment="1">
      <alignment vertical="center"/>
    </xf>
    <xf numFmtId="4" fontId="5" fillId="0" borderId="0" xfId="0" applyNumberFormat="1" applyFont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17" fillId="0" borderId="0" xfId="0" applyFont="1" applyAlignment="1">
      <alignment vertical="center"/>
    </xf>
    <xf numFmtId="166" fontId="1" fillId="0" borderId="0" xfId="0" applyNumberFormat="1" applyFont="1" applyAlignment="1">
      <alignment vertical="center"/>
    </xf>
    <xf numFmtId="0" fontId="1" fillId="0" borderId="0" xfId="0" applyFont="1"/>
    <xf numFmtId="0" fontId="13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18" fillId="0" borderId="0" xfId="0" applyNumberFormat="1" applyFont="1" applyAlignment="1">
      <alignment horizontal="center" vertical="center"/>
    </xf>
    <xf numFmtId="14" fontId="0" fillId="0" borderId="0" xfId="0" applyNumberFormat="1"/>
    <xf numFmtId="167" fontId="0" fillId="0" borderId="0" xfId="0" applyNumberFormat="1"/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165" fontId="2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4" fontId="21" fillId="0" borderId="0" xfId="0" applyNumberFormat="1" applyFont="1" applyAlignment="1">
      <alignment vertical="center"/>
    </xf>
    <xf numFmtId="21" fontId="0" fillId="0" borderId="0" xfId="0" applyNumberFormat="1"/>
    <xf numFmtId="2" fontId="0" fillId="0" borderId="0" xfId="0" applyNumberFormat="1"/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14" fillId="0" borderId="2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4" fontId="14" fillId="0" borderId="4" xfId="0" applyNumberFormat="1" applyFont="1" applyBorder="1" applyAlignment="1">
      <alignment horizontal="center" vertical="center"/>
    </xf>
    <xf numFmtId="4" fontId="16" fillId="0" borderId="5" xfId="0" applyNumberFormat="1" applyFont="1" applyBorder="1" applyAlignment="1">
      <alignment horizontal="center" vertical="center"/>
    </xf>
    <xf numFmtId="168" fontId="14" fillId="0" borderId="4" xfId="0" applyNumberFormat="1" applyFont="1" applyBorder="1" applyAlignment="1">
      <alignment horizontal="center" vertical="center"/>
    </xf>
    <xf numFmtId="168" fontId="14" fillId="0" borderId="7" xfId="0" applyNumberFormat="1" applyFont="1" applyBorder="1" applyAlignment="1">
      <alignment horizontal="center" vertical="center"/>
    </xf>
    <xf numFmtId="3" fontId="0" fillId="0" borderId="0" xfId="0" applyNumberFormat="1"/>
    <xf numFmtId="169" fontId="0" fillId="0" borderId="0" xfId="0" applyNumberFormat="1" applyAlignment="1">
      <alignment horizontal="left"/>
    </xf>
    <xf numFmtId="170" fontId="0" fillId="0" borderId="0" xfId="0" applyNumberFormat="1" applyAlignment="1">
      <alignment horizontal="left"/>
    </xf>
    <xf numFmtId="171" fontId="0" fillId="0" borderId="0" xfId="0" applyNumberFormat="1" applyAlignment="1">
      <alignment horizontal="left"/>
    </xf>
    <xf numFmtId="14" fontId="18" fillId="0" borderId="3" xfId="0" applyNumberFormat="1" applyFont="1" applyBorder="1" applyAlignment="1">
      <alignment horizontal="center" vertical="center"/>
    </xf>
    <xf numFmtId="172" fontId="0" fillId="0" borderId="0" xfId="0" applyNumberFormat="1"/>
    <xf numFmtId="1" fontId="0" fillId="0" borderId="0" xfId="0" applyNumberFormat="1"/>
    <xf numFmtId="166" fontId="10" fillId="0" borderId="8" xfId="0" applyNumberFormat="1" applyFont="1" applyBorder="1" applyAlignment="1">
      <alignment vertical="center"/>
    </xf>
    <xf numFmtId="166" fontId="10" fillId="0" borderId="9" xfId="0" applyNumberFormat="1" applyFont="1" applyBorder="1" applyAlignment="1">
      <alignment horizontal="center" vertical="center"/>
    </xf>
    <xf numFmtId="166" fontId="10" fillId="0" borderId="10" xfId="0" applyNumberFormat="1" applyFont="1" applyBorder="1" applyAlignment="1">
      <alignment horizontal="center" vertical="center"/>
    </xf>
    <xf numFmtId="166" fontId="14" fillId="0" borderId="11" xfId="0" applyNumberFormat="1" applyFont="1" applyBorder="1" applyAlignment="1">
      <alignment horizontal="center" vertical="center"/>
    </xf>
    <xf numFmtId="166" fontId="2" fillId="0" borderId="9" xfId="0" applyNumberFormat="1" applyFont="1" applyBorder="1" applyAlignment="1">
      <alignment horizontal="center" vertical="center"/>
    </xf>
    <xf numFmtId="4" fontId="4" fillId="0" borderId="0" xfId="0" applyNumberFormat="1" applyFont="1" applyAlignment="1">
      <alignment vertical="center"/>
    </xf>
    <xf numFmtId="4" fontId="11" fillId="0" borderId="0" xfId="0" applyNumberFormat="1" applyFont="1" applyAlignment="1">
      <alignment horizontal="left" vertical="center"/>
    </xf>
    <xf numFmtId="14" fontId="12" fillId="0" borderId="0" xfId="0" applyNumberFormat="1" applyFont="1" applyAlignment="1">
      <alignment vertical="center"/>
    </xf>
    <xf numFmtId="4" fontId="5" fillId="0" borderId="0" xfId="0" applyNumberFormat="1" applyFont="1" applyAlignment="1">
      <alignment vertical="center"/>
    </xf>
    <xf numFmtId="0" fontId="12" fillId="0" borderId="0" xfId="0" applyFont="1" applyAlignment="1">
      <alignment horizontal="center" vertical="center"/>
    </xf>
    <xf numFmtId="4" fontId="5" fillId="0" borderId="0" xfId="0" applyNumberFormat="1" applyFont="1" applyAlignment="1">
      <alignment horizontal="left" vertical="center"/>
    </xf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49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27" fillId="0" borderId="5" xfId="0" applyNumberFormat="1" applyFont="1" applyBorder="1" applyAlignment="1">
      <alignment horizontal="center" vertical="center"/>
    </xf>
    <xf numFmtId="2" fontId="11" fillId="0" borderId="21" xfId="0" applyNumberFormat="1" applyFont="1" applyBorder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4" fontId="16" fillId="0" borderId="19" xfId="0" applyNumberFormat="1" applyFont="1" applyBorder="1" applyAlignment="1">
      <alignment horizontal="center" vertical="center"/>
    </xf>
    <xf numFmtId="4" fontId="16" fillId="0" borderId="12" xfId="0" applyNumberFormat="1" applyFont="1" applyBorder="1" applyAlignment="1">
      <alignment horizontal="center" vertical="center"/>
    </xf>
    <xf numFmtId="4" fontId="16" fillId="0" borderId="6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164" fontId="15" fillId="0" borderId="20" xfId="0" applyNumberFormat="1" applyFont="1" applyBorder="1" applyAlignment="1">
      <alignment horizontal="center" vertical="center"/>
    </xf>
    <xf numFmtId="164" fontId="15" fillId="0" borderId="2" xfId="0" applyNumberFormat="1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3" fontId="15" fillId="0" borderId="20" xfId="0" applyNumberFormat="1" applyFont="1" applyBorder="1" applyAlignment="1">
      <alignment horizontal="center" vertical="center"/>
    </xf>
    <xf numFmtId="3" fontId="15" fillId="0" borderId="2" xfId="0" applyNumberFormat="1" applyFont="1" applyBorder="1" applyAlignment="1">
      <alignment horizontal="center" vertical="center"/>
    </xf>
    <xf numFmtId="173" fontId="15" fillId="0" borderId="20" xfId="0" applyNumberFormat="1" applyFont="1" applyBorder="1" applyAlignment="1">
      <alignment horizontal="center" vertical="center"/>
    </xf>
    <xf numFmtId="173" fontId="15" fillId="0" borderId="2" xfId="0" applyNumberFormat="1" applyFont="1" applyBorder="1" applyAlignment="1">
      <alignment horizontal="center" vertical="center"/>
    </xf>
    <xf numFmtId="166" fontId="14" fillId="0" borderId="22" xfId="0" applyNumberFormat="1" applyFont="1" applyBorder="1" applyAlignment="1">
      <alignment horizontal="center" vertical="center"/>
    </xf>
    <xf numFmtId="168" fontId="14" fillId="0" borderId="23" xfId="0" applyNumberFormat="1" applyFont="1" applyBorder="1" applyAlignment="1">
      <alignment horizontal="center" vertical="center"/>
    </xf>
    <xf numFmtId="168" fontId="14" fillId="0" borderId="24" xfId="0" applyNumberFormat="1" applyFont="1" applyBorder="1" applyAlignment="1">
      <alignment horizontal="center" vertical="center"/>
    </xf>
    <xf numFmtId="4" fontId="14" fillId="0" borderId="24" xfId="0" applyNumberFormat="1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" fillId="0" borderId="25" xfId="0" applyFont="1" applyBorder="1" applyAlignment="1">
      <alignment vertical="center"/>
    </xf>
    <xf numFmtId="165" fontId="21" fillId="0" borderId="25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A-B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Data!$T$11:$T$26</c:f>
              <c:strCache>
                <c:ptCount val="16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16:00</c:v>
                </c:pt>
                <c:pt idx="15">
                  <c:v>17:00</c:v>
                </c:pt>
              </c:strCache>
            </c:strRef>
          </c:cat>
          <c:val>
            <c:numRef>
              <c:f>Data!$B$11:$B$26</c:f>
              <c:numCache>
                <c:formatCode>#,##0.0</c:formatCode>
                <c:ptCount val="16"/>
                <c:pt idx="0">
                  <c:v>-22.9</c:v>
                </c:pt>
                <c:pt idx="1">
                  <c:v>-21.5</c:v>
                </c:pt>
                <c:pt idx="2">
                  <c:v>-20.2</c:v>
                </c:pt>
                <c:pt idx="3">
                  <c:v>-18.899999999999999</c:v>
                </c:pt>
                <c:pt idx="4">
                  <c:v>-17.8</c:v>
                </c:pt>
                <c:pt idx="5">
                  <c:v>-16.7</c:v>
                </c:pt>
                <c:pt idx="6">
                  <c:v>-15.7</c:v>
                </c:pt>
                <c:pt idx="7">
                  <c:v>-14.7</c:v>
                </c:pt>
                <c:pt idx="8">
                  <c:v>-13.7</c:v>
                </c:pt>
                <c:pt idx="9">
                  <c:v>-43.5</c:v>
                </c:pt>
                <c:pt idx="10">
                  <c:v>-45.1</c:v>
                </c:pt>
                <c:pt idx="11">
                  <c:v>-43.2</c:v>
                </c:pt>
                <c:pt idx="12">
                  <c:v>-44.7</c:v>
                </c:pt>
                <c:pt idx="13">
                  <c:v>-38.9</c:v>
                </c:pt>
                <c:pt idx="14">
                  <c:v>-41.6</c:v>
                </c:pt>
                <c:pt idx="15">
                  <c:v>-50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C1-4323-8247-49B88556388E}"/>
            </c:ext>
          </c:extLst>
        </c:ser>
        <c:ser>
          <c:idx val="1"/>
          <c:order val="1"/>
          <c:tx>
            <c:v>B-C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Data!$T$11:$T$26</c:f>
              <c:strCache>
                <c:ptCount val="16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16:00</c:v>
                </c:pt>
                <c:pt idx="15">
                  <c:v>17:00</c:v>
                </c:pt>
              </c:strCache>
            </c:strRef>
          </c:cat>
          <c:val>
            <c:numRef>
              <c:f>Data!$C$11:$C$26</c:f>
              <c:numCache>
                <c:formatCode>#,##0.0</c:formatCode>
                <c:ptCount val="16"/>
                <c:pt idx="0">
                  <c:v>-25.2</c:v>
                </c:pt>
                <c:pt idx="1">
                  <c:v>-23.9</c:v>
                </c:pt>
                <c:pt idx="2">
                  <c:v>-22.7</c:v>
                </c:pt>
                <c:pt idx="3">
                  <c:v>-21.8</c:v>
                </c:pt>
                <c:pt idx="4">
                  <c:v>-20.399999999999999</c:v>
                </c:pt>
                <c:pt idx="5">
                  <c:v>-19.3</c:v>
                </c:pt>
                <c:pt idx="6">
                  <c:v>-18.2</c:v>
                </c:pt>
                <c:pt idx="7">
                  <c:v>-17.2</c:v>
                </c:pt>
                <c:pt idx="8">
                  <c:v>-16.2</c:v>
                </c:pt>
                <c:pt idx="9">
                  <c:v>-45</c:v>
                </c:pt>
                <c:pt idx="10">
                  <c:v>-45.3</c:v>
                </c:pt>
                <c:pt idx="11">
                  <c:v>-44.1</c:v>
                </c:pt>
                <c:pt idx="12">
                  <c:v>-45.2</c:v>
                </c:pt>
                <c:pt idx="13">
                  <c:v>-39.799999999999997</c:v>
                </c:pt>
                <c:pt idx="14">
                  <c:v>-41.9</c:v>
                </c:pt>
                <c:pt idx="15">
                  <c:v>-50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C1-4323-8247-49B88556388E}"/>
            </c:ext>
          </c:extLst>
        </c:ser>
        <c:ser>
          <c:idx val="2"/>
          <c:order val="2"/>
          <c:tx>
            <c:v>C-A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Data!$T$11:$T$26</c:f>
              <c:strCache>
                <c:ptCount val="16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16:00</c:v>
                </c:pt>
                <c:pt idx="15">
                  <c:v>17:00</c:v>
                </c:pt>
              </c:strCache>
            </c:strRef>
          </c:cat>
          <c:val>
            <c:numRef>
              <c:f>Data!$D$11:$D$26</c:f>
              <c:numCache>
                <c:formatCode>#,##0.0</c:formatCode>
                <c:ptCount val="16"/>
                <c:pt idx="0">
                  <c:v>-20</c:v>
                </c:pt>
                <c:pt idx="1">
                  <c:v>-18.5</c:v>
                </c:pt>
                <c:pt idx="2">
                  <c:v>-17.2</c:v>
                </c:pt>
                <c:pt idx="3">
                  <c:v>-15.9</c:v>
                </c:pt>
                <c:pt idx="4">
                  <c:v>-14.8</c:v>
                </c:pt>
                <c:pt idx="5">
                  <c:v>-13.6</c:v>
                </c:pt>
                <c:pt idx="6">
                  <c:v>-12.7</c:v>
                </c:pt>
                <c:pt idx="7">
                  <c:v>-11.6</c:v>
                </c:pt>
                <c:pt idx="8">
                  <c:v>-10.7</c:v>
                </c:pt>
                <c:pt idx="9">
                  <c:v>-44.4</c:v>
                </c:pt>
                <c:pt idx="10">
                  <c:v>-44.9</c:v>
                </c:pt>
                <c:pt idx="11">
                  <c:v>-43.4</c:v>
                </c:pt>
                <c:pt idx="12">
                  <c:v>-44.9</c:v>
                </c:pt>
                <c:pt idx="13">
                  <c:v>-39</c:v>
                </c:pt>
                <c:pt idx="14">
                  <c:v>-42.7</c:v>
                </c:pt>
                <c:pt idx="15">
                  <c:v>-50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C1-4323-8247-49B885563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1559920"/>
        <c:axId val="1"/>
      </c:lineChart>
      <c:catAx>
        <c:axId val="1901559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Voltage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901559920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Yu Gothic"/>
              <a:ea typeface="Yu Gothic"/>
              <a:cs typeface="Yu Gothic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Yu Gothic"/>
          <a:ea typeface="Yu Gothic"/>
          <a:cs typeface="Yu Gothic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A-N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Data!$T$11:$T$26</c:f>
              <c:strCache>
                <c:ptCount val="16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16:00</c:v>
                </c:pt>
                <c:pt idx="15">
                  <c:v>17:00</c:v>
                </c:pt>
              </c:strCache>
            </c:strRef>
          </c:cat>
          <c:val>
            <c:numRef>
              <c:f>Data!$E$11:$E$26</c:f>
              <c:numCache>
                <c:formatCode>#,##0.0</c:formatCode>
                <c:ptCount val="16"/>
                <c:pt idx="0">
                  <c:v>22.1</c:v>
                </c:pt>
                <c:pt idx="1">
                  <c:v>21.9</c:v>
                </c:pt>
                <c:pt idx="2">
                  <c:v>21.8</c:v>
                </c:pt>
                <c:pt idx="3">
                  <c:v>21.6</c:v>
                </c:pt>
                <c:pt idx="4">
                  <c:v>21.4</c:v>
                </c:pt>
                <c:pt idx="5">
                  <c:v>21.3</c:v>
                </c:pt>
                <c:pt idx="6">
                  <c:v>21.1</c:v>
                </c:pt>
                <c:pt idx="7">
                  <c:v>20.8</c:v>
                </c:pt>
                <c:pt idx="8">
                  <c:v>20.7</c:v>
                </c:pt>
                <c:pt idx="9">
                  <c:v>19.899999999999999</c:v>
                </c:pt>
                <c:pt idx="10">
                  <c:v>20.2</c:v>
                </c:pt>
                <c:pt idx="11">
                  <c:v>20.399999999999999</c:v>
                </c:pt>
                <c:pt idx="12">
                  <c:v>20.5</c:v>
                </c:pt>
                <c:pt idx="13">
                  <c:v>21.1</c:v>
                </c:pt>
                <c:pt idx="14">
                  <c:v>21.6</c:v>
                </c:pt>
                <c:pt idx="15">
                  <c:v>21.9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9C-420E-9AE1-46A3269AF4F4}"/>
            </c:ext>
          </c:extLst>
        </c:ser>
        <c:ser>
          <c:idx val="1"/>
          <c:order val="1"/>
          <c:tx>
            <c:v>B-N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Data!$T$11:$T$26</c:f>
              <c:strCache>
                <c:ptCount val="16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16:00</c:v>
                </c:pt>
                <c:pt idx="15">
                  <c:v>17:00</c:v>
                </c:pt>
              </c:strCache>
            </c:strRef>
          </c:cat>
          <c:val>
            <c:numRef>
              <c:f>Data!$F$11:$F$26</c:f>
              <c:numCache>
                <c:formatCode>#,##0.0</c:formatCode>
                <c:ptCount val="16"/>
                <c:pt idx="0">
                  <c:v>21.8</c:v>
                </c:pt>
                <c:pt idx="1">
                  <c:v>21.9</c:v>
                </c:pt>
                <c:pt idx="2">
                  <c:v>21.6</c:v>
                </c:pt>
                <c:pt idx="3">
                  <c:v>21.6</c:v>
                </c:pt>
                <c:pt idx="4">
                  <c:v>21.5</c:v>
                </c:pt>
                <c:pt idx="5">
                  <c:v>21.3</c:v>
                </c:pt>
                <c:pt idx="6">
                  <c:v>21</c:v>
                </c:pt>
                <c:pt idx="7">
                  <c:v>21</c:v>
                </c:pt>
                <c:pt idx="8">
                  <c:v>20.7</c:v>
                </c:pt>
                <c:pt idx="9">
                  <c:v>20.2</c:v>
                </c:pt>
                <c:pt idx="10">
                  <c:v>20.399999999999999</c:v>
                </c:pt>
                <c:pt idx="11">
                  <c:v>20.7</c:v>
                </c:pt>
                <c:pt idx="12">
                  <c:v>20.9</c:v>
                </c:pt>
                <c:pt idx="13">
                  <c:v>21.4</c:v>
                </c:pt>
                <c:pt idx="14">
                  <c:v>21.7</c:v>
                </c:pt>
                <c:pt idx="15">
                  <c:v>22.2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9C-420E-9AE1-46A3269AF4F4}"/>
            </c:ext>
          </c:extLst>
        </c:ser>
        <c:ser>
          <c:idx val="2"/>
          <c:order val="2"/>
          <c:tx>
            <c:v>C-N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Data!$T$11:$T$26</c:f>
              <c:strCache>
                <c:ptCount val="16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16:00</c:v>
                </c:pt>
                <c:pt idx="15">
                  <c:v>17:00</c:v>
                </c:pt>
              </c:strCache>
            </c:strRef>
          </c:cat>
          <c:val>
            <c:numRef>
              <c:f>Data!$G$11:$G$26</c:f>
              <c:numCache>
                <c:formatCode>#,##0.0</c:formatCode>
                <c:ptCount val="16"/>
                <c:pt idx="0">
                  <c:v>21.5</c:v>
                </c:pt>
                <c:pt idx="1">
                  <c:v>21.5</c:v>
                </c:pt>
                <c:pt idx="2">
                  <c:v>21.4</c:v>
                </c:pt>
                <c:pt idx="3">
                  <c:v>21.3</c:v>
                </c:pt>
                <c:pt idx="4">
                  <c:v>21.2</c:v>
                </c:pt>
                <c:pt idx="5">
                  <c:v>21</c:v>
                </c:pt>
                <c:pt idx="6">
                  <c:v>20.8</c:v>
                </c:pt>
                <c:pt idx="7">
                  <c:v>20.6</c:v>
                </c:pt>
                <c:pt idx="8">
                  <c:v>20.5</c:v>
                </c:pt>
                <c:pt idx="9">
                  <c:v>19.8</c:v>
                </c:pt>
                <c:pt idx="10">
                  <c:v>20</c:v>
                </c:pt>
                <c:pt idx="11">
                  <c:v>20.3</c:v>
                </c:pt>
                <c:pt idx="12">
                  <c:v>20.399999999999999</c:v>
                </c:pt>
                <c:pt idx="13">
                  <c:v>20.9</c:v>
                </c:pt>
                <c:pt idx="14">
                  <c:v>21.2</c:v>
                </c:pt>
                <c:pt idx="15">
                  <c:v>21.6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9C-420E-9AE1-46A3269AF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1533040"/>
        <c:axId val="1"/>
      </c:lineChart>
      <c:catAx>
        <c:axId val="1901533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Voltage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901533040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Yu Gothic"/>
              <a:ea typeface="Yu Gothic"/>
              <a:cs typeface="Yu Gothic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Yu Gothic"/>
          <a:ea typeface="Yu Gothic"/>
          <a:cs typeface="Yu Gothic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Data!$T$11:$T$26</c:f>
              <c:strCache>
                <c:ptCount val="16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16:00</c:v>
                </c:pt>
                <c:pt idx="15">
                  <c:v>17:00</c:v>
                </c:pt>
              </c:strCache>
            </c:strRef>
          </c:cat>
          <c:val>
            <c:numRef>
              <c:f>Data!$I$11:$I$26</c:f>
              <c:numCache>
                <c:formatCode>#,##0.0</c:formatCode>
                <c:ptCount val="16"/>
                <c:pt idx="0">
                  <c:v>6.6</c:v>
                </c:pt>
                <c:pt idx="1">
                  <c:v>7.7</c:v>
                </c:pt>
                <c:pt idx="2">
                  <c:v>8.6</c:v>
                </c:pt>
                <c:pt idx="3">
                  <c:v>9.4</c:v>
                </c:pt>
                <c:pt idx="4">
                  <c:v>10</c:v>
                </c:pt>
                <c:pt idx="5">
                  <c:v>10.6</c:v>
                </c:pt>
                <c:pt idx="6">
                  <c:v>11</c:v>
                </c:pt>
                <c:pt idx="7">
                  <c:v>11.4</c:v>
                </c:pt>
                <c:pt idx="8">
                  <c:v>11.8</c:v>
                </c:pt>
                <c:pt idx="9">
                  <c:v>11.7</c:v>
                </c:pt>
                <c:pt idx="10">
                  <c:v>12.9</c:v>
                </c:pt>
                <c:pt idx="11">
                  <c:v>13.1</c:v>
                </c:pt>
                <c:pt idx="12">
                  <c:v>13.9</c:v>
                </c:pt>
                <c:pt idx="13">
                  <c:v>14.5</c:v>
                </c:pt>
                <c:pt idx="14">
                  <c:v>15.9</c:v>
                </c:pt>
                <c:pt idx="15">
                  <c:v>16.8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79-4122-86F3-138126A3E404}"/>
            </c:ext>
          </c:extLst>
        </c:ser>
        <c:ser>
          <c:idx val="1"/>
          <c:order val="1"/>
          <c:tx>
            <c:v>B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Data!$T$11:$T$26</c:f>
              <c:strCache>
                <c:ptCount val="16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16:00</c:v>
                </c:pt>
                <c:pt idx="15">
                  <c:v>17:00</c:v>
                </c:pt>
              </c:strCache>
            </c:strRef>
          </c:cat>
          <c:val>
            <c:numRef>
              <c:f>Data!$J$11:$J$26</c:f>
              <c:numCache>
                <c:formatCode>#,##0.0</c:formatCode>
                <c:ptCount val="16"/>
                <c:pt idx="0">
                  <c:v>2.6</c:v>
                </c:pt>
                <c:pt idx="1">
                  <c:v>4.0999999999999996</c:v>
                </c:pt>
                <c:pt idx="2">
                  <c:v>5.3</c:v>
                </c:pt>
                <c:pt idx="3">
                  <c:v>6.5</c:v>
                </c:pt>
                <c:pt idx="4">
                  <c:v>7.4</c:v>
                </c:pt>
                <c:pt idx="5">
                  <c:v>8.1999999999999993</c:v>
                </c:pt>
                <c:pt idx="6">
                  <c:v>8.9</c:v>
                </c:pt>
                <c:pt idx="7">
                  <c:v>9.5</c:v>
                </c:pt>
                <c:pt idx="8">
                  <c:v>10.1</c:v>
                </c:pt>
                <c:pt idx="9">
                  <c:v>11.2</c:v>
                </c:pt>
                <c:pt idx="10">
                  <c:v>12.4</c:v>
                </c:pt>
                <c:pt idx="11">
                  <c:v>12.8</c:v>
                </c:pt>
                <c:pt idx="12">
                  <c:v>13.8</c:v>
                </c:pt>
                <c:pt idx="13">
                  <c:v>14.4</c:v>
                </c:pt>
                <c:pt idx="14">
                  <c:v>15.9</c:v>
                </c:pt>
                <c:pt idx="15">
                  <c:v>16.899999999999999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79-4122-86F3-138126A3E404}"/>
            </c:ext>
          </c:extLst>
        </c:ser>
        <c:ser>
          <c:idx val="2"/>
          <c:order val="2"/>
          <c:tx>
            <c:v>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Data!$T$11:$T$26</c:f>
              <c:strCache>
                <c:ptCount val="16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16:00</c:v>
                </c:pt>
                <c:pt idx="15">
                  <c:v>17:00</c:v>
                </c:pt>
              </c:strCache>
            </c:strRef>
          </c:cat>
          <c:val>
            <c:numRef>
              <c:f>Data!$K$11:$K$26</c:f>
              <c:numCache>
                <c:formatCode>#,##0.0</c:formatCode>
                <c:ptCount val="16"/>
                <c:pt idx="0">
                  <c:v>2.2999999999999998</c:v>
                </c:pt>
                <c:pt idx="1">
                  <c:v>3.7</c:v>
                </c:pt>
                <c:pt idx="2">
                  <c:v>4.9000000000000004</c:v>
                </c:pt>
                <c:pt idx="3">
                  <c:v>6.1</c:v>
                </c:pt>
                <c:pt idx="4">
                  <c:v>6.9</c:v>
                </c:pt>
                <c:pt idx="5">
                  <c:v>7.7</c:v>
                </c:pt>
                <c:pt idx="6">
                  <c:v>8.5</c:v>
                </c:pt>
                <c:pt idx="7">
                  <c:v>9.1</c:v>
                </c:pt>
                <c:pt idx="8">
                  <c:v>9.6999999999999993</c:v>
                </c:pt>
                <c:pt idx="9">
                  <c:v>10.9</c:v>
                </c:pt>
                <c:pt idx="10">
                  <c:v>11.9</c:v>
                </c:pt>
                <c:pt idx="11">
                  <c:v>12.5</c:v>
                </c:pt>
                <c:pt idx="12">
                  <c:v>13.4</c:v>
                </c:pt>
                <c:pt idx="13">
                  <c:v>13.9</c:v>
                </c:pt>
                <c:pt idx="14">
                  <c:v>15.4</c:v>
                </c:pt>
                <c:pt idx="15">
                  <c:v>16.399999999999999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79-4122-86F3-138126A3E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1549360"/>
        <c:axId val="1"/>
      </c:lineChart>
      <c:catAx>
        <c:axId val="1901549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Ampere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901549360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Yu Gothic"/>
              <a:ea typeface="Yu Gothic"/>
              <a:cs typeface="Yu Gothic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Yu Gothic"/>
          <a:ea typeface="Yu Gothic"/>
          <a:cs typeface="Yu Gothic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A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Ref>
              <c:f>Data!$T$11:$T$26</c:f>
              <c:strCache>
                <c:ptCount val="16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16:00</c:v>
                </c:pt>
                <c:pt idx="15">
                  <c:v>17:00</c:v>
                </c:pt>
              </c:strCache>
            </c:strRef>
          </c:cat>
          <c:val>
            <c:numRef>
              <c:f>Data!$M$11:$M$26</c:f>
              <c:numCache>
                <c:formatCode>#,##0.00</c:formatCode>
                <c:ptCount val="16"/>
                <c:pt idx="0">
                  <c:v>25</c:v>
                </c:pt>
                <c:pt idx="1">
                  <c:v>24.7</c:v>
                </c:pt>
                <c:pt idx="2">
                  <c:v>24.4</c:v>
                </c:pt>
                <c:pt idx="3">
                  <c:v>24</c:v>
                </c:pt>
                <c:pt idx="4">
                  <c:v>23.8</c:v>
                </c:pt>
                <c:pt idx="5">
                  <c:v>23.4</c:v>
                </c:pt>
                <c:pt idx="6">
                  <c:v>23</c:v>
                </c:pt>
                <c:pt idx="7">
                  <c:v>22.7</c:v>
                </c:pt>
                <c:pt idx="8">
                  <c:v>22.4</c:v>
                </c:pt>
                <c:pt idx="9">
                  <c:v>-44.1</c:v>
                </c:pt>
                <c:pt idx="10">
                  <c:v>-43.3</c:v>
                </c:pt>
                <c:pt idx="11">
                  <c:v>-41.6</c:v>
                </c:pt>
                <c:pt idx="12">
                  <c:v>-44.4</c:v>
                </c:pt>
                <c:pt idx="13">
                  <c:v>-38.4</c:v>
                </c:pt>
                <c:pt idx="14">
                  <c:v>-43.1</c:v>
                </c:pt>
                <c:pt idx="15">
                  <c:v>-29.2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E7-49AD-A116-09D426AA9B82}"/>
            </c:ext>
          </c:extLst>
        </c:ser>
        <c:ser>
          <c:idx val="1"/>
          <c:order val="1"/>
          <c:tx>
            <c:v>B</c:v>
          </c:tx>
          <c:val>
            <c:numRef>
              <c:f>Data!$N$11:$N$26</c:f>
              <c:numCache>
                <c:formatCode>#,##0.00</c:formatCode>
                <c:ptCount val="16"/>
                <c:pt idx="0">
                  <c:v>25.4</c:v>
                </c:pt>
                <c:pt idx="1">
                  <c:v>25</c:v>
                </c:pt>
                <c:pt idx="2">
                  <c:v>24.6</c:v>
                </c:pt>
                <c:pt idx="3">
                  <c:v>24.5</c:v>
                </c:pt>
                <c:pt idx="4">
                  <c:v>24</c:v>
                </c:pt>
                <c:pt idx="5">
                  <c:v>23.6</c:v>
                </c:pt>
                <c:pt idx="6">
                  <c:v>23.5</c:v>
                </c:pt>
                <c:pt idx="7">
                  <c:v>23</c:v>
                </c:pt>
                <c:pt idx="8">
                  <c:v>22.7</c:v>
                </c:pt>
                <c:pt idx="9">
                  <c:v>-44.1</c:v>
                </c:pt>
                <c:pt idx="10">
                  <c:v>-42.7</c:v>
                </c:pt>
                <c:pt idx="11">
                  <c:v>-38</c:v>
                </c:pt>
                <c:pt idx="12">
                  <c:v>-44.2</c:v>
                </c:pt>
                <c:pt idx="13">
                  <c:v>-37.5</c:v>
                </c:pt>
                <c:pt idx="14">
                  <c:v>-40.700000000000003</c:v>
                </c:pt>
                <c:pt idx="15">
                  <c:v>-30.6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E7-49AD-A116-09D426AA9B82}"/>
            </c:ext>
          </c:extLst>
        </c:ser>
        <c:ser>
          <c:idx val="2"/>
          <c:order val="2"/>
          <c:tx>
            <c:v>C</c:v>
          </c:tx>
          <c:val>
            <c:numRef>
              <c:f>Data!$O$11:$O$26</c:f>
              <c:numCache>
                <c:formatCode>#,##0.00</c:formatCode>
                <c:ptCount val="16"/>
                <c:pt idx="0">
                  <c:v>25.5</c:v>
                </c:pt>
                <c:pt idx="1">
                  <c:v>25.3</c:v>
                </c:pt>
                <c:pt idx="2">
                  <c:v>24.9</c:v>
                </c:pt>
                <c:pt idx="3">
                  <c:v>24.5</c:v>
                </c:pt>
                <c:pt idx="4">
                  <c:v>24.3</c:v>
                </c:pt>
                <c:pt idx="5">
                  <c:v>24</c:v>
                </c:pt>
                <c:pt idx="6">
                  <c:v>23.5</c:v>
                </c:pt>
                <c:pt idx="7">
                  <c:v>23.2</c:v>
                </c:pt>
                <c:pt idx="8">
                  <c:v>22.9</c:v>
                </c:pt>
                <c:pt idx="9">
                  <c:v>-44.3</c:v>
                </c:pt>
                <c:pt idx="10">
                  <c:v>-35.6</c:v>
                </c:pt>
                <c:pt idx="11">
                  <c:v>-41.5</c:v>
                </c:pt>
                <c:pt idx="12">
                  <c:v>-44.7</c:v>
                </c:pt>
                <c:pt idx="13">
                  <c:v>-35.9</c:v>
                </c:pt>
                <c:pt idx="14">
                  <c:v>-41.5</c:v>
                </c:pt>
                <c:pt idx="15">
                  <c:v>-36.700000000000003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E7-49AD-A116-09D426AA9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1538800"/>
        <c:axId val="1"/>
      </c:lineChart>
      <c:catAx>
        <c:axId val="1901538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Power Factor 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901538800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Yu Gothic"/>
              <a:ea typeface="Yu Gothic"/>
              <a:cs typeface="Yu Gothic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Yu Gothic"/>
          <a:ea typeface="Yu Gothic"/>
          <a:cs typeface="Yu Gothic"/>
        </a:defRPr>
      </a:pPr>
      <a:endParaRPr lang="en-US"/>
    </a:p>
  </c:txPr>
  <c:printSettings>
    <c:headerFooter>
      <c:oddHeader>&amp;CPower Factor Data analysis Report</c:oddHeader>
    </c:headerFooter>
    <c:pageMargins b="0.75" l="0.7" r="0.7" t="0.75" header="0.3" footer="0.3"/>
    <c:pageSetup paperSize="9"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320" b="0" i="0" u="none" strike="noStrike" baseline="0">
              <a:solidFill>
                <a:srgbClr val="000000"/>
              </a:solidFill>
              <a:latin typeface="Yu Gothic"/>
              <a:ea typeface="Yu Gothic"/>
              <a:cs typeface="Yu Gothic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Data!$U$10</c:f>
              <c:strCache>
                <c:ptCount val="1"/>
                <c:pt idx="0">
                  <c:v>Use kWh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Data!$T$12:$T$26</c:f>
              <c:strCache>
                <c:ptCount val="15"/>
                <c:pt idx="0">
                  <c:v>01:00</c:v>
                </c:pt>
                <c:pt idx="1">
                  <c:v>02:00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14:00</c:v>
                </c:pt>
                <c:pt idx="13">
                  <c:v>16:00</c:v>
                </c:pt>
                <c:pt idx="14">
                  <c:v>17:00</c:v>
                </c:pt>
              </c:strCache>
            </c:strRef>
          </c:cat>
          <c:val>
            <c:numRef>
              <c:f>Data!$U$12:$U$26</c:f>
              <c:numCache>
                <c:formatCode>#,##0.00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93-41D3-984E-18FB5B7B2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1535920"/>
        <c:axId val="1"/>
      </c:lineChart>
      <c:catAx>
        <c:axId val="1901535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90153592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1"/>
      </a:solidFill>
      <a:prstDash val="solid"/>
    </a:ln>
    <a:effectLst/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Yu Gothic"/>
          <a:ea typeface="Yu Gothic"/>
          <a:cs typeface="Yu Gothic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4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r>
              <a:rPr lang="en-US"/>
              <a:t>Previous/ToDay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dLbl>
              <c:idx val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Yu Gothic"/>
                      <a:ea typeface="Yu Gothic"/>
                      <a:cs typeface="Yu Gothic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791-4DFD-9EEC-09F7EDDE6D33}"/>
                </c:ext>
              </c:extLst>
            </c:dLbl>
            <c:dLbl>
              <c:idx val="1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Yu Gothic"/>
                      <a:ea typeface="Yu Gothic"/>
                      <a:cs typeface="Yu Gothic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791-4DFD-9EEC-09F7EDDE6D33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DataAnalysis!$B$11:$B$12</c:f>
              <c:strCache>
                <c:ptCount val="2"/>
                <c:pt idx="0">
                  <c:v>Previous Date Wh</c:v>
                </c:pt>
                <c:pt idx="1">
                  <c:v>ToDay Wh</c:v>
                </c:pt>
              </c:strCache>
            </c:strRef>
          </c:cat>
          <c:val>
            <c:numRef>
              <c:f>DataAnalysis!$C$11:$C$12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91-4DFD-9EEC-09F7EDDE6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01537360"/>
        <c:axId val="1"/>
        <c:axId val="0"/>
      </c:bar3DChart>
      <c:catAx>
        <c:axId val="190153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90153736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1"/>
      </a:solidFill>
      <a:prstDash val="solid"/>
    </a:ln>
    <a:effectLst/>
  </c:spPr>
  <c:txPr>
    <a:bodyPr/>
    <a:lstStyle/>
    <a:p>
      <a:pPr>
        <a:defRPr sz="700" b="0" i="0" u="none" strike="noStrike" baseline="0">
          <a:solidFill>
            <a:srgbClr val="000000"/>
          </a:solidFill>
          <a:latin typeface="Yu Gothic"/>
          <a:ea typeface="Yu Gothic"/>
          <a:cs typeface="Yu Gothic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Yu Gothic"/>
              <a:ea typeface="Yu Gothic"/>
              <a:cs typeface="Yu Gothic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Data!$U$10</c:f>
              <c:strCache>
                <c:ptCount val="1"/>
                <c:pt idx="0">
                  <c:v>Use kWh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Data!$T$12:$T$26</c:f>
              <c:strCache>
                <c:ptCount val="15"/>
                <c:pt idx="0">
                  <c:v>01:00</c:v>
                </c:pt>
                <c:pt idx="1">
                  <c:v>02:00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14:00</c:v>
                </c:pt>
                <c:pt idx="13">
                  <c:v>16:00</c:v>
                </c:pt>
                <c:pt idx="14">
                  <c:v>17:00</c:v>
                </c:pt>
              </c:strCache>
            </c:strRef>
          </c:cat>
          <c:val>
            <c:numRef>
              <c:f>Data!$U$12:$U$26</c:f>
              <c:numCache>
                <c:formatCode>#,##0.00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0C-4E6B-BC7C-FC29FA7BF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1547440"/>
        <c:axId val="1"/>
      </c:radarChart>
      <c:catAx>
        <c:axId val="1901547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out"/>
        <c:minorTickMark val="none"/>
        <c:tickLblPos val="nextTo"/>
        <c:crossAx val="190154744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19050" cap="flat" cmpd="sng" algn="ctr">
      <a:solidFill>
        <a:schemeClr val="accent1"/>
      </a:solidFill>
      <a:round/>
    </a:ln>
    <a:effectLst/>
  </c:spPr>
  <c:txPr>
    <a:bodyPr/>
    <a:lstStyle/>
    <a:p>
      <a:pPr>
        <a:defRPr sz="600" b="0" i="0" u="none" strike="noStrike" baseline="0">
          <a:solidFill>
            <a:srgbClr val="000000"/>
          </a:solidFill>
          <a:latin typeface="Yu Gothic"/>
          <a:ea typeface="Yu Gothic"/>
          <a:cs typeface="Yu Gothic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28015</xdr:colOff>
      <xdr:row>0</xdr:row>
      <xdr:rowOff>193302</xdr:rowOff>
    </xdr:from>
    <xdr:to>
      <xdr:col>0</xdr:col>
      <xdr:colOff>1089772</xdr:colOff>
      <xdr:row>4</xdr:row>
      <xdr:rowOff>212912</xdr:rowOff>
    </xdr:to>
    <xdr:pic>
      <xdr:nvPicPr>
        <xdr:cNvPr id="1971" name="Picture 2">
          <a:extLst>
            <a:ext uri="{FF2B5EF4-FFF2-40B4-BE49-F238E27FC236}">
              <a16:creationId xmlns:a16="http://schemas.microsoft.com/office/drawing/2014/main" id="{69A2677C-7047-2553-AC2B-CA9EE192D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8015" y="193302"/>
          <a:ext cx="1061757" cy="10617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28575</xdr:rowOff>
    </xdr:from>
    <xdr:to>
      <xdr:col>14</xdr:col>
      <xdr:colOff>561975</xdr:colOff>
      <xdr:row>22</xdr:row>
      <xdr:rowOff>190500</xdr:rowOff>
    </xdr:to>
    <xdr:graphicFrame macro="">
      <xdr:nvGraphicFramePr>
        <xdr:cNvPr id="2516217" name="Chart 1">
          <a:extLst>
            <a:ext uri="{FF2B5EF4-FFF2-40B4-BE49-F238E27FC236}">
              <a16:creationId xmlns:a16="http://schemas.microsoft.com/office/drawing/2014/main" id="{E8E088BF-6392-333C-C6DE-108ACDAA7F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252737</xdr:colOff>
      <xdr:row>0</xdr:row>
      <xdr:rowOff>91108</xdr:rowOff>
    </xdr:from>
    <xdr:to>
      <xdr:col>11</xdr:col>
      <xdr:colOff>318763</xdr:colOff>
      <xdr:row>1</xdr:row>
      <xdr:rowOff>246407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5DCF93D-338C-39F6-9DBC-F3188D594D95}"/>
            </a:ext>
          </a:extLst>
        </xdr:cNvPr>
        <xdr:cNvSpPr txBox="1"/>
      </xdr:nvSpPr>
      <xdr:spPr>
        <a:xfrm>
          <a:off x="2091476" y="91108"/>
          <a:ext cx="4969330" cy="428625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Voltage ɸ - ɸ Data analysis</a:t>
          </a:r>
          <a:endParaRPr lang="en-US" sz="1800" b="1">
            <a:latin typeface="Yu Gothic" panose="020B0400000000000000" pitchFamily="34" charset="-128"/>
            <a:ea typeface="Yu Gothic" panose="020B0400000000000000" pitchFamily="34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28575</xdr:rowOff>
    </xdr:from>
    <xdr:to>
      <xdr:col>14</xdr:col>
      <xdr:colOff>561975</xdr:colOff>
      <xdr:row>22</xdr:row>
      <xdr:rowOff>190500</xdr:rowOff>
    </xdr:to>
    <xdr:graphicFrame macro="">
      <xdr:nvGraphicFramePr>
        <xdr:cNvPr id="2578667" name="Chart 1">
          <a:extLst>
            <a:ext uri="{FF2B5EF4-FFF2-40B4-BE49-F238E27FC236}">
              <a16:creationId xmlns:a16="http://schemas.microsoft.com/office/drawing/2014/main" id="{98560DAD-A255-0C85-2CDB-2BE319132D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252737</xdr:colOff>
      <xdr:row>0</xdr:row>
      <xdr:rowOff>91108</xdr:rowOff>
    </xdr:from>
    <xdr:to>
      <xdr:col>11</xdr:col>
      <xdr:colOff>318763</xdr:colOff>
      <xdr:row>1</xdr:row>
      <xdr:rowOff>246407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F40AA84-8541-F88E-089F-DBBB9EBFBC6D}"/>
            </a:ext>
          </a:extLst>
        </xdr:cNvPr>
        <xdr:cNvSpPr txBox="1"/>
      </xdr:nvSpPr>
      <xdr:spPr>
        <a:xfrm>
          <a:off x="2081537" y="91108"/>
          <a:ext cx="4942826" cy="431524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Voltage ɸ - N Data analysis</a:t>
          </a:r>
          <a:endParaRPr lang="en-US" sz="1800" b="1">
            <a:latin typeface="Yu Gothic" panose="020B0400000000000000" pitchFamily="34" charset="-128"/>
            <a:ea typeface="Yu Gothic" panose="020B0400000000000000" pitchFamily="34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28575</xdr:rowOff>
    </xdr:from>
    <xdr:to>
      <xdr:col>14</xdr:col>
      <xdr:colOff>561975</xdr:colOff>
      <xdr:row>22</xdr:row>
      <xdr:rowOff>190500</xdr:rowOff>
    </xdr:to>
    <xdr:graphicFrame macro="">
      <xdr:nvGraphicFramePr>
        <xdr:cNvPr id="2615521" name="Chart 1">
          <a:extLst>
            <a:ext uri="{FF2B5EF4-FFF2-40B4-BE49-F238E27FC236}">
              <a16:creationId xmlns:a16="http://schemas.microsoft.com/office/drawing/2014/main" id="{D4434064-B8F1-CF41-E2A7-20FAD665F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252737</xdr:colOff>
      <xdr:row>0</xdr:row>
      <xdr:rowOff>91108</xdr:rowOff>
    </xdr:from>
    <xdr:to>
      <xdr:col>11</xdr:col>
      <xdr:colOff>318763</xdr:colOff>
      <xdr:row>1</xdr:row>
      <xdr:rowOff>246407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4AFBA0B-C48D-FBFA-1088-18152F09DDBC}"/>
            </a:ext>
          </a:extLst>
        </xdr:cNvPr>
        <xdr:cNvSpPr txBox="1"/>
      </xdr:nvSpPr>
      <xdr:spPr>
        <a:xfrm>
          <a:off x="2081537" y="91108"/>
          <a:ext cx="4942826" cy="431524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Current Data analysis</a:t>
          </a:r>
          <a:endParaRPr lang="en-US" sz="1800" b="1">
            <a:latin typeface="Yu Gothic" panose="020B0400000000000000" pitchFamily="34" charset="-128"/>
            <a:ea typeface="Yu Gothic" panose="020B0400000000000000" pitchFamily="34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</xdr:row>
      <xdr:rowOff>247650</xdr:rowOff>
    </xdr:from>
    <xdr:to>
      <xdr:col>14</xdr:col>
      <xdr:colOff>542925</xdr:colOff>
      <xdr:row>22</xdr:row>
      <xdr:rowOff>228600</xdr:rowOff>
    </xdr:to>
    <xdr:graphicFrame macro="">
      <xdr:nvGraphicFramePr>
        <xdr:cNvPr id="2464138" name="Chart 1">
          <a:extLst>
            <a:ext uri="{FF2B5EF4-FFF2-40B4-BE49-F238E27FC236}">
              <a16:creationId xmlns:a16="http://schemas.microsoft.com/office/drawing/2014/main" id="{4DC0F341-8F59-BA38-A504-BAF9116DA5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252737</xdr:colOff>
      <xdr:row>0</xdr:row>
      <xdr:rowOff>49695</xdr:rowOff>
    </xdr:from>
    <xdr:to>
      <xdr:col>11</xdr:col>
      <xdr:colOff>318763</xdr:colOff>
      <xdr:row>1</xdr:row>
      <xdr:rowOff>204994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74C9F49-E62B-15AB-C538-F22FF17C2385}"/>
            </a:ext>
          </a:extLst>
        </xdr:cNvPr>
        <xdr:cNvSpPr txBox="1"/>
      </xdr:nvSpPr>
      <xdr:spPr>
        <a:xfrm>
          <a:off x="2091476" y="49695"/>
          <a:ext cx="4969330" cy="428625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Power factor Data analysis</a:t>
          </a:r>
          <a:endParaRPr lang="en-US" sz="1800" b="1">
            <a:latin typeface="Yu Gothic" panose="020B0400000000000000" pitchFamily="34" charset="-128"/>
            <a:ea typeface="Yu Gothic" panose="020B0400000000000000" pitchFamily="34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</xdr:row>
      <xdr:rowOff>238125</xdr:rowOff>
    </xdr:from>
    <xdr:to>
      <xdr:col>14</xdr:col>
      <xdr:colOff>542925</xdr:colOff>
      <xdr:row>14</xdr:row>
      <xdr:rowOff>95250</xdr:rowOff>
    </xdr:to>
    <xdr:graphicFrame macro="">
      <xdr:nvGraphicFramePr>
        <xdr:cNvPr id="2982604" name="Chart 1">
          <a:extLst>
            <a:ext uri="{FF2B5EF4-FFF2-40B4-BE49-F238E27FC236}">
              <a16:creationId xmlns:a16="http://schemas.microsoft.com/office/drawing/2014/main" id="{8D30DDA7-A0B4-B699-927F-10BB6FFC5A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245154</xdr:colOff>
      <xdr:row>0</xdr:row>
      <xdr:rowOff>47624</xdr:rowOff>
    </xdr:from>
    <xdr:to>
      <xdr:col>11</xdr:col>
      <xdr:colOff>337684</xdr:colOff>
      <xdr:row>1</xdr:row>
      <xdr:rowOff>197757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BEF62FD-5698-45C7-DE55-4041AA0EA85E}"/>
            </a:ext>
          </a:extLst>
        </xdr:cNvPr>
        <xdr:cNvSpPr txBox="1"/>
      </xdr:nvSpPr>
      <xdr:spPr>
        <a:xfrm>
          <a:off x="2073954" y="47624"/>
          <a:ext cx="4969330" cy="426358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kWh</a:t>
          </a:r>
          <a:r>
            <a:rPr lang="en-US" sz="1800" b="1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 Data analysis</a:t>
          </a:r>
          <a:endParaRPr lang="en-US" sz="1800" b="1">
            <a:latin typeface="Yu Gothic" panose="020B0400000000000000" pitchFamily="34" charset="-128"/>
            <a:ea typeface="Yu Gothic" panose="020B0400000000000000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47625</xdr:colOff>
      <xdr:row>14</xdr:row>
      <xdr:rowOff>142234</xdr:rowOff>
    </xdr:from>
    <xdr:to>
      <xdr:col>3</xdr:col>
      <xdr:colOff>433162</xdr:colOff>
      <xdr:row>16</xdr:row>
      <xdr:rowOff>26573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8AFCC00-A541-88E4-1A22-2B304E7D94A6}"/>
            </a:ext>
          </a:extLst>
        </xdr:cNvPr>
        <xdr:cNvSpPr txBox="1"/>
      </xdr:nvSpPr>
      <xdr:spPr>
        <a:xfrm>
          <a:off x="47625" y="4009384"/>
          <a:ext cx="2214337" cy="436789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Summary</a:t>
          </a:r>
          <a:r>
            <a:rPr lang="en-US" sz="1800" b="1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 analysis</a:t>
          </a:r>
        </a:p>
      </xdr:txBody>
    </xdr:sp>
    <xdr:clientData/>
  </xdr:twoCellAnchor>
  <xdr:twoCellAnchor>
    <xdr:from>
      <xdr:col>8</xdr:col>
      <xdr:colOff>342900</xdr:colOff>
      <xdr:row>14</xdr:row>
      <xdr:rowOff>142875</xdr:rowOff>
    </xdr:from>
    <xdr:to>
      <xdr:col>14</xdr:col>
      <xdr:colOff>542925</xdr:colOff>
      <xdr:row>22</xdr:row>
      <xdr:rowOff>161925</xdr:rowOff>
    </xdr:to>
    <xdr:grpSp>
      <xdr:nvGrpSpPr>
        <xdr:cNvPr id="2982607" name="Group 3">
          <a:extLst>
            <a:ext uri="{FF2B5EF4-FFF2-40B4-BE49-F238E27FC236}">
              <a16:creationId xmlns:a16="http://schemas.microsoft.com/office/drawing/2014/main" id="{33E39920-302E-2153-472D-0333E0699EF0}"/>
            </a:ext>
          </a:extLst>
        </xdr:cNvPr>
        <xdr:cNvGrpSpPr>
          <a:grpSpLocks/>
        </xdr:cNvGrpSpPr>
      </xdr:nvGrpSpPr>
      <xdr:grpSpPr bwMode="auto">
        <a:xfrm>
          <a:off x="5219700" y="4010025"/>
          <a:ext cx="3857625" cy="2228850"/>
          <a:chOff x="8601075" y="5041446"/>
          <a:chExt cx="4800600" cy="3331029"/>
        </a:xfrm>
      </xdr:grpSpPr>
      <xdr:graphicFrame macro="">
        <xdr:nvGraphicFramePr>
          <xdr:cNvPr id="2982613" name="Chart 2">
            <a:extLst>
              <a:ext uri="{FF2B5EF4-FFF2-40B4-BE49-F238E27FC236}">
                <a16:creationId xmlns:a16="http://schemas.microsoft.com/office/drawing/2014/main" id="{6A9BCEAB-7128-5598-B397-F3057480608C}"/>
              </a:ext>
            </a:extLst>
          </xdr:cNvPr>
          <xdr:cNvGraphicFramePr>
            <a:graphicFrameLocks/>
          </xdr:cNvGraphicFramePr>
        </xdr:nvGraphicFramePr>
        <xdr:xfrm>
          <a:off x="8601075" y="5041446"/>
          <a:ext cx="4800600" cy="333102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DataAnalysis!C14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C6764771-1AE2-A919-41B5-17F04C8355BC}"/>
              </a:ext>
            </a:extLst>
          </xdr:cNvPr>
          <xdr:cNvSpPr/>
        </xdr:nvSpPr>
        <xdr:spPr bwMode="auto">
          <a:xfrm>
            <a:off x="11801475" y="5098387"/>
            <a:ext cx="1540933" cy="384350"/>
          </a:xfrm>
          <a:prstGeom prst="roundRect">
            <a:avLst/>
          </a:prstGeom>
          <a:ln>
            <a:solidFill>
              <a:schemeClr val="bg1"/>
            </a:solidFill>
            <a:headEnd type="none" w="med" len="med"/>
            <a:tailEnd type="none" w="med" len="med"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wrap="square" lIns="18288" tIns="0" rIns="0" bIns="0" rtlCol="0" anchor="ctr" upright="1"/>
          <a:lstStyle/>
          <a:p>
            <a:pPr algn="ctr"/>
            <a:fld id="{F7FD1836-2692-4844-A537-1571B88018D0}" type="TxLink">
              <a:rPr lang="en-US" sz="1500" b="1" i="0" u="none" strike="noStrike">
                <a:solidFill>
                  <a:srgbClr val="000000"/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Cordia New"/>
              </a:rPr>
              <a:pPr algn="ctr"/>
              <a:t>▲0 %</a:t>
            </a:fld>
            <a:endParaRPr lang="en-US" sz="1500" b="1">
              <a:latin typeface="Yu Gothic" panose="020B0400000000000000" pitchFamily="34" charset="-128"/>
              <a:ea typeface="Yu Gothic" panose="020B0400000000000000" pitchFamily="34" charset="-128"/>
            </a:endParaRPr>
          </a:p>
        </xdr:txBody>
      </xdr:sp>
    </xdr:grpSp>
    <xdr:clientData/>
  </xdr:twoCellAnchor>
  <xdr:twoCellAnchor>
    <xdr:from>
      <xdr:col>4</xdr:col>
      <xdr:colOff>200025</xdr:colOff>
      <xdr:row>14</xdr:row>
      <xdr:rowOff>142875</xdr:rowOff>
    </xdr:from>
    <xdr:to>
      <xdr:col>8</xdr:col>
      <xdr:colOff>295275</xdr:colOff>
      <xdr:row>22</xdr:row>
      <xdr:rowOff>171450</xdr:rowOff>
    </xdr:to>
    <xdr:graphicFrame macro="">
      <xdr:nvGraphicFramePr>
        <xdr:cNvPr id="2982608" name="Chart 22">
          <a:extLst>
            <a:ext uri="{FF2B5EF4-FFF2-40B4-BE49-F238E27FC236}">
              <a16:creationId xmlns:a16="http://schemas.microsoft.com/office/drawing/2014/main" id="{9FEF517A-050C-D447-E90F-65B1C9B46D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47625</xdr:colOff>
      <xdr:row>16</xdr:row>
      <xdr:rowOff>85725</xdr:rowOff>
    </xdr:from>
    <xdr:to>
      <xdr:col>4</xdr:col>
      <xdr:colOff>142875</xdr:colOff>
      <xdr:row>21</xdr:row>
      <xdr:rowOff>190500</xdr:rowOff>
    </xdr:to>
    <xdr:grpSp>
      <xdr:nvGrpSpPr>
        <xdr:cNvPr id="2982609" name="Group 4">
          <a:extLst>
            <a:ext uri="{FF2B5EF4-FFF2-40B4-BE49-F238E27FC236}">
              <a16:creationId xmlns:a16="http://schemas.microsoft.com/office/drawing/2014/main" id="{A2B30D9C-A6B8-ED4D-D980-EF970AB7B821}"/>
            </a:ext>
          </a:extLst>
        </xdr:cNvPr>
        <xdr:cNvGrpSpPr>
          <a:grpSpLocks/>
        </xdr:cNvGrpSpPr>
      </xdr:nvGrpSpPr>
      <xdr:grpSpPr bwMode="auto">
        <a:xfrm>
          <a:off x="47625" y="4505325"/>
          <a:ext cx="2533650" cy="1485900"/>
          <a:chOff x="219986" y="5627559"/>
          <a:chExt cx="2544537" cy="1456177"/>
        </a:xfrm>
      </xdr:grpSpPr>
      <xdr:sp macro="" textlink="DataAnalysis!E7">
        <xdr:nvSpPr>
          <xdr:cNvPr id="10" name="TextBox 9">
            <a:extLst>
              <a:ext uri="{FF2B5EF4-FFF2-40B4-BE49-F238E27FC236}">
                <a16:creationId xmlns:a16="http://schemas.microsoft.com/office/drawing/2014/main" id="{C330F353-9D67-079C-CC95-0E714164798F}"/>
              </a:ext>
            </a:extLst>
          </xdr:cNvPr>
          <xdr:cNvSpPr txBox="1"/>
        </xdr:nvSpPr>
        <xdr:spPr>
          <a:xfrm>
            <a:off x="219986" y="5627559"/>
            <a:ext cx="2544537" cy="420051"/>
          </a:xfrm>
          <a:prstGeom prst="rect">
            <a:avLst/>
          </a:prstGeom>
          <a:ln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fld id="{584EF1B9-5C54-4721-84D1-C14C6F88DBEC}" type="TxLink">
              <a:rPr lang="en-US" sz="1600" b="0" i="0" u="none" strike="noStrike" baseline="0">
                <a:solidFill>
                  <a:srgbClr val="000000"/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Cordia New"/>
              </a:rPr>
              <a:pPr algn="l"/>
              <a:t>#REF!</a:t>
            </a:fld>
            <a:endParaRPr lang="en-US" sz="1800" b="0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endParaRPr>
          </a:p>
        </xdr:txBody>
      </xdr:sp>
      <xdr:sp macro="" textlink="DataAnalysis!E8">
        <xdr:nvSpPr>
          <xdr:cNvPr id="11" name="TextBox 10">
            <a:extLst>
              <a:ext uri="{FF2B5EF4-FFF2-40B4-BE49-F238E27FC236}">
                <a16:creationId xmlns:a16="http://schemas.microsoft.com/office/drawing/2014/main" id="{6C2E6149-4CEA-6178-4F5B-59086F90D826}"/>
              </a:ext>
            </a:extLst>
          </xdr:cNvPr>
          <xdr:cNvSpPr txBox="1"/>
        </xdr:nvSpPr>
        <xdr:spPr>
          <a:xfrm>
            <a:off x="219986" y="6131620"/>
            <a:ext cx="2544537" cy="448054"/>
          </a:xfrm>
          <a:prstGeom prst="rect">
            <a:avLst/>
          </a:prstGeom>
          <a:ln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fld id="{E1547F6E-50CE-4F0D-AFE9-60E0726C9BDE}" type="TxLink">
              <a:rPr lang="en-US" sz="1600" b="0" i="0" u="none" strike="noStrike" baseline="0">
                <a:solidFill>
                  <a:srgbClr val="000000"/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Cordia New"/>
              </a:rPr>
              <a:pPr algn="l"/>
              <a:t>#REF!</a:t>
            </a:fld>
            <a:endParaRPr lang="en-US" sz="1800" b="0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endParaRPr>
          </a:p>
        </xdr:txBody>
      </xdr:sp>
      <xdr:sp macro="" textlink="DataAnalysis!E9">
        <xdr:nvSpPr>
          <xdr:cNvPr id="12" name="TextBox 11">
            <a:extLst>
              <a:ext uri="{FF2B5EF4-FFF2-40B4-BE49-F238E27FC236}">
                <a16:creationId xmlns:a16="http://schemas.microsoft.com/office/drawing/2014/main" id="{421034A3-FA82-9F52-CFC1-ED59E34186D9}"/>
              </a:ext>
            </a:extLst>
          </xdr:cNvPr>
          <xdr:cNvSpPr txBox="1"/>
        </xdr:nvSpPr>
        <xdr:spPr>
          <a:xfrm>
            <a:off x="219986" y="6663685"/>
            <a:ext cx="2544537" cy="420051"/>
          </a:xfrm>
          <a:prstGeom prst="rect">
            <a:avLst/>
          </a:prstGeom>
          <a:ln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fld id="{22BC9ACF-5D22-4291-8E0F-39AEDC13AF26}" type="TxLink">
              <a:rPr lang="en-US" sz="1600" b="0" i="0" u="none" strike="noStrike" baseline="0">
                <a:solidFill>
                  <a:srgbClr val="000000"/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Cordia New"/>
              </a:rPr>
              <a:pPr algn="l"/>
              <a:t>#REF!</a:t>
            </a:fld>
            <a:endParaRPr lang="en-US" sz="1800" b="0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0E842-AF99-43CE-BE76-BE0A7C9A0F01}">
  <sheetPr codeName="Sheet1"/>
  <dimension ref="A1:AH27"/>
  <sheetViews>
    <sheetView showGridLines="0" tabSelected="1" view="pageBreakPreview" zoomScaleNormal="115" zoomScaleSheetLayoutView="100" zoomScalePageLayoutView="130" workbookViewId="0">
      <selection activeCell="A4" sqref="A4:R4"/>
    </sheetView>
  </sheetViews>
  <sheetFormatPr defaultRowHeight="21.75" x14ac:dyDescent="0.5"/>
  <cols>
    <col min="1" max="1" width="16.42578125" style="53" customWidth="1"/>
    <col min="2" max="14" width="11.7109375" style="16" customWidth="1"/>
    <col min="15" max="15" width="11.85546875" style="16" customWidth="1"/>
    <col min="16" max="16" width="13" style="16" customWidth="1"/>
    <col min="17" max="17" width="9.140625" style="1" customWidth="1"/>
    <col min="18" max="19" width="9.140625" style="1"/>
    <col min="20" max="20" width="11.85546875" style="1" customWidth="1"/>
    <col min="21" max="21" width="12.28515625" style="1" customWidth="1"/>
    <col min="22" max="22" width="16" style="1" customWidth="1"/>
    <col min="23" max="23" width="13" style="1" customWidth="1"/>
    <col min="24" max="24" width="14.28515625" style="1" bestFit="1" customWidth="1"/>
    <col min="25" max="16384" width="9.140625" style="1"/>
  </cols>
  <sheetData>
    <row r="1" spans="1:34" s="5" customFormat="1" ht="19.5" customHeight="1" x14ac:dyDescent="0.5">
      <c r="A1" s="18" t="s">
        <v>1</v>
      </c>
      <c r="B1" s="11"/>
      <c r="C1" s="11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34" s="5" customFormat="1" ht="30" x14ac:dyDescent="0.5">
      <c r="A2" s="71" t="s">
        <v>28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17"/>
    </row>
    <row r="3" spans="1:34" s="5" customFormat="1" ht="9.75" customHeight="1" x14ac:dyDescent="0.5">
      <c r="A3" s="18"/>
      <c r="B3" s="54"/>
      <c r="C3" s="54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</row>
    <row r="4" spans="1:34" s="5" customFormat="1" ht="22.5" customHeight="1" x14ac:dyDescent="0.5">
      <c r="A4" s="72" t="s">
        <v>45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</row>
    <row r="5" spans="1:34" s="5" customFormat="1" ht="22.5" x14ac:dyDescent="0.5">
      <c r="A5" s="72" t="s">
        <v>32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</row>
    <row r="6" spans="1:34" s="7" customFormat="1" ht="21" customHeight="1" x14ac:dyDescent="0.5">
      <c r="A6" s="21"/>
      <c r="B6" s="55" t="s">
        <v>62</v>
      </c>
      <c r="C6" s="56"/>
      <c r="D6" s="56"/>
      <c r="E6" s="57"/>
      <c r="F6" s="58"/>
      <c r="G6" s="59"/>
      <c r="H6" s="59"/>
      <c r="I6" s="13"/>
      <c r="J6" s="13"/>
      <c r="K6" s="13"/>
      <c r="L6" s="13"/>
      <c r="M6" s="11"/>
      <c r="N6" s="11"/>
      <c r="O6" s="11"/>
      <c r="P6" s="11"/>
      <c r="Q6" s="6"/>
      <c r="R6" s="6"/>
    </row>
    <row r="7" spans="1:34" s="7" customFormat="1" ht="3" customHeight="1" thickBot="1" x14ac:dyDescent="0.55000000000000004">
      <c r="A7" s="22">
        <f>L7-1</f>
        <v>59</v>
      </c>
      <c r="B7" s="46">
        <f>L7+1</f>
        <v>61</v>
      </c>
      <c r="C7" s="14"/>
      <c r="D7" s="14"/>
      <c r="E7" s="15"/>
      <c r="F7" s="15"/>
      <c r="G7" s="15"/>
      <c r="H7" s="15"/>
      <c r="I7" s="15"/>
      <c r="J7" s="22"/>
      <c r="K7" s="22">
        <v>45989</v>
      </c>
      <c r="L7" s="22">
        <v>60</v>
      </c>
      <c r="M7" s="67">
        <v>0</v>
      </c>
      <c r="N7" s="64">
        <v>0.99930555555555556</v>
      </c>
      <c r="O7" s="64" t="s">
        <v>44</v>
      </c>
      <c r="P7" s="63" t="s">
        <v>31</v>
      </c>
    </row>
    <row r="8" spans="1:34" s="4" customFormat="1" ht="18" customHeight="1" x14ac:dyDescent="0.5">
      <c r="A8" s="49"/>
      <c r="B8" s="68" t="s">
        <v>33</v>
      </c>
      <c r="C8" s="69"/>
      <c r="D8" s="70"/>
      <c r="E8" s="68" t="s">
        <v>37</v>
      </c>
      <c r="F8" s="69"/>
      <c r="G8" s="69"/>
      <c r="H8" s="70"/>
      <c r="I8" s="68" t="s">
        <v>42</v>
      </c>
      <c r="J8" s="69"/>
      <c r="K8" s="69"/>
      <c r="L8" s="70"/>
      <c r="M8" s="68" t="s">
        <v>43</v>
      </c>
      <c r="N8" s="69"/>
      <c r="O8" s="69"/>
      <c r="P8" s="70"/>
      <c r="Q8" s="73" t="s">
        <v>0</v>
      </c>
      <c r="R8" s="74"/>
      <c r="S8" s="2"/>
      <c r="T8" s="2"/>
      <c r="U8" s="2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34" s="4" customFormat="1" ht="18.75" customHeight="1" x14ac:dyDescent="0.5">
      <c r="A9" s="50" t="s">
        <v>2</v>
      </c>
      <c r="B9" s="39" t="s">
        <v>34</v>
      </c>
      <c r="C9" s="39" t="s">
        <v>35</v>
      </c>
      <c r="D9" s="39" t="s">
        <v>36</v>
      </c>
      <c r="E9" s="39" t="s">
        <v>38</v>
      </c>
      <c r="F9" s="39" t="s">
        <v>39</v>
      </c>
      <c r="G9" s="39" t="s">
        <v>40</v>
      </c>
      <c r="H9" s="39" t="s">
        <v>41</v>
      </c>
      <c r="I9" s="39" t="s">
        <v>38</v>
      </c>
      <c r="J9" s="39" t="s">
        <v>39</v>
      </c>
      <c r="K9" s="39" t="s">
        <v>40</v>
      </c>
      <c r="L9" s="39" t="s">
        <v>41</v>
      </c>
      <c r="M9" s="39" t="s">
        <v>38</v>
      </c>
      <c r="N9" s="39" t="s">
        <v>39</v>
      </c>
      <c r="O9" s="39" t="s">
        <v>40</v>
      </c>
      <c r="P9" s="39" t="s">
        <v>41</v>
      </c>
      <c r="Q9" s="75"/>
      <c r="R9" s="76"/>
      <c r="S9" s="8"/>
      <c r="T9" s="2"/>
      <c r="U9" s="32"/>
      <c r="V9" s="33"/>
      <c r="W9" s="3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34" s="10" customFormat="1" ht="17.25" customHeight="1" thickBot="1" x14ac:dyDescent="0.55000000000000004">
      <c r="A10" s="51" t="s">
        <v>3</v>
      </c>
      <c r="B10" s="65" t="s">
        <v>30</v>
      </c>
      <c r="C10" s="65" t="s">
        <v>30</v>
      </c>
      <c r="D10" s="65" t="s">
        <v>30</v>
      </c>
      <c r="E10" s="65" t="s">
        <v>30</v>
      </c>
      <c r="F10" s="65" t="s">
        <v>30</v>
      </c>
      <c r="G10" s="65" t="s">
        <v>30</v>
      </c>
      <c r="H10" s="66" t="s">
        <v>29</v>
      </c>
      <c r="I10" s="65" t="s">
        <v>30</v>
      </c>
      <c r="J10" s="65" t="s">
        <v>30</v>
      </c>
      <c r="K10" s="65" t="s">
        <v>30</v>
      </c>
      <c r="L10" s="66" t="s">
        <v>29</v>
      </c>
      <c r="M10" s="65" t="s">
        <v>30</v>
      </c>
      <c r="N10" s="65" t="s">
        <v>30</v>
      </c>
      <c r="O10" s="65" t="s">
        <v>30</v>
      </c>
      <c r="P10" s="66" t="s">
        <v>29</v>
      </c>
      <c r="Q10" s="77"/>
      <c r="R10" s="78"/>
      <c r="S10" s="8"/>
      <c r="T10" s="25" t="s">
        <v>4</v>
      </c>
      <c r="U10" s="25" t="s">
        <v>5</v>
      </c>
      <c r="V10" s="26"/>
      <c r="W10" s="34"/>
      <c r="X10" s="20"/>
      <c r="Y10" s="9"/>
      <c r="Z10" s="9"/>
      <c r="AA10" s="9"/>
      <c r="AB10" s="9"/>
      <c r="AC10" s="9"/>
      <c r="AD10" s="9"/>
      <c r="AE10" s="9"/>
      <c r="AF10" s="9"/>
      <c r="AG10" s="9"/>
      <c r="AH10" s="9"/>
    </row>
    <row r="11" spans="1:34" s="5" customFormat="1" ht="32.1" customHeight="1" x14ac:dyDescent="0.5">
      <c r="A11" s="52" t="s">
        <v>46</v>
      </c>
      <c r="B11" s="41">
        <v>-22.9</v>
      </c>
      <c r="C11" s="41">
        <v>-25.2</v>
      </c>
      <c r="D11" s="41">
        <v>-20</v>
      </c>
      <c r="E11" s="41">
        <v>22.1</v>
      </c>
      <c r="F11" s="41">
        <v>21.8</v>
      </c>
      <c r="G11" s="41">
        <v>21.5</v>
      </c>
      <c r="H11" s="40">
        <v>0.41</v>
      </c>
      <c r="I11" s="40">
        <v>6.6</v>
      </c>
      <c r="J11" s="40">
        <v>2.6</v>
      </c>
      <c r="K11" s="40">
        <v>2.2999999999999998</v>
      </c>
      <c r="L11" s="40">
        <v>0.44</v>
      </c>
      <c r="M11" s="38">
        <v>25</v>
      </c>
      <c r="N11" s="38">
        <v>25.4</v>
      </c>
      <c r="O11" s="38">
        <v>25.5</v>
      </c>
      <c r="P11" s="38">
        <v>0.43</v>
      </c>
      <c r="Q11" s="79"/>
      <c r="R11" s="80"/>
      <c r="T11" s="27" t="str">
        <f t="shared" ref="T11:T26" si="0">LEFT(A11,5)</f>
        <v>00:00</v>
      </c>
      <c r="U11" s="28"/>
      <c r="V11" s="28"/>
      <c r="W11" s="35"/>
    </row>
    <row r="12" spans="1:34" s="5" customFormat="1" ht="32.1" customHeight="1" x14ac:dyDescent="0.5">
      <c r="A12" s="52" t="s">
        <v>47</v>
      </c>
      <c r="B12" s="41">
        <v>-21.5</v>
      </c>
      <c r="C12" s="41">
        <v>-23.9</v>
      </c>
      <c r="D12" s="41">
        <v>-18.5</v>
      </c>
      <c r="E12" s="41">
        <v>21.9</v>
      </c>
      <c r="F12" s="41">
        <v>21.9</v>
      </c>
      <c r="G12" s="41">
        <v>21.5</v>
      </c>
      <c r="H12" s="40">
        <v>0.51</v>
      </c>
      <c r="I12" s="40">
        <v>7.7</v>
      </c>
      <c r="J12" s="40">
        <v>4.0999999999999996</v>
      </c>
      <c r="K12" s="40">
        <v>3.7</v>
      </c>
      <c r="L12" s="40">
        <v>0.54</v>
      </c>
      <c r="M12" s="38">
        <v>24.7</v>
      </c>
      <c r="N12" s="38">
        <v>25</v>
      </c>
      <c r="O12" s="38">
        <v>25.3</v>
      </c>
      <c r="P12" s="38">
        <v>0.52</v>
      </c>
      <c r="Q12" s="83"/>
      <c r="R12" s="84"/>
      <c r="T12" s="27" t="str">
        <f t="shared" si="0"/>
        <v>01:00</v>
      </c>
      <c r="U12" s="29" t="e">
        <f>ROUND((#REF!-#REF!),2)</f>
        <v>#REF!</v>
      </c>
      <c r="V12" s="28"/>
      <c r="W12" s="35"/>
    </row>
    <row r="13" spans="1:34" s="5" customFormat="1" ht="32.1" customHeight="1" x14ac:dyDescent="0.5">
      <c r="A13" s="52" t="s">
        <v>48</v>
      </c>
      <c r="B13" s="41">
        <v>-20.2</v>
      </c>
      <c r="C13" s="41">
        <v>-22.7</v>
      </c>
      <c r="D13" s="41">
        <v>-17.2</v>
      </c>
      <c r="E13" s="41">
        <v>21.8</v>
      </c>
      <c r="F13" s="41">
        <v>21.6</v>
      </c>
      <c r="G13" s="41">
        <v>21.4</v>
      </c>
      <c r="H13" s="40">
        <v>0.6</v>
      </c>
      <c r="I13" s="40">
        <v>8.6</v>
      </c>
      <c r="J13" s="40">
        <v>5.3</v>
      </c>
      <c r="K13" s="40">
        <v>4.9000000000000004</v>
      </c>
      <c r="L13" s="40">
        <v>0.63</v>
      </c>
      <c r="M13" s="38">
        <v>24.4</v>
      </c>
      <c r="N13" s="38">
        <v>24.6</v>
      </c>
      <c r="O13" s="38">
        <v>24.9</v>
      </c>
      <c r="P13" s="38">
        <v>0.62</v>
      </c>
      <c r="Q13" s="81"/>
      <c r="R13" s="82"/>
      <c r="T13" s="27" t="str">
        <f t="shared" si="0"/>
        <v>02:00</v>
      </c>
      <c r="U13" s="29" t="e">
        <f>ROUND((#REF!-#REF!),2)</f>
        <v>#REF!</v>
      </c>
      <c r="V13" s="28"/>
      <c r="W13" s="35"/>
    </row>
    <row r="14" spans="1:34" s="5" customFormat="1" ht="32.1" customHeight="1" x14ac:dyDescent="0.5">
      <c r="A14" s="52" t="s">
        <v>49</v>
      </c>
      <c r="B14" s="41">
        <v>-18.899999999999999</v>
      </c>
      <c r="C14" s="41">
        <v>-21.8</v>
      </c>
      <c r="D14" s="41">
        <v>-15.9</v>
      </c>
      <c r="E14" s="41">
        <v>21.6</v>
      </c>
      <c r="F14" s="41">
        <v>21.6</v>
      </c>
      <c r="G14" s="41">
        <v>21.3</v>
      </c>
      <c r="H14" s="40">
        <v>0.67</v>
      </c>
      <c r="I14" s="40">
        <v>9.4</v>
      </c>
      <c r="J14" s="40">
        <v>6.5</v>
      </c>
      <c r="K14" s="40">
        <v>6.1</v>
      </c>
      <c r="L14" s="40">
        <v>0.71</v>
      </c>
      <c r="M14" s="38">
        <v>24</v>
      </c>
      <c r="N14" s="38">
        <v>24.5</v>
      </c>
      <c r="O14" s="38">
        <v>24.5</v>
      </c>
      <c r="P14" s="38">
        <v>0.71</v>
      </c>
      <c r="Q14" s="85"/>
      <c r="R14" s="86"/>
      <c r="T14" s="27" t="str">
        <f t="shared" si="0"/>
        <v>03:00</v>
      </c>
      <c r="U14" s="29" t="e">
        <f>ROUND((#REF!-#REF!),2)</f>
        <v>#REF!</v>
      </c>
      <c r="V14" s="28">
        <f t="shared" ref="V14:V26" si="1">IFERROR(ROUND((M14/O14),2),"")</f>
        <v>0.98</v>
      </c>
      <c r="W14" s="35"/>
    </row>
    <row r="15" spans="1:34" s="5" customFormat="1" ht="32.1" customHeight="1" x14ac:dyDescent="0.5">
      <c r="A15" s="52" t="s">
        <v>50</v>
      </c>
      <c r="B15" s="41">
        <v>-17.8</v>
      </c>
      <c r="C15" s="41">
        <v>-20.399999999999999</v>
      </c>
      <c r="D15" s="41">
        <v>-14.8</v>
      </c>
      <c r="E15" s="41">
        <v>21.4</v>
      </c>
      <c r="F15" s="41">
        <v>21.5</v>
      </c>
      <c r="G15" s="41">
        <v>21.2</v>
      </c>
      <c r="H15" s="40">
        <v>0.76</v>
      </c>
      <c r="I15" s="40">
        <v>10</v>
      </c>
      <c r="J15" s="40">
        <v>7.4</v>
      </c>
      <c r="K15" s="40">
        <v>6.9</v>
      </c>
      <c r="L15" s="40">
        <v>0.81</v>
      </c>
      <c r="M15" s="38">
        <v>23.8</v>
      </c>
      <c r="N15" s="38">
        <v>24</v>
      </c>
      <c r="O15" s="38">
        <v>24.3</v>
      </c>
      <c r="P15" s="38">
        <v>0.81</v>
      </c>
      <c r="Q15" s="81"/>
      <c r="R15" s="82"/>
      <c r="T15" s="27" t="str">
        <f t="shared" si="0"/>
        <v>04:00</v>
      </c>
      <c r="U15" s="29" t="e">
        <f>ROUND((#REF!-#REF!),2)</f>
        <v>#REF!</v>
      </c>
      <c r="V15" s="28">
        <f t="shared" si="1"/>
        <v>0.98</v>
      </c>
      <c r="W15" s="35"/>
    </row>
    <row r="16" spans="1:34" s="5" customFormat="1" ht="32.1" customHeight="1" x14ac:dyDescent="0.5">
      <c r="A16" s="52" t="s">
        <v>51</v>
      </c>
      <c r="B16" s="41">
        <v>-16.7</v>
      </c>
      <c r="C16" s="41">
        <v>-19.3</v>
      </c>
      <c r="D16" s="41">
        <v>-13.6</v>
      </c>
      <c r="E16" s="41">
        <v>21.3</v>
      </c>
      <c r="F16" s="41">
        <v>21.3</v>
      </c>
      <c r="G16" s="41">
        <v>21</v>
      </c>
      <c r="H16" s="40">
        <v>0.86</v>
      </c>
      <c r="I16" s="40">
        <v>10.6</v>
      </c>
      <c r="J16" s="40">
        <v>8.1999999999999993</v>
      </c>
      <c r="K16" s="40">
        <v>7.7</v>
      </c>
      <c r="L16" s="40">
        <v>0.9</v>
      </c>
      <c r="M16" s="38">
        <v>23.4</v>
      </c>
      <c r="N16" s="38">
        <v>23.6</v>
      </c>
      <c r="O16" s="38">
        <v>24</v>
      </c>
      <c r="P16" s="38">
        <v>0.9</v>
      </c>
      <c r="Q16" s="85"/>
      <c r="R16" s="86"/>
      <c r="T16" s="27" t="str">
        <f t="shared" si="0"/>
        <v>05:00</v>
      </c>
      <c r="U16" s="29" t="e">
        <f>ROUND((#REF!-#REF!),2)</f>
        <v>#REF!</v>
      </c>
      <c r="V16" s="28">
        <f t="shared" si="1"/>
        <v>0.98</v>
      </c>
      <c r="W16" s="35"/>
    </row>
    <row r="17" spans="1:23" s="5" customFormat="1" ht="32.1" customHeight="1" x14ac:dyDescent="0.5">
      <c r="A17" s="52" t="s">
        <v>52</v>
      </c>
      <c r="B17" s="41">
        <v>-15.7</v>
      </c>
      <c r="C17" s="41">
        <v>-18.2</v>
      </c>
      <c r="D17" s="41">
        <v>-12.7</v>
      </c>
      <c r="E17" s="41">
        <v>21.1</v>
      </c>
      <c r="F17" s="41">
        <v>21</v>
      </c>
      <c r="G17" s="41">
        <v>20.8</v>
      </c>
      <c r="H17" s="40">
        <v>0.95</v>
      </c>
      <c r="I17" s="40">
        <v>11</v>
      </c>
      <c r="J17" s="40">
        <v>8.9</v>
      </c>
      <c r="K17" s="40">
        <v>8.5</v>
      </c>
      <c r="L17" s="40">
        <v>0.99</v>
      </c>
      <c r="M17" s="38">
        <v>23</v>
      </c>
      <c r="N17" s="38">
        <v>23.5</v>
      </c>
      <c r="O17" s="38">
        <v>23.5</v>
      </c>
      <c r="P17" s="38">
        <v>0.99</v>
      </c>
      <c r="Q17" s="81"/>
      <c r="R17" s="82"/>
      <c r="T17" s="27" t="str">
        <f t="shared" si="0"/>
        <v>06:00</v>
      </c>
      <c r="U17" s="29" t="e">
        <f>ROUND((#REF!-#REF!),2)</f>
        <v>#REF!</v>
      </c>
      <c r="V17" s="28">
        <f t="shared" si="1"/>
        <v>0.98</v>
      </c>
      <c r="W17" s="35"/>
    </row>
    <row r="18" spans="1:23" s="5" customFormat="1" ht="32.1" customHeight="1" x14ac:dyDescent="0.5">
      <c r="A18" s="52" t="s">
        <v>53</v>
      </c>
      <c r="B18" s="41">
        <v>-14.7</v>
      </c>
      <c r="C18" s="41">
        <v>-17.2</v>
      </c>
      <c r="D18" s="41">
        <v>-11.6</v>
      </c>
      <c r="E18" s="41">
        <v>20.8</v>
      </c>
      <c r="F18" s="41">
        <v>21</v>
      </c>
      <c r="G18" s="41">
        <v>20.6</v>
      </c>
      <c r="H18" s="40">
        <v>1.04</v>
      </c>
      <c r="I18" s="40">
        <v>11.4</v>
      </c>
      <c r="J18" s="40">
        <v>9.5</v>
      </c>
      <c r="K18" s="40">
        <v>9.1</v>
      </c>
      <c r="L18" s="40">
        <v>1.08</v>
      </c>
      <c r="M18" s="38">
        <v>22.7</v>
      </c>
      <c r="N18" s="38">
        <v>23</v>
      </c>
      <c r="O18" s="38">
        <v>23.2</v>
      </c>
      <c r="P18" s="38">
        <v>1.07</v>
      </c>
      <c r="Q18" s="37"/>
      <c r="R18" s="36"/>
      <c r="T18" s="27" t="str">
        <f t="shared" si="0"/>
        <v>07:00</v>
      </c>
      <c r="U18" s="29" t="e">
        <f>ROUND((#REF!-#REF!),2)</f>
        <v>#REF!</v>
      </c>
      <c r="V18" s="28">
        <f t="shared" si="1"/>
        <v>0.98</v>
      </c>
      <c r="W18" s="28"/>
    </row>
    <row r="19" spans="1:23" s="5" customFormat="1" ht="32.1" customHeight="1" x14ac:dyDescent="0.5">
      <c r="A19" s="52" t="s">
        <v>54</v>
      </c>
      <c r="B19" s="41">
        <v>-13.7</v>
      </c>
      <c r="C19" s="41">
        <v>-16.2</v>
      </c>
      <c r="D19" s="41">
        <v>-10.7</v>
      </c>
      <c r="E19" s="41">
        <v>20.7</v>
      </c>
      <c r="F19" s="41">
        <v>20.7</v>
      </c>
      <c r="G19" s="41">
        <v>20.5</v>
      </c>
      <c r="H19" s="40">
        <v>1.1399999999999999</v>
      </c>
      <c r="I19" s="40">
        <v>11.8</v>
      </c>
      <c r="J19" s="40">
        <v>10.1</v>
      </c>
      <c r="K19" s="40">
        <v>9.6999999999999993</v>
      </c>
      <c r="L19" s="40">
        <v>1.18</v>
      </c>
      <c r="M19" s="38">
        <v>22.4</v>
      </c>
      <c r="N19" s="38">
        <v>22.7</v>
      </c>
      <c r="O19" s="38">
        <v>22.9</v>
      </c>
      <c r="P19" s="38">
        <v>1.17</v>
      </c>
      <c r="Q19" s="37"/>
      <c r="R19" s="36"/>
      <c r="T19" s="27" t="str">
        <f t="shared" si="0"/>
        <v>08:00</v>
      </c>
      <c r="U19" s="29" t="e">
        <f>ROUND((#REF!-#REF!),2)</f>
        <v>#REF!</v>
      </c>
      <c r="V19" s="28">
        <f t="shared" si="1"/>
        <v>0.98</v>
      </c>
      <c r="W19" s="28"/>
    </row>
    <row r="20" spans="1:23" s="5" customFormat="1" ht="32.1" customHeight="1" x14ac:dyDescent="0.5">
      <c r="A20" s="52" t="s">
        <v>55</v>
      </c>
      <c r="B20" s="41">
        <v>-43.5</v>
      </c>
      <c r="C20" s="41">
        <v>-45</v>
      </c>
      <c r="D20" s="41">
        <v>-44.4</v>
      </c>
      <c r="E20" s="41">
        <v>19.899999999999999</v>
      </c>
      <c r="F20" s="41">
        <v>20.2</v>
      </c>
      <c r="G20" s="41">
        <v>19.8</v>
      </c>
      <c r="H20" s="40">
        <v>-0.51</v>
      </c>
      <c r="I20" s="40">
        <v>11.7</v>
      </c>
      <c r="J20" s="40">
        <v>11.2</v>
      </c>
      <c r="K20" s="40">
        <v>10.9</v>
      </c>
      <c r="L20" s="40">
        <v>-0.49</v>
      </c>
      <c r="M20" s="38">
        <v>-44.1</v>
      </c>
      <c r="N20" s="38">
        <v>-44.1</v>
      </c>
      <c r="O20" s="38">
        <v>-44.3</v>
      </c>
      <c r="P20" s="38">
        <v>-0.48</v>
      </c>
      <c r="Q20" s="37"/>
      <c r="R20" s="36"/>
      <c r="T20" s="27" t="str">
        <f t="shared" si="0"/>
        <v>10:00</v>
      </c>
      <c r="U20" s="29" t="e">
        <f>ROUND((#REF!-#REF!),2)</f>
        <v>#REF!</v>
      </c>
      <c r="V20" s="28">
        <f t="shared" si="1"/>
        <v>1</v>
      </c>
      <c r="W20" s="28"/>
    </row>
    <row r="21" spans="1:23" s="5" customFormat="1" ht="32.1" customHeight="1" x14ac:dyDescent="0.5">
      <c r="A21" s="52" t="s">
        <v>56</v>
      </c>
      <c r="B21" s="41">
        <v>-45.1</v>
      </c>
      <c r="C21" s="41">
        <v>-45.3</v>
      </c>
      <c r="D21" s="41">
        <v>-44.9</v>
      </c>
      <c r="E21" s="41">
        <v>20.2</v>
      </c>
      <c r="F21" s="41">
        <v>20.399999999999999</v>
      </c>
      <c r="G21" s="41">
        <v>20</v>
      </c>
      <c r="H21" s="40">
        <v>-0.51</v>
      </c>
      <c r="I21" s="40">
        <v>12.9</v>
      </c>
      <c r="J21" s="40">
        <v>12.4</v>
      </c>
      <c r="K21" s="40">
        <v>11.9</v>
      </c>
      <c r="L21" s="40">
        <v>-0.49</v>
      </c>
      <c r="M21" s="38">
        <v>-43.3</v>
      </c>
      <c r="N21" s="38">
        <v>-42.7</v>
      </c>
      <c r="O21" s="38">
        <v>-35.6</v>
      </c>
      <c r="P21" s="38">
        <v>-0.49</v>
      </c>
      <c r="Q21" s="37"/>
      <c r="R21" s="36"/>
      <c r="T21" s="27" t="str">
        <f t="shared" si="0"/>
        <v>11:00</v>
      </c>
      <c r="U21" s="29" t="e">
        <f>ROUND((#REF!-#REF!),2)</f>
        <v>#REF!</v>
      </c>
      <c r="V21" s="28">
        <f t="shared" si="1"/>
        <v>1.22</v>
      </c>
      <c r="W21" s="28"/>
    </row>
    <row r="22" spans="1:23" s="5" customFormat="1" ht="32.1" customHeight="1" x14ac:dyDescent="0.5">
      <c r="A22" s="52" t="s">
        <v>57</v>
      </c>
      <c r="B22" s="41">
        <v>-43.2</v>
      </c>
      <c r="C22" s="41">
        <v>-44.1</v>
      </c>
      <c r="D22" s="41">
        <v>-43.4</v>
      </c>
      <c r="E22" s="41">
        <v>20.399999999999999</v>
      </c>
      <c r="F22" s="41">
        <v>20.7</v>
      </c>
      <c r="G22" s="41">
        <v>20.3</v>
      </c>
      <c r="H22" s="40">
        <v>-0.42</v>
      </c>
      <c r="I22" s="40">
        <v>13.1</v>
      </c>
      <c r="J22" s="40">
        <v>12.8</v>
      </c>
      <c r="K22" s="40">
        <v>12.5</v>
      </c>
      <c r="L22" s="40">
        <v>-0.39</v>
      </c>
      <c r="M22" s="38">
        <v>-41.6</v>
      </c>
      <c r="N22" s="38">
        <v>-38</v>
      </c>
      <c r="O22" s="38">
        <v>-41.5</v>
      </c>
      <c r="P22" s="38">
        <v>-0.39</v>
      </c>
      <c r="Q22" s="37"/>
      <c r="R22" s="36"/>
      <c r="T22" s="27" t="str">
        <f t="shared" si="0"/>
        <v>12:00</v>
      </c>
      <c r="U22" s="29" t="e">
        <f>ROUND((#REF!-#REF!),2)</f>
        <v>#REF!</v>
      </c>
      <c r="V22" s="28">
        <f t="shared" si="1"/>
        <v>1</v>
      </c>
      <c r="W22" s="28"/>
    </row>
    <row r="23" spans="1:23" s="5" customFormat="1" ht="32.1" customHeight="1" x14ac:dyDescent="0.5">
      <c r="A23" s="52" t="s">
        <v>58</v>
      </c>
      <c r="B23" s="41">
        <v>-44.7</v>
      </c>
      <c r="C23" s="41">
        <v>-45.2</v>
      </c>
      <c r="D23" s="41">
        <v>-44.9</v>
      </c>
      <c r="E23" s="41">
        <v>20.5</v>
      </c>
      <c r="F23" s="41">
        <v>20.9</v>
      </c>
      <c r="G23" s="41">
        <v>20.399999999999999</v>
      </c>
      <c r="H23" s="40">
        <v>-0.53</v>
      </c>
      <c r="I23" s="40">
        <v>13.9</v>
      </c>
      <c r="J23" s="40">
        <v>13.8</v>
      </c>
      <c r="K23" s="40">
        <v>13.4</v>
      </c>
      <c r="L23" s="40">
        <v>-0.49</v>
      </c>
      <c r="M23" s="38">
        <v>-44.4</v>
      </c>
      <c r="N23" s="38">
        <v>-44.2</v>
      </c>
      <c r="O23" s="38">
        <v>-44.7</v>
      </c>
      <c r="P23" s="38">
        <v>-0.49</v>
      </c>
      <c r="Q23" s="37"/>
      <c r="R23" s="36"/>
      <c r="T23" s="27" t="str">
        <f t="shared" si="0"/>
        <v>13:00</v>
      </c>
      <c r="U23" s="29" t="e">
        <f>ROUND((#REF!-#REF!),2)</f>
        <v>#REF!</v>
      </c>
      <c r="V23" s="28">
        <f t="shared" si="1"/>
        <v>0.99</v>
      </c>
      <c r="W23" s="28"/>
    </row>
    <row r="24" spans="1:23" s="5" customFormat="1" ht="32.1" customHeight="1" x14ac:dyDescent="0.5">
      <c r="A24" s="52" t="s">
        <v>59</v>
      </c>
      <c r="B24" s="41">
        <v>-38.9</v>
      </c>
      <c r="C24" s="41">
        <v>-39.799999999999997</v>
      </c>
      <c r="D24" s="41">
        <v>-39</v>
      </c>
      <c r="E24" s="41">
        <v>21.1</v>
      </c>
      <c r="F24" s="41">
        <v>21.4</v>
      </c>
      <c r="G24" s="41">
        <v>20.9</v>
      </c>
      <c r="H24" s="40">
        <v>-0.25</v>
      </c>
      <c r="I24" s="40">
        <v>14.5</v>
      </c>
      <c r="J24" s="40">
        <v>14.4</v>
      </c>
      <c r="K24" s="40">
        <v>13.9</v>
      </c>
      <c r="L24" s="40">
        <v>-0.24</v>
      </c>
      <c r="M24" s="38">
        <v>-38.4</v>
      </c>
      <c r="N24" s="38">
        <v>-37.5</v>
      </c>
      <c r="O24" s="38">
        <v>-35.9</v>
      </c>
      <c r="P24" s="38">
        <v>-0.23</v>
      </c>
      <c r="Q24" s="37"/>
      <c r="R24" s="36"/>
      <c r="T24" s="27" t="str">
        <f t="shared" si="0"/>
        <v>14:00</v>
      </c>
      <c r="U24" s="29" t="e">
        <f>ROUND((#REF!-#REF!),2)</f>
        <v>#REF!</v>
      </c>
      <c r="V24" s="28">
        <f t="shared" si="1"/>
        <v>1.07</v>
      </c>
      <c r="W24" s="28"/>
    </row>
    <row r="25" spans="1:23" s="5" customFormat="1" ht="32.1" customHeight="1" x14ac:dyDescent="0.5">
      <c r="A25" s="52" t="s">
        <v>60</v>
      </c>
      <c r="B25" s="41">
        <v>-41.6</v>
      </c>
      <c r="C25" s="41">
        <v>-41.9</v>
      </c>
      <c r="D25" s="41">
        <v>-42.7</v>
      </c>
      <c r="E25" s="41">
        <v>21.6</v>
      </c>
      <c r="F25" s="41">
        <v>21.7</v>
      </c>
      <c r="G25" s="41">
        <v>21.2</v>
      </c>
      <c r="H25" s="40">
        <v>-0.47</v>
      </c>
      <c r="I25" s="40">
        <v>15.9</v>
      </c>
      <c r="J25" s="40">
        <v>15.9</v>
      </c>
      <c r="K25" s="40">
        <v>15.4</v>
      </c>
      <c r="L25" s="40">
        <v>-0.44</v>
      </c>
      <c r="M25" s="38">
        <v>-43.1</v>
      </c>
      <c r="N25" s="38">
        <v>-40.700000000000003</v>
      </c>
      <c r="O25" s="38">
        <v>-41.5</v>
      </c>
      <c r="P25" s="38">
        <v>-0.44</v>
      </c>
      <c r="Q25" s="37"/>
      <c r="R25" s="36"/>
      <c r="T25" s="27" t="str">
        <f t="shared" si="0"/>
        <v>16:00</v>
      </c>
      <c r="U25" s="29" t="e">
        <f>ROUND((#REF!-#REF!),2)</f>
        <v>#REF!</v>
      </c>
      <c r="V25" s="28">
        <f t="shared" si="1"/>
        <v>1.04</v>
      </c>
      <c r="W25" s="28"/>
    </row>
    <row r="26" spans="1:23" s="5" customFormat="1" ht="32.1" customHeight="1" thickBot="1" x14ac:dyDescent="0.55000000000000004">
      <c r="A26" s="87" t="s">
        <v>61</v>
      </c>
      <c r="B26" s="88">
        <v>-50</v>
      </c>
      <c r="C26" s="88">
        <v>-50</v>
      </c>
      <c r="D26" s="88">
        <v>-50</v>
      </c>
      <c r="E26" s="88">
        <v>21.9</v>
      </c>
      <c r="F26" s="88">
        <v>22.2</v>
      </c>
      <c r="G26" s="88">
        <v>21.6</v>
      </c>
      <c r="H26" s="89">
        <v>-0.65</v>
      </c>
      <c r="I26" s="89">
        <v>16.8</v>
      </c>
      <c r="J26" s="89">
        <v>16.899999999999999</v>
      </c>
      <c r="K26" s="89">
        <v>16.399999999999999</v>
      </c>
      <c r="L26" s="89">
        <v>-0.63</v>
      </c>
      <c r="M26" s="90">
        <v>-29.2</v>
      </c>
      <c r="N26" s="90">
        <v>-30.6</v>
      </c>
      <c r="O26" s="90">
        <v>-36.700000000000003</v>
      </c>
      <c r="P26" s="90">
        <v>-0.63</v>
      </c>
      <c r="Q26" s="91"/>
      <c r="R26" s="92"/>
      <c r="S26" s="93"/>
      <c r="T26" s="94" t="str">
        <f t="shared" si="0"/>
        <v>17:00</v>
      </c>
      <c r="U26" s="29" t="e">
        <f>ROUND((#REF!-#REF!),2)</f>
        <v>#REF!</v>
      </c>
      <c r="V26" s="28">
        <f t="shared" si="1"/>
        <v>0.8</v>
      </c>
      <c r="W26" s="28"/>
    </row>
    <row r="27" spans="1:23" ht="22.5" thickTop="1" x14ac:dyDescent="0.5"/>
  </sheetData>
  <dataConsolidate/>
  <mergeCells count="15">
    <mergeCell ref="Q11:R11"/>
    <mergeCell ref="Q17:R17"/>
    <mergeCell ref="Q13:R13"/>
    <mergeCell ref="Q12:R12"/>
    <mergeCell ref="Q16:R16"/>
    <mergeCell ref="Q14:R14"/>
    <mergeCell ref="Q15:R15"/>
    <mergeCell ref="I8:L8"/>
    <mergeCell ref="M8:P8"/>
    <mergeCell ref="A2:R2"/>
    <mergeCell ref="A4:R4"/>
    <mergeCell ref="Q8:R10"/>
    <mergeCell ref="A5:R5"/>
    <mergeCell ref="B8:D8"/>
    <mergeCell ref="E8:H8"/>
  </mergeCells>
  <phoneticPr fontId="0" type="noConversion"/>
  <printOptions horizontalCentered="1"/>
  <pageMargins left="0.23622047244094499" right="0.23622047244094499" top="0.23622047244094499" bottom="1" header="0" footer="0"/>
  <pageSetup paperSize="9" scale="54" orientation="landscape" r:id="rId1"/>
  <headerFooter alignWithMargins="0">
    <oddFooter>&amp;C&amp;"Times New Roman,Bold"&amp;16PAGE &amp;P&amp;R&amp;"Times New Roman,Regular"&amp;11ACKNOWLEDGE BY : ................................................. | CHECK BY : .................................................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C9E8-8B8D-414A-A8A4-D4B78C1098BE}">
  <sheetPr codeName="Sheet5"/>
  <dimension ref="A1"/>
  <sheetViews>
    <sheetView view="pageBreakPreview" zoomScale="115" zoomScaleNormal="100" zoomScaleSheetLayoutView="115" workbookViewId="0">
      <selection activeCell="M2" sqref="M2"/>
    </sheetView>
  </sheetViews>
  <sheetFormatPr defaultRowHeight="21.75" x14ac:dyDescent="0.5"/>
  <sheetData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0940F-D1B8-42A4-8605-E192C23D561B}">
  <sheetPr codeName="Sheet6"/>
  <dimension ref="A1"/>
  <sheetViews>
    <sheetView view="pageBreakPreview" zoomScale="115" zoomScaleNormal="100" zoomScaleSheetLayoutView="115" workbookViewId="0">
      <selection activeCell="M2" sqref="M2"/>
    </sheetView>
  </sheetViews>
  <sheetFormatPr defaultRowHeight="21.75" x14ac:dyDescent="0.5"/>
  <sheetData/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30060-EAB6-4817-8A56-DA2D4F1C99DC}">
  <sheetPr codeName="Sheet7"/>
  <dimension ref="A1"/>
  <sheetViews>
    <sheetView view="pageBreakPreview" zoomScaleNormal="100" zoomScaleSheetLayoutView="100" workbookViewId="0">
      <selection activeCell="M2" sqref="M2"/>
    </sheetView>
  </sheetViews>
  <sheetFormatPr defaultRowHeight="21.75" x14ac:dyDescent="0.5"/>
  <sheetData/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880B9-CC13-4607-8516-EC40C1AD8C9D}">
  <sheetPr codeName="Sheet4"/>
  <dimension ref="A1"/>
  <sheetViews>
    <sheetView view="pageBreakPreview" zoomScaleNormal="55" zoomScaleSheetLayoutView="100" workbookViewId="0">
      <selection activeCell="M2" sqref="M2"/>
    </sheetView>
  </sheetViews>
  <sheetFormatPr defaultRowHeight="21.75" x14ac:dyDescent="0.5"/>
  <sheetData/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0B73D-C5BB-420B-A61C-2321FB652BA5}">
  <sheetPr codeName="Sheet8"/>
  <dimension ref="A1"/>
  <sheetViews>
    <sheetView view="pageBreakPreview" zoomScaleNormal="70" zoomScaleSheetLayoutView="100" workbookViewId="0">
      <selection activeCell="M2" sqref="M2"/>
    </sheetView>
  </sheetViews>
  <sheetFormatPr defaultRowHeight="21.75" x14ac:dyDescent="0.5"/>
  <sheetData/>
  <pageMargins left="0.7" right="0.7" top="0.75" bottom="0.75" header="0.3" footer="0.3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243AD-8333-4537-B65C-F1C441A171BD}">
  <sheetPr codeName="Sheet3"/>
  <dimension ref="B3:I25"/>
  <sheetViews>
    <sheetView workbookViewId="0">
      <selection activeCell="M2" sqref="M2"/>
    </sheetView>
  </sheetViews>
  <sheetFormatPr defaultRowHeight="21.75" x14ac:dyDescent="0.5"/>
  <cols>
    <col min="2" max="2" width="19.5703125" customWidth="1"/>
    <col min="3" max="3" width="10.42578125" bestFit="1" customWidth="1"/>
    <col min="5" max="5" width="20.7109375" bestFit="1" customWidth="1"/>
    <col min="6" max="6" width="15.5703125" customWidth="1"/>
    <col min="7" max="7" width="9.85546875" customWidth="1"/>
    <col min="8" max="8" width="11.42578125" bestFit="1" customWidth="1"/>
    <col min="10" max="10" width="14" bestFit="1" customWidth="1"/>
  </cols>
  <sheetData>
    <row r="3" spans="2:9" x14ac:dyDescent="0.5">
      <c r="B3" s="19" t="s">
        <v>6</v>
      </c>
      <c r="C3" s="23"/>
      <c r="D3" t="s">
        <v>10</v>
      </c>
    </row>
    <row r="4" spans="2:9" x14ac:dyDescent="0.5">
      <c r="B4" s="19" t="s">
        <v>8</v>
      </c>
      <c r="C4" s="42">
        <f>D4</f>
        <v>0</v>
      </c>
    </row>
    <row r="5" spans="2:9" x14ac:dyDescent="0.5">
      <c r="B5" s="19" t="s">
        <v>7</v>
      </c>
      <c r="C5" s="42">
        <f>D5</f>
        <v>0</v>
      </c>
    </row>
    <row r="6" spans="2:9" x14ac:dyDescent="0.5">
      <c r="B6" s="19" t="s">
        <v>15</v>
      </c>
      <c r="C6" s="23"/>
    </row>
    <row r="7" spans="2:9" x14ac:dyDescent="0.5">
      <c r="B7" s="19" t="s">
        <v>9</v>
      </c>
      <c r="C7" s="23"/>
      <c r="E7" s="43" t="e">
        <f>MAX(Data!U12:U26)</f>
        <v>#REF!</v>
      </c>
      <c r="F7" s="61">
        <f>MAX(Data!$V11:$V26)</f>
        <v>1.22</v>
      </c>
    </row>
    <row r="8" spans="2:9" x14ac:dyDescent="0.5">
      <c r="B8" s="19" t="s">
        <v>8</v>
      </c>
      <c r="C8" s="42" t="e">
        <f>Data!#REF!</f>
        <v>#REF!</v>
      </c>
      <c r="E8" s="44" t="e">
        <f>MIN(Data!U12:U26)</f>
        <v>#REF!</v>
      </c>
      <c r="F8" s="62">
        <f>MIN(Data!$V11:$V26)</f>
        <v>0.8</v>
      </c>
    </row>
    <row r="9" spans="2:9" x14ac:dyDescent="0.5">
      <c r="B9" s="19" t="s">
        <v>7</v>
      </c>
      <c r="C9" s="42" t="e">
        <f>MAX(Data!#REF!)</f>
        <v>#REF!</v>
      </c>
      <c r="E9" s="45" t="e">
        <f>AVERAGE(Data!U12:U26)</f>
        <v>#REF!</v>
      </c>
      <c r="F9" s="60">
        <f>AVERAGE($F7:$F8)</f>
        <v>1.01</v>
      </c>
    </row>
    <row r="11" spans="2:9" x14ac:dyDescent="0.5">
      <c r="B11" s="19" t="s">
        <v>11</v>
      </c>
      <c r="C11" s="42">
        <f>C5-C4</f>
        <v>0</v>
      </c>
    </row>
    <row r="12" spans="2:9" x14ac:dyDescent="0.5">
      <c r="B12" s="19" t="s">
        <v>12</v>
      </c>
      <c r="C12" s="42" t="e">
        <f>C9-C8</f>
        <v>#REF!</v>
      </c>
    </row>
    <row r="13" spans="2:9" x14ac:dyDescent="0.5">
      <c r="B13" s="19" t="s">
        <v>13</v>
      </c>
      <c r="C13" s="24">
        <f>IFERROR(((C12-C11)/C11)*100,0)</f>
        <v>0</v>
      </c>
    </row>
    <row r="14" spans="2:9" x14ac:dyDescent="0.5">
      <c r="B14" s="19" t="s">
        <v>14</v>
      </c>
      <c r="C14" s="19" t="str">
        <f>IF(C13&lt;0,"▼"&amp;ROUND(ABS(C13),2)&amp;" %","▲"&amp;ROUND(ABS(C13),2)&amp;" %")</f>
        <v>▲0 %</v>
      </c>
    </row>
    <row r="15" spans="2:9" x14ac:dyDescent="0.5">
      <c r="F15" s="19" t="s">
        <v>24</v>
      </c>
      <c r="G15" t="s">
        <v>25</v>
      </c>
    </row>
    <row r="16" spans="2:9" x14ac:dyDescent="0.5">
      <c r="B16" s="19" t="s">
        <v>17</v>
      </c>
      <c r="C16" s="30" t="s">
        <v>21</v>
      </c>
      <c r="D16" t="s">
        <v>22</v>
      </c>
      <c r="E16" t="s">
        <v>23</v>
      </c>
      <c r="F16" s="47">
        <f>C7</f>
        <v>0</v>
      </c>
      <c r="G16" s="48" t="s">
        <v>27</v>
      </c>
      <c r="H16" s="48">
        <f>IF(OR(TEXT(C7,"ddd")="Sat",TEXT(C7,"ddd")="Sun"),E17+E18+E21,E17+E18)</f>
        <v>0</v>
      </c>
      <c r="I16" s="31"/>
    </row>
    <row r="17" spans="2:9" x14ac:dyDescent="0.5">
      <c r="B17" s="19" t="s">
        <v>16</v>
      </c>
      <c r="E17">
        <f>D17-C17</f>
        <v>0</v>
      </c>
      <c r="F17" s="48">
        <f>IF(OR(TEXT(C7,"ddd")="Sat",TEXT(C7,"ddd")="Sun"),E17+E18+E21,E17+E18)</f>
        <v>0</v>
      </c>
    </row>
    <row r="18" spans="2:9" x14ac:dyDescent="0.5">
      <c r="B18" s="19" t="s">
        <v>18</v>
      </c>
      <c r="E18">
        <f>D18-C18</f>
        <v>0</v>
      </c>
      <c r="G18" s="31"/>
      <c r="H18" s="31"/>
      <c r="I18" s="31"/>
    </row>
    <row r="19" spans="2:9" x14ac:dyDescent="0.5">
      <c r="B19" s="19"/>
      <c r="G19" s="31"/>
      <c r="H19" s="31"/>
      <c r="I19" s="31"/>
    </row>
    <row r="20" spans="2:9" x14ac:dyDescent="0.5">
      <c r="B20" s="19" t="s">
        <v>19</v>
      </c>
      <c r="G20" t="s">
        <v>26</v>
      </c>
      <c r="H20">
        <f>IF(OR(TEXT(C7,"ddd")="Sat",TEXT(C7,"ddd")="Sun"),0,E21)</f>
        <v>0</v>
      </c>
    </row>
    <row r="21" spans="2:9" x14ac:dyDescent="0.5">
      <c r="B21" s="19" t="s">
        <v>20</v>
      </c>
      <c r="E21">
        <f>D21-C21</f>
        <v>0</v>
      </c>
      <c r="F21">
        <f>IF(OR(TEXT(C7,"ddd")="Sat",TEXT(C7,"ddd")="Sun"),0,E21)</f>
        <v>0</v>
      </c>
    </row>
    <row r="22" spans="2:9" x14ac:dyDescent="0.5">
      <c r="C22" s="30"/>
    </row>
    <row r="23" spans="2:9" x14ac:dyDescent="0.5">
      <c r="B23" s="19"/>
    </row>
    <row r="24" spans="2:9" x14ac:dyDescent="0.5">
      <c r="B24" s="19"/>
      <c r="C24" s="31"/>
    </row>
    <row r="25" spans="2:9" x14ac:dyDescent="0.5">
      <c r="B25" s="19"/>
      <c r="C25" s="31"/>
    </row>
  </sheetData>
  <pageMargins left="0.7" right="0.7" top="0.75" bottom="0.75" header="0.3" footer="0.3"/>
  <pageSetup paperSize="9" orientation="portrait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Data</vt:lpstr>
      <vt:lpstr>Volt p-p</vt:lpstr>
      <vt:lpstr>Volt p-n</vt:lpstr>
      <vt:lpstr>Current</vt:lpstr>
      <vt:lpstr>PF</vt:lpstr>
      <vt:lpstr>kWh</vt:lpstr>
      <vt:lpstr>DataAnalysis</vt:lpstr>
      <vt:lpstr>Current!Print_Area</vt:lpstr>
      <vt:lpstr>Data!Print_Area</vt:lpstr>
      <vt:lpstr>kWh!Print_Area</vt:lpstr>
      <vt:lpstr>PF!Print_Area</vt:lpstr>
      <vt:lpstr>'Volt p-n'!Print_Area</vt:lpstr>
      <vt:lpstr>'Volt p-p'!Print_Area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USER2000</dc:creator>
  <cp:lastModifiedBy>SCADA-PC</cp:lastModifiedBy>
  <cp:lastPrinted>2025-11-28T10:30:55Z</cp:lastPrinted>
  <dcterms:created xsi:type="dcterms:W3CDTF">2000-08-29T10:04:06Z</dcterms:created>
  <dcterms:modified xsi:type="dcterms:W3CDTF">2025-11-28T10:30:55Z</dcterms:modified>
</cp:coreProperties>
</file>