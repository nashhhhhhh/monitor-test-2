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en PO in D365 Rev.01" sheetId="1" state="visible" r:id="rId1"/>
  </sheets>
  <definedNames/>
</workbook>
</file>

<file path=xl/styles.xml><?xml version="1.0" encoding="utf-8"?>
<styleSheet xmlns="http://schemas.openxmlformats.org/spreadsheetml/2006/main">
  <numFmts count="4">
    <numFmt numFmtId="164" formatCode="[$-409]dd\-mmm\-yy;@"/>
    <numFmt numFmtId="165" formatCode="_-* #,##0.00_-;\-* #,##0.00_-;_-* &quot;-&quot;??_-;_-@_-"/>
    <numFmt numFmtId="166" formatCode="0;[Red]0"/>
    <numFmt numFmtId="167" formatCode="[$-409]d\-mmm\-yy;@"/>
  </numFmts>
  <fonts count="26">
    <font>
      <name val="Aptos Narrow"/>
      <color theme="1"/>
      <sz val="11"/>
    </font>
    <font>
      <name val="Aptos Narrow"/>
      <color theme="1"/>
      <sz val="11"/>
    </font>
    <font>
      <name val="Aptos Narrow"/>
      <color rgb="00006100"/>
      <sz val="11"/>
    </font>
    <font>
      <name val="Aptos Narrow"/>
      <color theme="1"/>
      <sz val="11"/>
    </font>
    <font>
      <name val="Aptos Narrow"/>
      <color theme="1"/>
      <sz val="10"/>
    </font>
    <font>
      <name val="Aptos Narrow"/>
      <color rgb="000070C0"/>
      <sz val="10"/>
    </font>
    <font>
      <name val="Aptos Narrow"/>
      <color theme="1"/>
      <sz val="10"/>
    </font>
    <font>
      <name val="Aptos Narrow"/>
      <color theme="1"/>
      <sz val="8"/>
    </font>
    <font>
      <name val="Aptos Narrow"/>
      <color theme="1"/>
      <sz val="12"/>
    </font>
    <font>
      <name val="Aptos Narrow"/>
      <b val="1"/>
      <color theme="1"/>
      <sz val="10"/>
    </font>
    <font>
      <name val="Aptos Narrow"/>
      <color rgb="00FF0000"/>
      <sz val="10"/>
    </font>
    <font>
      <name val="Aptos Narrow"/>
      <b val="1"/>
      <color theme="1"/>
      <sz val="12"/>
    </font>
    <font>
      <name val="Aptos Narrow"/>
      <color rgb="0000FF00"/>
      <sz val="10"/>
    </font>
    <font>
      <name val="Calibri"/>
      <color rgb="00000000"/>
      <sz val="11"/>
    </font>
    <font>
      <name val="Aptos Narrow"/>
      <color rgb="00201F1E"/>
      <sz val="10"/>
    </font>
    <font>
      <name val="Aptos Narrow"/>
      <color rgb="00000000"/>
      <sz val="11"/>
    </font>
    <font>
      <name val="Aptos Narrow"/>
      <color theme="1"/>
      <sz val="14"/>
    </font>
    <font>
      <name val="Aptos Narrow"/>
      <b val="1"/>
      <color rgb="00FF0000"/>
      <sz val="10"/>
    </font>
    <font>
      <name val="Aptos Narrow"/>
      <color rgb="00000000"/>
      <sz val="14"/>
    </font>
    <font>
      <name val="Segoe UI"/>
      <color rgb="00201F1E"/>
      <sz val="10"/>
    </font>
    <font>
      <name val="Segoe UI"/>
      <color rgb="00201F1E"/>
      <sz val="9"/>
    </font>
    <font>
      <name val="Arial Narrow"/>
      <color rgb="00000000"/>
      <sz val="12"/>
    </font>
    <font>
      <name val="Segoe UI"/>
      <color rgb="00201F1E"/>
      <sz val="11"/>
    </font>
    <font>
      <name val="Aptos Narrow"/>
      <color theme="0"/>
      <sz val="10"/>
    </font>
    <font>
      <name val="Tahoma"/>
      <b val="1"/>
      <color indexed="81"/>
      <sz val="9"/>
    </font>
    <font>
      <name val="Tahoma"/>
      <b val="1"/>
      <color indexed="81"/>
      <sz val="18"/>
    </font>
  </fonts>
  <fills count="19">
    <fill>
      <patternFill/>
    </fill>
    <fill>
      <patternFill patternType="gray125"/>
    </fill>
    <fill>
      <patternFill patternType="solid">
        <fgColor rgb="00C6EFCE"/>
      </patternFill>
    </fill>
    <fill>
      <patternFill patternType="solid">
        <fgColor theme="3" tint="0.89999"/>
      </patternFill>
    </fill>
    <fill>
      <patternFill patternType="solid">
        <fgColor rgb="00FFFF00"/>
      </patternFill>
    </fill>
    <fill>
      <patternFill patternType="solid">
        <fgColor rgb="0000FF00"/>
      </patternFill>
    </fill>
    <fill>
      <patternFill patternType="solid">
        <fgColor theme="7" tint="0.59999"/>
      </patternFill>
    </fill>
    <fill>
      <patternFill patternType="solid">
        <fgColor theme="8" tint="0.59999"/>
      </patternFill>
    </fill>
    <fill>
      <patternFill patternType="solid">
        <fgColor rgb="0092D050"/>
      </patternFill>
    </fill>
    <fill>
      <patternFill patternType="solid">
        <fgColor theme="4" tint="0.59999"/>
      </patternFill>
    </fill>
    <fill>
      <patternFill patternType="solid">
        <fgColor rgb="00FF99FF"/>
      </patternFill>
    </fill>
    <fill>
      <patternFill patternType="solid">
        <fgColor theme="6" tint="0.79998"/>
      </patternFill>
    </fill>
    <fill>
      <patternFill patternType="solid">
        <fgColor theme="4" tint="0.79998"/>
      </patternFill>
    </fill>
    <fill>
      <patternFill patternType="solid">
        <fgColor theme="7" tint="0.39998"/>
      </patternFill>
    </fill>
    <fill>
      <patternFill patternType="solid">
        <fgColor theme="6" tint="0.59999"/>
      </patternFill>
    </fill>
    <fill>
      <patternFill patternType="solid">
        <fgColor theme="5" tint="0.79998"/>
      </patternFill>
    </fill>
    <fill>
      <patternFill patternType="solid">
        <fgColor theme="5" tint="0.39998"/>
      </patternFill>
    </fill>
    <fill>
      <patternFill patternType="solid">
        <fgColor theme="5" tint="0.59999"/>
      </patternFill>
    </fill>
    <fill>
      <patternFill patternType="solid">
        <fgColor theme="8" tint="0.79998"/>
      </patternFill>
    </fill>
  </fills>
  <borders count="12">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n">
        <color theme="4"/>
      </bottom>
    </border>
    <border>
      <right style="thin">
        <color indexed="64"/>
      </right>
      <top style="thin">
        <color indexed="64"/>
      </top>
      <bottom style="thin">
        <color indexed="64"/>
      </bottom>
    </border>
    <border>
      <left style="thin">
        <color indexed="64"/>
      </left>
      <top style="thin">
        <color indexed="64"/>
      </top>
      <bottom style="thin">
        <color indexed="64"/>
      </bottom>
    </border>
    <border>
      <left style="thin">
        <color indexed="64"/>
      </left>
      <right style="thin">
        <color indexed="64"/>
      </right>
      <top style="thin">
        <color indexed="64"/>
      </top>
    </border>
    <border>
      <left style="thin">
        <color indexed="64"/>
      </left>
      <top style="thin">
        <color indexed="64"/>
      </top>
    </border>
    <border>
      <left style="thin">
        <color theme="4"/>
      </left>
      <right style="thin">
        <color indexed="64"/>
      </right>
      <top style="thin">
        <color indexed="64"/>
      </top>
      <bottom style="thin">
        <color indexed="64"/>
      </bottom>
    </border>
    <border>
      <right style="thin">
        <color indexed="64"/>
      </right>
      <top style="thin">
        <color indexed="64"/>
      </top>
    </border>
    <border>
      <right style="thin">
        <color indexed="64"/>
      </right>
      <bottom style="thin">
        <color indexed="64"/>
      </bottom>
    </border>
    <border>
      <left style="thin">
        <color indexed="64"/>
      </left>
      <right style="thin">
        <color indexed="64"/>
      </right>
      <bottom style="thin">
        <color indexed="64"/>
      </bottom>
    </border>
    <border>
      <left style="thin">
        <color indexed="64"/>
      </left>
      <right style="thin">
        <color indexed="64"/>
      </right>
    </border>
  </borders>
  <cellStyleXfs count="4">
    <xf numFmtId="0" fontId="3" fillId="0" borderId="0"/>
    <xf numFmtId="0" fontId="2" fillId="2" borderId="0"/>
    <xf numFmtId="0" fontId="3" fillId="0" borderId="0"/>
    <xf numFmtId="43" fontId="3" fillId="0" borderId="0"/>
  </cellStyleXfs>
  <cellXfs count="375">
    <xf numFmtId="0" fontId="0" fillId="0" borderId="0" pivotButton="0" quotePrefix="0" xfId="0"/>
    <xf numFmtId="0" fontId="4" fillId="0" borderId="1" pivotButton="0" quotePrefix="0" xfId="2"/>
    <xf numFmtId="0" fontId="3" fillId="0" borderId="1" pivotButton="0" quotePrefix="0" xfId="2"/>
    <xf numFmtId="164" fontId="4" fillId="0" borderId="1" applyAlignment="1" pivotButton="0" quotePrefix="0" xfId="2">
      <alignment horizontal="center" vertical="center"/>
    </xf>
    <xf numFmtId="2" fontId="4" fillId="0" borderId="1" applyAlignment="1" pivotButton="0" quotePrefix="0" xfId="2">
      <alignment horizontal="center" vertical="center"/>
    </xf>
    <xf numFmtId="0" fontId="4" fillId="0" borderId="1" applyAlignment="1" pivotButton="0" quotePrefix="0" xfId="2">
      <alignment horizontal="center" vertical="center"/>
    </xf>
    <xf numFmtId="0" fontId="4" fillId="0" borderId="1" applyAlignment="1" pivotButton="0" quotePrefix="0" xfId="2">
      <alignment horizontal="center" vertical="center" wrapText="1"/>
    </xf>
    <xf numFmtId="0" fontId="4" fillId="0" borderId="1" applyAlignment="1" pivotButton="0" quotePrefix="0" xfId="2">
      <alignment horizontal="left" vertical="center"/>
    </xf>
    <xf numFmtId="165" fontId="4" fillId="0" borderId="1" applyAlignment="1" pivotButton="0" quotePrefix="0" xfId="3">
      <alignment vertical="center"/>
    </xf>
    <xf numFmtId="166" fontId="4" fillId="0" borderId="1" applyAlignment="1" pivotButton="0" quotePrefix="0" xfId="3">
      <alignment horizontal="center" vertical="center"/>
    </xf>
    <xf numFmtId="0" fontId="4" fillId="0" borderId="1" applyAlignment="1" pivotButton="0" quotePrefix="0" xfId="2">
      <alignment horizontal="left" wrapText="1"/>
    </xf>
    <xf numFmtId="0" fontId="4" fillId="0" borderId="1" applyAlignment="1" pivotButton="0" quotePrefix="0" xfId="2">
      <alignment horizontal="center"/>
    </xf>
    <xf numFmtId="0" fontId="5" fillId="0" borderId="1" applyAlignment="1" pivotButton="0" quotePrefix="0" xfId="2">
      <alignment horizontal="center" vertical="center"/>
    </xf>
    <xf numFmtId="167" fontId="4" fillId="0" borderId="1" applyAlignment="1" pivotButton="0" quotePrefix="0" xfId="2">
      <alignment horizontal="center" vertical="center"/>
    </xf>
    <xf numFmtId="167" fontId="4" fillId="0" borderId="1" applyAlignment="1" pivotButton="0" quotePrefix="0" xfId="2">
      <alignment horizontal="center"/>
    </xf>
    <xf numFmtId="0" fontId="3" fillId="3" borderId="1" pivotButton="0" quotePrefix="0" xfId="2"/>
    <xf numFmtId="164" fontId="4" fillId="3" borderId="1" applyAlignment="1" pivotButton="0" quotePrefix="0" xfId="2">
      <alignment horizontal="center" vertical="center"/>
    </xf>
    <xf numFmtId="2" fontId="4" fillId="3" borderId="1" applyAlignment="1" pivotButton="0" quotePrefix="0" xfId="2">
      <alignment horizontal="center" vertical="center"/>
    </xf>
    <xf numFmtId="0" fontId="4" fillId="0" borderId="2" applyAlignment="1" pivotButton="0" quotePrefix="0" xfId="2">
      <alignment horizontal="center" vertical="center"/>
    </xf>
    <xf numFmtId="167" fontId="4" fillId="4" borderId="1" applyAlignment="1" pivotButton="0" quotePrefix="0" xfId="2">
      <alignment horizontal="center" vertical="center"/>
    </xf>
    <xf numFmtId="0" fontId="5" fillId="4" borderId="1" applyAlignment="1" pivotButton="0" quotePrefix="0" xfId="2">
      <alignment horizontal="center" vertical="center"/>
    </xf>
    <xf numFmtId="167" fontId="4" fillId="0" borderId="3" applyAlignment="1" pivotButton="0" quotePrefix="0" xfId="2">
      <alignment horizontal="center"/>
    </xf>
    <xf numFmtId="0" fontId="4" fillId="3" borderId="4" applyAlignment="1" pivotButton="0" quotePrefix="0" xfId="2">
      <alignment horizontal="center"/>
    </xf>
    <xf numFmtId="164" fontId="4" fillId="0" borderId="5" applyAlignment="1" pivotButton="0" quotePrefix="0" xfId="2">
      <alignment horizontal="center" vertical="center"/>
    </xf>
    <xf numFmtId="165" fontId="4" fillId="0" borderId="1" applyAlignment="1" pivotButton="0" quotePrefix="0" xfId="3">
      <alignment horizontal="center" vertical="center"/>
    </xf>
    <xf numFmtId="165" fontId="4" fillId="0" borderId="1" applyAlignment="1" pivotButton="0" quotePrefix="0" xfId="2">
      <alignment horizontal="center" vertical="center"/>
    </xf>
    <xf numFmtId="0" fontId="4" fillId="0" borderId="5" applyAlignment="1" pivotButton="0" quotePrefix="0" xfId="2">
      <alignment horizontal="center" vertical="center"/>
    </xf>
    <xf numFmtId="167" fontId="4" fillId="0" borderId="5" applyAlignment="1" pivotButton="0" quotePrefix="0" xfId="2">
      <alignment horizontal="center"/>
    </xf>
    <xf numFmtId="167" fontId="4" fillId="0" borderId="5" applyAlignment="1" pivotButton="0" quotePrefix="0" xfId="2">
      <alignment horizontal="center" vertical="center"/>
    </xf>
    <xf numFmtId="0" fontId="4" fillId="0" borderId="5" applyAlignment="1" pivotButton="0" quotePrefix="0" xfId="2">
      <alignment horizontal="left" vertical="center"/>
    </xf>
    <xf numFmtId="0" fontId="4" fillId="5" borderId="1" applyAlignment="1" pivotButton="0" quotePrefix="0" xfId="2">
      <alignment horizontal="center" vertical="center"/>
    </xf>
    <xf numFmtId="14" fontId="4" fillId="0" borderId="1" applyAlignment="1" pivotButton="0" quotePrefix="0" xfId="2">
      <alignment horizontal="center" vertical="center"/>
    </xf>
    <xf numFmtId="0" fontId="6" fillId="0" borderId="1" applyAlignment="1" pivotButton="0" quotePrefix="0" xfId="2">
      <alignment horizontal="center" vertical="center"/>
    </xf>
    <xf numFmtId="0" fontId="4" fillId="0" borderId="1" applyAlignment="1" pivotButton="0" quotePrefix="0" xfId="2">
      <alignment horizontal="left" vertical="center" wrapText="1"/>
    </xf>
    <xf numFmtId="0" fontId="4" fillId="6" borderId="1" applyAlignment="1" pivotButton="0" quotePrefix="0" xfId="2">
      <alignment horizontal="center" vertical="center"/>
    </xf>
    <xf numFmtId="0" fontId="4" fillId="3" borderId="6" applyAlignment="1" pivotButton="0" quotePrefix="0" xfId="2">
      <alignment horizontal="center"/>
    </xf>
    <xf numFmtId="164" fontId="4" fillId="3" borderId="5" applyAlignment="1" pivotButton="0" quotePrefix="0" xfId="2">
      <alignment horizontal="center" vertical="center"/>
    </xf>
    <xf numFmtId="2" fontId="4" fillId="3" borderId="5" applyAlignment="1" pivotButton="0" quotePrefix="0" xfId="2">
      <alignment horizontal="center" vertical="center"/>
    </xf>
    <xf numFmtId="165" fontId="4" fillId="0" borderId="5" applyAlignment="1" pivotButton="0" quotePrefix="0" xfId="3">
      <alignment horizontal="center" vertical="center"/>
    </xf>
    <xf numFmtId="165" fontId="4" fillId="0" borderId="5" applyAlignment="1" pivotButton="0" quotePrefix="0" xfId="3">
      <alignment vertical="center"/>
    </xf>
    <xf numFmtId="165" fontId="4" fillId="0" borderId="5" applyAlignment="1" pivotButton="0" quotePrefix="0" xfId="2">
      <alignment horizontal="center" vertical="center"/>
    </xf>
    <xf numFmtId="166" fontId="4" fillId="0" borderId="5" applyAlignment="1" pivotButton="0" quotePrefix="0" xfId="3">
      <alignment horizontal="center" vertical="center"/>
    </xf>
    <xf numFmtId="0" fontId="4" fillId="0" borderId="5" applyAlignment="1" pivotButton="0" quotePrefix="0" xfId="2">
      <alignment horizontal="left" wrapText="1"/>
    </xf>
    <xf numFmtId="0" fontId="4" fillId="0" borderId="5" applyAlignment="1" pivotButton="0" quotePrefix="0" xfId="2">
      <alignment horizontal="center"/>
    </xf>
    <xf numFmtId="0" fontId="5" fillId="4" borderId="5" applyAlignment="1" pivotButton="0" quotePrefix="0" xfId="2">
      <alignment horizontal="center" vertical="center"/>
    </xf>
    <xf numFmtId="167" fontId="4" fillId="0" borderId="3" applyAlignment="1" pivotButton="0" quotePrefix="0" xfId="2">
      <alignment horizontal="center" vertical="center"/>
    </xf>
    <xf numFmtId="0" fontId="3" fillId="0" borderId="1" applyAlignment="1" pivotButton="0" quotePrefix="0" xfId="2">
      <alignment horizontal="center"/>
    </xf>
    <xf numFmtId="0" fontId="3" fillId="0" borderId="1" applyAlignment="1" pivotButton="0" quotePrefix="0" xfId="2">
      <alignment horizontal="left" vertical="center"/>
    </xf>
    <xf numFmtId="0" fontId="3" fillId="0" borderId="1" applyAlignment="1" pivotButton="0" quotePrefix="0" xfId="2">
      <alignment horizontal="center" vertical="center"/>
    </xf>
    <xf numFmtId="167" fontId="4" fillId="4" borderId="5" applyAlignment="1" pivotButton="0" quotePrefix="0" xfId="2">
      <alignment horizontal="center" vertical="center"/>
    </xf>
    <xf numFmtId="0" fontId="4" fillId="7" borderId="1" applyAlignment="1" pivotButton="0" quotePrefix="0" xfId="2">
      <alignment horizontal="center" vertical="center"/>
    </xf>
    <xf numFmtId="167" fontId="2" fillId="2" borderId="3" applyAlignment="1" pivotButton="0" quotePrefix="0" xfId="1">
      <alignment horizontal="center"/>
    </xf>
    <xf numFmtId="165" fontId="4" fillId="0" borderId="1" applyAlignment="1" pivotButton="0" quotePrefix="0" xfId="3">
      <alignment vertical="center"/>
    </xf>
    <xf numFmtId="167" fontId="4" fillId="0" borderId="7" applyAlignment="1" pivotButton="0" quotePrefix="0" xfId="2">
      <alignment horizontal="center"/>
    </xf>
    <xf numFmtId="167" fontId="5" fillId="4" borderId="1" applyAlignment="1" pivotButton="0" quotePrefix="0" xfId="2">
      <alignment horizontal="center" vertical="center"/>
    </xf>
    <xf numFmtId="167" fontId="4" fillId="0" borderId="8" applyAlignment="1" pivotButton="0" quotePrefix="0" xfId="2">
      <alignment horizontal="center"/>
    </xf>
    <xf numFmtId="0" fontId="4" fillId="4" borderId="5" applyAlignment="1" pivotButton="0" quotePrefix="0" xfId="2">
      <alignment horizontal="center" vertical="center"/>
    </xf>
    <xf numFmtId="165" fontId="4" fillId="8" borderId="1" applyAlignment="1" pivotButton="0" quotePrefix="0" xfId="3">
      <alignment vertical="center"/>
    </xf>
    <xf numFmtId="165" fontId="4" fillId="8" borderId="1" applyAlignment="1" pivotButton="0" quotePrefix="0" xfId="2">
      <alignment horizontal="center" vertical="center"/>
    </xf>
    <xf numFmtId="0" fontId="4" fillId="8" borderId="1" applyAlignment="1" pivotButton="0" quotePrefix="0" xfId="2">
      <alignment horizontal="center" vertical="center"/>
    </xf>
    <xf numFmtId="166" fontId="4" fillId="8" borderId="1" applyAlignment="1" pivotButton="0" quotePrefix="0" xfId="3">
      <alignment horizontal="center" vertical="center"/>
    </xf>
    <xf numFmtId="0" fontId="4" fillId="8" borderId="1" applyAlignment="1" pivotButton="0" quotePrefix="0" xfId="2">
      <alignment horizontal="left" wrapText="1"/>
    </xf>
    <xf numFmtId="165" fontId="4" fillId="9" borderId="1" applyAlignment="1" pivotButton="0" quotePrefix="0" xfId="3">
      <alignment vertical="center"/>
    </xf>
    <xf numFmtId="165" fontId="4" fillId="9" borderId="1" applyAlignment="1" pivotButton="0" quotePrefix="0" xfId="2">
      <alignment horizontal="center" vertical="center"/>
    </xf>
    <xf numFmtId="0" fontId="4" fillId="9" borderId="1" applyAlignment="1" pivotButton="0" quotePrefix="0" xfId="2">
      <alignment horizontal="center" vertical="center"/>
    </xf>
    <xf numFmtId="166" fontId="4" fillId="9" borderId="1" applyAlignment="1" pivotButton="0" quotePrefix="0" xfId="3">
      <alignment horizontal="center" vertical="center"/>
    </xf>
    <xf numFmtId="0" fontId="4" fillId="9" borderId="1" applyAlignment="1" pivotButton="0" quotePrefix="0" xfId="2">
      <alignment horizontal="left" wrapText="1"/>
    </xf>
    <xf numFmtId="165" fontId="4" fillId="10" borderId="1" applyAlignment="1" pivotButton="0" quotePrefix="0" xfId="3">
      <alignment vertical="center"/>
    </xf>
    <xf numFmtId="165" fontId="4" fillId="10" borderId="1" applyAlignment="1" pivotButton="0" quotePrefix="0" xfId="2">
      <alignment horizontal="center" vertical="center"/>
    </xf>
    <xf numFmtId="0" fontId="4" fillId="10" borderId="1" applyAlignment="1" pivotButton="0" quotePrefix="0" xfId="2">
      <alignment horizontal="center" vertical="center"/>
    </xf>
    <xf numFmtId="166" fontId="4" fillId="10" borderId="1" applyAlignment="1" pivotButton="0" quotePrefix="0" xfId="3">
      <alignment horizontal="center" vertical="center"/>
    </xf>
    <xf numFmtId="0" fontId="4" fillId="10" borderId="1" applyAlignment="1" pivotButton="0" quotePrefix="0" xfId="2">
      <alignment horizontal="left" wrapText="1"/>
    </xf>
    <xf numFmtId="0" fontId="7" fillId="0" borderId="1" applyAlignment="1" pivotButton="0" quotePrefix="0" xfId="2">
      <alignment horizontal="center" vertical="center" wrapText="1"/>
    </xf>
    <xf numFmtId="0" fontId="8" fillId="0" borderId="1" applyAlignment="1" pivotButton="0" quotePrefix="0" xfId="2">
      <alignment horizontal="left" vertical="center"/>
    </xf>
    <xf numFmtId="0" fontId="6" fillId="0" borderId="1" applyAlignment="1" pivotButton="0" quotePrefix="0" xfId="2">
      <alignment horizontal="left" wrapText="1"/>
    </xf>
    <xf numFmtId="0" fontId="9" fillId="0" borderId="1" applyAlignment="1" pivotButton="0" quotePrefix="0" xfId="2">
      <alignment horizontal="left" wrapText="1"/>
    </xf>
    <xf numFmtId="165" fontId="4" fillId="0" borderId="5" applyAlignment="1" pivotButton="0" quotePrefix="0" xfId="3">
      <alignment vertical="center"/>
    </xf>
    <xf numFmtId="0" fontId="4" fillId="4" borderId="1" applyAlignment="1" pivotButton="0" quotePrefix="0" xfId="2">
      <alignment horizontal="center" vertical="center"/>
    </xf>
    <xf numFmtId="167" fontId="4" fillId="0" borderId="7" applyAlignment="1" pivotButton="0" quotePrefix="0" xfId="2">
      <alignment horizontal="center" vertical="center"/>
    </xf>
    <xf numFmtId="49" fontId="4" fillId="0" borderId="5" applyAlignment="1" pivotButton="0" quotePrefix="0" xfId="2">
      <alignment horizontal="left" wrapText="1"/>
    </xf>
    <xf numFmtId="49" fontId="4" fillId="0" borderId="1" applyAlignment="1" pivotButton="0" quotePrefix="0" xfId="2">
      <alignment horizontal="left" wrapText="1"/>
    </xf>
    <xf numFmtId="49" fontId="4" fillId="0" borderId="1" applyAlignment="1" pivotButton="0" quotePrefix="0" xfId="2">
      <alignment horizontal="left" vertical="center" wrapText="1"/>
    </xf>
    <xf numFmtId="165" fontId="4" fillId="9" borderId="5" applyAlignment="1" pivotButton="0" quotePrefix="0" xfId="2">
      <alignment horizontal="center" vertical="center"/>
    </xf>
    <xf numFmtId="49" fontId="4" fillId="9" borderId="1" applyAlignment="1" pivotButton="0" quotePrefix="0" xfId="2">
      <alignment horizontal="left" wrapText="1"/>
    </xf>
    <xf numFmtId="167" fontId="4" fillId="4" borderId="7" applyAlignment="1" pivotButton="0" quotePrefix="0" xfId="2">
      <alignment horizontal="center" vertical="center"/>
    </xf>
    <xf numFmtId="14" fontId="4" fillId="4" borderId="1" applyAlignment="1" pivotButton="0" quotePrefix="0" xfId="2">
      <alignment horizontal="center" vertical="center"/>
    </xf>
    <xf numFmtId="0" fontId="10" fillId="3" borderId="4" applyAlignment="1" pivotButton="0" quotePrefix="0" xfId="2">
      <alignment horizontal="center"/>
    </xf>
    <xf numFmtId="167" fontId="4" fillId="4" borderId="3" applyAlignment="1" pivotButton="0" quotePrefix="0" xfId="2">
      <alignment horizontal="center" vertical="center"/>
    </xf>
    <xf numFmtId="0" fontId="4" fillId="11" borderId="1" applyAlignment="1" pivotButton="0" quotePrefix="0" xfId="2">
      <alignment horizontal="left" vertical="center"/>
    </xf>
    <xf numFmtId="49" fontId="4" fillId="11" borderId="1" applyAlignment="1" pivotButton="0" quotePrefix="0" xfId="2">
      <alignment horizontal="left" wrapText="1"/>
    </xf>
    <xf numFmtId="0" fontId="4" fillId="12" borderId="1" applyAlignment="1" pivotButton="0" quotePrefix="0" xfId="2">
      <alignment horizontal="left" vertical="center"/>
    </xf>
    <xf numFmtId="49" fontId="4" fillId="12" borderId="1" applyAlignment="1" pivotButton="0" quotePrefix="0" xfId="2">
      <alignment horizontal="left" wrapText="1"/>
    </xf>
    <xf numFmtId="49" fontId="4" fillId="13" borderId="1" applyAlignment="1" pivotButton="0" quotePrefix="0" xfId="2">
      <alignment horizontal="left" wrapText="1"/>
    </xf>
    <xf numFmtId="49" fontId="4" fillId="14" borderId="1" applyAlignment="1" pivotButton="0" quotePrefix="0" xfId="2">
      <alignment horizontal="left" wrapText="1"/>
    </xf>
    <xf numFmtId="49" fontId="4" fillId="15" borderId="1" applyAlignment="1" pivotButton="0" quotePrefix="0" xfId="2">
      <alignment horizontal="left" wrapText="1"/>
    </xf>
    <xf numFmtId="165" fontId="4" fillId="12" borderId="1" applyAlignment="1" pivotButton="0" quotePrefix="0" xfId="3">
      <alignment horizontal="center" vertical="center"/>
    </xf>
    <xf numFmtId="165" fontId="4" fillId="12" borderId="1" applyAlignment="1" pivotButton="0" quotePrefix="0" xfId="3">
      <alignment vertical="center"/>
    </xf>
    <xf numFmtId="165" fontId="4" fillId="12" borderId="5" applyAlignment="1" pivotButton="0" quotePrefix="0" xfId="2">
      <alignment horizontal="center" vertical="center"/>
    </xf>
    <xf numFmtId="0" fontId="4" fillId="12" borderId="1" applyAlignment="1" pivotButton="0" quotePrefix="0" xfId="2">
      <alignment horizontal="center" vertical="center"/>
    </xf>
    <xf numFmtId="166" fontId="4" fillId="12" borderId="1" applyAlignment="1" pivotButton="0" quotePrefix="0" xfId="3">
      <alignment horizontal="center" vertical="center"/>
    </xf>
    <xf numFmtId="0" fontId="4" fillId="15" borderId="1" applyAlignment="1" pivotButton="0" quotePrefix="0" xfId="2">
      <alignment horizontal="left" vertical="center"/>
    </xf>
    <xf numFmtId="165" fontId="4" fillId="15" borderId="1" applyAlignment="1" pivotButton="0" quotePrefix="0" xfId="3">
      <alignment horizontal="center" vertical="center"/>
    </xf>
    <xf numFmtId="165" fontId="4" fillId="15" borderId="1" applyAlignment="1" pivotButton="0" quotePrefix="0" xfId="3">
      <alignment vertical="center"/>
    </xf>
    <xf numFmtId="165" fontId="4" fillId="15" borderId="5" applyAlignment="1" pivotButton="0" quotePrefix="0" xfId="2">
      <alignment horizontal="center" vertical="center"/>
    </xf>
    <xf numFmtId="0" fontId="4" fillId="15" borderId="1" applyAlignment="1" pivotButton="0" quotePrefix="0" xfId="2">
      <alignment horizontal="center" vertical="center"/>
    </xf>
    <xf numFmtId="166" fontId="4" fillId="15" borderId="1" applyAlignment="1" pivotButton="0" quotePrefix="0" xfId="3">
      <alignment horizontal="center" vertical="center"/>
    </xf>
    <xf numFmtId="167" fontId="4" fillId="4" borderId="3" applyAlignment="1" pivotButton="0" quotePrefix="0" xfId="2">
      <alignment horizontal="center"/>
    </xf>
    <xf numFmtId="167" fontId="8" fillId="0" borderId="3" applyAlignment="1" pivotButton="0" quotePrefix="0" xfId="2">
      <alignment horizontal="center" vertical="center"/>
    </xf>
    <xf numFmtId="165" fontId="4" fillId="10" borderId="5" applyAlignment="1" pivotButton="0" quotePrefix="0" xfId="2">
      <alignment horizontal="center" vertical="center"/>
    </xf>
    <xf numFmtId="49" fontId="4" fillId="10" borderId="1" applyAlignment="1" pivotButton="0" quotePrefix="0" xfId="2">
      <alignment horizontal="left" wrapText="1"/>
    </xf>
    <xf numFmtId="0" fontId="4" fillId="16" borderId="1" applyAlignment="1" pivotButton="0" quotePrefix="0" xfId="2">
      <alignment horizontal="left" vertical="center"/>
    </xf>
    <xf numFmtId="49" fontId="4" fillId="17" borderId="1" applyAlignment="1" pivotButton="0" quotePrefix="0" xfId="2">
      <alignment horizontal="left" wrapText="1"/>
    </xf>
    <xf numFmtId="0" fontId="8" fillId="0" borderId="1" applyAlignment="1" pivotButton="0" quotePrefix="0" xfId="2">
      <alignment horizontal="center" vertical="center"/>
    </xf>
    <xf numFmtId="164" fontId="8" fillId="0" borderId="1" applyAlignment="1" pivotButton="0" quotePrefix="0" xfId="2">
      <alignment horizontal="center" vertical="center"/>
    </xf>
    <xf numFmtId="15" fontId="4" fillId="4" borderId="1" applyAlignment="1" pivotButton="0" quotePrefix="0" xfId="2">
      <alignment horizontal="center" vertical="center"/>
    </xf>
    <xf numFmtId="0" fontId="11" fillId="0" borderId="1" applyAlignment="1" pivotButton="0" quotePrefix="0" xfId="2">
      <alignment horizontal="center" vertical="center"/>
    </xf>
    <xf numFmtId="165" fontId="8" fillId="0" borderId="1" applyAlignment="1" pivotButton="0" quotePrefix="0" xfId="3">
      <alignment horizontal="center" vertical="center"/>
    </xf>
    <xf numFmtId="165" fontId="8" fillId="0" borderId="1" applyAlignment="1" pivotButton="0" quotePrefix="0" xfId="3">
      <alignment vertical="center"/>
    </xf>
    <xf numFmtId="166" fontId="8" fillId="0" borderId="1" applyAlignment="1" pivotButton="0" quotePrefix="0" xfId="3">
      <alignment horizontal="center" vertical="center"/>
    </xf>
    <xf numFmtId="49" fontId="8" fillId="0" borderId="1" applyAlignment="1" pivotButton="0" quotePrefix="0" xfId="2">
      <alignment horizontal="left" wrapText="1"/>
    </xf>
    <xf numFmtId="0" fontId="8" fillId="0" borderId="1" applyAlignment="1" pivotButton="0" quotePrefix="0" xfId="2">
      <alignment horizontal="center"/>
    </xf>
    <xf numFmtId="165" fontId="8" fillId="0" borderId="5" applyAlignment="1" pivotButton="0" quotePrefix="0" xfId="2">
      <alignment horizontal="center" vertical="center"/>
    </xf>
    <xf numFmtId="0" fontId="8" fillId="9" borderId="1" applyAlignment="1" pivotButton="0" quotePrefix="0" xfId="2">
      <alignment horizontal="center" vertical="center"/>
    </xf>
    <xf numFmtId="166" fontId="8" fillId="9" borderId="1" applyAlignment="1" pivotButton="0" quotePrefix="0" xfId="3">
      <alignment horizontal="center" vertical="center"/>
    </xf>
    <xf numFmtId="49" fontId="8" fillId="9" borderId="1" applyAlignment="1" pivotButton="0" quotePrefix="0" xfId="2">
      <alignment horizontal="left" wrapText="1"/>
    </xf>
    <xf numFmtId="0" fontId="4" fillId="9" borderId="1" pivotButton="0" quotePrefix="0" xfId="2"/>
    <xf numFmtId="164" fontId="4" fillId="9" borderId="1" applyAlignment="1" pivotButton="0" quotePrefix="0" xfId="2">
      <alignment horizontal="center" vertical="center"/>
    </xf>
    <xf numFmtId="0" fontId="4" fillId="9" borderId="1" applyAlignment="1" pivotButton="0" quotePrefix="0" xfId="2">
      <alignment horizontal="left" vertical="center"/>
    </xf>
    <xf numFmtId="165" fontId="4" fillId="9" borderId="1" applyAlignment="1" pivotButton="0" quotePrefix="0" xfId="3">
      <alignment horizontal="center" vertical="center"/>
    </xf>
    <xf numFmtId="167" fontId="4" fillId="9" borderId="3" applyAlignment="1" pivotButton="0" quotePrefix="0" xfId="2">
      <alignment horizontal="center" vertical="center"/>
    </xf>
    <xf numFmtId="49" fontId="10" fillId="0" borderId="1" applyAlignment="1" pivotButton="0" quotePrefix="0" xfId="2">
      <alignment horizontal="left" wrapText="1"/>
    </xf>
    <xf numFmtId="0" fontId="9" fillId="0" borderId="1" applyAlignment="1" pivotButton="0" quotePrefix="0" xfId="2">
      <alignment horizontal="left" vertical="center" wrapText="1"/>
    </xf>
    <xf numFmtId="0" fontId="9" fillId="0" borderId="1" applyAlignment="1" pivotButton="0" quotePrefix="0" xfId="2">
      <alignment horizontal="center" vertical="center"/>
    </xf>
    <xf numFmtId="0" fontId="4" fillId="9" borderId="1" applyAlignment="1" pivotButton="0" quotePrefix="0" xfId="2">
      <alignment horizontal="center"/>
    </xf>
    <xf numFmtId="0" fontId="4" fillId="5" borderId="1" applyAlignment="1" pivotButton="0" quotePrefix="0" xfId="2">
      <alignment horizontal="center" vertical="center" wrapText="1"/>
    </xf>
    <xf numFmtId="0" fontId="9" fillId="0" borderId="1" applyAlignment="1" pivotButton="0" quotePrefix="0" xfId="2">
      <alignment horizontal="left" vertical="center"/>
    </xf>
    <xf numFmtId="0" fontId="4" fillId="14" borderId="1" pivotButton="0" quotePrefix="0" xfId="2"/>
    <xf numFmtId="167" fontId="4" fillId="9" borderId="3" applyAlignment="1" pivotButton="0" quotePrefix="0" xfId="2">
      <alignment horizontal="center"/>
    </xf>
    <xf numFmtId="164" fontId="10" fillId="0" borderId="1" applyAlignment="1" pivotButton="0" quotePrefix="0" xfId="2">
      <alignment horizontal="center" vertical="center"/>
    </xf>
    <xf numFmtId="0" fontId="10" fillId="0" borderId="1" applyAlignment="1" pivotButton="0" quotePrefix="0" xfId="2">
      <alignment horizontal="center" vertical="center"/>
    </xf>
    <xf numFmtId="0" fontId="10" fillId="5" borderId="1" applyAlignment="1" pivotButton="0" quotePrefix="0" xfId="2">
      <alignment horizontal="center" vertical="center"/>
    </xf>
    <xf numFmtId="0" fontId="10" fillId="0" borderId="1" applyAlignment="1" pivotButton="0" quotePrefix="0" xfId="2">
      <alignment horizontal="left" vertical="center"/>
    </xf>
    <xf numFmtId="165" fontId="10" fillId="0" borderId="1" applyAlignment="1" pivotButton="0" quotePrefix="0" xfId="3">
      <alignment vertical="center"/>
    </xf>
    <xf numFmtId="165" fontId="10" fillId="0" borderId="5" applyAlignment="1" pivotButton="0" quotePrefix="0" xfId="2">
      <alignment horizontal="center" vertical="center"/>
    </xf>
    <xf numFmtId="166" fontId="10" fillId="0" borderId="1" applyAlignment="1" pivotButton="0" quotePrefix="0" xfId="3">
      <alignment horizontal="center" vertical="center"/>
    </xf>
    <xf numFmtId="0" fontId="10" fillId="0" borderId="1" applyAlignment="1" pivotButton="0" quotePrefix="0" xfId="2">
      <alignment horizontal="center"/>
    </xf>
    <xf numFmtId="167" fontId="10" fillId="0" borderId="3" applyAlignment="1" pivotButton="0" quotePrefix="0" xfId="2">
      <alignment horizontal="center"/>
    </xf>
    <xf numFmtId="167" fontId="10" fillId="0" borderId="1" applyAlignment="1" pivotButton="0" quotePrefix="0" xfId="2">
      <alignment horizontal="center"/>
    </xf>
    <xf numFmtId="165" fontId="4" fillId="6" borderId="1" applyAlignment="1" pivotButton="0" quotePrefix="0" xfId="3">
      <alignment vertical="center"/>
    </xf>
    <xf numFmtId="165" fontId="4" fillId="6" borderId="5" applyAlignment="1" pivotButton="0" quotePrefix="0" xfId="2">
      <alignment horizontal="center" vertical="center"/>
    </xf>
    <xf numFmtId="166" fontId="4" fillId="6" borderId="1" applyAlignment="1" pivotButton="0" quotePrefix="0" xfId="3">
      <alignment horizontal="center" vertical="center"/>
    </xf>
    <xf numFmtId="49" fontId="4" fillId="6" borderId="1" applyAlignment="1" pivotButton="0" quotePrefix="0" xfId="2">
      <alignment horizontal="left" wrapText="1"/>
    </xf>
    <xf numFmtId="49" fontId="12" fillId="0" borderId="1" applyAlignment="1" pivotButton="0" quotePrefix="0" xfId="2">
      <alignment horizontal="left" wrapText="1"/>
    </xf>
    <xf numFmtId="0" fontId="10" fillId="0" borderId="4" applyAlignment="1" pivotButton="0" quotePrefix="0" xfId="2">
      <alignment horizontal="center"/>
    </xf>
    <xf numFmtId="167" fontId="5" fillId="0" borderId="1" applyAlignment="1" pivotButton="0" quotePrefix="0" xfId="2">
      <alignment horizontal="center" vertical="center"/>
    </xf>
    <xf numFmtId="165" fontId="10" fillId="0" borderId="1" applyAlignment="1" pivotButton="0" quotePrefix="0" xfId="3">
      <alignment horizontal="center" vertical="center"/>
    </xf>
    <xf numFmtId="0" fontId="4" fillId="6" borderId="1" pivotButton="0" quotePrefix="0" xfId="2"/>
    <xf numFmtId="49" fontId="4" fillId="0" borderId="1" applyAlignment="1" pivotButton="0" quotePrefix="0" xfId="2">
      <alignment horizontal="center" vertical="center" wrapText="1"/>
    </xf>
    <xf numFmtId="49" fontId="3" fillId="0" borderId="0" applyAlignment="1" pivotButton="0" quotePrefix="0" xfId="2">
      <alignment horizontal="left"/>
    </xf>
    <xf numFmtId="49" fontId="4" fillId="0" borderId="0" applyAlignment="1" pivotButton="0" quotePrefix="0" xfId="2">
      <alignment horizontal="center" vertical="center"/>
    </xf>
    <xf numFmtId="0" fontId="4" fillId="6" borderId="1" applyAlignment="1" pivotButton="0" quotePrefix="0" xfId="2">
      <alignment horizontal="left" wrapText="1"/>
    </xf>
    <xf numFmtId="14" fontId="4" fillId="0" borderId="1" applyAlignment="1" pivotButton="0" quotePrefix="0" xfId="3">
      <alignment horizontal="center" vertical="center"/>
    </xf>
    <xf numFmtId="4" fontId="3" fillId="0" borderId="1" applyAlignment="1" pivotButton="0" quotePrefix="0" xfId="2">
      <alignment horizontal="right"/>
    </xf>
    <xf numFmtId="165" fontId="4" fillId="0" borderId="5" applyAlignment="1" pivotButton="0" quotePrefix="0" xfId="2">
      <alignment horizontal="center"/>
    </xf>
    <xf numFmtId="0" fontId="3" fillId="3" borderId="4" pivotButton="0" quotePrefix="0" xfId="2"/>
    <xf numFmtId="165" fontId="4" fillId="0" borderId="0" applyAlignment="1" pivotButton="0" quotePrefix="0" xfId="3">
      <alignment vertical="center"/>
    </xf>
    <xf numFmtId="4" fontId="3" fillId="0" borderId="0" applyAlignment="1" pivotButton="0" quotePrefix="0" xfId="2">
      <alignment horizontal="right"/>
    </xf>
    <xf numFmtId="0" fontId="10" fillId="0" borderId="1" applyAlignment="1" pivotButton="0" quotePrefix="0" xfId="2">
      <alignment horizontal="left" wrapText="1"/>
    </xf>
    <xf numFmtId="0" fontId="4" fillId="3" borderId="1" applyAlignment="1" pivotButton="0" quotePrefix="0" xfId="2">
      <alignment horizontal="center"/>
    </xf>
    <xf numFmtId="0" fontId="4" fillId="0" borderId="3" applyAlignment="1" pivotButton="0" quotePrefix="0" xfId="2">
      <alignment horizontal="center" vertical="center"/>
    </xf>
    <xf numFmtId="165" fontId="4" fillId="0" borderId="0" applyAlignment="1" pivotButton="0" quotePrefix="0" xfId="3">
      <alignment horizontal="right" vertical="center"/>
    </xf>
    <xf numFmtId="165" fontId="4" fillId="0" borderId="5" applyAlignment="1" pivotButton="0" quotePrefix="0" xfId="2">
      <alignment horizontal="right" vertical="center"/>
    </xf>
    <xf numFmtId="4" fontId="13" fillId="0" borderId="0" applyAlignment="1" pivotButton="0" quotePrefix="0" xfId="2">
      <alignment horizontal="right"/>
    </xf>
    <xf numFmtId="0" fontId="3" fillId="9" borderId="1" pivotButton="0" quotePrefix="0" xfId="2"/>
    <xf numFmtId="165" fontId="4" fillId="0" borderId="3" applyAlignment="1" pivotButton="0" quotePrefix="0" xfId="3">
      <alignment vertical="center"/>
    </xf>
    <xf numFmtId="165" fontId="4" fillId="6" borderId="3" applyAlignment="1" pivotButton="0" quotePrefix="0" xfId="3">
      <alignment vertical="center"/>
    </xf>
    <xf numFmtId="165" fontId="4" fillId="6" borderId="1" applyAlignment="1" pivotButton="0" quotePrefix="0" xfId="2">
      <alignment horizontal="center" vertical="center"/>
    </xf>
    <xf numFmtId="0" fontId="3" fillId="18" borderId="1" pivotButton="0" quotePrefix="0" xfId="2"/>
    <xf numFmtId="0" fontId="1" fillId="0" borderId="1" applyAlignment="1" pivotButton="0" quotePrefix="0" xfId="2">
      <alignment horizontal="left" wrapText="1"/>
    </xf>
    <xf numFmtId="0" fontId="14" fillId="0" borderId="1" applyAlignment="1" pivotButton="0" quotePrefix="0" xfId="2">
      <alignment horizontal="center"/>
    </xf>
    <xf numFmtId="0" fontId="14" fillId="0" borderId="0" applyAlignment="1" pivotButton="0" quotePrefix="0" xfId="2">
      <alignment horizontal="center"/>
    </xf>
    <xf numFmtId="0" fontId="4" fillId="0" borderId="0" applyAlignment="1" pivotButton="0" quotePrefix="0" xfId="2">
      <alignment horizontal="center" vertical="center"/>
    </xf>
    <xf numFmtId="165" fontId="4" fillId="16" borderId="3" applyAlignment="1" pivotButton="0" quotePrefix="0" xfId="3">
      <alignment vertical="center"/>
    </xf>
    <xf numFmtId="165" fontId="4" fillId="16" borderId="1" applyAlignment="1" pivotButton="0" quotePrefix="0" xfId="2">
      <alignment horizontal="center" vertical="center"/>
    </xf>
    <xf numFmtId="0" fontId="4" fillId="16" borderId="1" applyAlignment="1" pivotButton="0" quotePrefix="0" xfId="2">
      <alignment horizontal="center" vertical="center"/>
    </xf>
    <xf numFmtId="166" fontId="4" fillId="16" borderId="1" applyAlignment="1" pivotButton="0" quotePrefix="0" xfId="3">
      <alignment horizontal="center" vertical="center"/>
    </xf>
    <xf numFmtId="0" fontId="4" fillId="16" borderId="1" applyAlignment="1" pivotButton="0" quotePrefix="0" xfId="2">
      <alignment horizontal="left" wrapText="1"/>
    </xf>
    <xf numFmtId="165" fontId="4" fillId="0" borderId="3" applyAlignment="1" pivotButton="0" quotePrefix="0" xfId="2">
      <alignment horizontal="center" vertical="center"/>
    </xf>
    <xf numFmtId="4" fontId="15" fillId="0" borderId="3" applyAlignment="1" pivotButton="0" quotePrefix="0" xfId="2">
      <alignment horizontal="right" vertical="center"/>
    </xf>
    <xf numFmtId="0" fontId="15" fillId="0" borderId="1" applyAlignment="1" pivotButton="0" quotePrefix="0" xfId="2">
      <alignment horizontal="center" vertical="center"/>
    </xf>
    <xf numFmtId="0" fontId="15" fillId="0" borderId="3" applyAlignment="1" pivotButton="0" quotePrefix="0" xfId="2">
      <alignment horizontal="right" vertical="center"/>
    </xf>
    <xf numFmtId="0" fontId="4" fillId="0" borderId="0" applyAlignment="1" pivotButton="0" quotePrefix="0" xfId="2">
      <alignment horizontal="left" wrapText="1"/>
    </xf>
    <xf numFmtId="0" fontId="6" fillId="0" borderId="1" applyAlignment="1" pivotButton="0" quotePrefix="0" xfId="2">
      <alignment horizontal="left" vertical="center"/>
    </xf>
    <xf numFmtId="0" fontId="16" fillId="0" borderId="1" applyAlignment="1" pivotButton="0" quotePrefix="0" xfId="2">
      <alignment horizontal="left" wrapText="1"/>
    </xf>
    <xf numFmtId="0" fontId="6" fillId="0" borderId="1" applyAlignment="1" pivotButton="0" quotePrefix="0" xfId="2">
      <alignment horizontal="center"/>
    </xf>
    <xf numFmtId="165" fontId="15" fillId="0" borderId="3" applyAlignment="1" pivotButton="0" quotePrefix="0" xfId="3">
      <alignment horizontal="right" vertical="center"/>
    </xf>
    <xf numFmtId="0" fontId="13" fillId="0" borderId="1" applyAlignment="1" pivotButton="0" quotePrefix="0" xfId="2">
      <alignment horizontal="center" vertical="center"/>
    </xf>
    <xf numFmtId="0" fontId="4" fillId="18" borderId="1" pivotButton="0" quotePrefix="0" xfId="2"/>
    <xf numFmtId="0" fontId="13" fillId="0" borderId="1" applyAlignment="1" pivotButton="0" quotePrefix="0" xfId="2">
      <alignment horizontal="left"/>
    </xf>
    <xf numFmtId="165" fontId="13" fillId="0" borderId="3" applyAlignment="1" pivotButton="0" quotePrefix="0" xfId="3">
      <alignment horizontal="right" vertical="center"/>
    </xf>
    <xf numFmtId="0" fontId="4" fillId="0" borderId="4" applyAlignment="1" pivotButton="0" quotePrefix="0" xfId="2">
      <alignment horizontal="center" vertical="center"/>
    </xf>
    <xf numFmtId="0" fontId="15" fillId="0" borderId="1" applyAlignment="1" pivotButton="0" quotePrefix="0" xfId="2">
      <alignment horizontal="left"/>
    </xf>
    <xf numFmtId="0" fontId="13" fillId="0" borderId="0" applyAlignment="1" pivotButton="0" quotePrefix="0" xfId="2">
      <alignment horizontal="center" vertical="center"/>
    </xf>
    <xf numFmtId="165" fontId="4" fillId="0" borderId="1" applyAlignment="1" pivotButton="0" quotePrefix="0" xfId="2">
      <alignment horizontal="right" vertical="center"/>
    </xf>
    <xf numFmtId="0" fontId="4" fillId="0" borderId="1" applyAlignment="1" pivotButton="0" quotePrefix="0" xfId="2">
      <alignment horizontal="right" vertical="center"/>
    </xf>
    <xf numFmtId="165" fontId="15" fillId="0" borderId="0" applyAlignment="1" pivotButton="0" quotePrefix="0" xfId="3">
      <alignment horizontal="right" vertical="center"/>
    </xf>
    <xf numFmtId="0" fontId="15" fillId="0" borderId="0" applyAlignment="1" pivotButton="0" quotePrefix="0" xfId="2">
      <alignment horizontal="center" vertical="center"/>
    </xf>
    <xf numFmtId="166" fontId="4" fillId="0" borderId="0" applyAlignment="1" pivotButton="0" quotePrefix="0" xfId="3">
      <alignment horizontal="center" vertical="center"/>
    </xf>
    <xf numFmtId="4" fontId="15" fillId="0" borderId="0" applyAlignment="1" pivotButton="0" quotePrefix="0" xfId="2">
      <alignment horizontal="right" vertical="center"/>
    </xf>
    <xf numFmtId="165" fontId="4" fillId="0" borderId="3" applyAlignment="1" pivotButton="0" quotePrefix="0" xfId="3">
      <alignment horizontal="center" vertical="center"/>
    </xf>
    <xf numFmtId="2" fontId="4" fillId="0" borderId="1" applyAlignment="1" pivotButton="0" quotePrefix="0" xfId="3">
      <alignment horizontal="center" vertical="center"/>
    </xf>
    <xf numFmtId="0" fontId="4" fillId="3" borderId="1" applyAlignment="1" pivotButton="0" quotePrefix="0" xfId="2">
      <alignment horizontal="left" wrapText="1"/>
    </xf>
    <xf numFmtId="0" fontId="4" fillId="3" borderId="1" applyAlignment="1" pivotButton="0" quotePrefix="0" xfId="2">
      <alignment horizontal="center" vertical="center"/>
    </xf>
    <xf numFmtId="0" fontId="17" fillId="9" borderId="1" pivotButton="0" quotePrefix="0" xfId="2"/>
    <xf numFmtId="0" fontId="17" fillId="3" borderId="1" applyAlignment="1" pivotButton="0" quotePrefix="0" xfId="2">
      <alignment horizontal="center"/>
    </xf>
    <xf numFmtId="164" fontId="17" fillId="3" borderId="1" applyAlignment="1" pivotButton="0" quotePrefix="0" xfId="2">
      <alignment horizontal="center" vertical="center"/>
    </xf>
    <xf numFmtId="2" fontId="17" fillId="3" borderId="1" applyAlignment="1" pivotButton="0" quotePrefix="0" xfId="2">
      <alignment horizontal="center" vertical="center"/>
    </xf>
    <xf numFmtId="164" fontId="17" fillId="0" borderId="1" applyAlignment="1" pivotButton="0" quotePrefix="0" xfId="2">
      <alignment horizontal="center" vertical="center"/>
    </xf>
    <xf numFmtId="0" fontId="17" fillId="0" borderId="1" applyAlignment="1" pivotButton="0" quotePrefix="0" xfId="2">
      <alignment horizontal="center" vertical="center"/>
    </xf>
    <xf numFmtId="0" fontId="17" fillId="0" borderId="1" applyAlignment="1" pivotButton="0" quotePrefix="0" xfId="2">
      <alignment horizontal="left" vertical="center"/>
    </xf>
    <xf numFmtId="14" fontId="17" fillId="0" borderId="1" applyAlignment="1" pivotButton="0" quotePrefix="0" xfId="3">
      <alignment horizontal="center" vertical="center"/>
    </xf>
    <xf numFmtId="165" fontId="17" fillId="0" borderId="3" applyAlignment="1" pivotButton="0" quotePrefix="0" xfId="3">
      <alignment vertical="center"/>
    </xf>
    <xf numFmtId="165" fontId="17" fillId="0" borderId="1" applyAlignment="1" pivotButton="0" quotePrefix="0" xfId="2">
      <alignment horizontal="center" vertical="center"/>
    </xf>
    <xf numFmtId="166" fontId="17" fillId="0" borderId="1" applyAlignment="1" pivotButton="0" quotePrefix="0" xfId="3">
      <alignment horizontal="center" vertical="center"/>
    </xf>
    <xf numFmtId="0" fontId="17" fillId="0" borderId="1" applyAlignment="1" pivotButton="0" quotePrefix="0" xfId="2">
      <alignment horizontal="left" wrapText="1"/>
    </xf>
    <xf numFmtId="0" fontId="17" fillId="0" borderId="1" applyAlignment="1" pivotButton="0" quotePrefix="0" xfId="2">
      <alignment horizontal="center"/>
    </xf>
    <xf numFmtId="0" fontId="17" fillId="4" borderId="1" applyAlignment="1" pivotButton="0" quotePrefix="0" xfId="2">
      <alignment horizontal="center" vertical="center"/>
    </xf>
    <xf numFmtId="167" fontId="17" fillId="4" borderId="1" applyAlignment="1" pivotButton="0" quotePrefix="0" xfId="2">
      <alignment horizontal="center" vertical="center"/>
    </xf>
    <xf numFmtId="167" fontId="17" fillId="0" borderId="3" applyAlignment="1" pivotButton="0" quotePrefix="0" xfId="2">
      <alignment horizontal="center" vertical="center"/>
    </xf>
    <xf numFmtId="167" fontId="17" fillId="0" borderId="3" applyAlignment="1" pivotButton="0" quotePrefix="0" xfId="2">
      <alignment horizontal="center"/>
    </xf>
    <xf numFmtId="167" fontId="17" fillId="0" borderId="1" applyAlignment="1" pivotButton="0" quotePrefix="0" xfId="2">
      <alignment horizontal="center"/>
    </xf>
    <xf numFmtId="0" fontId="4" fillId="9" borderId="1" applyAlignment="1" pivotButton="0" quotePrefix="0" xfId="2">
      <alignment vertical="center"/>
    </xf>
    <xf numFmtId="165" fontId="15" fillId="0" borderId="0" applyAlignment="1" pivotButton="0" quotePrefix="0" xfId="3">
      <alignment horizontal="right" vertical="center"/>
    </xf>
    <xf numFmtId="165" fontId="13" fillId="0" borderId="0" applyAlignment="1" pivotButton="0" quotePrefix="0" xfId="3">
      <alignment horizontal="right" vertical="center"/>
    </xf>
    <xf numFmtId="0" fontId="10" fillId="0" borderId="0" applyAlignment="1" pivotButton="0" quotePrefix="0" xfId="2">
      <alignment horizontal="left" wrapText="1"/>
    </xf>
    <xf numFmtId="49" fontId="3" fillId="0" borderId="1" applyAlignment="1" pivotButton="0" quotePrefix="0" xfId="2">
      <alignment horizontal="center" vertical="center"/>
    </xf>
    <xf numFmtId="0" fontId="4" fillId="8" borderId="1" pivotButton="0" quotePrefix="0" xfId="2"/>
    <xf numFmtId="165" fontId="6" fillId="0" borderId="3" applyAlignment="1" pivotButton="0" quotePrefix="0" xfId="3">
      <alignment horizontal="right" vertical="center"/>
    </xf>
    <xf numFmtId="0" fontId="14" fillId="0" borderId="1" applyAlignment="1" pivotButton="0" quotePrefix="0" xfId="2">
      <alignment vertical="center"/>
    </xf>
    <xf numFmtId="49" fontId="3" fillId="0" borderId="0" applyAlignment="1" pivotButton="0" quotePrefix="0" xfId="2">
      <alignment horizontal="center" vertical="center"/>
    </xf>
    <xf numFmtId="49" fontId="3" fillId="0" borderId="1" applyAlignment="1" pivotButton="0" quotePrefix="0" xfId="2">
      <alignment horizontal="left"/>
    </xf>
    <xf numFmtId="165" fontId="4" fillId="0" borderId="0" applyAlignment="1" pivotButton="0" quotePrefix="0" xfId="3">
      <alignment horizontal="center" vertical="center"/>
    </xf>
    <xf numFmtId="2" fontId="15" fillId="0" borderId="3" applyAlignment="1" pivotButton="0" quotePrefix="0" xfId="2">
      <alignment horizontal="right" vertical="center"/>
    </xf>
    <xf numFmtId="0" fontId="15" fillId="0" borderId="1" applyAlignment="1" pivotButton="0" quotePrefix="0" xfId="2">
      <alignment horizontal="left" vertical="center"/>
    </xf>
    <xf numFmtId="0" fontId="15" fillId="0" borderId="5" applyAlignment="1" pivotButton="0" quotePrefix="0" xfId="2">
      <alignment horizontal="left"/>
    </xf>
    <xf numFmtId="165" fontId="13" fillId="0" borderId="9" applyAlignment="1" pivotButton="0" quotePrefix="0" xfId="3">
      <alignment horizontal="right" vertical="center"/>
    </xf>
    <xf numFmtId="0" fontId="4" fillId="0" borderId="10" applyAlignment="1" pivotButton="0" quotePrefix="0" xfId="2">
      <alignment horizontal="center" vertical="center"/>
    </xf>
    <xf numFmtId="0" fontId="4" fillId="0" borderId="4" applyAlignment="1" pivotButton="0" quotePrefix="0" xfId="2">
      <alignment horizontal="left" wrapText="1"/>
    </xf>
    <xf numFmtId="0" fontId="4" fillId="0" borderId="3" applyAlignment="1" pivotButton="0" quotePrefix="0" xfId="2">
      <alignment horizontal="left" vertical="center"/>
    </xf>
    <xf numFmtId="165" fontId="4" fillId="0" borderId="3" applyAlignment="1" pivotButton="0" quotePrefix="0" xfId="3">
      <alignment horizontal="right" vertical="center"/>
    </xf>
    <xf numFmtId="166" fontId="4" fillId="0" borderId="1" applyAlignment="1" pivotButton="0" quotePrefix="0" xfId="2">
      <alignment horizontal="center" vertical="center"/>
    </xf>
    <xf numFmtId="0" fontId="4" fillId="0" borderId="3" applyAlignment="1" pivotButton="0" quotePrefix="0" xfId="2">
      <alignment horizontal="center"/>
    </xf>
    <xf numFmtId="0" fontId="4" fillId="0" borderId="4" applyAlignment="1" pivotButton="0" quotePrefix="0" xfId="2">
      <alignment horizontal="center"/>
    </xf>
    <xf numFmtId="165" fontId="4" fillId="0" borderId="3" applyAlignment="1" pivotButton="0" quotePrefix="0" xfId="3">
      <alignment horizontal="left" vertical="center"/>
    </xf>
    <xf numFmtId="165" fontId="4" fillId="0" borderId="1" applyAlignment="1" pivotButton="0" quotePrefix="0" xfId="2">
      <alignment horizontal="left" vertical="center"/>
    </xf>
    <xf numFmtId="0" fontId="4" fillId="3" borderId="4" applyAlignment="1" pivotButton="0" quotePrefix="0" xfId="2">
      <alignment horizontal="center" vertical="center"/>
    </xf>
    <xf numFmtId="0" fontId="4" fillId="0" borderId="0" applyAlignment="1" pivotButton="0" quotePrefix="0" xfId="2">
      <alignment horizontal="left" vertical="center"/>
    </xf>
    <xf numFmtId="0" fontId="10" fillId="3" borderId="1" applyAlignment="1" pivotButton="0" quotePrefix="0" xfId="2">
      <alignment horizontal="center"/>
    </xf>
    <xf numFmtId="0" fontId="18" fillId="0" borderId="1" applyAlignment="1" pivotButton="0" quotePrefix="0" xfId="2">
      <alignment horizontal="left"/>
    </xf>
    <xf numFmtId="49" fontId="4" fillId="0" borderId="1" applyAlignment="1" pivotButton="0" quotePrefix="0" xfId="2">
      <alignment horizontal="center" vertical="center"/>
    </xf>
    <xf numFmtId="0" fontId="19" fillId="0" borderId="1" applyAlignment="1" pivotButton="0" quotePrefix="0" xfId="2">
      <alignment vertical="center"/>
    </xf>
    <xf numFmtId="0" fontId="20" fillId="0" borderId="1" applyAlignment="1" pivotButton="0" quotePrefix="0" xfId="2">
      <alignment horizontal="center" vertical="center"/>
    </xf>
    <xf numFmtId="0" fontId="21" fillId="0" borderId="1" applyAlignment="1" pivotButton="0" quotePrefix="0" xfId="2">
      <alignment horizontal="left"/>
    </xf>
    <xf numFmtId="0" fontId="22" fillId="0" borderId="1" applyAlignment="1" pivotButton="0" quotePrefix="0" xfId="2">
      <alignment vertical="center"/>
    </xf>
    <xf numFmtId="165" fontId="4" fillId="13" borderId="3" applyAlignment="1" pivotButton="0" quotePrefix="0" xfId="3">
      <alignment vertical="center"/>
    </xf>
    <xf numFmtId="165" fontId="4" fillId="13" borderId="1" applyAlignment="1" pivotButton="0" quotePrefix="0" xfId="2">
      <alignment horizontal="center" vertical="center"/>
    </xf>
    <xf numFmtId="0" fontId="4" fillId="13" borderId="1" applyAlignment="1" pivotButton="0" quotePrefix="0" xfId="2">
      <alignment horizontal="center" vertical="center"/>
    </xf>
    <xf numFmtId="166" fontId="4" fillId="13" borderId="1" applyAlignment="1" pivotButton="0" quotePrefix="0" xfId="3">
      <alignment horizontal="center" vertical="center"/>
    </xf>
    <xf numFmtId="0" fontId="4" fillId="13" borderId="1" applyAlignment="1" pivotButton="0" quotePrefix="0" xfId="2">
      <alignment horizontal="left" wrapText="1"/>
    </xf>
    <xf numFmtId="14" fontId="4" fillId="3" borderId="1" applyAlignment="1" pivotButton="0" quotePrefix="0" xfId="2">
      <alignment horizontal="center"/>
    </xf>
    <xf numFmtId="166" fontId="4" fillId="0" borderId="1" applyAlignment="1" pivotButton="0" quotePrefix="0" xfId="3">
      <alignment horizontal="left" vertical="center"/>
    </xf>
    <xf numFmtId="0" fontId="23" fillId="0" borderId="1" applyAlignment="1" pivotButton="0" quotePrefix="0" xfId="2">
      <alignment horizontal="center" vertical="center"/>
    </xf>
    <xf numFmtId="167" fontId="4" fillId="0" borderId="1" applyAlignment="1" pivotButton="0" quotePrefix="0" xfId="2">
      <alignment horizontal="left"/>
    </xf>
    <xf numFmtId="167" fontId="4" fillId="0" borderId="11" applyAlignment="1" pivotButton="0" quotePrefix="0" xfId="2">
      <alignment horizontal="center"/>
    </xf>
    <xf numFmtId="0" fontId="4" fillId="0" borderId="11" applyAlignment="1" pivotButton="0" quotePrefix="0" xfId="2">
      <alignment horizontal="center"/>
    </xf>
    <xf numFmtId="167" fontId="4" fillId="0" borderId="1" applyAlignment="1" pivotButton="0" quotePrefix="0" xfId="2">
      <alignment horizontal="center" vertical="center"/>
    </xf>
    <xf numFmtId="167" fontId="4" fillId="0" borderId="1" applyAlignment="1" pivotButton="0" quotePrefix="0" xfId="2">
      <alignment horizontal="center"/>
    </xf>
    <xf numFmtId="166" fontId="4" fillId="0" borderId="1" applyAlignment="1" pivotButton="0" quotePrefix="0" xfId="3">
      <alignment horizontal="center" vertical="center"/>
    </xf>
    <xf numFmtId="165" fontId="4" fillId="0" borderId="1" applyAlignment="1" pivotButton="0" quotePrefix="0" xfId="3">
      <alignment vertical="center"/>
    </xf>
    <xf numFmtId="167" fontId="4" fillId="0" borderId="11" applyAlignment="1" pivotButton="0" quotePrefix="0" xfId="2">
      <alignment horizontal="center"/>
    </xf>
    <xf numFmtId="167" fontId="4" fillId="0" borderId="1" applyAlignment="1" pivotButton="0" quotePrefix="0" xfId="2">
      <alignment horizontal="left"/>
    </xf>
    <xf numFmtId="167" fontId="4" fillId="0" borderId="3" applyAlignment="1" pivotButton="0" quotePrefix="0" xfId="2">
      <alignment horizontal="center"/>
    </xf>
    <xf numFmtId="166" fontId="4" fillId="0" borderId="1" applyAlignment="1" pivotButton="0" quotePrefix="0" xfId="3">
      <alignment horizontal="left" vertical="center"/>
    </xf>
    <xf numFmtId="165" fontId="4" fillId="0" borderId="3" applyAlignment="1" pivotButton="0" quotePrefix="0" xfId="3">
      <alignment horizontal="center" vertical="center"/>
    </xf>
    <xf numFmtId="165" fontId="4" fillId="0" borderId="1" applyAlignment="1" pivotButton="0" quotePrefix="0" xfId="2">
      <alignment horizontal="center" vertical="center"/>
    </xf>
    <xf numFmtId="165" fontId="4" fillId="0" borderId="3" applyAlignment="1" pivotButton="0" quotePrefix="0" xfId="3">
      <alignment vertical="center"/>
    </xf>
    <xf numFmtId="167" fontId="4" fillId="4" borderId="1" applyAlignment="1" pivotButton="0" quotePrefix="0" xfId="2">
      <alignment horizontal="center" vertical="center"/>
    </xf>
    <xf numFmtId="166" fontId="4" fillId="13" borderId="1" applyAlignment="1" pivotButton="0" quotePrefix="0" xfId="3">
      <alignment horizontal="center" vertical="center"/>
    </xf>
    <xf numFmtId="165" fontId="4" fillId="13" borderId="1" applyAlignment="1" pivotButton="0" quotePrefix="0" xfId="2">
      <alignment horizontal="center" vertical="center"/>
    </xf>
    <xf numFmtId="165" fontId="4" fillId="13" borderId="3" applyAlignment="1" pivotButton="0" quotePrefix="0" xfId="3">
      <alignment vertical="center"/>
    </xf>
    <xf numFmtId="167" fontId="5" fillId="4" borderId="1" applyAlignment="1" pivotButton="0" quotePrefix="0" xfId="2">
      <alignment horizontal="center" vertical="center"/>
    </xf>
    <xf numFmtId="165" fontId="4" fillId="0" borderId="1" applyAlignment="1" pivotButton="0" quotePrefix="0" xfId="3">
      <alignment horizontal="center" vertical="center"/>
    </xf>
    <xf numFmtId="165" fontId="4" fillId="0" borderId="5" applyAlignment="1" pivotButton="0" quotePrefix="0" xfId="2">
      <alignment horizontal="center" vertical="center"/>
    </xf>
    <xf numFmtId="166" fontId="4" fillId="6" borderId="1" applyAlignment="1" pivotButton="0" quotePrefix="0" xfId="3">
      <alignment horizontal="center" vertical="center"/>
    </xf>
    <xf numFmtId="165" fontId="4" fillId="6" borderId="1" applyAlignment="1" pivotButton="0" quotePrefix="0" xfId="2">
      <alignment horizontal="center" vertical="center"/>
    </xf>
    <xf numFmtId="165" fontId="4" fillId="6" borderId="3" applyAlignment="1" pivotButton="0" quotePrefix="0" xfId="3">
      <alignment vertical="center"/>
    </xf>
    <xf numFmtId="165" fontId="4" fillId="0" borderId="3" applyAlignment="1" pivotButton="0" quotePrefix="0" xfId="3">
      <alignment horizontal="right" vertical="center"/>
    </xf>
    <xf numFmtId="165" fontId="4" fillId="0" borderId="0" applyAlignment="1" pivotButton="0" quotePrefix="0" xfId="3">
      <alignment vertical="center"/>
    </xf>
    <xf numFmtId="166" fontId="4" fillId="0" borderId="0" applyAlignment="1" pivotButton="0" quotePrefix="0" xfId="3">
      <alignment horizontal="center" vertical="center"/>
    </xf>
    <xf numFmtId="165" fontId="4" fillId="0" borderId="1" applyAlignment="1" pivotButton="0" quotePrefix="0" xfId="2">
      <alignment horizontal="left" vertical="center"/>
    </xf>
    <xf numFmtId="165" fontId="4" fillId="0" borderId="3" applyAlignment="1" pivotButton="0" quotePrefix="0" xfId="3">
      <alignment horizontal="left" vertical="center"/>
    </xf>
    <xf numFmtId="167" fontId="4" fillId="0" borderId="3" applyAlignment="1" pivotButton="0" quotePrefix="0" xfId="2">
      <alignment horizontal="center" vertical="center"/>
    </xf>
    <xf numFmtId="166" fontId="4" fillId="0" borderId="1" applyAlignment="1" pivotButton="0" quotePrefix="0" xfId="2">
      <alignment horizontal="center" vertical="center"/>
    </xf>
    <xf numFmtId="165" fontId="15" fillId="0" borderId="3" applyAlignment="1" pivotButton="0" quotePrefix="0" xfId="3">
      <alignment horizontal="right" vertical="center"/>
    </xf>
    <xf numFmtId="165" fontId="13" fillId="0" borderId="3" applyAlignment="1" pivotButton="0" quotePrefix="0" xfId="3">
      <alignment horizontal="right" vertical="center"/>
    </xf>
    <xf numFmtId="165" fontId="13" fillId="0" borderId="9" applyAlignment="1" pivotButton="0" quotePrefix="0" xfId="3">
      <alignment horizontal="right" vertical="center"/>
    </xf>
    <xf numFmtId="165" fontId="15" fillId="0" borderId="0" applyAlignment="1" pivotButton="0" quotePrefix="0" xfId="3">
      <alignment horizontal="right" vertical="center"/>
    </xf>
    <xf numFmtId="165" fontId="4" fillId="0" borderId="0" applyAlignment="1" pivotButton="0" quotePrefix="0" xfId="3">
      <alignment horizontal="center" vertical="center"/>
    </xf>
    <xf numFmtId="165" fontId="6" fillId="0" borderId="3" applyAlignment="1" pivotButton="0" quotePrefix="0" xfId="3">
      <alignment horizontal="right" vertical="center"/>
    </xf>
    <xf numFmtId="165" fontId="13" fillId="0" borderId="0" applyAlignment="1" pivotButton="0" quotePrefix="0" xfId="3">
      <alignment horizontal="right" vertical="center"/>
    </xf>
    <xf numFmtId="166" fontId="4" fillId="16" borderId="1" applyAlignment="1" pivotButton="0" quotePrefix="0" xfId="3">
      <alignment horizontal="center" vertical="center"/>
    </xf>
    <xf numFmtId="165" fontId="4" fillId="16" borderId="1" applyAlignment="1" pivotButton="0" quotePrefix="0" xfId="2">
      <alignment horizontal="center" vertical="center"/>
    </xf>
    <xf numFmtId="165" fontId="4" fillId="16" borderId="3" applyAlignment="1" pivotButton="0" quotePrefix="0" xfId="3">
      <alignment vertical="center"/>
    </xf>
    <xf numFmtId="167" fontId="17" fillId="0" borderId="3" applyAlignment="1" pivotButton="0" quotePrefix="0" xfId="2">
      <alignment horizontal="center" vertical="center"/>
    </xf>
    <xf numFmtId="167" fontId="17" fillId="0" borderId="1" applyAlignment="1" pivotButton="0" quotePrefix="0" xfId="2">
      <alignment horizontal="center"/>
    </xf>
    <xf numFmtId="167" fontId="17" fillId="0" borderId="3" applyAlignment="1" pivotButton="0" quotePrefix="0" xfId="2">
      <alignment horizontal="center"/>
    </xf>
    <xf numFmtId="167" fontId="17" fillId="4" borderId="1" applyAlignment="1" pivotButton="0" quotePrefix="0" xfId="2">
      <alignment horizontal="center" vertical="center"/>
    </xf>
    <xf numFmtId="166" fontId="17" fillId="0" borderId="1" applyAlignment="1" pivotButton="0" quotePrefix="0" xfId="3">
      <alignment horizontal="center" vertical="center"/>
    </xf>
    <xf numFmtId="165" fontId="17" fillId="0" borderId="1" applyAlignment="1" pivotButton="0" quotePrefix="0" xfId="2">
      <alignment horizontal="center" vertical="center"/>
    </xf>
    <xf numFmtId="165" fontId="17" fillId="0" borderId="3" applyAlignment="1" pivotButton="0" quotePrefix="0" xfId="3">
      <alignment vertical="center"/>
    </xf>
    <xf numFmtId="165" fontId="4" fillId="0" borderId="1" applyAlignment="1" pivotButton="0" quotePrefix="0" xfId="2">
      <alignment horizontal="right" vertical="center"/>
    </xf>
    <xf numFmtId="167" fontId="10" fillId="0" borderId="1" applyAlignment="1" pivotButton="0" quotePrefix="0" xfId="2">
      <alignment horizontal="center"/>
    </xf>
    <xf numFmtId="165" fontId="4" fillId="0" borderId="3" applyAlignment="1" pivotButton="0" quotePrefix="0" xfId="2">
      <alignment horizontal="center" vertical="center"/>
    </xf>
    <xf numFmtId="166" fontId="4" fillId="0" borderId="5" applyAlignment="1" pivotButton="0" quotePrefix="0" xfId="3">
      <alignment horizontal="center" vertical="center"/>
    </xf>
    <xf numFmtId="165" fontId="4" fillId="0" borderId="5" applyAlignment="1" pivotButton="0" quotePrefix="0" xfId="3">
      <alignment vertical="center"/>
    </xf>
    <xf numFmtId="165" fontId="4" fillId="0" borderId="5" applyAlignment="1" pivotButton="0" quotePrefix="0" xfId="3">
      <alignment horizontal="center" vertical="center"/>
    </xf>
    <xf numFmtId="165" fontId="4" fillId="0" borderId="5" applyAlignment="1" pivotButton="0" quotePrefix="0" xfId="2">
      <alignment horizontal="right" vertical="center"/>
    </xf>
    <xf numFmtId="165" fontId="4" fillId="0" borderId="0" applyAlignment="1" pivotButton="0" quotePrefix="0" xfId="3">
      <alignment horizontal="right" vertical="center"/>
    </xf>
    <xf numFmtId="165" fontId="4" fillId="0" borderId="5" applyAlignment="1" pivotButton="0" quotePrefix="0" xfId="2">
      <alignment horizontal="center"/>
    </xf>
    <xf numFmtId="165" fontId="4" fillId="6" borderId="5" applyAlignment="1" pivotButton="0" quotePrefix="0" xfId="2">
      <alignment horizontal="center" vertical="center"/>
    </xf>
    <xf numFmtId="165" fontId="4" fillId="6" borderId="1" applyAlignment="1" pivotButton="0" quotePrefix="0" xfId="3">
      <alignment vertical="center"/>
    </xf>
    <xf numFmtId="165" fontId="10" fillId="0" borderId="1" applyAlignment="1" pivotButton="0" quotePrefix="0" xfId="3">
      <alignment horizontal="center" vertical="center"/>
    </xf>
    <xf numFmtId="167" fontId="5" fillId="0" borderId="1" applyAlignment="1" pivotButton="0" quotePrefix="0" xfId="2">
      <alignment horizontal="center" vertical="center"/>
    </xf>
    <xf numFmtId="166" fontId="4" fillId="9" borderId="1" applyAlignment="1" pivotButton="0" quotePrefix="0" xfId="3">
      <alignment horizontal="center" vertical="center"/>
    </xf>
    <xf numFmtId="165" fontId="4" fillId="9" borderId="5" applyAlignment="1" pivotButton="0" quotePrefix="0" xfId="2">
      <alignment horizontal="center" vertical="center"/>
    </xf>
    <xf numFmtId="165" fontId="4" fillId="9" borderId="1" applyAlignment="1" pivotButton="0" quotePrefix="0" xfId="3">
      <alignment vertical="center"/>
    </xf>
    <xf numFmtId="167" fontId="10" fillId="0" borderId="3" applyAlignment="1" pivotButton="0" quotePrefix="0" xfId="2">
      <alignment horizontal="center"/>
    </xf>
    <xf numFmtId="166" fontId="10" fillId="0" borderId="1" applyAlignment="1" pivotButton="0" quotePrefix="0" xfId="3">
      <alignment horizontal="center" vertical="center"/>
    </xf>
    <xf numFmtId="165" fontId="10" fillId="0" borderId="5" applyAlignment="1" pivotButton="0" quotePrefix="0" xfId="2">
      <alignment horizontal="center" vertical="center"/>
    </xf>
    <xf numFmtId="165" fontId="10" fillId="0" borderId="1" applyAlignment="1" pivotButton="0" quotePrefix="0" xfId="3">
      <alignment vertical="center"/>
    </xf>
    <xf numFmtId="167" fontId="4" fillId="9" borderId="3" applyAlignment="1" pivotButton="0" quotePrefix="0" xfId="2">
      <alignment horizontal="center"/>
    </xf>
    <xf numFmtId="165" fontId="4" fillId="9" borderId="1" applyAlignment="1" pivotButton="0" quotePrefix="0" xfId="3">
      <alignment horizontal="center" vertical="center"/>
    </xf>
    <xf numFmtId="167" fontId="4" fillId="9" borderId="3" applyAlignment="1" pivotButton="0" quotePrefix="0" xfId="2">
      <alignment horizontal="center" vertical="center"/>
    </xf>
    <xf numFmtId="167" fontId="8" fillId="0" borderId="3" applyAlignment="1" pivotButton="0" quotePrefix="0" xfId="2">
      <alignment horizontal="center" vertical="center"/>
    </xf>
    <xf numFmtId="167" fontId="4" fillId="4" borderId="3" applyAlignment="1" pivotButton="0" quotePrefix="0" xfId="2">
      <alignment horizontal="center"/>
    </xf>
    <xf numFmtId="167" fontId="4" fillId="4" borderId="3" applyAlignment="1" pivotButton="0" quotePrefix="0" xfId="2">
      <alignment horizontal="center" vertical="center"/>
    </xf>
    <xf numFmtId="166" fontId="8" fillId="0" borderId="1" applyAlignment="1" pivotButton="0" quotePrefix="0" xfId="3">
      <alignment horizontal="center" vertical="center"/>
    </xf>
    <xf numFmtId="165" fontId="8" fillId="0" borderId="1" applyAlignment="1" pivotButton="0" quotePrefix="0" xfId="3">
      <alignment vertical="center"/>
    </xf>
    <xf numFmtId="165" fontId="8" fillId="0" borderId="1" applyAlignment="1" pivotButton="0" quotePrefix="0" xfId="3">
      <alignment horizontal="center" vertical="center"/>
    </xf>
    <xf numFmtId="166" fontId="8" fillId="9" borderId="1" applyAlignment="1" pivotButton="0" quotePrefix="0" xfId="3">
      <alignment horizontal="center" vertical="center"/>
    </xf>
    <xf numFmtId="165" fontId="4" fillId="9" borderId="1" applyAlignment="1" pivotButton="0" quotePrefix="0" xfId="2">
      <alignment horizontal="center" vertical="center"/>
    </xf>
    <xf numFmtId="165" fontId="8" fillId="0" borderId="5" applyAlignment="1" pivotButton="0" quotePrefix="0" xfId="2">
      <alignment horizontal="center" vertical="center"/>
    </xf>
    <xf numFmtId="166" fontId="4" fillId="10" borderId="1" applyAlignment="1" pivotButton="0" quotePrefix="0" xfId="3">
      <alignment horizontal="center" vertical="center"/>
    </xf>
    <xf numFmtId="165" fontId="4" fillId="10" borderId="5" applyAlignment="1" pivotButton="0" quotePrefix="0" xfId="2">
      <alignment horizontal="center" vertical="center"/>
    </xf>
    <xf numFmtId="165" fontId="4" fillId="10" borderId="1" applyAlignment="1" pivotButton="0" quotePrefix="0" xfId="3">
      <alignment vertical="center"/>
    </xf>
    <xf numFmtId="167" fontId="4" fillId="0" borderId="7" applyAlignment="1" pivotButton="0" quotePrefix="0" xfId="2">
      <alignment horizontal="center" vertical="center"/>
    </xf>
    <xf numFmtId="166" fontId="4" fillId="15" borderId="1" applyAlignment="1" pivotButton="0" quotePrefix="0" xfId="3">
      <alignment horizontal="center" vertical="center"/>
    </xf>
    <xf numFmtId="165" fontId="4" fillId="15" borderId="5" applyAlignment="1" pivotButton="0" quotePrefix="0" xfId="2">
      <alignment horizontal="center" vertical="center"/>
    </xf>
    <xf numFmtId="165" fontId="4" fillId="15" borderId="1" applyAlignment="1" pivotButton="0" quotePrefix="0" xfId="3">
      <alignment vertical="center"/>
    </xf>
    <xf numFmtId="165" fontId="4" fillId="15" borderId="1" applyAlignment="1" pivotButton="0" quotePrefix="0" xfId="3">
      <alignment horizontal="center" vertical="center"/>
    </xf>
    <xf numFmtId="166" fontId="4" fillId="12" borderId="1" applyAlignment="1" pivotButton="0" quotePrefix="0" xfId="3">
      <alignment horizontal="center" vertical="center"/>
    </xf>
    <xf numFmtId="165" fontId="4" fillId="12" borderId="5" applyAlignment="1" pivotButton="0" quotePrefix="0" xfId="2">
      <alignment horizontal="center" vertical="center"/>
    </xf>
    <xf numFmtId="165" fontId="4" fillId="12" borderId="1" applyAlignment="1" pivotButton="0" quotePrefix="0" xfId="3">
      <alignment vertical="center"/>
    </xf>
    <xf numFmtId="165" fontId="4" fillId="12" borderId="1" applyAlignment="1" pivotButton="0" quotePrefix="0" xfId="3">
      <alignment horizontal="center" vertical="center"/>
    </xf>
    <xf numFmtId="167" fontId="4" fillId="4" borderId="7" applyAlignment="1" pivotButton="0" quotePrefix="0" xfId="2">
      <alignment horizontal="center" vertical="center"/>
    </xf>
    <xf numFmtId="167" fontId="4" fillId="4" borderId="5" applyAlignment="1" pivotButton="0" quotePrefix="0" xfId="2">
      <alignment horizontal="center" vertical="center"/>
    </xf>
    <xf numFmtId="165" fontId="4" fillId="10" borderId="1" applyAlignment="1" pivotButton="0" quotePrefix="0" xfId="2">
      <alignment horizontal="center" vertical="center"/>
    </xf>
    <xf numFmtId="166" fontId="4" fillId="8" borderId="1" applyAlignment="1" pivotButton="0" quotePrefix="0" xfId="3">
      <alignment horizontal="center" vertical="center"/>
    </xf>
    <xf numFmtId="165" fontId="4" fillId="8" borderId="1" applyAlignment="1" pivotButton="0" quotePrefix="0" xfId="2">
      <alignment horizontal="center" vertical="center"/>
    </xf>
    <xf numFmtId="165" fontId="4" fillId="8" borderId="1" applyAlignment="1" pivotButton="0" quotePrefix="0" xfId="3">
      <alignment vertical="center"/>
    </xf>
    <xf numFmtId="167" fontId="4" fillId="0" borderId="8" applyAlignment="1" pivotButton="0" quotePrefix="0" xfId="2">
      <alignment horizontal="center"/>
    </xf>
    <xf numFmtId="167" fontId="4" fillId="0" borderId="7" applyAlignment="1" pivotButton="0" quotePrefix="0" xfId="2">
      <alignment horizontal="center"/>
    </xf>
    <xf numFmtId="167" fontId="2" fillId="2" borderId="3" applyAlignment="1" pivotButton="0" quotePrefix="0" xfId="1">
      <alignment horizontal="center"/>
    </xf>
    <xf numFmtId="167" fontId="4" fillId="0" borderId="5" applyAlignment="1" pivotButton="0" quotePrefix="0" xfId="2">
      <alignment horizontal="center" vertical="center"/>
    </xf>
    <xf numFmtId="167" fontId="4" fillId="0" borderId="5" applyAlignment="1" pivotButton="0" quotePrefix="0" xfId="2">
      <alignment horizontal="center"/>
    </xf>
  </cellXfs>
  <cellStyles count="4">
    <cellStyle name="Normal" xfId="0"/>
    <cellStyle name="Good" xfId="1"/>
    <cellStyle name="Normal 2" xfId="2"/>
    <cellStyle name="Comma 2" xfId="3"/>
  </cellStyles>
  <dxfs count="113">
    <dxf>
      <font>
        <color rgb="FF9C0006"/>
      </font>
      <fill>
        <patternFill>
          <bgColor rgb="FFFFC7CE"/>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ont>
        <name val="Aptos Narrow"/>
        <family val="2"/>
        <color theme="1"/>
        <sz val="10"/>
        <scheme val="minor"/>
      </font>
      <fill>
        <patternFill>
          <bgColor indexed="64"/>
        </patternFill>
      </fill>
      <border>
        <left style="thin">
          <color indexed="64"/>
        </left>
        <right/>
        <top style="thin">
          <color indexed="64"/>
        </top>
        <bottom style="thin">
          <color indexed="64"/>
        </bottom>
      </border>
    </dxf>
    <dxf>
      <font>
        <name val="Aptos Narrow"/>
        <family val="2"/>
        <color theme="1"/>
        <sz val="10"/>
        <scheme val="minor"/>
      </font>
      <numFmt numFmtId="164" formatCode="[$-409]dd\-mmm\-yy;@"/>
      <fill>
        <patternFill>
          <bgColor indexed="64"/>
        </patternFill>
      </fill>
      <border>
        <left style="thin">
          <color indexed="64"/>
        </left>
        <right style="thin">
          <color indexed="64"/>
        </right>
        <top style="thin">
          <color indexed="64"/>
        </top>
        <bottom style="thin">
          <color indexed="64"/>
        </bottom>
      </border>
    </dxf>
    <dxf>
      <font>
        <name val="Aptos Narrow"/>
        <family val="2"/>
        <color theme="1"/>
        <sz val="10"/>
        <scheme val="minor"/>
      </font>
      <numFmt numFmtId="2" formatCode="0.00"/>
      <fill>
        <patternFill>
          <bgColor indexed="64"/>
        </patternFill>
      </fill>
      <border>
        <left style="thin">
          <color indexed="64"/>
        </left>
        <right style="thin">
          <color indexed="64"/>
        </right>
        <top style="thin">
          <color indexed="64"/>
        </top>
        <bottom style="thin">
          <color indexed="64"/>
        </bottom>
      </border>
    </dxf>
    <dxf>
      <font>
        <name val="Aptos Narrow"/>
        <family val="2"/>
        <color theme="1"/>
        <sz val="10"/>
        <scheme val="minor"/>
      </font>
      <numFmt numFmtId="164" formatCode="[$-409]dd\-mmm\-yy;@"/>
      <border>
        <left style="thin">
          <color indexed="64"/>
        </left>
        <right style="thin">
          <color indexed="64"/>
        </right>
        <top style="thin">
          <color indexed="64"/>
        </top>
        <bottom/>
      </border>
    </dxf>
    <dxf>
      <font>
        <name val="Aptos Narrow"/>
        <family val="2"/>
        <color theme="1"/>
        <sz val="10"/>
        <scheme val="minor"/>
      </font>
      <numFmt numFmtId="164" formatCode="[$-409]dd\-mmm\-yy;@"/>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numFmt numFmtId="35" formatCode="_-* #,##0.00_-;\-* #,##0.00_-;_-* &quot;-&quot;??_-;_-@_-"/>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numFmt numFmtId="165" formatCode="0;[Red]0"/>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rgb="FF0070C0"/>
        <sz val="10"/>
        <scheme val="minor"/>
      </font>
      <border>
        <left style="thin">
          <color indexed="64"/>
        </left>
        <right style="thin">
          <color indexed="64"/>
        </right>
        <top style="thin">
          <color indexed="64"/>
        </top>
        <bottom style="thin">
          <color indexed="64"/>
        </bottom>
      </border>
    </dxf>
    <dxf>
      <font>
        <name val="Aptos Narrow"/>
        <family val="2"/>
        <color theme="1"/>
        <sz val="10"/>
        <scheme val="minor"/>
      </font>
      <border>
        <left style="thin">
          <color indexed="64"/>
        </left>
        <right style="thin">
          <color indexed="64"/>
        </right>
        <top style="thin">
          <color indexed="64"/>
        </top>
        <bottom/>
      </border>
    </dxf>
    <dxf>
      <font>
        <name val="Aptos Narrow"/>
        <family val="2"/>
        <color theme="1"/>
        <sz val="10"/>
        <scheme val="minor"/>
      </font>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fill>
        <patternFill patternType="solid">
          <bgColor auto="1"/>
        </patternFill>
      </fill>
      <border>
        <left style="thin">
          <color indexed="64"/>
        </left>
        <right style="thin">
          <color indexed="64"/>
        </right>
        <top style="thin">
          <color indexed="64"/>
        </top>
        <bottom style="thin">
          <color indexed="64"/>
        </bottom>
      </border>
    </dxf>
    <dxf>
      <font>
        <name val="Aptos Narrow"/>
        <family val="2"/>
        <color theme="1"/>
        <sz val="10"/>
        <scheme val="minor"/>
      </font>
      <numFmt numFmtId="166" formatCode="[$-409]d\-mmm\-yy;@"/>
      <fill>
        <patternFill patternType="solid">
          <bgColor auto="1"/>
        </patternFill>
      </fill>
      <border>
        <left/>
        <right style="thin">
          <color indexed="64"/>
        </right>
        <top style="thin">
          <color indexed="64"/>
        </top>
        <bottom style="thin">
          <color indexed="64"/>
        </bottom>
      </border>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ill>
        <patternFill patternType="solid">
          <bgColor auto="1"/>
        </patternFill>
      </fill>
    </dxf>
    <dxf>
      <font>
        <name val="Aptos Narrow"/>
        <family val="2"/>
        <color theme="1"/>
        <sz val="10"/>
        <scheme val="minor"/>
      </font>
      <fill>
        <patternFill patternType="solid">
          <bgColor auto="1"/>
        </patternFill>
      </fill>
      <border>
        <left style="thin">
          <color indexed="64"/>
        </left>
        <right style="thin">
          <color indexed="64"/>
        </right>
        <top/>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Kittisak Deephoon</author>
  </authors>
  <commentList>
    <comment ref="G383" authorId="0" shapeId="0">
      <text>
        <t>Kittisak Deephoon:มี 8 รายการ(383-386, 363-367)</t>
      </text>
    </comment>
  </commentList>
</comments>
</file>

<file path=xl/tables/table1.xml><?xml version="1.0" encoding="utf-8"?>
<table xmlns="http://schemas.openxmlformats.org/spreadsheetml/2006/main" id="1" name="RawDataGenPO" displayName="RawDataGenPO" ref="A1:AC2210" headerRowCount="1">
  <autoFilter ref="A1:AC2210"/>
  <tableColumns count="29">
    <tableColumn id="31" name="No."/>
    <tableColumn id="34" name="Type of cost"/>
    <tableColumn id="35" name="DMY Create(EN) CPP"/>
    <tableColumn id="36" name="CPP No."/>
    <tableColumn id="37" name="Sub CPP No.."/>
    <tableColumn id="1" name="DMY Create PR"/>
    <tableColumn id="2" name="PR No."/>
    <tableColumn id="3" name="PO No."/>
    <tableColumn id="17" name="Date Gen PO"/>
    <tableColumn id="24" name="Date send PO to Supplier"/>
    <tableColumn id="26" name="Lead time delivery (day)"/>
    <tableColumn id="4" name="21-Jan-26"/>
    <tableColumn id="18" name="Group of cost"/>
    <tableColumn id="30" name="PD Machine"/>
    <tableColumn id="13" name="Sub PR  No."/>
    <tableColumn id="5" name="Description"/>
    <tableColumn id="9" name="Qty'"/>
    <tableColumn id="10" name="Unit"/>
    <tableColumn id="15" name="Price/Unit"/>
    <tableColumn id="6" name="Total price"/>
    <tableColumn id="12" name="Approval status"/>
    <tableColumn id="7" name="Vendor name"/>
    <tableColumn id="21" name="PR PO GRN Status"/>
    <tableColumn id="14" name="GRN No."/>
    <tableColumn id="8" name="Date recive bill"/>
    <tableColumn id="32" name="Recive bill plan(DD-MM)"/>
    <tableColumn id="27" name="GRN-PO date"/>
    <tableColumn id="28" name="KPI Status"/>
    <tableColumn id="16" name="Note"/>
  </tableColumns>
  <tableStyleInfo name="TableStyleLight9"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FF00"/>
    <outlinePr summaryBelow="1" summaryRight="1"/>
    <pageSetUpPr/>
  </sheetPr>
  <dimension ref="A1:AC2231"/>
  <sheetViews>
    <sheetView workbookViewId="0">
      <selection activeCell="A1" sqref="A1"/>
    </sheetView>
  </sheetViews>
  <sheetFormatPr baseColWidth="8" defaultColWidth="10" defaultRowHeight="16.79999923706055"/>
  <cols>
    <col width="9.88671875" customWidth="1" style="5" min="1" max="1"/>
    <col width="18.77734375" customWidth="1" style="7" min="2" max="2"/>
    <col width="20.5546875" customWidth="1" style="275" min="3" max="3"/>
    <col width="19.44140625" customWidth="1" style="276" min="4" max="4"/>
    <col width="18.5546875" customWidth="1" style="276" min="5" max="5"/>
    <col width="20.109375" customWidth="1" style="276" min="6" max="6"/>
    <col width="20.109375" customWidth="1" style="5" min="7" max="7"/>
    <col width="22.6640625" customWidth="1" style="5" min="8" max="8"/>
    <col width="17.88671875" customWidth="1" style="275" min="9" max="9"/>
    <col width="26.33203125" customWidth="1" style="5" min="10" max="10"/>
    <col width="24.6640625" customWidth="1" style="12" min="11" max="11"/>
    <col width="19" customWidth="1" style="5" min="12" max="12"/>
    <col width="44.88671875" customWidth="1" style="7" min="13" max="13"/>
    <col width="44.6640625" customWidth="1" style="7" min="14" max="14"/>
    <col width="13" customWidth="1" style="11" min="15" max="15"/>
    <col width="61.6640625" customWidth="1" style="10" min="16" max="16"/>
    <col width="6.88671875" customWidth="1" style="277" min="17" max="17"/>
    <col width="7.44140625" customWidth="1" style="5" min="18" max="18"/>
    <col width="15.77734375" customWidth="1" style="5" min="19" max="19"/>
    <col width="16.5546875" customWidth="1" style="278" min="20" max="20"/>
    <col hidden="1" width="23" customWidth="1" style="5" min="21" max="21"/>
    <col width="51.109375" customWidth="1" style="7" min="22" max="22"/>
    <col width="39.33203125" customWidth="1" style="6" min="23" max="23"/>
    <col width="24.5546875" customWidth="1" style="5" min="24" max="24"/>
    <col width="19.5546875" customWidth="1" style="3" min="25" max="25"/>
    <col width="22.88671875" customWidth="1" style="3" min="26" max="26"/>
    <col width="17.44140625" customWidth="1" style="4" min="27" max="27"/>
    <col width="17.44140625" customWidth="1" style="3" min="28" max="28"/>
    <col width="22.109375" customWidth="1" style="2" min="29" max="29"/>
    <col width="10" customWidth="1" style="1" min="30" max="16384"/>
  </cols>
  <sheetData>
    <row r="1" ht="21" customFormat="1" customHeight="1" s="11">
      <c r="A1" s="274" t="inlineStr">
        <is>
          <t>No.</t>
        </is>
      </c>
      <c r="B1" s="274" t="inlineStr">
        <is>
          <t>Type of cost</t>
        </is>
      </c>
      <c r="C1" s="279" t="inlineStr">
        <is>
          <t>DMY Create(EN) CPP</t>
        </is>
      </c>
      <c r="D1" s="279" t="inlineStr">
        <is>
          <t>CPP No.</t>
        </is>
      </c>
      <c r="E1" s="279" t="inlineStr">
        <is>
          <t>Sub CPP No..</t>
        </is>
      </c>
      <c r="F1" s="280" t="inlineStr">
        <is>
          <t>DMY Create PR</t>
        </is>
      </c>
      <c r="G1" s="5" t="inlineStr">
        <is>
          <t>PR No.</t>
        </is>
      </c>
      <c r="H1" s="5" t="inlineStr">
        <is>
          <t>PO No.</t>
        </is>
      </c>
      <c r="I1" s="275" t="inlineStr">
        <is>
          <t>Date Gen PO</t>
        </is>
      </c>
      <c r="J1" s="5" t="inlineStr">
        <is>
          <t>Date send PO to Supplier</t>
        </is>
      </c>
      <c r="K1" s="271" t="inlineStr">
        <is>
          <t>Lead time delivery (day)</t>
        </is>
      </c>
      <c r="L1" s="281" t="inlineStr">
        <is>
          <t>21-Jan-26</t>
        </is>
      </c>
      <c r="M1" s="5" t="inlineStr">
        <is>
          <t>Group of cost</t>
        </is>
      </c>
      <c r="N1" s="5" t="inlineStr">
        <is>
          <t>PD Machine</t>
        </is>
      </c>
      <c r="O1" s="11" t="inlineStr">
        <is>
          <t>Sub PR  No.</t>
        </is>
      </c>
      <c r="P1" s="6" t="inlineStr">
        <is>
          <t>Description</t>
        </is>
      </c>
      <c r="Q1" s="282" t="inlineStr">
        <is>
          <t>Qty'</t>
        </is>
      </c>
      <c r="R1" s="7" t="inlineStr">
        <is>
          <t>Unit</t>
        </is>
      </c>
      <c r="S1" s="5" t="inlineStr">
        <is>
          <t>Price/Unit</t>
        </is>
      </c>
      <c r="T1" s="283" t="inlineStr">
        <is>
          <t>Total price</t>
        </is>
      </c>
      <c r="U1" s="5" t="inlineStr">
        <is>
          <t>Approval status</t>
        </is>
      </c>
      <c r="V1" s="5" t="inlineStr">
        <is>
          <t>Vendor name</t>
        </is>
      </c>
      <c r="W1" s="6" t="inlineStr">
        <is>
          <t>PR PO GRN Status</t>
        </is>
      </c>
      <c r="X1" s="283" t="inlineStr">
        <is>
          <t>GRN No.</t>
        </is>
      </c>
      <c r="Y1" s="3" t="inlineStr">
        <is>
          <t>Date recive bill</t>
        </is>
      </c>
      <c r="Z1" s="3" t="inlineStr">
        <is>
          <t>Recive bill plan(DD-MM)</t>
        </is>
      </c>
      <c r="AA1" s="4" t="inlineStr">
        <is>
          <t>GRN-PO date</t>
        </is>
      </c>
      <c r="AB1" s="3" t="inlineStr">
        <is>
          <t>KPI Status</t>
        </is>
      </c>
      <c r="AC1" s="11" t="inlineStr">
        <is>
          <t>Note</t>
        </is>
      </c>
    </row>
    <row r="2" ht="15" customFormat="1" customHeight="1" s="125">
      <c r="A2" s="5">
        <f>ROW()-ROW(RawDataGenPO[[#Headers],[No.]])</f>
        <v/>
      </c>
      <c r="B2" s="7" t="inlineStr">
        <is>
          <t>Expent  cost</t>
        </is>
      </c>
      <c r="C2" s="276" t="n">
        <v>45464</v>
      </c>
      <c r="D2" s="276" t="n"/>
      <c r="E2" s="276" t="n"/>
      <c r="F2" s="276" t="n">
        <v>45464</v>
      </c>
      <c r="G2" s="5" t="inlineStr">
        <is>
          <t>PR2425-00164</t>
        </is>
      </c>
      <c r="H2" s="5" t="inlineStr">
        <is>
          <t>PO2425-00240</t>
        </is>
      </c>
      <c r="I2" s="114" t="n">
        <v>45468</v>
      </c>
      <c r="J2" s="114" t="n"/>
      <c r="K2" s="20" t="n">
        <v>30</v>
      </c>
      <c r="L2" s="5" t="inlineStr">
        <is>
          <t>SFST81000050</t>
        </is>
      </c>
      <c r="M2" s="7" t="inlineStr">
        <is>
          <t>Tool and Equipment  Engineering</t>
        </is>
      </c>
      <c r="N2" s="7" t="inlineStr">
        <is>
          <t>Cevil jobs</t>
        </is>
      </c>
      <c r="O2" s="11" t="n">
        <v>1</v>
      </c>
      <c r="P2" s="10" t="inlineStr">
        <is>
          <t>Rag for wiping and cleaning machinery</t>
        </is>
      </c>
      <c r="Q2" s="277" t="n">
        <v>2</v>
      </c>
      <c r="R2" s="5" t="inlineStr">
        <is>
          <t>Sack</t>
        </is>
      </c>
      <c r="S2" s="284">
        <f>RawDataGenPO[[#This Row],[Total price]]/RawDataGenPO[[#This Row],[Qty'']]</f>
        <v/>
      </c>
      <c r="T2" s="285" t="n">
        <v>2450</v>
      </c>
      <c r="U2" s="161" t="inlineStr">
        <is>
          <t>Puneet Approval</t>
        </is>
      </c>
      <c r="V2" s="7" t="inlineStr">
        <is>
          <t>V1000603 - TM SUKSAP TRADING LIMITED PARTNERSHIP</t>
        </is>
      </c>
      <c r="W2" s="5" t="inlineStr">
        <is>
          <t>Recive bill and GRN already</t>
        </is>
      </c>
      <c r="X2" s="5" t="n"/>
      <c r="Y2" s="3" t="n">
        <v>45498</v>
      </c>
      <c r="Z2" s="3" t="n"/>
      <c r="AA2" s="17">
        <f>IF(RawDataGenPO[[#This Row],[Date Gen PO]]="","",RawDataGenPO[[#This Row],[Date recive bill]]-RawDataGenPO[[#This Row],[Date Gen PO]])</f>
        <v/>
      </c>
      <c r="AB2" s="16">
        <f>IF(RawDataGenPO[[#This Row],[GRN-PO date]]&gt;RawDataGenPO[[#This Row],[Lead time delivery (day)]],"over deliverry","Ontime")</f>
        <v/>
      </c>
      <c r="AC2" s="269" t="n">
        <v>45498</v>
      </c>
    </row>
    <row r="3" ht="15" customFormat="1" customHeight="1" s="125">
      <c r="A3" s="5">
        <f>ROW()-ROW(RawDataGenPO[[#Headers],[No.]])</f>
        <v/>
      </c>
      <c r="B3" s="7" t="inlineStr">
        <is>
          <t>Expent  cost</t>
        </is>
      </c>
      <c r="C3" s="276" t="n">
        <v>45465</v>
      </c>
      <c r="D3" s="276" t="n"/>
      <c r="E3" s="276" t="n"/>
      <c r="F3" s="276" t="n">
        <v>45465</v>
      </c>
      <c r="G3" s="5" t="inlineStr">
        <is>
          <t>PR2425-01484</t>
        </is>
      </c>
      <c r="H3" s="5" t="inlineStr">
        <is>
          <t>PO2425-01863</t>
        </is>
      </c>
      <c r="I3" s="286">
        <f>RawDataGenPO[[#This Row],[DMY Create PR]]+7</f>
        <v/>
      </c>
      <c r="J3" s="286" t="n"/>
      <c r="K3" s="20">
        <f>IF(RawDataGenPO[[#This Row],[PO No.]]="","",10)</f>
        <v/>
      </c>
      <c r="L3" s="5" t="inlineStr">
        <is>
          <t>SFST34000054</t>
        </is>
      </c>
      <c r="M3" s="7" t="inlineStr">
        <is>
          <t>Refrigerant-oil for cooling M/C</t>
        </is>
      </c>
      <c r="N3" s="7" t="inlineStr">
        <is>
          <t>Cooling system jobs</t>
        </is>
      </c>
      <c r="O3" s="11" t="n">
        <v>1</v>
      </c>
      <c r="P3" s="268" t="inlineStr">
        <is>
          <t>R507 Refrigerant,(1 Tank 11.3 kg/Tank)</t>
        </is>
      </c>
      <c r="Q3" s="287" t="n">
        <v>16</v>
      </c>
      <c r="R3" s="266" t="inlineStr">
        <is>
          <t>DRM</t>
        </is>
      </c>
      <c r="S3" s="288">
        <f>RawDataGenPO[[#This Row],[Total price]]/RawDataGenPO[[#This Row],[Qty'']]</f>
        <v/>
      </c>
      <c r="T3" s="289" t="n">
        <v>40000</v>
      </c>
      <c r="U3" s="161" t="inlineStr">
        <is>
          <t>Puneet Approval</t>
        </is>
      </c>
      <c r="V3" s="7" t="inlineStr">
        <is>
          <t>V1000312 - Colder Solution Co., Ltd.</t>
        </is>
      </c>
      <c r="W3" s="5" t="inlineStr">
        <is>
          <t>Recive bill and GRN already</t>
        </is>
      </c>
      <c r="X3" s="5" t="n"/>
      <c r="Y3" s="3" t="n">
        <v>45477</v>
      </c>
      <c r="Z3" s="3" t="n"/>
      <c r="AA3" s="17">
        <f>IF(RawDataGenPO[[#This Row],[Date Gen PO]]="","",RawDataGenPO[[#This Row],[Date recive bill]]-RawDataGenPO[[#This Row],[Date Gen PO]])</f>
        <v/>
      </c>
      <c r="AB3" s="16">
        <f>IF(RawDataGenPO[[#This Row],[GRN-PO date]]&gt;RawDataGenPO[[#This Row],[Lead time delivery (day)]],"over deliverry","Ontime")</f>
        <v/>
      </c>
      <c r="AC3" s="168" t="n"/>
    </row>
    <row r="4" ht="15" customFormat="1" customHeight="1" s="125">
      <c r="A4" s="5">
        <f>ROW()-ROW(RawDataGenPO[[#Headers],[No.]])</f>
        <v/>
      </c>
      <c r="B4" s="7" t="inlineStr">
        <is>
          <t>Expent  cost</t>
        </is>
      </c>
      <c r="C4" s="276" t="n">
        <v>45439</v>
      </c>
      <c r="D4" s="276" t="n"/>
      <c r="E4" s="276" t="n"/>
      <c r="F4" s="276" t="n">
        <v>45439</v>
      </c>
      <c r="G4" s="5" t="inlineStr">
        <is>
          <t>PR2425-01063</t>
        </is>
      </c>
      <c r="H4" s="5" t="inlineStr">
        <is>
          <t>PO2425-01145</t>
        </is>
      </c>
      <c r="I4" s="290">
        <f>IF(RawDataGenPO[[#This Row],[PO No.]]="","",RawDataGenPO[[#This Row],[DMY Create PR]]+7)</f>
        <v/>
      </c>
      <c r="J4" s="290" t="n"/>
      <c r="K4" s="20" t="n">
        <v>40</v>
      </c>
      <c r="L4" s="5" t="inlineStr">
        <is>
          <t>SFST81000050</t>
        </is>
      </c>
      <c r="M4" s="7" t="inlineStr">
        <is>
          <t>Electrical system in PD area</t>
        </is>
      </c>
      <c r="N4" s="7" t="inlineStr">
        <is>
          <t>Electrical jobs</t>
        </is>
      </c>
      <c r="O4" s="11" t="n">
        <v>1</v>
      </c>
      <c r="P4" s="10" t="inlineStr">
        <is>
          <t>Thaiyazaki", VCT-G 2x2.5/2.5 Sq.mm, Electrical cable</t>
        </is>
      </c>
      <c r="Q4" s="277" t="n">
        <v>1</v>
      </c>
      <c r="R4" s="5" t="inlineStr">
        <is>
          <t>PC</t>
        </is>
      </c>
      <c r="S4" s="284">
        <f>RawDataGenPO[[#This Row],[Total price]]/RawDataGenPO[[#This Row],[Qty'']]</f>
        <v/>
      </c>
      <c r="T4" s="285" t="n">
        <v>7225</v>
      </c>
      <c r="U4" s="291" t="inlineStr">
        <is>
          <t>Puneet Approval</t>
        </is>
      </c>
      <c r="V4" s="7" t="inlineStr">
        <is>
          <t>V1000276 - SN. ELECTRIC AND SUPPLY CO., LTD.</t>
        </is>
      </c>
      <c r="W4" s="5" t="inlineStr">
        <is>
          <t>Recive bill and GRN already</t>
        </is>
      </c>
      <c r="X4" s="5" t="n"/>
      <c r="Y4" s="3" t="n">
        <v>45481</v>
      </c>
      <c r="Z4" s="3" t="n"/>
      <c r="AA4" s="17">
        <f>IF(RawDataGenPO[[#This Row],[Date Gen PO]]="","",RawDataGenPO[[#This Row],[Date recive bill]]-RawDataGenPO[[#This Row],[Date Gen PO]])</f>
        <v/>
      </c>
      <c r="AB4" s="16">
        <f>IF(RawDataGenPO[[#This Row],[GRN-PO date]]&gt;RawDataGenPO[[#This Row],[Lead time delivery (day)]],"over deliverry","Ontime")</f>
        <v/>
      </c>
      <c r="AC4" s="168" t="n"/>
    </row>
    <row r="5" ht="15" customFormat="1" customHeight="1" s="125">
      <c r="A5" s="5">
        <f>ROW()-ROW(RawDataGenPO[[#Headers],[No.]])</f>
        <v/>
      </c>
      <c r="B5" s="7" t="inlineStr">
        <is>
          <t>Expent  cost</t>
        </is>
      </c>
      <c r="C5" s="276" t="n">
        <v>45439</v>
      </c>
      <c r="D5" s="276" t="n"/>
      <c r="E5" s="276" t="n"/>
      <c r="F5" s="276" t="n">
        <v>45439</v>
      </c>
      <c r="G5" s="5" t="inlineStr">
        <is>
          <t>PR2425-01063</t>
        </is>
      </c>
      <c r="H5" s="5" t="inlineStr">
        <is>
          <t>PO2425-01145</t>
        </is>
      </c>
      <c r="I5" s="290">
        <f>IF(RawDataGenPO[[#This Row],[PO No.]]="","",RawDataGenPO[[#This Row],[DMY Create PR]]+7)</f>
        <v/>
      </c>
      <c r="J5" s="290" t="n"/>
      <c r="K5" s="20" t="n">
        <v>40</v>
      </c>
      <c r="L5" s="5" t="inlineStr">
        <is>
          <t>SFST81000050</t>
        </is>
      </c>
      <c r="M5" s="7" t="inlineStr">
        <is>
          <t>Electrical system in PD area</t>
        </is>
      </c>
      <c r="N5" s="7" t="inlineStr">
        <is>
          <t>Electrical jobs</t>
        </is>
      </c>
      <c r="O5" s="11" t="n">
        <v>2</v>
      </c>
      <c r="P5" s="10" t="inlineStr">
        <is>
          <t>"Clipsal", UPVC pipe, white color, size 20mm</t>
        </is>
      </c>
      <c r="Q5" s="277" t="n">
        <v>10</v>
      </c>
      <c r="R5" s="5" t="inlineStr">
        <is>
          <t>PC</t>
        </is>
      </c>
      <c r="S5" s="284">
        <f>RawDataGenPO[[#This Row],[Total price]]/RawDataGenPO[[#This Row],[Qty'']]</f>
        <v/>
      </c>
      <c r="T5" s="285" t="n">
        <v>420</v>
      </c>
      <c r="U5" s="291" t="inlineStr">
        <is>
          <t>Puneet Approval</t>
        </is>
      </c>
      <c r="V5" s="7" t="inlineStr">
        <is>
          <t>V1000276 - SN. ELECTRIC AND SUPPLY CO., LTD.</t>
        </is>
      </c>
      <c r="W5" s="5" t="inlineStr">
        <is>
          <t>Recive bill and GRN already</t>
        </is>
      </c>
      <c r="X5" s="5" t="n"/>
      <c r="Y5" s="3" t="n">
        <v>45481</v>
      </c>
      <c r="Z5" s="3" t="n"/>
      <c r="AA5" s="17">
        <f>IF(RawDataGenPO[[#This Row],[Date Gen PO]]="","",RawDataGenPO[[#This Row],[Date recive bill]]-RawDataGenPO[[#This Row],[Date Gen PO]])</f>
        <v/>
      </c>
      <c r="AB5" s="16">
        <f>IF(RawDataGenPO[[#This Row],[GRN-PO date]]&gt;RawDataGenPO[[#This Row],[Lead time delivery (day)]],"over deliverry","Ontime")</f>
        <v/>
      </c>
      <c r="AC5" s="168" t="n"/>
    </row>
    <row r="6" ht="15" customFormat="1" customHeight="1" s="125">
      <c r="A6" s="5">
        <f>ROW()-ROW(RawDataGenPO[[#Headers],[No.]])</f>
        <v/>
      </c>
      <c r="B6" s="7" t="inlineStr">
        <is>
          <t>Expent  cost</t>
        </is>
      </c>
      <c r="C6" s="276" t="n">
        <v>45439</v>
      </c>
      <c r="D6" s="276" t="n"/>
      <c r="E6" s="276" t="n"/>
      <c r="F6" s="276" t="n">
        <v>45439</v>
      </c>
      <c r="G6" s="5" t="inlineStr">
        <is>
          <t>PR2425-01063</t>
        </is>
      </c>
      <c r="H6" s="5" t="inlineStr">
        <is>
          <t>PO2425-01145</t>
        </is>
      </c>
      <c r="I6" s="290">
        <f>IF(RawDataGenPO[[#This Row],[PO No.]]="","",RawDataGenPO[[#This Row],[DMY Create PR]]+7)</f>
        <v/>
      </c>
      <c r="J6" s="290" t="n"/>
      <c r="K6" s="20" t="n">
        <v>40</v>
      </c>
      <c r="L6" s="5" t="inlineStr">
        <is>
          <t>SFST81000050</t>
        </is>
      </c>
      <c r="M6" s="7" t="inlineStr">
        <is>
          <t>Electrical system in PD area</t>
        </is>
      </c>
      <c r="N6" s="7" t="inlineStr">
        <is>
          <t>Electrical jobs</t>
        </is>
      </c>
      <c r="O6" s="11" t="n">
        <v>3</v>
      </c>
      <c r="P6" s="10" t="inlineStr">
        <is>
          <t>"Clipsal", straight connector, white, 20 mm</t>
        </is>
      </c>
      <c r="Q6" s="277" t="n">
        <v>100</v>
      </c>
      <c r="R6" s="5" t="inlineStr">
        <is>
          <t>PC</t>
        </is>
      </c>
      <c r="S6" s="284">
        <f>RawDataGenPO[[#This Row],[Total price]]/RawDataGenPO[[#This Row],[Qty'']]</f>
        <v/>
      </c>
      <c r="T6" s="285" t="n">
        <v>340</v>
      </c>
      <c r="U6" s="291" t="inlineStr">
        <is>
          <t>Puneet Approval</t>
        </is>
      </c>
      <c r="V6" s="7" t="inlineStr">
        <is>
          <t>V1000276 - SN. ELECTRIC AND SUPPLY CO., LTD.</t>
        </is>
      </c>
      <c r="W6" s="5" t="inlineStr">
        <is>
          <t>Recive bill and GRN already</t>
        </is>
      </c>
      <c r="X6" s="5" t="n"/>
      <c r="Y6" s="3" t="n">
        <v>45481</v>
      </c>
      <c r="Z6" s="3" t="n"/>
      <c r="AA6" s="17">
        <f>IF(RawDataGenPO[[#This Row],[Date Gen PO]]="","",RawDataGenPO[[#This Row],[Date recive bill]]-RawDataGenPO[[#This Row],[Date Gen PO]])</f>
        <v/>
      </c>
      <c r="AB6" s="16">
        <f>IF(RawDataGenPO[[#This Row],[GRN-PO date]]&gt;RawDataGenPO[[#This Row],[Lead time delivery (day)]],"over deliverry","Ontime")</f>
        <v/>
      </c>
      <c r="AC6" s="168" t="n"/>
    </row>
    <row r="7" ht="15" customFormat="1" customHeight="1" s="125">
      <c r="A7" s="5">
        <f>ROW()-ROW(RawDataGenPO[[#Headers],[No.]])</f>
        <v/>
      </c>
      <c r="B7" s="7" t="inlineStr">
        <is>
          <t>Expent  cost</t>
        </is>
      </c>
      <c r="C7" s="276" t="n">
        <v>45439</v>
      </c>
      <c r="D7" s="276" t="n"/>
      <c r="E7" s="276" t="n"/>
      <c r="F7" s="276" t="n">
        <v>45439</v>
      </c>
      <c r="G7" s="5" t="inlineStr">
        <is>
          <t>PR2425-01063</t>
        </is>
      </c>
      <c r="H7" s="5" t="inlineStr">
        <is>
          <t>PO2425-01145</t>
        </is>
      </c>
      <c r="I7" s="290">
        <f>IF(RawDataGenPO[[#This Row],[PO No.]]="","",RawDataGenPO[[#This Row],[DMY Create PR]]+7)</f>
        <v/>
      </c>
      <c r="J7" s="290" t="n"/>
      <c r="K7" s="20" t="n">
        <v>40</v>
      </c>
      <c r="L7" s="5" t="inlineStr">
        <is>
          <t>SFST81000050</t>
        </is>
      </c>
      <c r="M7" s="7" t="inlineStr">
        <is>
          <t>Electrical system in PD area</t>
        </is>
      </c>
      <c r="N7" s="7" t="inlineStr">
        <is>
          <t>Electrical jobs</t>
        </is>
      </c>
      <c r="O7" s="11" t="n">
        <v>4</v>
      </c>
      <c r="P7" s="10" t="inlineStr">
        <is>
          <t>Saddle clamp for pipe, white UPVC, size 20 mm, Clipsal</t>
        </is>
      </c>
      <c r="Q7" s="277" t="n">
        <v>100</v>
      </c>
      <c r="R7" s="5" t="inlineStr">
        <is>
          <t>PC</t>
        </is>
      </c>
      <c r="S7" s="284">
        <f>RawDataGenPO[[#This Row],[Total price]]/RawDataGenPO[[#This Row],[Qty'']]</f>
        <v/>
      </c>
      <c r="T7" s="285" t="n">
        <v>340</v>
      </c>
      <c r="U7" s="291" t="inlineStr">
        <is>
          <t>Puneet Approval</t>
        </is>
      </c>
      <c r="V7" s="7" t="inlineStr">
        <is>
          <t>V1000276 - SN. ELECTRIC AND SUPPLY CO., LTD.</t>
        </is>
      </c>
      <c r="W7" s="5" t="inlineStr">
        <is>
          <t>Recive bill and GRN already</t>
        </is>
      </c>
      <c r="X7" s="5" t="n"/>
      <c r="Y7" s="3" t="n">
        <v>45481</v>
      </c>
      <c r="Z7" s="3" t="n"/>
      <c r="AA7" s="17">
        <f>IF(RawDataGenPO[[#This Row],[Date Gen PO]]="","",RawDataGenPO[[#This Row],[Date recive bill]]-RawDataGenPO[[#This Row],[Date Gen PO]])</f>
        <v/>
      </c>
      <c r="AB7" s="16">
        <f>IF(RawDataGenPO[[#This Row],[GRN-PO date]]&gt;RawDataGenPO[[#This Row],[Lead time delivery (day)]],"over deliverry","Ontime")</f>
        <v/>
      </c>
      <c r="AC7" s="168" t="n"/>
    </row>
    <row r="8" ht="30" customFormat="1" customHeight="1" s="125">
      <c r="A8" s="5">
        <f>ROW()-ROW(RawDataGenPO[[#Headers],[No.]])</f>
        <v/>
      </c>
      <c r="B8" s="7" t="inlineStr">
        <is>
          <t>Expent  cost</t>
        </is>
      </c>
      <c r="C8" s="276" t="n">
        <v>45448</v>
      </c>
      <c r="D8" s="276" t="n"/>
      <c r="E8" s="276" t="n"/>
      <c r="F8" s="276" t="n">
        <v>45448</v>
      </c>
      <c r="G8" s="5" t="inlineStr">
        <is>
          <t>PR2425-01098</t>
        </is>
      </c>
      <c r="H8" s="5" t="inlineStr">
        <is>
          <t>PO2425-01205</t>
        </is>
      </c>
      <c r="I8" s="290">
        <f>IF(RawDataGenPO[[#This Row],[PO No.]]="","",RawDataGenPO[[#This Row],[DMY Create PR]]+7)</f>
        <v/>
      </c>
      <c r="J8" s="290" t="n"/>
      <c r="K8" s="20" t="n">
        <v>40</v>
      </c>
      <c r="L8" s="5" t="inlineStr">
        <is>
          <t>SFST81000050</t>
        </is>
      </c>
      <c r="M8" s="7" t="inlineStr">
        <is>
          <t>Civill jobs (Floor-Wall-Celling-roof)</t>
        </is>
      </c>
      <c r="N8" s="7" t="inlineStr">
        <is>
          <t>Spare part</t>
        </is>
      </c>
      <c r="O8" s="11" t="n">
        <v>1</v>
      </c>
      <c r="P8" s="10" t="inlineStr">
        <is>
          <t>Polyester windsock #50x180 cm (with 1-inch reflective strips, 2 bands) (hemmed and eyeleted as appropriate)</t>
        </is>
      </c>
      <c r="Q8" s="277" t="n">
        <v>1</v>
      </c>
      <c r="R8" s="5" t="inlineStr">
        <is>
          <t>PC</t>
        </is>
      </c>
      <c r="S8" s="284">
        <f>RawDataGenPO[[#This Row],[Total price]]/RawDataGenPO[[#This Row],[Qty'']]</f>
        <v/>
      </c>
      <c r="T8" s="285" t="n">
        <v>1200</v>
      </c>
      <c r="U8" s="161" t="inlineStr">
        <is>
          <t>Puneet Approval</t>
        </is>
      </c>
      <c r="V8" s="7" t="inlineStr">
        <is>
          <t>V1000556 - Team Safety Sales Co., Ltd.</t>
        </is>
      </c>
      <c r="W8" s="5" t="inlineStr">
        <is>
          <t>Recive bill and GRN already</t>
        </is>
      </c>
      <c r="X8" s="5" t="n"/>
      <c r="Y8" s="3" t="n">
        <v>45482</v>
      </c>
      <c r="Z8" s="3" t="n"/>
      <c r="AA8" s="17">
        <f>IF(RawDataGenPO[[#This Row],[Date Gen PO]]="","",RawDataGenPO[[#This Row],[Date recive bill]]-RawDataGenPO[[#This Row],[Date Gen PO]])</f>
        <v/>
      </c>
      <c r="AB8" s="16">
        <f>IF(RawDataGenPO[[#This Row],[GRN-PO date]]&gt;RawDataGenPO[[#This Row],[Lead time delivery (day)]],"over deliverry","Ontime")</f>
        <v/>
      </c>
      <c r="AC8" s="168" t="n"/>
    </row>
    <row r="9" ht="15" customFormat="1" customHeight="1" s="125">
      <c r="A9" s="5">
        <f>ROW()-ROW(RawDataGenPO[[#Headers],[No.]])</f>
        <v/>
      </c>
      <c r="B9" s="7" t="inlineStr">
        <is>
          <t>Expent  cost</t>
        </is>
      </c>
      <c r="C9" s="281" t="n">
        <v>45448</v>
      </c>
      <c r="D9" s="276" t="n"/>
      <c r="E9" s="281" t="n"/>
      <c r="F9" s="281" t="n">
        <v>45448</v>
      </c>
      <c r="G9" s="5" t="inlineStr">
        <is>
          <t>PR2425-01098</t>
        </is>
      </c>
      <c r="H9" s="5" t="inlineStr">
        <is>
          <t>PO2425-01205</t>
        </is>
      </c>
      <c r="I9" s="290">
        <f>IF(RawDataGenPO[[#This Row],[PO No.]]="","",RawDataGenPO[[#This Row],[DMY Create PR]]+7)</f>
        <v/>
      </c>
      <c r="J9" s="290" t="n"/>
      <c r="K9" s="20" t="n">
        <v>90</v>
      </c>
      <c r="L9" s="5" t="inlineStr">
        <is>
          <t>SFST81000050</t>
        </is>
      </c>
      <c r="M9" s="7" t="inlineStr">
        <is>
          <t>Civill jobs (Floor-Wall-Celling-roof)</t>
        </is>
      </c>
      <c r="N9" s="7" t="inlineStr">
        <is>
          <t>Cevil jobs</t>
        </is>
      </c>
      <c r="O9" s="11" t="n">
        <v>1</v>
      </c>
      <c r="P9" s="10" t="inlineStr">
        <is>
          <t>Floor-standing sign #60x21x30 cm (2-sided sticker) (grade B)</t>
        </is>
      </c>
      <c r="Q9" s="277" t="n">
        <v>1</v>
      </c>
      <c r="R9" s="5" t="inlineStr">
        <is>
          <t>PC</t>
        </is>
      </c>
      <c r="S9" s="284">
        <f>RawDataGenPO[[#This Row],[Total price]]/RawDataGenPO[[#This Row],[Qty'']]</f>
        <v/>
      </c>
      <c r="T9" s="278" t="n">
        <v>650</v>
      </c>
      <c r="U9" s="161" t="inlineStr">
        <is>
          <t>Puneet Approval</t>
        </is>
      </c>
      <c r="V9" s="7" t="inlineStr">
        <is>
          <t>V1000556 - Team Safety Sales Co., Ltd.</t>
        </is>
      </c>
      <c r="W9" s="5" t="inlineStr">
        <is>
          <t>Recive bill and GRN already</t>
        </is>
      </c>
      <c r="X9" s="5" t="n"/>
      <c r="Y9" s="3" t="n">
        <v>45482</v>
      </c>
      <c r="Z9" s="3" t="n"/>
      <c r="AA9" s="17">
        <f>IF(RawDataGenPO[[#This Row],[Date Gen PO]]="","",RawDataGenPO[[#This Row],[Date recive bill]]-RawDataGenPO[[#This Row],[Date Gen PO]])</f>
        <v/>
      </c>
      <c r="AB9" s="16">
        <f>IF(RawDataGenPO[[#This Row],[GRN-PO date]]&gt;RawDataGenPO[[#This Row],[Lead time delivery (day)]],"over deliverry","Ontime")</f>
        <v/>
      </c>
      <c r="AC9" s="22" t="n"/>
    </row>
    <row r="10" ht="15" customFormat="1" customHeight="1" s="125">
      <c r="A10" s="5">
        <f>ROW()-ROW(RawDataGenPO[[#Headers],[No.]])</f>
        <v/>
      </c>
      <c r="B10" s="7" t="inlineStr">
        <is>
          <t>Expent  cost</t>
        </is>
      </c>
      <c r="C10" s="276" t="n">
        <v>45464</v>
      </c>
      <c r="D10" s="276" t="n"/>
      <c r="E10" s="276" t="n"/>
      <c r="F10" s="276" t="n">
        <v>45464</v>
      </c>
      <c r="G10" s="5" t="inlineStr">
        <is>
          <t>PR2425-01497</t>
        </is>
      </c>
      <c r="H10" s="5" t="inlineStr">
        <is>
          <t xml:space="preserve">PO2425-01591 </t>
        </is>
      </c>
      <c r="I10" s="290" t="n">
        <v>45463</v>
      </c>
      <c r="J10" s="290" t="n"/>
      <c r="K10" s="20">
        <f>IF(RawDataGenPO[[#This Row],[PO No.]]="","",10)</f>
        <v/>
      </c>
      <c r="L10" s="5" t="inlineStr">
        <is>
          <t>SFST81000050</t>
        </is>
      </c>
      <c r="M10" s="7" t="inlineStr">
        <is>
          <t>Machanical part</t>
        </is>
      </c>
      <c r="N10" s="7" t="inlineStr">
        <is>
          <t>Machanical jobs</t>
        </is>
      </c>
      <c r="O10" s="11" t="n">
        <v>2</v>
      </c>
      <c r="P10" s="10" t="inlineStr">
        <is>
          <t>Fill with argon gas 1.5 Q</t>
        </is>
      </c>
      <c r="Q10" s="277" t="n">
        <v>2</v>
      </c>
      <c r="R10" s="5" t="inlineStr">
        <is>
          <t>NO</t>
        </is>
      </c>
      <c r="S10" s="284">
        <f>RawDataGenPO[[#This Row],[Total price]]/RawDataGenPO[[#This Row],[Qty'']]</f>
        <v/>
      </c>
      <c r="T10" s="285" t="n">
        <v>700</v>
      </c>
      <c r="U10" s="161" t="inlineStr">
        <is>
          <t>Puneet Approval</t>
        </is>
      </c>
      <c r="V10" s="7" t="inlineStr">
        <is>
          <t>V1000475 - Klong Karn Kha Trading</t>
        </is>
      </c>
      <c r="W10" s="5" t="inlineStr">
        <is>
          <t>Recive bill and GRN already</t>
        </is>
      </c>
      <c r="X10" s="5" t="n"/>
      <c r="Y10" s="3" t="n">
        <v>45468</v>
      </c>
      <c r="Z10" s="3" t="n"/>
      <c r="AA10" s="17">
        <f>IF(RawDataGenPO[[#This Row],[Date Gen PO]]="","",RawDataGenPO[[#This Row],[Date recive bill]]-RawDataGenPO[[#This Row],[Date Gen PO]])</f>
        <v/>
      </c>
      <c r="AB10" s="16">
        <f>IF(RawDataGenPO[[#This Row],[GRN-PO date]]&gt;RawDataGenPO[[#This Row],[Lead time delivery (day)]],"over deliverry","Ontime")</f>
        <v/>
      </c>
      <c r="AC10" s="168" t="n"/>
    </row>
    <row r="11" ht="15" customFormat="1" customHeight="1" s="125">
      <c r="A11" s="5">
        <f>ROW()-ROW(RawDataGenPO[[#Headers],[No.]])</f>
        <v/>
      </c>
      <c r="B11" s="7" t="inlineStr">
        <is>
          <t>Expent  cost</t>
        </is>
      </c>
      <c r="C11" s="276" t="n">
        <v>45471</v>
      </c>
      <c r="D11" s="276" t="n"/>
      <c r="E11" s="276" t="n"/>
      <c r="F11" s="276" t="n">
        <v>45471</v>
      </c>
      <c r="G11" s="5" t="inlineStr">
        <is>
          <t>PR2425-01500</t>
        </is>
      </c>
      <c r="H11" s="5" t="inlineStr">
        <is>
          <t>PO2425-01593</t>
        </is>
      </c>
      <c r="I11" s="290" t="n">
        <v>45444</v>
      </c>
      <c r="J11" s="290" t="n"/>
      <c r="K11" s="20">
        <f>IF(RawDataGenPO[[#This Row],[PO No.]]="","",10)</f>
        <v/>
      </c>
      <c r="L11" s="5" t="inlineStr">
        <is>
          <t>SFST81000050</t>
        </is>
      </c>
      <c r="M11" s="7" t="inlineStr">
        <is>
          <t>Machanical part</t>
        </is>
      </c>
      <c r="N11" s="7" t="inlineStr">
        <is>
          <t>Machanical jobs</t>
        </is>
      </c>
      <c r="O11" s="11" t="n">
        <v>1</v>
      </c>
      <c r="P11" s="10" t="inlineStr">
        <is>
          <t>Fill with argon gas 1.5 Q</t>
        </is>
      </c>
      <c r="Q11" s="277" t="n">
        <v>2</v>
      </c>
      <c r="R11" s="5" t="inlineStr">
        <is>
          <t>NO</t>
        </is>
      </c>
      <c r="S11" s="284">
        <f>RawDataGenPO[[#This Row],[Total price]]/RawDataGenPO[[#This Row],[Qty'']]</f>
        <v/>
      </c>
      <c r="T11" s="285" t="n">
        <v>700</v>
      </c>
      <c r="U11" s="161" t="inlineStr">
        <is>
          <t>Puneet Approval</t>
        </is>
      </c>
      <c r="V11" s="7" t="inlineStr">
        <is>
          <t>V1000475 - Klong Karn Kha Trading</t>
        </is>
      </c>
      <c r="W11" s="5" t="inlineStr">
        <is>
          <t>Recive bill and GRN already</t>
        </is>
      </c>
      <c r="X11" s="5" t="n"/>
      <c r="Y11" s="3" t="n">
        <v>45450</v>
      </c>
      <c r="Z11" s="3" t="n"/>
      <c r="AA11" s="17">
        <f>IF(RawDataGenPO[[#This Row],[Date Gen PO]]="","",RawDataGenPO[[#This Row],[Date recive bill]]-RawDataGenPO[[#This Row],[Date Gen PO]])</f>
        <v/>
      </c>
      <c r="AB11" s="16">
        <f>IF(RawDataGenPO[[#This Row],[GRN-PO date]]&gt;RawDataGenPO[[#This Row],[Lead time delivery (day)]],"over deliverry","Ontime")</f>
        <v/>
      </c>
      <c r="AC11" s="168" t="n"/>
    </row>
    <row r="12" ht="15" customFormat="1" customHeight="1" s="125">
      <c r="A12" s="5">
        <f>ROW()-ROW(RawDataGenPO[[#Headers],[No.]])</f>
        <v/>
      </c>
      <c r="B12" s="7" t="inlineStr">
        <is>
          <t>Expent  cost</t>
        </is>
      </c>
      <c r="C12" s="276" t="n">
        <v>45465</v>
      </c>
      <c r="D12" s="276" t="n"/>
      <c r="E12" s="276" t="n"/>
      <c r="F12" s="276" t="n">
        <v>45465</v>
      </c>
      <c r="G12" s="5" t="inlineStr">
        <is>
          <t>PR2425-01494</t>
        </is>
      </c>
      <c r="H12" s="5" t="inlineStr">
        <is>
          <t>PO2425-01691</t>
        </is>
      </c>
      <c r="I12" s="290" t="n">
        <v>45463</v>
      </c>
      <c r="J12" s="290" t="n"/>
      <c r="K12" s="20">
        <f>IF(RawDataGenPO[[#This Row],[PO No.]]="","",10)</f>
        <v/>
      </c>
      <c r="L12" s="5" t="inlineStr">
        <is>
          <t>SFST81000050</t>
        </is>
      </c>
      <c r="M12" s="7" t="inlineStr">
        <is>
          <t>Cooling machine for PD line</t>
        </is>
      </c>
      <c r="N12" s="7" t="inlineStr">
        <is>
          <t>Cooling system jobs</t>
        </is>
      </c>
      <c r="O12" s="11" t="n">
        <v>1</v>
      </c>
      <c r="P12" s="10" t="inlineStr">
        <is>
          <t>Fan Axial installed in production line</t>
        </is>
      </c>
      <c r="Q12" s="277" t="n">
        <v>11</v>
      </c>
      <c r="R12" s="5" t="inlineStr">
        <is>
          <t>PC</t>
        </is>
      </c>
      <c r="S12" s="284">
        <f>RawDataGenPO[[#This Row],[Total price]]/RawDataGenPO[[#This Row],[Qty'']]</f>
        <v/>
      </c>
      <c r="T12" s="285" t="n">
        <v>1450</v>
      </c>
      <c r="U12" s="161" t="inlineStr">
        <is>
          <t>Puneet Approval</t>
        </is>
      </c>
      <c r="V12" s="7" t="inlineStr">
        <is>
          <t>V1000430 - PAN FOOD CO., LTD.</t>
        </is>
      </c>
      <c r="W12" s="5" t="inlineStr">
        <is>
          <t>Recive bill and GRN already</t>
        </is>
      </c>
      <c r="X12" s="5" t="n"/>
      <c r="Y12" s="3" t="n">
        <v>45468</v>
      </c>
      <c r="Z12" s="3" t="n"/>
      <c r="AA12" s="17">
        <f>IF(RawDataGenPO[[#This Row],[Date Gen PO]]="","",RawDataGenPO[[#This Row],[Date recive bill]]-RawDataGenPO[[#This Row],[Date Gen PO]])</f>
        <v/>
      </c>
      <c r="AB12" s="16">
        <f>IF(RawDataGenPO[[#This Row],[GRN-PO date]]&gt;RawDataGenPO[[#This Row],[Lead time delivery (day)]],"over deliverry","Ontime")</f>
        <v/>
      </c>
      <c r="AC12" s="168" t="n"/>
    </row>
    <row r="13" ht="15" customFormat="1" customHeight="1" s="125">
      <c r="A13" s="5">
        <f>ROW()-ROW(RawDataGenPO[[#Headers],[No.]])</f>
        <v/>
      </c>
      <c r="B13" s="7" t="inlineStr">
        <is>
          <t>Expent  cost</t>
        </is>
      </c>
      <c r="C13" s="276" t="n">
        <v>45465</v>
      </c>
      <c r="D13" s="276" t="n"/>
      <c r="E13" s="276" t="n"/>
      <c r="F13" s="276" t="n">
        <v>45465</v>
      </c>
      <c r="G13" s="5" t="inlineStr">
        <is>
          <t>PR2425-01486</t>
        </is>
      </c>
      <c r="H13" s="5" t="inlineStr">
        <is>
          <t>PO2425-01731</t>
        </is>
      </c>
      <c r="I13" s="290">
        <f>IF(RawDataGenPO[[#This Row],[PO No.]]="","",RawDataGenPO[[#This Row],[DMY Create PR]]+7)</f>
        <v/>
      </c>
      <c r="J13" s="290" t="n"/>
      <c r="K13" s="20">
        <f>IF(RawDataGenPO[[#This Row],[PO No.]]="","",10)</f>
        <v/>
      </c>
      <c r="L13" s="5" t="inlineStr">
        <is>
          <t>SFST34000043</t>
        </is>
      </c>
      <c r="M13" s="7" t="inlineStr">
        <is>
          <t>Consumable part for MN</t>
        </is>
      </c>
      <c r="N13" s="7" t="inlineStr">
        <is>
          <t>Electrical jobs</t>
        </is>
      </c>
      <c r="O13" s="11" t="n">
        <v>1</v>
      </c>
      <c r="P13" s="10" t="inlineStr">
        <is>
          <t>"Philip", TLD36/865, 36W, fluorescent lamp</t>
        </is>
      </c>
      <c r="Q13" s="277" t="n">
        <v>50</v>
      </c>
      <c r="R13" s="5" t="inlineStr">
        <is>
          <t>PC</t>
        </is>
      </c>
      <c r="S13" s="284">
        <f>RawDataGenPO[[#This Row],[Total price]]/RawDataGenPO[[#This Row],[Qty'']]</f>
        <v/>
      </c>
      <c r="T13" s="285" t="n">
        <v>3150</v>
      </c>
      <c r="U13" s="161" t="inlineStr">
        <is>
          <t>Puneet Approval</t>
        </is>
      </c>
      <c r="V13" s="7" t="inlineStr">
        <is>
          <t>V1000276 - SN. ELECTRIC AND SUPPLY CO., LTD.</t>
        </is>
      </c>
      <c r="W13" s="5" t="inlineStr">
        <is>
          <t>Recive bill and GRN already</t>
        </is>
      </c>
      <c r="X13" s="5" t="n"/>
      <c r="Y13" s="3" t="n">
        <v>45474</v>
      </c>
      <c r="Z13" s="3" t="n"/>
      <c r="AA13" s="17">
        <f>IF(RawDataGenPO[[#This Row],[Date Gen PO]]="","",RawDataGenPO[[#This Row],[Date recive bill]]-RawDataGenPO[[#This Row],[Date Gen PO]])</f>
        <v/>
      </c>
      <c r="AB13" s="16">
        <f>IF(RawDataGenPO[[#This Row],[GRN-PO date]]&gt;RawDataGenPO[[#This Row],[Lead time delivery (day)]],"over deliverry","Ontime")</f>
        <v/>
      </c>
      <c r="AC13" s="168" t="n"/>
    </row>
    <row r="14" ht="15" customFormat="1" customHeight="1" s="125">
      <c r="A14" s="5">
        <f>ROW()-ROW(RawDataGenPO[[#Headers],[No.]])</f>
        <v/>
      </c>
      <c r="B14" s="7" t="inlineStr">
        <is>
          <t>Expent  cost</t>
        </is>
      </c>
      <c r="C14" s="276" t="n">
        <v>45465</v>
      </c>
      <c r="D14" s="276" t="n"/>
      <c r="E14" s="276" t="n"/>
      <c r="F14" s="276" t="n">
        <v>45465</v>
      </c>
      <c r="G14" s="5" t="inlineStr">
        <is>
          <t>PR2425-01486</t>
        </is>
      </c>
      <c r="H14" s="5" t="inlineStr">
        <is>
          <t>PO2425-01731</t>
        </is>
      </c>
      <c r="I14" s="290">
        <f>IF(RawDataGenPO[[#This Row],[PO No.]]="","",RawDataGenPO[[#This Row],[DMY Create PR]]+7)</f>
        <v/>
      </c>
      <c r="J14" s="290" t="n"/>
      <c r="K14" s="20">
        <f>IF(RawDataGenPO[[#This Row],[PO No.]]="","",10)</f>
        <v/>
      </c>
      <c r="L14" s="5" t="inlineStr">
        <is>
          <t>SFST34000044</t>
        </is>
      </c>
      <c r="M14" s="7" t="inlineStr">
        <is>
          <t>Consumable part for MN</t>
        </is>
      </c>
      <c r="N14" s="7" t="inlineStr">
        <is>
          <t>Electrical jobs</t>
        </is>
      </c>
      <c r="O14" s="11" t="n">
        <v>1</v>
      </c>
      <c r="P14" s="10" t="inlineStr">
        <is>
          <t>"Philip",T8,20W, 2100lm, ECO SOFT HO LED</t>
        </is>
      </c>
      <c r="Q14" s="277" t="n">
        <v>30</v>
      </c>
      <c r="R14" s="5" t="inlineStr">
        <is>
          <t>PC</t>
        </is>
      </c>
      <c r="S14" s="284">
        <f>RawDataGenPO[[#This Row],[Total price]]/RawDataGenPO[[#This Row],[Qty'']]</f>
        <v/>
      </c>
      <c r="T14" s="285" t="n">
        <v>4020</v>
      </c>
      <c r="U14" s="161" t="inlineStr">
        <is>
          <t>Puneet Approval</t>
        </is>
      </c>
      <c r="V14" s="7" t="inlineStr">
        <is>
          <t>V1000276 - SN. ELECTRIC AND SUPPLY CO., LTD.</t>
        </is>
      </c>
      <c r="W14" s="5" t="inlineStr">
        <is>
          <t>Recive bill and GRN already</t>
        </is>
      </c>
      <c r="X14" s="5" t="n"/>
      <c r="Y14" s="3" t="n">
        <v>45474</v>
      </c>
      <c r="Z14" s="3" t="n"/>
      <c r="AA14" s="17">
        <f>IF(RawDataGenPO[[#This Row],[Date Gen PO]]="","",RawDataGenPO[[#This Row],[Date recive bill]]-RawDataGenPO[[#This Row],[Date Gen PO]])</f>
        <v/>
      </c>
      <c r="AB14" s="16">
        <f>IF(RawDataGenPO[[#This Row],[GRN-PO date]]&gt;RawDataGenPO[[#This Row],[Lead time delivery (day)]],"over deliverry","Ontime")</f>
        <v/>
      </c>
      <c r="AC14" s="168" t="n"/>
    </row>
    <row r="15" ht="15" customFormat="1" customHeight="1" s="125">
      <c r="A15" s="5">
        <f>ROW()-ROW(RawDataGenPO[[#Headers],[No.]])</f>
        <v/>
      </c>
      <c r="B15" s="7" t="inlineStr">
        <is>
          <t>Expent  cost</t>
        </is>
      </c>
      <c r="C15" s="276" t="n">
        <v>45468</v>
      </c>
      <c r="D15" s="276" t="n"/>
      <c r="E15" s="276" t="n"/>
      <c r="F15" s="276" t="n">
        <v>45468</v>
      </c>
      <c r="G15" s="5" t="inlineStr">
        <is>
          <t>PR2425-01513</t>
        </is>
      </c>
      <c r="H15" s="5" t="inlineStr">
        <is>
          <t>PO2425-01864</t>
        </is>
      </c>
      <c r="I15" s="290">
        <f>IF(RawDataGenPO[[#This Row],[PO No.]]="","",RawDataGenPO[[#This Row],[DMY Create PR]]+7)</f>
        <v/>
      </c>
      <c r="J15" s="290" t="n"/>
      <c r="K15" s="20">
        <f>IF(RawDataGenPO[[#This Row],[PO No.]]="","",20)</f>
        <v/>
      </c>
      <c r="L15" s="5" t="inlineStr">
        <is>
          <t>SFST81000048</t>
        </is>
      </c>
      <c r="M15" s="7" t="inlineStr">
        <is>
          <t>Cooling machine for PD line</t>
        </is>
      </c>
      <c r="N15" s="7" t="inlineStr">
        <is>
          <t>Condencer Unit No.16</t>
        </is>
      </c>
      <c r="O15" s="11" t="n">
        <v>1</v>
      </c>
      <c r="P15" s="10" t="inlineStr">
        <is>
          <t>Suction shut off vave P/N 361310-07</t>
        </is>
      </c>
      <c r="Q15" s="277" t="n">
        <v>1</v>
      </c>
      <c r="R15" s="5" t="inlineStr">
        <is>
          <t>NO</t>
        </is>
      </c>
      <c r="S15" s="284">
        <f>RawDataGenPO[[#This Row],[Total price]]/RawDataGenPO[[#This Row],[Qty'']]</f>
        <v/>
      </c>
      <c r="T15" s="285" t="n">
        <v>7800</v>
      </c>
      <c r="U15" s="161" t="inlineStr">
        <is>
          <t>Puneet Approval</t>
        </is>
      </c>
      <c r="V15" s="7" t="inlineStr">
        <is>
          <t>V1000554 - SHANTECH (THAILAND) CO.,LTD.</t>
        </is>
      </c>
      <c r="W15" s="5" t="inlineStr">
        <is>
          <t>Recive bill and GRN already</t>
        </is>
      </c>
      <c r="X15" s="5" t="n"/>
      <c r="Y15" s="3" t="n">
        <v>45489</v>
      </c>
      <c r="Z15" s="3" t="n"/>
      <c r="AA15" s="17">
        <f>IF(RawDataGenPO[[#This Row],[Date Gen PO]]="","",RawDataGenPO[[#This Row],[Date recive bill]]-RawDataGenPO[[#This Row],[Date Gen PO]])</f>
        <v/>
      </c>
      <c r="AB15" s="16">
        <f>IF(RawDataGenPO[[#This Row],[GRN-PO date]]&gt;RawDataGenPO[[#This Row],[Lead time delivery (day)]],"over deliverry","Ontime")</f>
        <v/>
      </c>
      <c r="AC15" s="168" t="n"/>
    </row>
    <row r="16" ht="15" customFormat="1" customHeight="1" s="125">
      <c r="A16" s="5">
        <f>ROW()-ROW(RawDataGenPO[[#Headers],[No.]])</f>
        <v/>
      </c>
      <c r="B16" s="7" t="inlineStr">
        <is>
          <t>Expent  cost</t>
        </is>
      </c>
      <c r="C16" s="276" t="n">
        <v>45468</v>
      </c>
      <c r="D16" s="276" t="n"/>
      <c r="E16" s="276" t="n"/>
      <c r="F16" s="276" t="n">
        <v>45468</v>
      </c>
      <c r="G16" s="5" t="inlineStr">
        <is>
          <t>PR2425-01513</t>
        </is>
      </c>
      <c r="H16" s="5" t="inlineStr">
        <is>
          <t>PO2425-01864</t>
        </is>
      </c>
      <c r="I16" s="290">
        <f>IF(RawDataGenPO[[#This Row],[PO No.]]="","",RawDataGenPO[[#This Row],[DMY Create PR]]+7)</f>
        <v/>
      </c>
      <c r="J16" s="290" t="n"/>
      <c r="K16" s="20">
        <f>IF(RawDataGenPO[[#This Row],[PO No.]]="","",20)</f>
        <v/>
      </c>
      <c r="L16" s="5" t="inlineStr">
        <is>
          <t>SFST81000048</t>
        </is>
      </c>
      <c r="M16" s="7" t="inlineStr">
        <is>
          <t>Cooling machine for PD line</t>
        </is>
      </c>
      <c r="N16" s="7" t="inlineStr">
        <is>
          <t>Condencer Unit No.16</t>
        </is>
      </c>
      <c r="O16" s="11" t="n">
        <v>2</v>
      </c>
      <c r="P16" s="10" t="inlineStr">
        <is>
          <t>Ball valve model SBV(M)</t>
        </is>
      </c>
      <c r="Q16" s="277" t="n">
        <v>1</v>
      </c>
      <c r="R16" s="5" t="inlineStr">
        <is>
          <t>NO</t>
        </is>
      </c>
      <c r="S16" s="284">
        <f>RawDataGenPO[[#This Row],[Total price]]/RawDataGenPO[[#This Row],[Qty'']]</f>
        <v/>
      </c>
      <c r="T16" s="285" t="n">
        <v>3600</v>
      </c>
      <c r="U16" s="161" t="inlineStr">
        <is>
          <t>Puneet Approval</t>
        </is>
      </c>
      <c r="V16" s="7" t="inlineStr">
        <is>
          <t>V1000554 - SHANTECH (THAILAND) CO.,LTD.</t>
        </is>
      </c>
      <c r="W16" s="5" t="inlineStr">
        <is>
          <t>Recive bill and GRN already</t>
        </is>
      </c>
      <c r="X16" s="5" t="n"/>
      <c r="Y16" s="3" t="n">
        <v>45489</v>
      </c>
      <c r="Z16" s="3" t="n"/>
      <c r="AA16" s="17">
        <f>IF(RawDataGenPO[[#This Row],[Date Gen PO]]="","",RawDataGenPO[[#This Row],[Date recive bill]]-RawDataGenPO[[#This Row],[Date Gen PO]])</f>
        <v/>
      </c>
      <c r="AB16" s="16">
        <f>IF(RawDataGenPO[[#This Row],[GRN-PO date]]&gt;RawDataGenPO[[#This Row],[Lead time delivery (day)]],"over deliverry","Ontime")</f>
        <v/>
      </c>
      <c r="AC16" s="168" t="n"/>
    </row>
    <row r="17" ht="15" customFormat="1" customHeight="1" s="125">
      <c r="A17" s="5">
        <f>ROW()-ROW(RawDataGenPO[[#Headers],[No.]])</f>
        <v/>
      </c>
      <c r="B17" s="7" t="inlineStr">
        <is>
          <t>Expent  cost</t>
        </is>
      </c>
      <c r="C17" s="276" t="n">
        <v>45468</v>
      </c>
      <c r="D17" s="276" t="n"/>
      <c r="E17" s="276" t="n"/>
      <c r="F17" s="276" t="n">
        <v>45468</v>
      </c>
      <c r="G17" s="5" t="inlineStr">
        <is>
          <t>PR2425-01513</t>
        </is>
      </c>
      <c r="H17" s="5" t="inlineStr">
        <is>
          <t>PO2425-01864</t>
        </is>
      </c>
      <c r="I17" s="290">
        <f>IF(RawDataGenPO[[#This Row],[PO No.]]="","",RawDataGenPO[[#This Row],[DMY Create PR]]+7)</f>
        <v/>
      </c>
      <c r="J17" s="290" t="n"/>
      <c r="K17" s="20">
        <f>IF(RawDataGenPO[[#This Row],[PO No.]]="","",20)</f>
        <v/>
      </c>
      <c r="L17" s="5" t="inlineStr">
        <is>
          <t>SFST81000048</t>
        </is>
      </c>
      <c r="M17" s="7" t="inlineStr">
        <is>
          <t>Cooling machine for PD line</t>
        </is>
      </c>
      <c r="N17" s="7" t="inlineStr">
        <is>
          <t>Condencer Unit No.16</t>
        </is>
      </c>
      <c r="O17" s="11" t="n">
        <v>3</v>
      </c>
      <c r="P17" s="10" t="inlineStr">
        <is>
          <t>Pressure gauge - Hi</t>
        </is>
      </c>
      <c r="Q17" s="277" t="n">
        <v>3</v>
      </c>
      <c r="R17" s="5" t="inlineStr">
        <is>
          <t>NO</t>
        </is>
      </c>
      <c r="S17" s="284">
        <f>RawDataGenPO[[#This Row],[Total price]]/RawDataGenPO[[#This Row],[Qty'']]</f>
        <v/>
      </c>
      <c r="T17" s="285" t="n">
        <v>1000</v>
      </c>
      <c r="U17" s="161" t="inlineStr">
        <is>
          <t>Puneet Approval</t>
        </is>
      </c>
      <c r="V17" s="7" t="inlineStr">
        <is>
          <t>V1000554 - SHANTECH (THAILAND) CO.,LTD.</t>
        </is>
      </c>
      <c r="W17" s="5" t="inlineStr">
        <is>
          <t>Recive bill and GRN already</t>
        </is>
      </c>
      <c r="X17" s="5" t="n"/>
      <c r="Y17" s="3" t="n">
        <v>45489</v>
      </c>
      <c r="Z17" s="3" t="n"/>
      <c r="AA17" s="17">
        <f>IF(RawDataGenPO[[#This Row],[Date Gen PO]]="","",RawDataGenPO[[#This Row],[Date recive bill]]-RawDataGenPO[[#This Row],[Date Gen PO]])</f>
        <v/>
      </c>
      <c r="AB17" s="16">
        <f>IF(RawDataGenPO[[#This Row],[GRN-PO date]]&gt;RawDataGenPO[[#This Row],[Lead time delivery (day)]],"over deliverry","Ontime")</f>
        <v/>
      </c>
      <c r="AC17" s="168" t="n"/>
    </row>
    <row r="18" ht="15" customFormat="1" customHeight="1" s="125">
      <c r="A18" s="5">
        <f>ROW()-ROW(RawDataGenPO[[#Headers],[No.]])</f>
        <v/>
      </c>
      <c r="B18" s="7" t="inlineStr">
        <is>
          <t>Expent  cost</t>
        </is>
      </c>
      <c r="C18" s="276" t="n">
        <v>45468</v>
      </c>
      <c r="D18" s="276" t="n"/>
      <c r="E18" s="276" t="n"/>
      <c r="F18" s="276" t="n">
        <v>45468</v>
      </c>
      <c r="G18" s="5" t="inlineStr">
        <is>
          <t>PR2425-01513</t>
        </is>
      </c>
      <c r="H18" s="5" t="inlineStr">
        <is>
          <t>PO2425-01864</t>
        </is>
      </c>
      <c r="I18" s="290">
        <f>IF(RawDataGenPO[[#This Row],[PO No.]]="","",RawDataGenPO[[#This Row],[DMY Create PR]]+7)</f>
        <v/>
      </c>
      <c r="J18" s="290" t="n"/>
      <c r="K18" s="20" t="inlineStr">
        <is>
          <t xml:space="preserve">  </t>
        </is>
      </c>
      <c r="L18" s="5" t="inlineStr">
        <is>
          <t>SFST81000048</t>
        </is>
      </c>
      <c r="M18" s="7" t="inlineStr">
        <is>
          <t>Cooling machine for PD line</t>
        </is>
      </c>
      <c r="N18" s="7" t="inlineStr">
        <is>
          <t>Condencer Unit No.16</t>
        </is>
      </c>
      <c r="O18" s="11" t="n">
        <v>4</v>
      </c>
      <c r="P18" s="10" t="inlineStr">
        <is>
          <t>Pressure gauge - Low</t>
        </is>
      </c>
      <c r="Q18" s="277" t="n">
        <v>3</v>
      </c>
      <c r="R18" s="5" t="inlineStr">
        <is>
          <t>NO</t>
        </is>
      </c>
      <c r="S18" s="284">
        <f>RawDataGenPO[[#This Row],[Total price]]/RawDataGenPO[[#This Row],[Qty'']]</f>
        <v/>
      </c>
      <c r="T18" s="285" t="n">
        <v>1000</v>
      </c>
      <c r="U18" s="161" t="inlineStr">
        <is>
          <t>Puneet Approval</t>
        </is>
      </c>
      <c r="V18" s="7" t="inlineStr">
        <is>
          <t>V1000554 - SHANTECH (THAILAND) CO.,LTD.</t>
        </is>
      </c>
      <c r="W18" s="5" t="inlineStr">
        <is>
          <t>Recive bill and GRN already</t>
        </is>
      </c>
      <c r="X18" s="5" t="n"/>
      <c r="Y18" s="3" t="n">
        <v>45489</v>
      </c>
      <c r="Z18" s="3" t="n"/>
      <c r="AA18" s="17">
        <f>IF(RawDataGenPO[[#This Row],[Date Gen PO]]="","",RawDataGenPO[[#This Row],[Date recive bill]]-RawDataGenPO[[#This Row],[Date Gen PO]])</f>
        <v/>
      </c>
      <c r="AB18" s="16">
        <f>IF(RawDataGenPO[[#This Row],[GRN-PO date]]&gt;RawDataGenPO[[#This Row],[Lead time delivery (day)]],"over deliverry","Ontime")</f>
        <v/>
      </c>
      <c r="AC18" s="168" t="n"/>
    </row>
    <row r="19" ht="15" customFormat="1" customHeight="1" s="125">
      <c r="A19" s="5">
        <f>ROW()-ROW(RawDataGenPO[[#Headers],[No.]])</f>
        <v/>
      </c>
      <c r="B19" s="7" t="inlineStr">
        <is>
          <t>Expent  cost</t>
        </is>
      </c>
      <c r="C19" s="276" t="n">
        <v>45468</v>
      </c>
      <c r="D19" s="276" t="n"/>
      <c r="E19" s="276" t="n"/>
      <c r="F19" s="276" t="n">
        <v>45468</v>
      </c>
      <c r="G19" s="5" t="inlineStr">
        <is>
          <t>PR2425-01513</t>
        </is>
      </c>
      <c r="H19" s="5" t="inlineStr">
        <is>
          <t>PO2425-01864</t>
        </is>
      </c>
      <c r="I19" s="290">
        <f>IF(RawDataGenPO[[#This Row],[PO No.]]="","",RawDataGenPO[[#This Row],[DMY Create PR]]+7)</f>
        <v/>
      </c>
      <c r="J19" s="290" t="n"/>
      <c r="K19" s="20">
        <f>IF(RawDataGenPO[[#This Row],[PO No.]]="","",20)</f>
        <v/>
      </c>
      <c r="L19" s="5" t="inlineStr">
        <is>
          <t>SFST81000048</t>
        </is>
      </c>
      <c r="M19" s="7" t="inlineStr">
        <is>
          <t>Cooling machine for PD line</t>
        </is>
      </c>
      <c r="N19" s="7" t="inlineStr">
        <is>
          <t>Condencer Unit No.16</t>
        </is>
      </c>
      <c r="O19" s="11" t="n">
        <v>5</v>
      </c>
      <c r="P19" s="10" t="inlineStr">
        <is>
          <t>Copper fittings (for installation use)</t>
        </is>
      </c>
      <c r="Q19" s="277" t="n">
        <v>1</v>
      </c>
      <c r="R19" s="5" t="inlineStr">
        <is>
          <t>NO</t>
        </is>
      </c>
      <c r="S19" s="284">
        <f>RawDataGenPO[[#This Row],[Total price]]/RawDataGenPO[[#This Row],[Qty'']]</f>
        <v/>
      </c>
      <c r="T19" s="285" t="n">
        <v>5500</v>
      </c>
      <c r="U19" s="161" t="inlineStr">
        <is>
          <t>Puneet Approval</t>
        </is>
      </c>
      <c r="V19" s="7" t="inlineStr">
        <is>
          <t>V1000554 - SHANTECH (THAILAND) CO.,LTD.</t>
        </is>
      </c>
      <c r="W19" s="5" t="inlineStr">
        <is>
          <t>Recive bill and GRN already</t>
        </is>
      </c>
      <c r="X19" s="5" t="n"/>
      <c r="Y19" s="3" t="n">
        <v>45489</v>
      </c>
      <c r="Z19" s="3" t="n"/>
      <c r="AA19" s="17">
        <f>IF(RawDataGenPO[[#This Row],[Date Gen PO]]="","",RawDataGenPO[[#This Row],[Date recive bill]]-RawDataGenPO[[#This Row],[Date Gen PO]])</f>
        <v/>
      </c>
      <c r="AB19" s="16">
        <f>IF(RawDataGenPO[[#This Row],[GRN-PO date]]&gt;RawDataGenPO[[#This Row],[Lead time delivery (day)]],"over deliverry","Ontime")</f>
        <v/>
      </c>
      <c r="AC19" s="168" t="n"/>
    </row>
    <row r="20" ht="15" customFormat="1" customHeight="1" s="125">
      <c r="A20" s="5">
        <f>ROW()-ROW(RawDataGenPO[[#Headers],[No.]])</f>
        <v/>
      </c>
      <c r="B20" s="7" t="inlineStr">
        <is>
          <t>Expent  cost</t>
        </is>
      </c>
      <c r="C20" s="276" t="n">
        <v>45468</v>
      </c>
      <c r="D20" s="276" t="n"/>
      <c r="E20" s="276" t="n"/>
      <c r="F20" s="276" t="n">
        <v>45468</v>
      </c>
      <c r="G20" s="5" t="inlineStr">
        <is>
          <t>PR2425-01513</t>
        </is>
      </c>
      <c r="H20" s="5" t="inlineStr">
        <is>
          <t>PO2425-01864</t>
        </is>
      </c>
      <c r="I20" s="290">
        <f>IF(RawDataGenPO[[#This Row],[PO No.]]="","",RawDataGenPO[[#This Row],[DMY Create PR]]+7)</f>
        <v/>
      </c>
      <c r="J20" s="290" t="n"/>
      <c r="K20" s="20">
        <f>IF(RawDataGenPO[[#This Row],[PO No.]]="","",20)</f>
        <v/>
      </c>
      <c r="L20" s="5" t="inlineStr">
        <is>
          <t>SFST81000048</t>
        </is>
      </c>
      <c r="M20" s="7" t="inlineStr">
        <is>
          <t>Cooling machine for PD line</t>
        </is>
      </c>
      <c r="N20" s="7" t="inlineStr">
        <is>
          <t>Condencer Unit No.16</t>
        </is>
      </c>
      <c r="O20" s="11" t="n">
        <v>6</v>
      </c>
      <c r="P20" s="10" t="inlineStr">
        <is>
          <t>Labour</t>
        </is>
      </c>
      <c r="Q20" s="277" t="n">
        <v>1</v>
      </c>
      <c r="R20" s="5" t="inlineStr">
        <is>
          <t>NO</t>
        </is>
      </c>
      <c r="S20" s="284">
        <f>RawDataGenPO[[#This Row],[Total price]]/RawDataGenPO[[#This Row],[Qty'']]</f>
        <v/>
      </c>
      <c r="T20" s="285" t="n">
        <v>7000</v>
      </c>
      <c r="U20" s="161" t="inlineStr">
        <is>
          <t>Puneet Approval</t>
        </is>
      </c>
      <c r="V20" s="7" t="inlineStr">
        <is>
          <t>V1000554 - SHANTECH (THAILAND) CO.,LTD.</t>
        </is>
      </c>
      <c r="W20" s="5" t="inlineStr">
        <is>
          <t>Recive bill and GRN already</t>
        </is>
      </c>
      <c r="X20" s="5" t="n"/>
      <c r="Y20" s="3" t="n">
        <v>45489</v>
      </c>
      <c r="Z20" s="3" t="n"/>
      <c r="AA20" s="17">
        <f>IF(RawDataGenPO[[#This Row],[Date Gen PO]]="","",RawDataGenPO[[#This Row],[Date recive bill]]-RawDataGenPO[[#This Row],[Date Gen PO]])</f>
        <v/>
      </c>
      <c r="AB20" s="16">
        <f>IF(RawDataGenPO[[#This Row],[GRN-PO date]]&gt;RawDataGenPO[[#This Row],[Lead time delivery (day)]],"over deliverry","Ontime")</f>
        <v/>
      </c>
      <c r="AC20" s="168" t="n"/>
    </row>
    <row r="21" ht="15" customFormat="1" customHeight="1" s="125">
      <c r="A21" s="5">
        <f>ROW()-ROW(RawDataGenPO[[#Headers],[No.]])</f>
        <v/>
      </c>
      <c r="B21" s="7" t="inlineStr">
        <is>
          <t>Expent  cost</t>
        </is>
      </c>
      <c r="C21" s="276" t="n">
        <v>45465</v>
      </c>
      <c r="D21" s="276" t="n"/>
      <c r="E21" s="276" t="n"/>
      <c r="F21" s="276" t="n">
        <v>45465</v>
      </c>
      <c r="G21" s="5" t="inlineStr">
        <is>
          <t>PR2425-01488</t>
        </is>
      </c>
      <c r="H21" s="5" t="inlineStr">
        <is>
          <t>PO2425-01865</t>
        </is>
      </c>
      <c r="I21" s="290">
        <f>IF(RawDataGenPO[[#This Row],[PO No.]]="","",RawDataGenPO[[#This Row],[DMY Create PR]]+7)</f>
        <v/>
      </c>
      <c r="J21" s="290" t="n"/>
      <c r="K21" s="20" t="n">
        <v>90</v>
      </c>
      <c r="L21" s="5" t="inlineStr">
        <is>
          <t>SFST81000048</t>
        </is>
      </c>
      <c r="M21" s="7" t="inlineStr">
        <is>
          <t>Cooling machine for PD line</t>
        </is>
      </c>
      <c r="N21" s="7" t="inlineStr">
        <is>
          <t>Air Dryer No.1</t>
        </is>
      </c>
      <c r="O21" s="11" t="n">
        <v>1</v>
      </c>
      <c r="P21" s="10" t="inlineStr">
        <is>
          <t>Compressor RE277VHSTMT 1 PH/220V./R407C</t>
        </is>
      </c>
      <c r="Q21" s="277" t="n">
        <v>1</v>
      </c>
      <c r="R21" s="5" t="inlineStr">
        <is>
          <t>NO</t>
        </is>
      </c>
      <c r="S21" s="284">
        <f>RawDataGenPO[[#This Row],[Total price]]/RawDataGenPO[[#This Row],[Qty'']]</f>
        <v/>
      </c>
      <c r="T21" s="285" t="n">
        <v>10800</v>
      </c>
      <c r="U21" s="161" t="inlineStr">
        <is>
          <t>Puneet Approval</t>
        </is>
      </c>
      <c r="V21" s="7" t="inlineStr">
        <is>
          <t>V1000477 - Wata Air Compressor Co., Ltd.</t>
        </is>
      </c>
      <c r="W21" s="5" t="inlineStr">
        <is>
          <t>Recive bill and GRN already</t>
        </is>
      </c>
      <c r="X21" s="5" t="n"/>
      <c r="Y21" s="3" t="n">
        <v>45546</v>
      </c>
      <c r="Z21" s="3" t="n"/>
      <c r="AA21" s="17">
        <f>IF(RawDataGenPO[[#This Row],[Date Gen PO]]="","",RawDataGenPO[[#This Row],[Date recive bill]]-RawDataGenPO[[#This Row],[Date Gen PO]])</f>
        <v/>
      </c>
      <c r="AB21" s="16">
        <f>IF(RawDataGenPO[[#This Row],[GRN-PO date]]&gt;RawDataGenPO[[#This Row],[Lead time delivery (day)]],"over deliverry","Ontime")</f>
        <v/>
      </c>
      <c r="AC21" s="168" t="n"/>
    </row>
    <row r="22" ht="15" customFormat="1" customHeight="1" s="125">
      <c r="A22" s="5">
        <f>ROW()-ROW(RawDataGenPO[[#Headers],[No.]])</f>
        <v/>
      </c>
      <c r="B22" s="7" t="inlineStr">
        <is>
          <t>Expent  cost</t>
        </is>
      </c>
      <c r="C22" s="276" t="n">
        <v>45465</v>
      </c>
      <c r="D22" s="276" t="n"/>
      <c r="E22" s="276" t="n"/>
      <c r="F22" s="276" t="n">
        <v>45465</v>
      </c>
      <c r="G22" s="5" t="inlineStr">
        <is>
          <t>PR2425-01488</t>
        </is>
      </c>
      <c r="H22" s="5" t="inlineStr">
        <is>
          <t>PO2425-01865</t>
        </is>
      </c>
      <c r="I22" s="290">
        <f>IF(RawDataGenPO[[#This Row],[PO No.]]="","",RawDataGenPO[[#This Row],[DMY Create PR]]+7)</f>
        <v/>
      </c>
      <c r="J22" s="290" t="n"/>
      <c r="K22" s="20" t="n">
        <v>90</v>
      </c>
      <c r="L22" s="5" t="inlineStr">
        <is>
          <t>SFST81000048</t>
        </is>
      </c>
      <c r="M22" s="7" t="inlineStr">
        <is>
          <t>Cooling machine for PD line</t>
        </is>
      </c>
      <c r="N22" s="7" t="inlineStr">
        <is>
          <t>Air Dryer No.1</t>
        </is>
      </c>
      <c r="O22" s="11" t="n">
        <v>2</v>
      </c>
      <c r="P22" s="10" t="inlineStr">
        <is>
          <t>Axial fan YWF4E-350S-22v. 5/6 kg.</t>
        </is>
      </c>
      <c r="Q22" s="277" t="n">
        <v>1</v>
      </c>
      <c r="R22" s="5" t="inlineStr">
        <is>
          <t>NO</t>
        </is>
      </c>
      <c r="S22" s="284">
        <f>RawDataGenPO[[#This Row],[Total price]]/RawDataGenPO[[#This Row],[Qty'']]</f>
        <v/>
      </c>
      <c r="T22" s="285" t="n">
        <v>6000</v>
      </c>
      <c r="U22" s="161" t="inlineStr">
        <is>
          <t>Puneet Approval</t>
        </is>
      </c>
      <c r="V22" s="7" t="inlineStr">
        <is>
          <t>V1000477 - Wata Air Compressor Co., Ltd.</t>
        </is>
      </c>
      <c r="W22" s="5" t="inlineStr">
        <is>
          <t>Recive bill and GRN already</t>
        </is>
      </c>
      <c r="X22" s="5" t="n"/>
      <c r="Y22" s="3" t="n">
        <v>45546</v>
      </c>
      <c r="Z22" s="3" t="n"/>
      <c r="AA22" s="17">
        <f>IF(RawDataGenPO[[#This Row],[Date Gen PO]]="","",RawDataGenPO[[#This Row],[Date recive bill]]-RawDataGenPO[[#This Row],[Date Gen PO]])</f>
        <v/>
      </c>
      <c r="AB22" s="16">
        <f>IF(RawDataGenPO[[#This Row],[GRN-PO date]]&gt;RawDataGenPO[[#This Row],[Lead time delivery (day)]],"over deliverry","Ontime")</f>
        <v/>
      </c>
      <c r="AC22" s="168" t="n"/>
    </row>
    <row r="23" ht="15" customFormat="1" customHeight="1" s="125">
      <c r="A23" s="5">
        <f>ROW()-ROW(RawDataGenPO[[#Headers],[No.]])</f>
        <v/>
      </c>
      <c r="B23" s="7" t="inlineStr">
        <is>
          <t>Expent  cost</t>
        </is>
      </c>
      <c r="C23" s="276" t="n">
        <v>45465</v>
      </c>
      <c r="D23" s="276" t="n"/>
      <c r="E23" s="276" t="n"/>
      <c r="F23" s="276" t="n">
        <v>45465</v>
      </c>
      <c r="G23" s="5" t="inlineStr">
        <is>
          <t>PR2425-01488</t>
        </is>
      </c>
      <c r="H23" s="5" t="inlineStr">
        <is>
          <t>PO2425-01865</t>
        </is>
      </c>
      <c r="I23" s="290">
        <f>IF(RawDataGenPO[[#This Row],[PO No.]]="","",RawDataGenPO[[#This Row],[DMY Create PR]]+7)</f>
        <v/>
      </c>
      <c r="J23" s="290" t="n"/>
      <c r="K23" s="20" t="n">
        <v>90</v>
      </c>
      <c r="L23" s="5" t="inlineStr">
        <is>
          <t>SFST81000048</t>
        </is>
      </c>
      <c r="M23" s="7" t="inlineStr">
        <is>
          <t>Cooling machine for PD line</t>
        </is>
      </c>
      <c r="N23" s="7" t="inlineStr">
        <is>
          <t>Air Dryer No.1</t>
        </is>
      </c>
      <c r="O23" s="11" t="n">
        <v>3</v>
      </c>
      <c r="P23" s="10" t="inlineStr">
        <is>
          <t>Filter dryer EK053 3/80DF</t>
        </is>
      </c>
      <c r="Q23" s="277" t="n">
        <v>1</v>
      </c>
      <c r="R23" s="5" t="inlineStr">
        <is>
          <t>NO</t>
        </is>
      </c>
      <c r="S23" s="284">
        <f>RawDataGenPO[[#This Row],[Total price]]/RawDataGenPO[[#This Row],[Qty'']]</f>
        <v/>
      </c>
      <c r="T23" s="285" t="n">
        <v>896</v>
      </c>
      <c r="U23" s="161" t="inlineStr">
        <is>
          <t>Puneet Approval</t>
        </is>
      </c>
      <c r="V23" s="7" t="inlineStr">
        <is>
          <t>V1000477 - Wata Air Compressor Co., Ltd.</t>
        </is>
      </c>
      <c r="W23" s="5" t="inlineStr">
        <is>
          <t>Recive bill and GRN already</t>
        </is>
      </c>
      <c r="X23" s="5" t="n"/>
      <c r="Y23" s="3" t="n">
        <v>45546</v>
      </c>
      <c r="Z23" s="3" t="n"/>
      <c r="AA23" s="17">
        <f>IF(RawDataGenPO[[#This Row],[Date Gen PO]]="","",RawDataGenPO[[#This Row],[Date recive bill]]-RawDataGenPO[[#This Row],[Date Gen PO]])</f>
        <v/>
      </c>
      <c r="AB23" s="16">
        <f>IF(RawDataGenPO[[#This Row],[GRN-PO date]]&gt;RawDataGenPO[[#This Row],[Lead time delivery (day)]],"over deliverry","Ontime")</f>
        <v/>
      </c>
      <c r="AC23" s="168" t="n"/>
    </row>
    <row r="24" ht="15" customFormat="1" customHeight="1" s="125">
      <c r="A24" s="5">
        <f>ROW()-ROW(RawDataGenPO[[#Headers],[No.]])</f>
        <v/>
      </c>
      <c r="B24" s="7" t="inlineStr">
        <is>
          <t>Expent  cost</t>
        </is>
      </c>
      <c r="C24" s="276" t="n">
        <v>45465</v>
      </c>
      <c r="D24" s="276" t="n"/>
      <c r="E24" s="276" t="n"/>
      <c r="F24" s="276" t="n">
        <v>45465</v>
      </c>
      <c r="G24" s="5" t="inlineStr">
        <is>
          <t>PR2425-01488</t>
        </is>
      </c>
      <c r="H24" s="5" t="inlineStr">
        <is>
          <t>PO2425-01865</t>
        </is>
      </c>
      <c r="I24" s="290">
        <f>IF(RawDataGenPO[[#This Row],[PO No.]]="","",RawDataGenPO[[#This Row],[DMY Create PR]]+7)</f>
        <v/>
      </c>
      <c r="J24" s="290" t="n"/>
      <c r="K24" s="20" t="n">
        <v>90</v>
      </c>
      <c r="L24" s="5" t="inlineStr">
        <is>
          <t>SFST81000048</t>
        </is>
      </c>
      <c r="M24" s="7" t="inlineStr">
        <is>
          <t>Cooling machine for PD line</t>
        </is>
      </c>
      <c r="N24" s="7" t="inlineStr">
        <is>
          <t>Air Dryer No.1</t>
        </is>
      </c>
      <c r="O24" s="11" t="n">
        <v>4</v>
      </c>
      <c r="P24" s="10" t="inlineStr">
        <is>
          <t>Hot gas by pass SAV-20</t>
        </is>
      </c>
      <c r="Q24" s="277" t="n">
        <v>1</v>
      </c>
      <c r="R24" s="5" t="inlineStr">
        <is>
          <t>NO</t>
        </is>
      </c>
      <c r="S24" s="284">
        <f>RawDataGenPO[[#This Row],[Total price]]/RawDataGenPO[[#This Row],[Qty'']]</f>
        <v/>
      </c>
      <c r="T24" s="285" t="n">
        <v>2280</v>
      </c>
      <c r="U24" s="161" t="inlineStr">
        <is>
          <t>Puneet Approval</t>
        </is>
      </c>
      <c r="V24" s="7" t="inlineStr">
        <is>
          <t>V1000477 - Wata Air Compressor Co., Ltd.</t>
        </is>
      </c>
      <c r="W24" s="5" t="inlineStr">
        <is>
          <t>Recive bill and GRN already</t>
        </is>
      </c>
      <c r="X24" s="5" t="n"/>
      <c r="Y24" s="3" t="n">
        <v>45546</v>
      </c>
      <c r="Z24" s="3" t="n"/>
      <c r="AA24" s="17">
        <f>IF(RawDataGenPO[[#This Row],[Date Gen PO]]="","",RawDataGenPO[[#This Row],[Date recive bill]]-RawDataGenPO[[#This Row],[Date Gen PO]])</f>
        <v/>
      </c>
      <c r="AB24" s="16">
        <f>IF(RawDataGenPO[[#This Row],[GRN-PO date]]&gt;RawDataGenPO[[#This Row],[Lead time delivery (day)]],"over deliverry","Ontime")</f>
        <v/>
      </c>
      <c r="AC24" s="168" t="n"/>
    </row>
    <row r="25" ht="15" customFormat="1" customHeight="1" s="125">
      <c r="A25" s="5">
        <f>ROW()-ROW(RawDataGenPO[[#Headers],[No.]])</f>
        <v/>
      </c>
      <c r="B25" s="7" t="inlineStr">
        <is>
          <t>Expent  cost</t>
        </is>
      </c>
      <c r="C25" s="276" t="n">
        <v>45465</v>
      </c>
      <c r="D25" s="276" t="n"/>
      <c r="E25" s="276" t="n"/>
      <c r="F25" s="276" t="n">
        <v>45465</v>
      </c>
      <c r="G25" s="5" t="inlineStr">
        <is>
          <t>PR2425-01488</t>
        </is>
      </c>
      <c r="H25" s="5" t="inlineStr">
        <is>
          <t>PO2425-01865</t>
        </is>
      </c>
      <c r="I25" s="290">
        <f>IF(RawDataGenPO[[#This Row],[PO No.]]="","",RawDataGenPO[[#This Row],[DMY Create PR]]+7)</f>
        <v/>
      </c>
      <c r="J25" s="290" t="n"/>
      <c r="K25" s="20" t="n">
        <v>90</v>
      </c>
      <c r="L25" s="5" t="inlineStr">
        <is>
          <t>SFST81000048</t>
        </is>
      </c>
      <c r="M25" s="7" t="inlineStr">
        <is>
          <t>Cooling machine for PD line</t>
        </is>
      </c>
      <c r="N25" s="7" t="inlineStr">
        <is>
          <t>Air Dryer No.1</t>
        </is>
      </c>
      <c r="O25" s="11" t="n">
        <v>5</v>
      </c>
      <c r="P25" s="10" t="inlineStr">
        <is>
          <t>Pressure SW-YK-03L-049-015E030E</t>
        </is>
      </c>
      <c r="Q25" s="277" t="n">
        <v>1</v>
      </c>
      <c r="R25" s="5" t="inlineStr">
        <is>
          <t>NO</t>
        </is>
      </c>
      <c r="S25" s="284">
        <f>RawDataGenPO[[#This Row],[Total price]]/RawDataGenPO[[#This Row],[Qty'']]</f>
        <v/>
      </c>
      <c r="T25" s="285" t="n">
        <v>1000</v>
      </c>
      <c r="U25" s="161" t="inlineStr">
        <is>
          <t>Puneet Approval</t>
        </is>
      </c>
      <c r="V25" s="7" t="inlineStr">
        <is>
          <t>V1000477 - Wata Air Compressor Co., Ltd.</t>
        </is>
      </c>
      <c r="W25" s="5" t="inlineStr">
        <is>
          <t>Recive bill and GRN already</t>
        </is>
      </c>
      <c r="X25" s="5" t="n"/>
      <c r="Y25" s="3" t="n">
        <v>45546</v>
      </c>
      <c r="Z25" s="3" t="n"/>
      <c r="AA25" s="17">
        <f>IF(RawDataGenPO[[#This Row],[Date Gen PO]]="","",RawDataGenPO[[#This Row],[Date recive bill]]-RawDataGenPO[[#This Row],[Date Gen PO]])</f>
        <v/>
      </c>
      <c r="AB25" s="16">
        <f>IF(RawDataGenPO[[#This Row],[GRN-PO date]]&gt;RawDataGenPO[[#This Row],[Lead time delivery (day)]],"over deliverry","Ontime")</f>
        <v/>
      </c>
      <c r="AC25" s="168" t="n"/>
    </row>
    <row r="26" ht="15" customFormat="1" customHeight="1" s="125">
      <c r="A26" s="5">
        <f>ROW()-ROW(RawDataGenPO[[#Headers],[No.]])</f>
        <v/>
      </c>
      <c r="B26" s="7" t="inlineStr">
        <is>
          <t>Expent  cost</t>
        </is>
      </c>
      <c r="C26" s="276" t="n">
        <v>45465</v>
      </c>
      <c r="D26" s="276" t="n"/>
      <c r="E26" s="276" t="n"/>
      <c r="F26" s="276" t="n">
        <v>45465</v>
      </c>
      <c r="G26" s="5" t="inlineStr">
        <is>
          <t>PR2425-01488</t>
        </is>
      </c>
      <c r="H26" s="5" t="inlineStr">
        <is>
          <t>PO2425-01865</t>
        </is>
      </c>
      <c r="I26" s="290">
        <f>IF(RawDataGenPO[[#This Row],[PO No.]]="","",RawDataGenPO[[#This Row],[DMY Create PR]]+7)</f>
        <v/>
      </c>
      <c r="J26" s="290" t="n"/>
      <c r="K26" s="20" t="n">
        <v>90</v>
      </c>
      <c r="L26" s="5" t="inlineStr">
        <is>
          <t>SFST81000048</t>
        </is>
      </c>
      <c r="M26" s="7" t="inlineStr">
        <is>
          <t>Cooling machine for PD line</t>
        </is>
      </c>
      <c r="N26" s="7" t="inlineStr">
        <is>
          <t>Air Dryer No.1</t>
        </is>
      </c>
      <c r="O26" s="11" t="n">
        <v>6</v>
      </c>
      <c r="P26" s="10" t="inlineStr">
        <is>
          <t>Pressure SW-YK-039 - 395R295Z (Manual)</t>
        </is>
      </c>
      <c r="Q26" s="277" t="n">
        <v>1</v>
      </c>
      <c r="R26" s="5" t="inlineStr">
        <is>
          <t>NO</t>
        </is>
      </c>
      <c r="S26" s="284">
        <f>RawDataGenPO[[#This Row],[Total price]]/RawDataGenPO[[#This Row],[Qty'']]</f>
        <v/>
      </c>
      <c r="T26" s="285" t="n">
        <v>1264</v>
      </c>
      <c r="U26" s="161" t="inlineStr">
        <is>
          <t>Puneet Approval</t>
        </is>
      </c>
      <c r="V26" s="7" t="inlineStr">
        <is>
          <t>V1000477 - Wata Air Compressor Co., Ltd.</t>
        </is>
      </c>
      <c r="W26" s="5" t="inlineStr">
        <is>
          <t>Recive bill and GRN already</t>
        </is>
      </c>
      <c r="X26" s="5" t="n"/>
      <c r="Y26" s="3" t="n">
        <v>45546</v>
      </c>
      <c r="Z26" s="3" t="n"/>
      <c r="AA26" s="17">
        <f>IF(RawDataGenPO[[#This Row],[Date Gen PO]]="","",RawDataGenPO[[#This Row],[Date recive bill]]-RawDataGenPO[[#This Row],[Date Gen PO]])</f>
        <v/>
      </c>
      <c r="AB26" s="16">
        <f>IF(RawDataGenPO[[#This Row],[GRN-PO date]]&gt;RawDataGenPO[[#This Row],[Lead time delivery (day)]],"over deliverry","Ontime")</f>
        <v/>
      </c>
      <c r="AC26" s="168" t="n"/>
    </row>
    <row r="27" ht="15" customFormat="1" customHeight="1" s="125">
      <c r="A27" s="5">
        <f>ROW()-ROW(RawDataGenPO[[#Headers],[No.]])</f>
        <v/>
      </c>
      <c r="B27" s="7" t="inlineStr">
        <is>
          <t>Expent  cost</t>
        </is>
      </c>
      <c r="C27" s="276" t="n">
        <v>45465</v>
      </c>
      <c r="D27" s="276" t="n"/>
      <c r="E27" s="276" t="n"/>
      <c r="F27" s="276" t="n">
        <v>45465</v>
      </c>
      <c r="G27" s="5" t="inlineStr">
        <is>
          <t>PR2425-01488</t>
        </is>
      </c>
      <c r="H27" s="5" t="inlineStr">
        <is>
          <t>PO2425-01865</t>
        </is>
      </c>
      <c r="I27" s="290">
        <f>IF(RawDataGenPO[[#This Row],[PO No.]]="","",RawDataGenPO[[#This Row],[DMY Create PR]]+7)</f>
        <v/>
      </c>
      <c r="J27" s="290" t="n"/>
      <c r="K27" s="20" t="n">
        <v>90</v>
      </c>
      <c r="L27" s="5" t="inlineStr">
        <is>
          <t>SFST81000048</t>
        </is>
      </c>
      <c r="M27" s="7" t="inlineStr">
        <is>
          <t>Cooling machine for PD line</t>
        </is>
      </c>
      <c r="N27" s="7" t="inlineStr">
        <is>
          <t>Air Dryer No.1</t>
        </is>
      </c>
      <c r="O27" s="11" t="n">
        <v>7</v>
      </c>
      <c r="P27" s="10" t="inlineStr">
        <is>
          <t>Server - Test run</t>
        </is>
      </c>
      <c r="Q27" s="277" t="n">
        <v>1</v>
      </c>
      <c r="R27" s="5" t="inlineStr">
        <is>
          <t>NO</t>
        </is>
      </c>
      <c r="S27" s="284">
        <f>RawDataGenPO[[#This Row],[Total price]]/RawDataGenPO[[#This Row],[Qty'']]</f>
        <v/>
      </c>
      <c r="T27" s="285" t="n">
        <v>3000</v>
      </c>
      <c r="U27" s="161" t="inlineStr">
        <is>
          <t>Puneet Approval</t>
        </is>
      </c>
      <c r="V27" s="7" t="inlineStr">
        <is>
          <t>V1000477 - Wata Air Compressor Co., Ltd.</t>
        </is>
      </c>
      <c r="W27" s="5" t="inlineStr">
        <is>
          <t>Recive bill and GRN already</t>
        </is>
      </c>
      <c r="X27" s="5" t="n"/>
      <c r="Y27" s="3" t="n">
        <v>45546</v>
      </c>
      <c r="Z27" s="3" t="n"/>
      <c r="AA27" s="17">
        <f>IF(RawDataGenPO[[#This Row],[Date Gen PO]]="","",RawDataGenPO[[#This Row],[Date recive bill]]-RawDataGenPO[[#This Row],[Date Gen PO]])</f>
        <v/>
      </c>
      <c r="AB27" s="16">
        <f>IF(RawDataGenPO[[#This Row],[GRN-PO date]]&gt;RawDataGenPO[[#This Row],[Lead time delivery (day)]],"over deliverry","Ontime")</f>
        <v/>
      </c>
      <c r="AC27" s="168" t="n"/>
    </row>
    <row r="28" ht="15" customFormat="1" customHeight="1" s="125">
      <c r="A28" s="5">
        <f>ROW()-ROW(RawDataGenPO[[#Headers],[No.]])</f>
        <v/>
      </c>
      <c r="B28" s="7" t="inlineStr">
        <is>
          <t>Expent  cost</t>
        </is>
      </c>
      <c r="C28" s="276" t="n">
        <v>45473</v>
      </c>
      <c r="D28" s="276" t="n"/>
      <c r="E28" s="276" t="n"/>
      <c r="F28" s="276" t="n">
        <v>45473</v>
      </c>
      <c r="G28" s="5" t="inlineStr">
        <is>
          <t>PR2425-01487</t>
        </is>
      </c>
      <c r="H28" s="5" t="inlineStr">
        <is>
          <t>PO2425-01866</t>
        </is>
      </c>
      <c r="I28" s="290">
        <f>IF(RawDataGenPO[[#This Row],[PO No.]]="","",RawDataGenPO[[#This Row],[DMY Create PR]]+7)</f>
        <v/>
      </c>
      <c r="J28" s="290" t="n"/>
      <c r="K28" s="20" t="n">
        <v>90</v>
      </c>
      <c r="L28" s="5" t="inlineStr">
        <is>
          <t>SFST81000050</t>
        </is>
      </c>
      <c r="M28" s="7" t="inlineStr">
        <is>
          <t>Cooling machine for PD line</t>
        </is>
      </c>
      <c r="N28" s="7" t="inlineStr">
        <is>
          <t>Mini flame Grill  Machine No.1</t>
        </is>
      </c>
      <c r="O28" s="11" t="n">
        <v>1</v>
      </c>
      <c r="P28" s="10" t="inlineStr">
        <is>
          <t>Pressure Switch model AA-A2-6-2</t>
        </is>
      </c>
      <c r="Q28" s="277" t="n">
        <v>1</v>
      </c>
      <c r="R28" s="5" t="inlineStr">
        <is>
          <t>NO</t>
        </is>
      </c>
      <c r="S28" s="284">
        <f>RawDataGenPO[[#This Row],[Total price]]/RawDataGenPO[[#This Row],[Qty'']]</f>
        <v/>
      </c>
      <c r="T28" s="285" t="n">
        <v>9950</v>
      </c>
      <c r="U28" s="161" t="inlineStr">
        <is>
          <t>Puneet Approval</t>
        </is>
      </c>
      <c r="V28" s="7" t="inlineStr">
        <is>
          <t>V1000263 - ADD FURNACE CO., LTD</t>
        </is>
      </c>
      <c r="W28" s="5" t="inlineStr">
        <is>
          <t>Recive bill and GRN already</t>
        </is>
      </c>
      <c r="X28" s="5" t="n"/>
      <c r="Y28" s="3" t="n">
        <v>45509</v>
      </c>
      <c r="Z28" s="3" t="n"/>
      <c r="AA28" s="17">
        <f>IF(RawDataGenPO[[#This Row],[Date Gen PO]]="","",RawDataGenPO[[#This Row],[Date recive bill]]-RawDataGenPO[[#This Row],[Date Gen PO]])</f>
        <v/>
      </c>
      <c r="AB28" s="16">
        <f>IF(RawDataGenPO[[#This Row],[GRN-PO date]]&gt;RawDataGenPO[[#This Row],[Lead time delivery (day)]],"over deliverry","Ontime")</f>
        <v/>
      </c>
      <c r="AC28" s="168" t="n"/>
    </row>
    <row r="29" ht="15" customFormat="1" customHeight="1" s="125">
      <c r="A29" s="5">
        <f>ROW()-ROW(RawDataGenPO[[#Headers],[No.]])</f>
        <v/>
      </c>
      <c r="B29" s="7" t="inlineStr">
        <is>
          <t>Expent  cost</t>
        </is>
      </c>
      <c r="C29" s="276" t="n">
        <v>45473</v>
      </c>
      <c r="D29" s="276" t="n"/>
      <c r="E29" s="276" t="n"/>
      <c r="F29" s="276" t="n">
        <v>45473</v>
      </c>
      <c r="G29" s="5" t="inlineStr">
        <is>
          <t>PR2425-01487</t>
        </is>
      </c>
      <c r="H29" s="5" t="inlineStr">
        <is>
          <t>PO2425-01866</t>
        </is>
      </c>
      <c r="I29" s="290">
        <f>IF(RawDataGenPO[[#This Row],[PO No.]]="","",RawDataGenPO[[#This Row],[DMY Create PR]]+7)</f>
        <v/>
      </c>
      <c r="J29" s="290" t="n"/>
      <c r="K29" s="20" t="n">
        <v>90</v>
      </c>
      <c r="L29" s="5" t="inlineStr">
        <is>
          <t>SFST81000050</t>
        </is>
      </c>
      <c r="M29" s="7" t="inlineStr">
        <is>
          <t>Cooling machine for PD line</t>
        </is>
      </c>
      <c r="N29" s="7" t="inlineStr">
        <is>
          <t>Mini flame Grill  Machine No.1</t>
        </is>
      </c>
      <c r="O29" s="11" t="n">
        <v>2</v>
      </c>
      <c r="P29" s="10" t="inlineStr">
        <is>
          <t>Pressure switch GAO-A4-4-5</t>
        </is>
      </c>
      <c r="Q29" s="277" t="n">
        <v>1</v>
      </c>
      <c r="R29" s="5" t="inlineStr">
        <is>
          <t>NO</t>
        </is>
      </c>
      <c r="S29" s="284">
        <f>RawDataGenPO[[#This Row],[Total price]]/RawDataGenPO[[#This Row],[Qty'']]</f>
        <v/>
      </c>
      <c r="T29" s="285" t="n">
        <v>9920</v>
      </c>
      <c r="U29" s="161" t="inlineStr">
        <is>
          <t>Puneet Approval</t>
        </is>
      </c>
      <c r="V29" s="7" t="inlineStr">
        <is>
          <t>V1000263 - ADD FURNACE CO., LTD</t>
        </is>
      </c>
      <c r="W29" s="5" t="inlineStr">
        <is>
          <t>Recive bill and GRN already</t>
        </is>
      </c>
      <c r="X29" s="5" t="n"/>
      <c r="Y29" s="3" t="n">
        <v>45509</v>
      </c>
      <c r="Z29" s="3" t="n"/>
      <c r="AA29" s="17">
        <f>IF(RawDataGenPO[[#This Row],[Date Gen PO]]="","",RawDataGenPO[[#This Row],[Date recive bill]]-RawDataGenPO[[#This Row],[Date Gen PO]])</f>
        <v/>
      </c>
      <c r="AB29" s="16">
        <f>IF(RawDataGenPO[[#This Row],[GRN-PO date]]&gt;RawDataGenPO[[#This Row],[Lead time delivery (day)]],"over deliverry","Ontime")</f>
        <v/>
      </c>
      <c r="AC29" s="168" t="n"/>
    </row>
    <row r="30" ht="34.5" customFormat="1" customHeight="1" s="231">
      <c r="A30" s="5">
        <f>ROW()-ROW(RawDataGenPO[[#Headers],[No.]])</f>
        <v/>
      </c>
      <c r="B30" s="7" t="inlineStr">
        <is>
          <t>Expent  cost</t>
        </is>
      </c>
      <c r="C30" s="276" t="n">
        <v>45473</v>
      </c>
      <c r="D30" s="275" t="n"/>
      <c r="E30" s="275" t="n"/>
      <c r="F30" s="276" t="n">
        <v>45473</v>
      </c>
      <c r="G30" s="5" t="inlineStr">
        <is>
          <t>PR2425-01487</t>
        </is>
      </c>
      <c r="H30" s="5" t="inlineStr">
        <is>
          <t>PO2425-01866</t>
        </is>
      </c>
      <c r="I30" s="290">
        <f>IF(RawDataGenPO[[#This Row],[PO No.]]="","",RawDataGenPO[[#This Row],[DMY Create PR]]+7)</f>
        <v/>
      </c>
      <c r="J30" s="290" t="n"/>
      <c r="K30" s="20" t="n">
        <v>30</v>
      </c>
      <c r="L30" s="5" t="inlineStr">
        <is>
          <t>SFST81000050</t>
        </is>
      </c>
      <c r="M30" s="7" t="inlineStr">
        <is>
          <t>Utility Jobs  (Boiler-Air compress-Transformer-LPG)</t>
        </is>
      </c>
      <c r="N30" s="7" t="inlineStr">
        <is>
          <t>Mini flame Grill  Machine No.1</t>
        </is>
      </c>
      <c r="O30" s="11" t="n">
        <v>3</v>
      </c>
      <c r="P30" s="10" t="inlineStr">
        <is>
          <t>Kromschorder Burner Contro; Model IFD258-10-2Q</t>
        </is>
      </c>
      <c r="Q30" s="277" t="n">
        <v>1</v>
      </c>
      <c r="R30" s="5" t="inlineStr">
        <is>
          <t>NO</t>
        </is>
      </c>
      <c r="S30" s="284">
        <f>RawDataGenPO[[#This Row],[Total price]]/RawDataGenPO[[#This Row],[Qty'']]</f>
        <v/>
      </c>
      <c r="T30" s="285" t="n">
        <v>27500</v>
      </c>
      <c r="U30" s="161" t="inlineStr">
        <is>
          <t>Puneet Approval</t>
        </is>
      </c>
      <c r="V30" s="7" t="inlineStr">
        <is>
          <t>V1000263 - ADD FURNACE CO., LTD</t>
        </is>
      </c>
      <c r="W30" s="5" t="inlineStr">
        <is>
          <t>Recive bill and GRN already</t>
        </is>
      </c>
      <c r="X30" s="5" t="n"/>
      <c r="Y30" s="3" t="n">
        <v>45509</v>
      </c>
      <c r="Z30" s="3" t="n"/>
      <c r="AA30" s="17">
        <f>IF(RawDataGenPO[[#This Row],[Date Gen PO]]="","",RawDataGenPO[[#This Row],[Date recive bill]]-RawDataGenPO[[#This Row],[Date Gen PO]])</f>
        <v/>
      </c>
      <c r="AB30" s="16">
        <f>IF(RawDataGenPO[[#This Row],[GRN-PO date]]&gt;RawDataGenPO[[#This Row],[Lead time delivery (day)]],"over deliverry","Ontime")</f>
        <v/>
      </c>
      <c r="AC30" s="168" t="n"/>
    </row>
    <row r="31" ht="15" customFormat="1" customHeight="1" s="125">
      <c r="A31" s="5">
        <f>ROW()-ROW(RawDataGenPO[[#Headers],[No.]])</f>
        <v/>
      </c>
      <c r="B31" s="7" t="inlineStr">
        <is>
          <t>Expent  cost</t>
        </is>
      </c>
      <c r="C31" s="276" t="n">
        <v>45462</v>
      </c>
      <c r="D31" s="276" t="n"/>
      <c r="E31" s="276" t="n"/>
      <c r="F31" s="276" t="n">
        <v>45462</v>
      </c>
      <c r="G31" s="5" t="inlineStr">
        <is>
          <t>PR2425-01487</t>
        </is>
      </c>
      <c r="H31" s="5" t="inlineStr">
        <is>
          <t>PO2425-01867</t>
        </is>
      </c>
      <c r="I31" s="290">
        <f>IF(RawDataGenPO[[#This Row],[PO No.]]="","",RawDataGenPO[[#This Row],[DMY Create PR]]+7)</f>
        <v/>
      </c>
      <c r="J31" s="290" t="n"/>
      <c r="K31" s="20">
        <f>IF(RawDataGenPO[[#This Row],[PO No.]]="","",10)</f>
        <v/>
      </c>
      <c r="L31" s="5" t="inlineStr">
        <is>
          <t>SFST81000050</t>
        </is>
      </c>
      <c r="M31" s="7" t="inlineStr">
        <is>
          <t>PD Machine</t>
        </is>
      </c>
      <c r="N31" s="7" t="inlineStr">
        <is>
          <t>Mini flame Grill  Machine No.1</t>
        </is>
      </c>
      <c r="O31" s="11" t="n">
        <v>4</v>
      </c>
      <c r="P31" s="10" t="inlineStr">
        <is>
          <t>Dungs solenoid valve Model : DMV-D 702 - 624L</t>
        </is>
      </c>
      <c r="Q31" s="277" t="n">
        <v>1</v>
      </c>
      <c r="R31" s="5" t="inlineStr">
        <is>
          <t>PCS.</t>
        </is>
      </c>
      <c r="S31" s="284">
        <f>RawDataGenPO[[#This Row],[Total price]]/RawDataGenPO[[#This Row],[Qty'']]</f>
        <v/>
      </c>
      <c r="T31" s="285" t="n">
        <v>129500</v>
      </c>
      <c r="U31" s="291" t="n"/>
      <c r="V31" s="7" t="inlineStr">
        <is>
          <t>V1000263 - ADD FURNACE CO., LTD</t>
        </is>
      </c>
      <c r="W31" s="5" t="inlineStr">
        <is>
          <t>Recive bill and GRN already</t>
        </is>
      </c>
      <c r="X31" s="5" t="n"/>
      <c r="Y31" s="3" t="n">
        <v>45621</v>
      </c>
      <c r="Z31" s="3" t="n"/>
      <c r="AA31" s="17">
        <f>IF(RawDataGenPO[[#This Row],[Date Gen PO]]="","",RawDataGenPO[[#This Row],[Date recive bill]]-RawDataGenPO[[#This Row],[Date Gen PO]])</f>
        <v/>
      </c>
      <c r="AB31" s="16">
        <f>IF(RawDataGenPO[[#This Row],[GRN-PO date]]&gt;RawDataGenPO[[#This Row],[Lead time delivery (day)]],"over deliverry","Ontime")</f>
        <v/>
      </c>
      <c r="AC31" s="168" t="n"/>
    </row>
    <row r="32" ht="15" customFormat="1" customHeight="1" s="125">
      <c r="A32" s="5">
        <f>ROW()-ROW(RawDataGenPO[[#Headers],[No.]])</f>
        <v/>
      </c>
      <c r="B32" s="7" t="inlineStr">
        <is>
          <t>Expent  cost</t>
        </is>
      </c>
      <c r="C32" s="276" t="n">
        <v>45468</v>
      </c>
      <c r="D32" s="276" t="n"/>
      <c r="E32" s="276" t="n"/>
      <c r="F32" s="276" t="n">
        <v>45468</v>
      </c>
      <c r="G32" s="5" t="inlineStr">
        <is>
          <t>PR2425-01515</t>
        </is>
      </c>
      <c r="H32" s="5" t="inlineStr">
        <is>
          <t>PO2425-01917</t>
        </is>
      </c>
      <c r="I32" s="290">
        <f>IF(RawDataGenPO[[#This Row],[PO No.]]="","",RawDataGenPO[[#This Row],[DMY Create PR]]+7)</f>
        <v/>
      </c>
      <c r="J32" s="290" t="n"/>
      <c r="K32" s="20">
        <f>IF(RawDataGenPO[[#This Row],[PO No.]]="","",10)</f>
        <v/>
      </c>
      <c r="L32" s="5" t="inlineStr">
        <is>
          <t>SFST81000050</t>
        </is>
      </c>
      <c r="M32" s="7" t="inlineStr">
        <is>
          <t>Electrical system in PD area</t>
        </is>
      </c>
      <c r="N32" s="7" t="inlineStr">
        <is>
          <t>Electrical jobs</t>
        </is>
      </c>
      <c r="O32" s="11" t="n">
        <v>1</v>
      </c>
      <c r="P32" s="10" t="inlineStr">
        <is>
          <t>Cable NYX-CABEL YSLY-JZ 6G1.5 sq.mm</t>
        </is>
      </c>
      <c r="Q32" s="277" t="n">
        <v>30</v>
      </c>
      <c r="R32" s="5" t="inlineStr">
        <is>
          <t>NO</t>
        </is>
      </c>
      <c r="S32" s="284">
        <f>RawDataGenPO[[#This Row],[Total price]]/RawDataGenPO[[#This Row],[Qty'']]</f>
        <v/>
      </c>
      <c r="T32" s="285" t="n">
        <v>3750</v>
      </c>
      <c r="U32" s="161" t="inlineStr">
        <is>
          <t>Puneet Approval</t>
        </is>
      </c>
      <c r="V32" s="7" t="inlineStr">
        <is>
          <t>V1000293 - JTB ELECTRIC SUPPLY LIMITED PARTNERSHIP</t>
        </is>
      </c>
      <c r="W32" s="5" t="inlineStr">
        <is>
          <t>Recive bill and GRN already</t>
        </is>
      </c>
      <c r="X32" s="5" t="n"/>
      <c r="Y32" s="3" t="n">
        <v>45478</v>
      </c>
      <c r="Z32" s="3" t="n"/>
      <c r="AA32" s="17">
        <f>IF(RawDataGenPO[[#This Row],[Date Gen PO]]="","",RawDataGenPO[[#This Row],[Date recive bill]]-RawDataGenPO[[#This Row],[Date Gen PO]])</f>
        <v/>
      </c>
      <c r="AB32" s="16">
        <f>IF(RawDataGenPO[[#This Row],[GRN-PO date]]&gt;RawDataGenPO[[#This Row],[Lead time delivery (day)]],"over deliverry","Ontime")</f>
        <v/>
      </c>
      <c r="AC32" s="168" t="n"/>
    </row>
    <row r="33" ht="15" customFormat="1" customHeight="1" s="125">
      <c r="A33" s="5">
        <f>ROW()-ROW(RawDataGenPO[[#Headers],[No.]])</f>
        <v/>
      </c>
      <c r="B33" s="7" t="inlineStr">
        <is>
          <t>Expent  cost</t>
        </is>
      </c>
      <c r="C33" s="276" t="n">
        <v>45468</v>
      </c>
      <c r="D33" s="276" t="n"/>
      <c r="E33" s="276" t="n"/>
      <c r="F33" s="276" t="n">
        <v>45468</v>
      </c>
      <c r="G33" s="5" t="inlineStr">
        <is>
          <t>PR2425-01515</t>
        </is>
      </c>
      <c r="H33" s="5" t="inlineStr">
        <is>
          <t>PO2425-01917</t>
        </is>
      </c>
      <c r="I33" s="290">
        <f>IF(RawDataGenPO[[#This Row],[PO No.]]="","",RawDataGenPO[[#This Row],[DMY Create PR]]+7)</f>
        <v/>
      </c>
      <c r="J33" s="290" t="n"/>
      <c r="K33" s="20">
        <f>IF(RawDataGenPO[[#This Row],[PO No.]]="","",10)</f>
        <v/>
      </c>
      <c r="L33" s="5" t="inlineStr">
        <is>
          <t>SFST81000050</t>
        </is>
      </c>
      <c r="M33" s="7" t="inlineStr">
        <is>
          <t>Electrical system in PD area</t>
        </is>
      </c>
      <c r="N33" s="7" t="inlineStr">
        <is>
          <t>Electrical jobs</t>
        </is>
      </c>
      <c r="O33" s="11" t="n">
        <v>2</v>
      </c>
      <c r="P33" s="10" t="inlineStr">
        <is>
          <t>Cable NYX-CABEL YSLY-JZ 4G1.5 sq.mm</t>
        </is>
      </c>
      <c r="Q33" s="277" t="n">
        <v>30</v>
      </c>
      <c r="R33" s="5" t="inlineStr">
        <is>
          <t>NO</t>
        </is>
      </c>
      <c r="S33" s="284">
        <f>RawDataGenPO[[#This Row],[Total price]]/RawDataGenPO[[#This Row],[Qty'']]</f>
        <v/>
      </c>
      <c r="T33" s="285" t="n">
        <v>2550</v>
      </c>
      <c r="U33" s="161" t="inlineStr">
        <is>
          <t>Puneet Approval</t>
        </is>
      </c>
      <c r="V33" s="7" t="inlineStr">
        <is>
          <t>V1000293 - JTB ELECTRIC SUPPLY LIMITED PARTNERSHIP</t>
        </is>
      </c>
      <c r="W33" s="5" t="inlineStr">
        <is>
          <t>Recive bill and GRN already</t>
        </is>
      </c>
      <c r="X33" s="5" t="n"/>
      <c r="Y33" s="3" t="n">
        <v>45478</v>
      </c>
      <c r="Z33" s="3" t="n"/>
      <c r="AA33" s="17">
        <f>IF(RawDataGenPO[[#This Row],[Date Gen PO]]="","",RawDataGenPO[[#This Row],[Date recive bill]]-RawDataGenPO[[#This Row],[Date Gen PO]])</f>
        <v/>
      </c>
      <c r="AB33" s="16">
        <f>IF(RawDataGenPO[[#This Row],[GRN-PO date]]&gt;RawDataGenPO[[#This Row],[Lead time delivery (day)]],"over deliverry","Ontime")</f>
        <v/>
      </c>
      <c r="AC33" s="168" t="n"/>
    </row>
    <row r="34" ht="15" customFormat="1" customHeight="1" s="125">
      <c r="A34" s="5">
        <f>ROW()-ROW(RawDataGenPO[[#Headers],[No.]])</f>
        <v/>
      </c>
      <c r="B34" s="7" t="inlineStr">
        <is>
          <t>Expent  cost</t>
        </is>
      </c>
      <c r="C34" s="276" t="n">
        <v>45468</v>
      </c>
      <c r="D34" s="276" t="n"/>
      <c r="E34" s="276" t="n"/>
      <c r="F34" s="276" t="n">
        <v>45468</v>
      </c>
      <c r="G34" s="5" t="inlineStr">
        <is>
          <t>PR2425-01515</t>
        </is>
      </c>
      <c r="H34" s="5" t="inlineStr">
        <is>
          <t>PO2425-01917</t>
        </is>
      </c>
      <c r="I34" s="290">
        <f>IF(RawDataGenPO[[#This Row],[PO No.]]="","",RawDataGenPO[[#This Row],[DMY Create PR]]+7)</f>
        <v/>
      </c>
      <c r="J34" s="290" t="n"/>
      <c r="K34" s="20">
        <f>IF(RawDataGenPO[[#This Row],[PO No.]]="","",10)</f>
        <v/>
      </c>
      <c r="L34" s="5" t="inlineStr">
        <is>
          <t>SFST81000050</t>
        </is>
      </c>
      <c r="M34" s="7" t="inlineStr">
        <is>
          <t>Electrical system in PD area</t>
        </is>
      </c>
      <c r="N34" s="7" t="inlineStr">
        <is>
          <t>Electrical jobs</t>
        </is>
      </c>
      <c r="O34" s="11" t="n">
        <v>3</v>
      </c>
      <c r="P34" s="10" t="inlineStr">
        <is>
          <t>Terminal Box:TJ-10P-M Size: 91x110x43 mm</t>
        </is>
      </c>
      <c r="Q34" s="277" t="n">
        <v>10</v>
      </c>
      <c r="R34" s="5" t="inlineStr">
        <is>
          <t>NO</t>
        </is>
      </c>
      <c r="S34" s="284">
        <f>RawDataGenPO[[#This Row],[Total price]]/RawDataGenPO[[#This Row],[Qty'']]</f>
        <v/>
      </c>
      <c r="T34" s="285" t="n">
        <v>8250</v>
      </c>
      <c r="U34" s="161" t="inlineStr">
        <is>
          <t>Puneet Approval</t>
        </is>
      </c>
      <c r="V34" s="7" t="inlineStr">
        <is>
          <t>V1000293 - JTB ELECTRIC SUPPLY LIMITED PARTNERSHIP</t>
        </is>
      </c>
      <c r="W34" s="5" t="inlineStr">
        <is>
          <t>Recive bill and GRN already</t>
        </is>
      </c>
      <c r="X34" s="5" t="n"/>
      <c r="Y34" s="3" t="n">
        <v>45478</v>
      </c>
      <c r="Z34" s="3" t="n"/>
      <c r="AA34" s="17">
        <f>IF(RawDataGenPO[[#This Row],[Date Gen PO]]="","",RawDataGenPO[[#This Row],[Date recive bill]]-RawDataGenPO[[#This Row],[Date Gen PO]])</f>
        <v/>
      </c>
      <c r="AB34" s="16">
        <f>IF(RawDataGenPO[[#This Row],[GRN-PO date]]&gt;RawDataGenPO[[#This Row],[Lead time delivery (day)]],"over deliverry","Ontime")</f>
        <v/>
      </c>
      <c r="AC34" s="168" t="n"/>
    </row>
    <row r="35" ht="15" customFormat="1" customHeight="1" s="125">
      <c r="A35" s="5">
        <f>ROW()-ROW(RawDataGenPO[[#Headers],[No.]])</f>
        <v/>
      </c>
      <c r="B35" s="7" t="inlineStr">
        <is>
          <t>Expent  cost</t>
        </is>
      </c>
      <c r="C35" s="276" t="n">
        <v>45468</v>
      </c>
      <c r="D35" s="276" t="n"/>
      <c r="E35" s="276" t="n"/>
      <c r="F35" s="276" t="n">
        <v>45468</v>
      </c>
      <c r="G35" s="5" t="inlineStr">
        <is>
          <t>PR2425-01515</t>
        </is>
      </c>
      <c r="H35" s="5" t="inlineStr">
        <is>
          <t>PO2425-01917</t>
        </is>
      </c>
      <c r="I35" s="290">
        <f>IF(RawDataGenPO[[#This Row],[PO No.]]="","",RawDataGenPO[[#This Row],[DMY Create PR]]+7)</f>
        <v/>
      </c>
      <c r="J35" s="290" t="n"/>
      <c r="K35" s="20">
        <f>IF(RawDataGenPO[[#This Row],[PO No.]]="","",10)</f>
        <v/>
      </c>
      <c r="L35" s="5" t="inlineStr">
        <is>
          <t>SFST81000050</t>
        </is>
      </c>
      <c r="M35" s="7" t="inlineStr">
        <is>
          <t>Electrical system in PD area</t>
        </is>
      </c>
      <c r="N35" s="7" t="inlineStr">
        <is>
          <t>Electrical jobs</t>
        </is>
      </c>
      <c r="O35" s="11" t="n">
        <v>4</v>
      </c>
      <c r="P35" s="10" t="inlineStr">
        <is>
          <t>UK2.5B terminal, connector linking terminal block on DIN rail (green)</t>
        </is>
      </c>
      <c r="Q35" s="277" t="n">
        <v>40</v>
      </c>
      <c r="R35" s="5" t="inlineStr">
        <is>
          <t>NO</t>
        </is>
      </c>
      <c r="S35" s="284">
        <f>RawDataGenPO[[#This Row],[Total price]]/RawDataGenPO[[#This Row],[Qty'']]</f>
        <v/>
      </c>
      <c r="T35" s="285" t="n">
        <v>1000</v>
      </c>
      <c r="U35" s="161" t="inlineStr">
        <is>
          <t>Puneet Approval</t>
        </is>
      </c>
      <c r="V35" s="7" t="inlineStr">
        <is>
          <t>V1000293 - JTB ELECTRIC SUPPLY LIMITED PARTNERSHIP</t>
        </is>
      </c>
      <c r="W35" s="5" t="inlineStr">
        <is>
          <t>Recive bill and GRN already</t>
        </is>
      </c>
      <c r="X35" s="5" t="n"/>
      <c r="Y35" s="3" t="n">
        <v>45478</v>
      </c>
      <c r="Z35" s="3" t="n"/>
      <c r="AA35" s="17">
        <f>IF(RawDataGenPO[[#This Row],[Date Gen PO]]="","",RawDataGenPO[[#This Row],[Date recive bill]]-RawDataGenPO[[#This Row],[Date Gen PO]])</f>
        <v/>
      </c>
      <c r="AB35" s="16">
        <f>IF(RawDataGenPO[[#This Row],[GRN-PO date]]&gt;RawDataGenPO[[#This Row],[Lead time delivery (day)]],"over deliverry","Ontime")</f>
        <v/>
      </c>
      <c r="AC35" s="168" t="n"/>
    </row>
    <row r="36" ht="30" customFormat="1" customHeight="1" s="125">
      <c r="A36" s="5">
        <f>ROW()-ROW(RawDataGenPO[[#Headers],[No.]])</f>
        <v/>
      </c>
      <c r="B36" s="7" t="inlineStr">
        <is>
          <t>Expent  cost</t>
        </is>
      </c>
      <c r="C36" s="275" t="n">
        <v>45468</v>
      </c>
      <c r="D36" s="276" t="n"/>
      <c r="E36" s="276" t="n"/>
      <c r="F36" s="275" t="n">
        <v>45468</v>
      </c>
      <c r="G36" s="5" t="inlineStr">
        <is>
          <t>PR2425-01515</t>
        </is>
      </c>
      <c r="H36" s="5" t="inlineStr">
        <is>
          <t>PO2425-01917</t>
        </is>
      </c>
      <c r="I36" s="290">
        <f>IF(RawDataGenPO[[#This Row],[PO No.]]="","",RawDataGenPO[[#This Row],[DMY Create PR]]+7)</f>
        <v/>
      </c>
      <c r="J36" s="290" t="n"/>
      <c r="K36" s="20">
        <f>IF(RawDataGenPO[[#This Row],[PO No.]]="","",10)</f>
        <v/>
      </c>
      <c r="L36" s="5" t="inlineStr">
        <is>
          <t>SFST81000050</t>
        </is>
      </c>
      <c r="M36" s="7" t="inlineStr">
        <is>
          <t>Electrical system in PD area</t>
        </is>
      </c>
      <c r="N36" s="7" t="inlineStr">
        <is>
          <t>Electrical jobs</t>
        </is>
      </c>
      <c r="O36" s="5" t="n">
        <v>5</v>
      </c>
      <c r="P36" s="33" t="inlineStr">
        <is>
          <t>ST Terminal Block model ST2.5 2.5mm2 600V 20A STTB2.5 (end cover) (D-ST2.5) (grey)</t>
        </is>
      </c>
      <c r="Q36" s="277" t="n">
        <v>15</v>
      </c>
      <c r="R36" s="5" t="inlineStr">
        <is>
          <t>NO</t>
        </is>
      </c>
      <c r="S36" s="284">
        <f>RawDataGenPO[[#This Row],[Total price]]/RawDataGenPO[[#This Row],[Qty'']]</f>
        <v/>
      </c>
      <c r="T36" s="285" t="n">
        <v>600</v>
      </c>
      <c r="U36" s="161" t="inlineStr">
        <is>
          <t>Puneet Approval</t>
        </is>
      </c>
      <c r="V36" s="7" t="inlineStr">
        <is>
          <t>V1000293 - JTB ELECTRIC SUPPLY LIMITED PARTNERSHIP</t>
        </is>
      </c>
      <c r="W36" s="5" t="inlineStr">
        <is>
          <t>Recive bill and GRN already</t>
        </is>
      </c>
      <c r="X36" s="5" t="n"/>
      <c r="Y36" s="3" t="n">
        <v>45478</v>
      </c>
      <c r="Z36" s="3" t="n"/>
      <c r="AA36" s="17">
        <f>IF(RawDataGenPO[[#This Row],[Date Gen PO]]="","",RawDataGenPO[[#This Row],[Date recive bill]]-RawDataGenPO[[#This Row],[Date Gen PO]])</f>
        <v/>
      </c>
      <c r="AB36" s="16">
        <f>IF(RawDataGenPO[[#This Row],[GRN-PO date]]&gt;RawDataGenPO[[#This Row],[Lead time delivery (day)]],"over deliverry","Ontime")</f>
        <v/>
      </c>
      <c r="AC36" s="168" t="n"/>
    </row>
    <row r="37" ht="15" customFormat="1" customHeight="1" s="125">
      <c r="A37" s="5">
        <f>ROW()-ROW(RawDataGenPO[[#Headers],[No.]])</f>
        <v/>
      </c>
      <c r="B37" s="7" t="inlineStr">
        <is>
          <t>Expent  cost</t>
        </is>
      </c>
      <c r="C37" s="276" t="n">
        <v>45468</v>
      </c>
      <c r="D37" s="276" t="n"/>
      <c r="E37" s="276" t="n"/>
      <c r="F37" s="276" t="n">
        <v>45468</v>
      </c>
      <c r="G37" s="5" t="inlineStr">
        <is>
          <t>PR2425-01515</t>
        </is>
      </c>
      <c r="H37" s="5" t="inlineStr">
        <is>
          <t>PO2425-01917</t>
        </is>
      </c>
      <c r="I37" s="290">
        <f>IF(RawDataGenPO[[#This Row],[PO No.]]="","",RawDataGenPO[[#This Row],[DMY Create PR]]+7)</f>
        <v/>
      </c>
      <c r="J37" s="290" t="n"/>
      <c r="K37" s="20">
        <f>IF(RawDataGenPO[[#This Row],[PO No.]]="","",10)</f>
        <v/>
      </c>
      <c r="L37" s="5" t="inlineStr">
        <is>
          <t>SFST81000050</t>
        </is>
      </c>
      <c r="M37" s="7" t="inlineStr">
        <is>
          <t>Electrical system in PD area</t>
        </is>
      </c>
      <c r="N37" s="7" t="inlineStr">
        <is>
          <t>Electrical jobs</t>
        </is>
      </c>
      <c r="O37" s="11" t="n">
        <v>6</v>
      </c>
      <c r="P37" s="10" t="inlineStr">
        <is>
          <t>UK2.5B terminal, connector linking terminal block on DIN rail (grey)</t>
        </is>
      </c>
      <c r="Q37" s="277" t="n">
        <v>100</v>
      </c>
      <c r="R37" s="5" t="inlineStr">
        <is>
          <t>NO</t>
        </is>
      </c>
      <c r="S37" s="284">
        <f>RawDataGenPO[[#This Row],[Total price]]/RawDataGenPO[[#This Row],[Qty'']]</f>
        <v/>
      </c>
      <c r="T37" s="285" t="n">
        <v>3500</v>
      </c>
      <c r="U37" s="161" t="inlineStr">
        <is>
          <t>Puneet Approval</t>
        </is>
      </c>
      <c r="V37" s="7" t="inlineStr">
        <is>
          <t>V1000293 - JTB ELECTRIC SUPPLY LIMITED PARTNERSHIP</t>
        </is>
      </c>
      <c r="W37" s="5" t="inlineStr">
        <is>
          <t>Recive bill and GRN already</t>
        </is>
      </c>
      <c r="X37" s="5" t="n"/>
      <c r="Y37" s="3" t="n">
        <v>45478</v>
      </c>
      <c r="Z37" s="3" t="n"/>
      <c r="AA37" s="17">
        <f>IF(RawDataGenPO[[#This Row],[Date Gen PO]]="","",RawDataGenPO[[#This Row],[Date recive bill]]-RawDataGenPO[[#This Row],[Date Gen PO]])</f>
        <v/>
      </c>
      <c r="AB37" s="16">
        <f>IF(RawDataGenPO[[#This Row],[GRN-PO date]]&gt;RawDataGenPO[[#This Row],[Lead time delivery (day)]],"over deliverry","Ontime")</f>
        <v/>
      </c>
      <c r="AC37" s="168" t="n"/>
    </row>
    <row r="38" ht="15" customFormat="1" customHeight="1" s="125">
      <c r="A38" s="5">
        <f>ROW()-ROW(RawDataGenPO[[#Headers],[No.]])</f>
        <v/>
      </c>
      <c r="B38" s="7" t="inlineStr">
        <is>
          <t>Expent  cost</t>
        </is>
      </c>
      <c r="C38" s="276" t="n">
        <v>45468</v>
      </c>
      <c r="D38" s="276" t="n"/>
      <c r="E38" s="276" t="n"/>
      <c r="F38" s="276" t="n">
        <v>45468</v>
      </c>
      <c r="G38" s="5" t="inlineStr">
        <is>
          <t>PR2425-01515</t>
        </is>
      </c>
      <c r="H38" s="5" t="inlineStr">
        <is>
          <t>PO2425-01917</t>
        </is>
      </c>
      <c r="I38" s="290">
        <f>IF(RawDataGenPO[[#This Row],[PO No.]]="","",RawDataGenPO[[#This Row],[DMY Create PR]]+7)</f>
        <v/>
      </c>
      <c r="J38" s="290" t="n"/>
      <c r="K38" s="20">
        <f>IF(RawDataGenPO[[#This Row],[PO No.]]="","",10)</f>
        <v/>
      </c>
      <c r="L38" s="5" t="inlineStr">
        <is>
          <t>SFST81000050</t>
        </is>
      </c>
      <c r="M38" s="7" t="inlineStr">
        <is>
          <t>Electrical system in PD area</t>
        </is>
      </c>
      <c r="N38" s="7" t="inlineStr">
        <is>
          <t>Electrical jobs</t>
        </is>
      </c>
      <c r="O38" s="11" t="n">
        <v>7</v>
      </c>
      <c r="P38" s="10" t="inlineStr">
        <is>
          <t>Mini Stopper ONKA stopper for screw clamp terminal blocks</t>
        </is>
      </c>
      <c r="Q38" s="277" t="n">
        <v>15</v>
      </c>
      <c r="R38" s="5" t="inlineStr">
        <is>
          <t>NO</t>
        </is>
      </c>
      <c r="S38" s="284">
        <f>RawDataGenPO[[#This Row],[Total price]]/RawDataGenPO[[#This Row],[Qty'']]</f>
        <v/>
      </c>
      <c r="T38" s="285" t="n">
        <v>54000</v>
      </c>
      <c r="U38" s="161" t="inlineStr">
        <is>
          <t>Puneet Approval</t>
        </is>
      </c>
      <c r="V38" s="7" t="inlineStr">
        <is>
          <t>V1000293 - JTB ELECTRIC SUPPLY LIMITED PARTNERSHIP</t>
        </is>
      </c>
      <c r="W38" s="5" t="inlineStr">
        <is>
          <t>Recive bill and GRN already</t>
        </is>
      </c>
      <c r="X38" s="5" t="n"/>
      <c r="Y38" s="3" t="n">
        <v>45478</v>
      </c>
      <c r="Z38" s="3" t="n"/>
      <c r="AA38" s="17">
        <f>IF(RawDataGenPO[[#This Row],[Date Gen PO]]="","",RawDataGenPO[[#This Row],[Date recive bill]]-RawDataGenPO[[#This Row],[Date Gen PO]])</f>
        <v/>
      </c>
      <c r="AB38" s="16">
        <f>IF(RawDataGenPO[[#This Row],[GRN-PO date]]&gt;RawDataGenPO[[#This Row],[Lead time delivery (day)]],"over deliverry","Ontime")</f>
        <v/>
      </c>
      <c r="AC38" s="168" t="n"/>
    </row>
    <row r="39" ht="15" customFormat="1" customHeight="1" s="125">
      <c r="A39" s="5">
        <f>ROW()-ROW(RawDataGenPO[[#Headers],[No.]])</f>
        <v/>
      </c>
      <c r="B39" s="7" t="inlineStr">
        <is>
          <t>Expent  cost</t>
        </is>
      </c>
      <c r="C39" s="276" t="n">
        <v>45482</v>
      </c>
      <c r="D39" s="276" t="n"/>
      <c r="E39" s="276" t="n"/>
      <c r="F39" s="276" t="n">
        <v>45482</v>
      </c>
      <c r="G39" s="5" t="inlineStr">
        <is>
          <t>PR2425-01864</t>
        </is>
      </c>
      <c r="H39" s="5" t="inlineStr">
        <is>
          <t>PO2425-02068</t>
        </is>
      </c>
      <c r="I39" s="290" t="n">
        <v>45474</v>
      </c>
      <c r="J39" s="290" t="n"/>
      <c r="K39" s="20">
        <f>IF(RawDataGenPO[[#This Row],[PO No.]]="","",10)</f>
        <v/>
      </c>
      <c r="L39" s="5" t="inlineStr">
        <is>
          <t>SFST81000050</t>
        </is>
      </c>
      <c r="M39" s="7" t="inlineStr">
        <is>
          <t>PD Machine</t>
        </is>
      </c>
      <c r="N39" s="7" t="inlineStr">
        <is>
          <t>Inkjet Stamp  No.1</t>
        </is>
      </c>
      <c r="O39" s="11" t="n">
        <v>1</v>
      </c>
      <c r="P39" s="10" t="inlineStr">
        <is>
          <t>451994 ICU-UX PARTS-UX</t>
        </is>
      </c>
      <c r="Q39" s="277" t="n">
        <v>1</v>
      </c>
      <c r="R39" s="5" t="inlineStr">
        <is>
          <t>NO</t>
        </is>
      </c>
      <c r="S39" s="284">
        <f>RawDataGenPO[[#This Row],[Total price]]/RawDataGenPO[[#This Row],[Qty'']]</f>
        <v/>
      </c>
      <c r="T39" s="278" t="n">
        <v>9025</v>
      </c>
      <c r="U39" s="161" t="inlineStr">
        <is>
          <t>Puneet Approval</t>
        </is>
      </c>
      <c r="V39" s="7" t="inlineStr">
        <is>
          <t>V1000051 - THAI POLYMER SUPPLY CO., LTD</t>
        </is>
      </c>
      <c r="W39" s="5" t="inlineStr">
        <is>
          <t>Recive bill and GRN already</t>
        </is>
      </c>
      <c r="X39" s="5" t="n"/>
      <c r="Y39" s="3" t="n">
        <v>45484</v>
      </c>
      <c r="Z39" s="3" t="n"/>
      <c r="AA39" s="17">
        <f>IF(RawDataGenPO[[#This Row],[Date Gen PO]]="","",RawDataGenPO[[#This Row],[Date recive bill]]-RawDataGenPO[[#This Row],[Date Gen PO]])</f>
        <v/>
      </c>
      <c r="AB39" s="16">
        <f>IF(RawDataGenPO[[#This Row],[GRN-PO date]]&gt;RawDataGenPO[[#This Row],[Lead time delivery (day)]],"over deliverry","Ontime")</f>
        <v/>
      </c>
      <c r="AC39" s="168" t="n"/>
    </row>
    <row r="40" ht="15" customFormat="1" customHeight="1" s="125">
      <c r="A40" s="5">
        <f>ROW()-ROW(RawDataGenPO[[#Headers],[No.]])</f>
        <v/>
      </c>
      <c r="B40" s="7" t="inlineStr">
        <is>
          <t>Expent  cost</t>
        </is>
      </c>
      <c r="C40" s="276" t="n">
        <v>45482</v>
      </c>
      <c r="D40" s="276" t="n"/>
      <c r="E40" s="276" t="n"/>
      <c r="F40" s="276" t="n">
        <v>45482</v>
      </c>
      <c r="G40" s="5" t="inlineStr">
        <is>
          <t>PR2425-01864</t>
        </is>
      </c>
      <c r="H40" s="5" t="inlineStr">
        <is>
          <t>PO2425-02068</t>
        </is>
      </c>
      <c r="I40" s="290" t="n">
        <v>45474</v>
      </c>
      <c r="J40" s="290" t="n"/>
      <c r="K40" s="20">
        <f>IF(RawDataGenPO[[#This Row],[PO No.]]="","",10)</f>
        <v/>
      </c>
      <c r="L40" s="5" t="inlineStr">
        <is>
          <t>SFST81000050</t>
        </is>
      </c>
      <c r="M40" s="7" t="inlineStr">
        <is>
          <t>PD Machine</t>
        </is>
      </c>
      <c r="N40" s="7" t="inlineStr">
        <is>
          <t>Inkjet Stamp  No.1</t>
        </is>
      </c>
      <c r="O40" s="11" t="n">
        <v>2</v>
      </c>
      <c r="P40" s="10" t="inlineStr">
        <is>
          <t>FILTER SET UX</t>
        </is>
      </c>
      <c r="Q40" s="277" t="n">
        <v>1</v>
      </c>
      <c r="R40" s="5" t="inlineStr">
        <is>
          <t>NO</t>
        </is>
      </c>
      <c r="S40" s="284">
        <f>RawDataGenPO[[#This Row],[Total price]]/RawDataGenPO[[#This Row],[Qty'']]</f>
        <v/>
      </c>
      <c r="T40" s="278" t="n">
        <v>1200</v>
      </c>
      <c r="U40" s="161" t="inlineStr">
        <is>
          <t>Puneet Approval</t>
        </is>
      </c>
      <c r="V40" s="7" t="inlineStr">
        <is>
          <t>V1000051 - THAI POLYMER SUPPLY CO., LTD</t>
        </is>
      </c>
      <c r="W40" s="5" t="inlineStr">
        <is>
          <t>Recive bill and GRN already</t>
        </is>
      </c>
      <c r="X40" s="5" t="n"/>
      <c r="Y40" s="3" t="n">
        <v>45484</v>
      </c>
      <c r="Z40" s="3" t="n"/>
      <c r="AA40" s="17">
        <f>IF(RawDataGenPO[[#This Row],[Date Gen PO]]="","",RawDataGenPO[[#This Row],[Date recive bill]]-RawDataGenPO[[#This Row],[Date Gen PO]])</f>
        <v/>
      </c>
      <c r="AB40" s="16">
        <f>IF(RawDataGenPO[[#This Row],[GRN-PO date]]&gt;RawDataGenPO[[#This Row],[Lead time delivery (day)]],"over deliverry","Ontime")</f>
        <v/>
      </c>
      <c r="AC40" s="168" t="n"/>
    </row>
    <row r="41" ht="15" customFormat="1" customHeight="1" s="125">
      <c r="A41" s="5">
        <f>ROW()-ROW(RawDataGenPO[[#Headers],[No.]])</f>
        <v/>
      </c>
      <c r="B41" s="7" t="inlineStr">
        <is>
          <t>Expent  cost</t>
        </is>
      </c>
      <c r="C41" s="276" t="n">
        <v>45482</v>
      </c>
      <c r="D41" s="276" t="n"/>
      <c r="E41" s="276" t="n"/>
      <c r="F41" s="276" t="n">
        <v>45482</v>
      </c>
      <c r="G41" s="5" t="inlineStr">
        <is>
          <t>PR2425-01864</t>
        </is>
      </c>
      <c r="H41" s="5" t="inlineStr">
        <is>
          <t>PO2425-02068</t>
        </is>
      </c>
      <c r="I41" s="290" t="n">
        <v>45474</v>
      </c>
      <c r="J41" s="290" t="n"/>
      <c r="K41" s="20">
        <f>IF(RawDataGenPO[[#This Row],[PO No.]]="","",10)</f>
        <v/>
      </c>
      <c r="L41" s="5" t="inlineStr">
        <is>
          <t>SFST81000050</t>
        </is>
      </c>
      <c r="M41" s="7" t="inlineStr">
        <is>
          <t>PD Machine</t>
        </is>
      </c>
      <c r="N41" s="7" t="inlineStr">
        <is>
          <t>Inkjet Stamp  No.1</t>
        </is>
      </c>
      <c r="O41" s="11" t="n">
        <v>3</v>
      </c>
      <c r="P41" s="10" t="inlineStr">
        <is>
          <t>SERVICE CHARGE</t>
        </is>
      </c>
      <c r="Q41" s="277" t="n">
        <v>1</v>
      </c>
      <c r="R41" s="5" t="inlineStr">
        <is>
          <t>NO</t>
        </is>
      </c>
      <c r="S41" s="292">
        <f>RawDataGenPO[[#This Row],[Total price]]/RawDataGenPO[[#This Row],[Qty'']]</f>
        <v/>
      </c>
      <c r="T41" s="278" t="n">
        <v>1200</v>
      </c>
      <c r="U41" s="161" t="inlineStr">
        <is>
          <t>Puneet Approval</t>
        </is>
      </c>
      <c r="V41" s="7" t="inlineStr">
        <is>
          <t>V1000051 - THAI POLYMER SUPPLY CO., LTD</t>
        </is>
      </c>
      <c r="W41" s="5" t="inlineStr">
        <is>
          <t>Recive bill and GRN already</t>
        </is>
      </c>
      <c r="X41" s="5" t="n"/>
      <c r="Y41" s="3" t="n">
        <v>45484</v>
      </c>
      <c r="Z41" s="3" t="n"/>
      <c r="AA41" s="17">
        <f>IF(RawDataGenPO[[#This Row],[Date Gen PO]]="","",RawDataGenPO[[#This Row],[Date recive bill]]-RawDataGenPO[[#This Row],[Date Gen PO]])</f>
        <v/>
      </c>
      <c r="AB41" s="16">
        <f>IF(RawDataGenPO[[#This Row],[GRN-PO date]]&gt;RawDataGenPO[[#This Row],[Lead time delivery (day)]],"over deliverry","Ontime")</f>
        <v/>
      </c>
      <c r="AC41" s="168" t="n"/>
    </row>
    <row r="42" ht="30" customFormat="1" customHeight="1" s="125">
      <c r="A42" s="5">
        <f>ROW()-ROW(RawDataGenPO[[#Headers],[No.]])</f>
        <v/>
      </c>
      <c r="B42" s="7" t="inlineStr">
        <is>
          <t>Expent  cost</t>
        </is>
      </c>
      <c r="C42" s="276" t="n">
        <v>45482</v>
      </c>
      <c r="D42" s="276" t="n"/>
      <c r="E42" s="276" t="n"/>
      <c r="F42" s="276" t="n">
        <v>45482</v>
      </c>
      <c r="G42" s="5" t="inlineStr">
        <is>
          <t>PR2425-01827</t>
        </is>
      </c>
      <c r="H42" s="5" t="inlineStr">
        <is>
          <t>PO2425-02069</t>
        </is>
      </c>
      <c r="I42" s="290">
        <f>IF(RawDataGenPO[[#This Row],[PO No.]]="","",RawDataGenPO[[#This Row],[DMY Create PR]]+7)</f>
        <v/>
      </c>
      <c r="J42" s="290" t="n"/>
      <c r="K42" s="20">
        <f>IF(RawDataGenPO[[#This Row],[PO No.]]="","",10)</f>
        <v/>
      </c>
      <c r="L42" s="5" t="inlineStr">
        <is>
          <t>SFST81000050</t>
        </is>
      </c>
      <c r="M42" s="7" t="inlineStr">
        <is>
          <t>Water plant</t>
        </is>
      </c>
      <c r="N42" s="7" t="inlineStr">
        <is>
          <t>RO Unit</t>
        </is>
      </c>
      <c r="O42" s="11" t="n">
        <v>1</v>
      </c>
      <c r="P42" s="10" t="inlineStr">
        <is>
          <t>Hydrolyzed Polymaleic Anhydride, (Antiscalant For RO Systm), (25 Kg/Pail)</t>
        </is>
      </c>
      <c r="Q42" s="277" t="n">
        <v>2</v>
      </c>
      <c r="R42" s="5" t="inlineStr">
        <is>
          <t>NO</t>
        </is>
      </c>
      <c r="S42" s="284">
        <f>RawDataGenPO[[#This Row],[Total price]]/RawDataGenPO[[#This Row],[Qty'']]</f>
        <v/>
      </c>
      <c r="T42" s="285" t="n">
        <v>10000</v>
      </c>
      <c r="U42" s="161" t="inlineStr">
        <is>
          <t>Puneet Approval</t>
        </is>
      </c>
      <c r="V42" s="7" t="inlineStr">
        <is>
          <t>V1000455 - V.S.A.GROUP CO.,LTD</t>
        </is>
      </c>
      <c r="W42" s="5" t="inlineStr">
        <is>
          <t>Recive bill and GRN already</t>
        </is>
      </c>
      <c r="X42" s="5" t="n"/>
      <c r="Y42" s="3" t="n">
        <v>45498</v>
      </c>
      <c r="Z42" s="3" t="n"/>
      <c r="AA42" s="17">
        <f>IF(RawDataGenPO[[#This Row],[Date Gen PO]]="","",RawDataGenPO[[#This Row],[Date recive bill]]-RawDataGenPO[[#This Row],[Date Gen PO]])</f>
        <v/>
      </c>
      <c r="AB42" s="16">
        <f>IF(RawDataGenPO[[#This Row],[GRN-PO date]]&gt;RawDataGenPO[[#This Row],[Lead time delivery (day)]],"over deliverry","Ontime")</f>
        <v/>
      </c>
      <c r="AC42" s="168" t="n"/>
    </row>
    <row r="43" ht="30" customFormat="1" customHeight="1" s="125">
      <c r="A43" s="5">
        <f>ROW()-ROW(RawDataGenPO[[#Headers],[No.]])</f>
        <v/>
      </c>
      <c r="B43" s="7" t="inlineStr">
        <is>
          <t>Expent  cost</t>
        </is>
      </c>
      <c r="C43" s="276" t="n">
        <v>45482</v>
      </c>
      <c r="D43" s="276" t="n"/>
      <c r="E43" s="276" t="n"/>
      <c r="F43" s="276" t="n">
        <v>45482</v>
      </c>
      <c r="G43" s="5" t="inlineStr">
        <is>
          <t>PR2425-01826</t>
        </is>
      </c>
      <c r="H43" s="5" t="inlineStr">
        <is>
          <t>PO2425-02070</t>
        </is>
      </c>
      <c r="I43" s="290" t="n">
        <v>45478</v>
      </c>
      <c r="J43" s="290" t="n"/>
      <c r="K43" s="20">
        <f>IF(RawDataGenPO[[#This Row],[PO No.]]="","",10)</f>
        <v/>
      </c>
      <c r="L43" s="5" t="inlineStr">
        <is>
          <t>SFST81000050</t>
        </is>
      </c>
      <c r="M43" s="7" t="inlineStr">
        <is>
          <t>Electrical system in PD area</t>
        </is>
      </c>
      <c r="N43" s="7" t="inlineStr">
        <is>
          <t>Electrical jobs</t>
        </is>
      </c>
      <c r="O43" s="11" t="n">
        <v>1</v>
      </c>
      <c r="P43" s="10" t="inlineStr">
        <is>
          <t>Schneider", Selector switch, Harmony XB4, metal, black, 22mm, 3 positions, stay put, 2NO</t>
        </is>
      </c>
      <c r="Q43" s="277" t="n">
        <v>6</v>
      </c>
      <c r="R43" s="5" t="inlineStr">
        <is>
          <t>NO</t>
        </is>
      </c>
      <c r="S43" s="284">
        <f>RawDataGenPO[[#This Row],[Total price]]/RawDataGenPO[[#This Row],[Qty'']]</f>
        <v/>
      </c>
      <c r="T43" s="285" t="n">
        <v>375</v>
      </c>
      <c r="U43" s="161" t="inlineStr">
        <is>
          <t>Puneet Approval</t>
        </is>
      </c>
      <c r="V43" s="7" t="inlineStr">
        <is>
          <t>V1000276 - SN. ELECTRIC AND SUPPLY CO., LTD.</t>
        </is>
      </c>
      <c r="W43" s="5" t="inlineStr">
        <is>
          <t>Recive bill and GRN already</t>
        </is>
      </c>
      <c r="X43" s="5" t="n"/>
      <c r="Y43" s="3" t="n">
        <v>45485</v>
      </c>
      <c r="Z43" s="3" t="n"/>
      <c r="AA43" s="17">
        <f>IF(RawDataGenPO[[#This Row],[Date Gen PO]]="","",RawDataGenPO[[#This Row],[Date recive bill]]-RawDataGenPO[[#This Row],[Date Gen PO]])</f>
        <v/>
      </c>
      <c r="AB43" s="16">
        <f>IF(RawDataGenPO[[#This Row],[GRN-PO date]]&gt;RawDataGenPO[[#This Row],[Lead time delivery (day)]],"over deliverry","Ontime")</f>
        <v/>
      </c>
      <c r="AC43" s="168" t="n"/>
    </row>
    <row r="44" ht="15" customFormat="1" customHeight="1" s="125">
      <c r="A44" s="5">
        <f>ROW()-ROW(RawDataGenPO[[#Headers],[No.]])</f>
        <v/>
      </c>
      <c r="B44" s="7" t="inlineStr">
        <is>
          <t>Expent  cost</t>
        </is>
      </c>
      <c r="C44" s="276" t="n">
        <v>45482</v>
      </c>
      <c r="D44" s="276" t="n"/>
      <c r="E44" s="276" t="n"/>
      <c r="F44" s="276" t="n">
        <v>45482</v>
      </c>
      <c r="G44" s="5" t="inlineStr">
        <is>
          <t>PR2425-01826</t>
        </is>
      </c>
      <c r="H44" s="5" t="inlineStr">
        <is>
          <t>PO2425-02070</t>
        </is>
      </c>
      <c r="I44" s="290" t="n">
        <v>45478</v>
      </c>
      <c r="J44" s="290" t="n"/>
      <c r="K44" s="20">
        <f>IF(RawDataGenPO[[#This Row],[PO No.]]="","",10)</f>
        <v/>
      </c>
      <c r="L44" s="5" t="inlineStr">
        <is>
          <t>SFST81000050</t>
        </is>
      </c>
      <c r="M44" s="7" t="inlineStr">
        <is>
          <t>Electrical system in PD area</t>
        </is>
      </c>
      <c r="N44" s="7" t="inlineStr">
        <is>
          <t>Electrical jobs</t>
        </is>
      </c>
      <c r="O44" s="11" t="n">
        <v>2</v>
      </c>
      <c r="P44" s="10" t="inlineStr">
        <is>
          <t>PHILIPS", S10 4-65W, starter</t>
        </is>
      </c>
      <c r="Q44" s="277" t="n">
        <v>1</v>
      </c>
      <c r="R44" s="5" t="inlineStr">
        <is>
          <t>NO</t>
        </is>
      </c>
      <c r="S44" s="284">
        <f>RawDataGenPO[[#This Row],[Total price]]/RawDataGenPO[[#This Row],[Qty'']]</f>
        <v/>
      </c>
      <c r="T44" s="285" t="n">
        <v>640</v>
      </c>
      <c r="U44" s="161" t="inlineStr">
        <is>
          <t>Puneet Approval</t>
        </is>
      </c>
      <c r="V44" s="7" t="inlineStr">
        <is>
          <t>V1000276 - SN. ELECTRIC AND SUPPLY CO., LTD.</t>
        </is>
      </c>
      <c r="W44" s="5" t="inlineStr">
        <is>
          <t>Recive bill and GRN already</t>
        </is>
      </c>
      <c r="X44" s="5" t="n"/>
      <c r="Y44" s="3" t="n">
        <v>45485</v>
      </c>
      <c r="Z44" s="3" t="n"/>
      <c r="AA44" s="17">
        <f>IF(RawDataGenPO[[#This Row],[Date Gen PO]]="","",RawDataGenPO[[#This Row],[Date recive bill]]-RawDataGenPO[[#This Row],[Date Gen PO]])</f>
        <v/>
      </c>
      <c r="AB44" s="16">
        <f>IF(RawDataGenPO[[#This Row],[GRN-PO date]]&gt;RawDataGenPO[[#This Row],[Lead time delivery (day)]],"over deliverry","Ontime")</f>
        <v/>
      </c>
      <c r="AC44" s="168" t="n"/>
    </row>
    <row r="45" ht="15" customFormat="1" customHeight="1" s="125">
      <c r="A45" s="5">
        <f>ROW()-ROW(RawDataGenPO[[#Headers],[No.]])</f>
        <v/>
      </c>
      <c r="B45" s="7" t="inlineStr">
        <is>
          <t>Expent  cost</t>
        </is>
      </c>
      <c r="C45" s="276" t="n">
        <v>45482</v>
      </c>
      <c r="D45" s="276" t="n"/>
      <c r="E45" s="276" t="n"/>
      <c r="F45" s="276" t="n">
        <v>45482</v>
      </c>
      <c r="G45" s="5" t="inlineStr">
        <is>
          <t>PR2425-01826</t>
        </is>
      </c>
      <c r="H45" s="5" t="inlineStr">
        <is>
          <t>PO2425-02070</t>
        </is>
      </c>
      <c r="I45" s="290" t="n">
        <v>45478</v>
      </c>
      <c r="J45" s="290" t="n"/>
      <c r="K45" s="20">
        <f>IF(RawDataGenPO[[#This Row],[PO No.]]="","",10)</f>
        <v/>
      </c>
      <c r="L45" s="5" t="inlineStr">
        <is>
          <t>SFST81000050</t>
        </is>
      </c>
      <c r="M45" s="7" t="inlineStr">
        <is>
          <t>Electrical system in PD area</t>
        </is>
      </c>
      <c r="N45" s="7" t="inlineStr">
        <is>
          <t>Electrical jobs</t>
        </is>
      </c>
      <c r="O45" s="11" t="n">
        <v>3</v>
      </c>
      <c r="P45" s="10" t="inlineStr">
        <is>
          <t>PHILIPS", S10 4-65W, starter</t>
        </is>
      </c>
      <c r="Q45" s="277" t="n">
        <v>20</v>
      </c>
      <c r="R45" s="5" t="inlineStr">
        <is>
          <t>NO</t>
        </is>
      </c>
      <c r="S45" s="284">
        <f>RawDataGenPO[[#This Row],[Total price]]/RawDataGenPO[[#This Row],[Qty'']]</f>
        <v/>
      </c>
      <c r="T45" s="285" t="n">
        <v>1250</v>
      </c>
      <c r="U45" s="161" t="inlineStr">
        <is>
          <t>Puneet Approval</t>
        </is>
      </c>
      <c r="V45" s="7" t="inlineStr">
        <is>
          <t>V1000276 - SN. ELECTRIC AND SUPPLY CO., LTD.</t>
        </is>
      </c>
      <c r="W45" s="5" t="inlineStr">
        <is>
          <t>Recive bill and GRN already</t>
        </is>
      </c>
      <c r="X45" s="5" t="n"/>
      <c r="Y45" s="3" t="n">
        <v>45485</v>
      </c>
      <c r="Z45" s="3" t="n"/>
      <c r="AA45" s="17">
        <f>IF(RawDataGenPO[[#This Row],[Date Gen PO]]="","",RawDataGenPO[[#This Row],[Date recive bill]]-RawDataGenPO[[#This Row],[Date Gen PO]])</f>
        <v/>
      </c>
      <c r="AB45" s="16">
        <f>IF(RawDataGenPO[[#This Row],[GRN-PO date]]&gt;RawDataGenPO[[#This Row],[Lead time delivery (day)]],"over deliverry","Ontime")</f>
        <v/>
      </c>
      <c r="AC45" s="168" t="n"/>
    </row>
    <row r="46" ht="15" customFormat="1" customHeight="1" s="125">
      <c r="A46" s="5">
        <f>ROW()-ROW(RawDataGenPO[[#Headers],[No.]])</f>
        <v/>
      </c>
      <c r="B46" s="7" t="inlineStr">
        <is>
          <t>Expent  cost</t>
        </is>
      </c>
      <c r="C46" s="276" t="n">
        <v>45482</v>
      </c>
      <c r="D46" s="276" t="n"/>
      <c r="E46" s="276" t="n"/>
      <c r="F46" s="276" t="n">
        <v>45482</v>
      </c>
      <c r="G46" s="5" t="inlineStr">
        <is>
          <t>PR2425-01826</t>
        </is>
      </c>
      <c r="H46" s="5" t="inlineStr">
        <is>
          <t>PO2425-02070</t>
        </is>
      </c>
      <c r="I46" s="290" t="n">
        <v>45478</v>
      </c>
      <c r="J46" s="290" t="n"/>
      <c r="K46" s="20">
        <f>IF(RawDataGenPO[[#This Row],[PO No.]]="","",10)</f>
        <v/>
      </c>
      <c r="L46" s="5" t="inlineStr">
        <is>
          <t>SFST81000050</t>
        </is>
      </c>
      <c r="M46" s="7" t="inlineStr">
        <is>
          <t>Electrical system in PD area</t>
        </is>
      </c>
      <c r="N46" s="7" t="inlineStr">
        <is>
          <t>Electrical jobs</t>
        </is>
      </c>
      <c r="O46" s="11" t="n">
        <v>4</v>
      </c>
      <c r="P46" s="10" t="inlineStr">
        <is>
          <t>Bticino", M9025G, socket</t>
        </is>
      </c>
      <c r="Q46" s="277" t="n">
        <v>10</v>
      </c>
      <c r="R46" s="5" t="inlineStr">
        <is>
          <t>NO</t>
        </is>
      </c>
      <c r="S46" s="284">
        <f>RawDataGenPO[[#This Row],[Total price]]/RawDataGenPO[[#This Row],[Qty'']]</f>
        <v/>
      </c>
      <c r="T46" s="285" t="n">
        <v>2520</v>
      </c>
      <c r="U46" s="161" t="inlineStr">
        <is>
          <t>Puneet Approval</t>
        </is>
      </c>
      <c r="V46" s="7" t="inlineStr">
        <is>
          <t>V1000276 - SN. ELECTRIC AND SUPPLY CO., LTD.</t>
        </is>
      </c>
      <c r="W46" s="5" t="inlineStr">
        <is>
          <t>Recive bill and GRN already</t>
        </is>
      </c>
      <c r="X46" s="5" t="n"/>
      <c r="Y46" s="3" t="n">
        <v>45485</v>
      </c>
      <c r="Z46" s="3" t="n"/>
      <c r="AA46" s="17">
        <f>IF(RawDataGenPO[[#This Row],[Date Gen PO]]="","",RawDataGenPO[[#This Row],[Date recive bill]]-RawDataGenPO[[#This Row],[Date Gen PO]])</f>
        <v/>
      </c>
      <c r="AB46" s="16">
        <f>IF(RawDataGenPO[[#This Row],[GRN-PO date]]&gt;RawDataGenPO[[#This Row],[Lead time delivery (day)]],"over deliverry","Ontime")</f>
        <v/>
      </c>
      <c r="AC46" s="168" t="n"/>
    </row>
    <row r="47" ht="15" customFormat="1" customHeight="1" s="125">
      <c r="A47" s="5">
        <f>ROW()-ROW(RawDataGenPO[[#Headers],[No.]])</f>
        <v/>
      </c>
      <c r="B47" s="7" t="inlineStr">
        <is>
          <t>Expent  cost</t>
        </is>
      </c>
      <c r="C47" s="276" t="n">
        <v>45476</v>
      </c>
      <c r="D47" s="276" t="n"/>
      <c r="E47" s="276" t="n"/>
      <c r="F47" s="276" t="n">
        <v>45476</v>
      </c>
      <c r="G47" s="5" t="inlineStr">
        <is>
          <t>PR2425-01705</t>
        </is>
      </c>
      <c r="H47" s="5" t="inlineStr">
        <is>
          <t>PO2425-02071</t>
        </is>
      </c>
      <c r="I47" s="290">
        <f>IF(RawDataGenPO[[#This Row],[PO No.]]="","",RawDataGenPO[[#This Row],[DMY Create PR]]+7)</f>
        <v/>
      </c>
      <c r="J47" s="290" t="n"/>
      <c r="K47" s="20" t="n">
        <v>60</v>
      </c>
      <c r="L47" s="5" t="inlineStr">
        <is>
          <t>SFST81000050</t>
        </is>
      </c>
      <c r="M47" s="7" t="inlineStr">
        <is>
          <t>PPE Equipment</t>
        </is>
      </c>
      <c r="N47" s="7" t="inlineStr">
        <is>
          <t>PPE and other equipment</t>
        </is>
      </c>
      <c r="O47" s="11" t="n">
        <v>1</v>
      </c>
      <c r="P47" s="10" t="inlineStr">
        <is>
          <t>YAMADA" steel toe rubber boots, Water Guard model #10 (44)</t>
        </is>
      </c>
      <c r="Q47" s="277" t="n">
        <v>4</v>
      </c>
      <c r="R47" s="5" t="inlineStr">
        <is>
          <t>NO</t>
        </is>
      </c>
      <c r="S47" s="284">
        <f>RawDataGenPO[[#This Row],[Total price]]/RawDataGenPO[[#This Row],[Qty'']]</f>
        <v/>
      </c>
      <c r="T47" s="285" t="n">
        <v>1938</v>
      </c>
      <c r="U47" s="161" t="inlineStr">
        <is>
          <t>Puneet Approval</t>
        </is>
      </c>
      <c r="V47" s="7" t="inlineStr">
        <is>
          <t>V1000065 - JENBUNJERD CO.,LTD.</t>
        </is>
      </c>
      <c r="W47" s="5" t="inlineStr">
        <is>
          <t>Recive bill and GRN already</t>
        </is>
      </c>
      <c r="X47" s="5" t="n"/>
      <c r="Y47" s="3" t="n">
        <v>45530</v>
      </c>
      <c r="Z47" s="3" t="n"/>
      <c r="AA47" s="17">
        <f>IF(RawDataGenPO[[#This Row],[Date Gen PO]]="","",RawDataGenPO[[#This Row],[Date recive bill]]-RawDataGenPO[[#This Row],[Date Gen PO]])</f>
        <v/>
      </c>
      <c r="AB47" s="16">
        <f>IF(RawDataGenPO[[#This Row],[GRN-PO date]]&gt;RawDataGenPO[[#This Row],[Lead time delivery (day)]],"over deliverry","Ontime")</f>
        <v/>
      </c>
      <c r="AC47" s="168" t="n"/>
    </row>
    <row r="48" ht="15" customFormat="1" customHeight="1" s="125">
      <c r="A48" s="5">
        <f>ROW()-ROW(RawDataGenPO[[#Headers],[No.]])</f>
        <v/>
      </c>
      <c r="B48" s="7" t="inlineStr">
        <is>
          <t>Expent  cost</t>
        </is>
      </c>
      <c r="C48" s="276" t="n">
        <v>45476</v>
      </c>
      <c r="D48" s="276" t="n"/>
      <c r="E48" s="276" t="n"/>
      <c r="F48" s="276" t="n">
        <v>45476</v>
      </c>
      <c r="G48" s="5" t="inlineStr">
        <is>
          <t>PR2425-01705</t>
        </is>
      </c>
      <c r="H48" s="5" t="inlineStr">
        <is>
          <t>PO2425-02071</t>
        </is>
      </c>
      <c r="I48" s="290">
        <f>IF(RawDataGenPO[[#This Row],[PO No.]]="","",RawDataGenPO[[#This Row],[DMY Create PR]]+7)</f>
        <v/>
      </c>
      <c r="J48" s="290" t="n"/>
      <c r="K48" s="20" t="n">
        <v>60</v>
      </c>
      <c r="L48" s="5" t="inlineStr">
        <is>
          <t>SFST81000050</t>
        </is>
      </c>
      <c r="M48" s="7" t="inlineStr">
        <is>
          <t>PPE Equipment</t>
        </is>
      </c>
      <c r="N48" s="7" t="inlineStr">
        <is>
          <t>PPE and other equipment</t>
        </is>
      </c>
      <c r="O48" s="11" t="n">
        <v>2</v>
      </c>
      <c r="P48" s="10" t="inlineStr">
        <is>
          <t>YAMADA" steel toe rubber boots, Water Guard model #7 (41)</t>
        </is>
      </c>
      <c r="Q48" s="277" t="n">
        <v>2</v>
      </c>
      <c r="R48" s="5" t="inlineStr">
        <is>
          <t>NO</t>
        </is>
      </c>
      <c r="S48" s="284">
        <f>RawDataGenPO[[#This Row],[Total price]]/RawDataGenPO[[#This Row],[Qty'']]</f>
        <v/>
      </c>
      <c r="T48" s="285" t="n">
        <v>969</v>
      </c>
      <c r="U48" s="161" t="inlineStr">
        <is>
          <t>Puneet Approval</t>
        </is>
      </c>
      <c r="V48" s="7" t="inlineStr">
        <is>
          <t>V1000065 - JENBUNJERD CO.,LTD.</t>
        </is>
      </c>
      <c r="W48" s="5" t="inlineStr">
        <is>
          <t>Recive bill and GRN already</t>
        </is>
      </c>
      <c r="X48" s="5" t="n"/>
      <c r="Y48" s="3" t="n">
        <v>45530</v>
      </c>
      <c r="Z48" s="3" t="n"/>
      <c r="AA48" s="17">
        <f>IF(RawDataGenPO[[#This Row],[Date Gen PO]]="","",RawDataGenPO[[#This Row],[Date recive bill]]-RawDataGenPO[[#This Row],[Date Gen PO]])</f>
        <v/>
      </c>
      <c r="AB48" s="16">
        <f>IF(RawDataGenPO[[#This Row],[GRN-PO date]]&gt;RawDataGenPO[[#This Row],[Lead time delivery (day)]],"over deliverry","Ontime")</f>
        <v/>
      </c>
      <c r="AC48" s="168" t="n"/>
    </row>
    <row r="49" ht="15" customFormat="1" customHeight="1" s="125">
      <c r="A49" s="5">
        <f>ROW()-ROW(RawDataGenPO[[#Headers],[No.]])</f>
        <v/>
      </c>
      <c r="B49" s="7" t="inlineStr">
        <is>
          <t>Expent  cost</t>
        </is>
      </c>
      <c r="C49" s="276" t="n">
        <v>45476</v>
      </c>
      <c r="D49" s="276" t="n"/>
      <c r="E49" s="276" t="n"/>
      <c r="F49" s="276" t="n">
        <v>45476</v>
      </c>
      <c r="G49" s="5" t="inlineStr">
        <is>
          <t>PR2425-01705</t>
        </is>
      </c>
      <c r="H49" s="5" t="inlineStr">
        <is>
          <t>PO2425-02071</t>
        </is>
      </c>
      <c r="I49" s="290">
        <f>IF(RawDataGenPO[[#This Row],[PO No.]]="","",RawDataGenPO[[#This Row],[DMY Create PR]]+7)</f>
        <v/>
      </c>
      <c r="J49" s="290" t="n"/>
      <c r="K49" s="20" t="n">
        <v>60</v>
      </c>
      <c r="L49" s="5" t="inlineStr">
        <is>
          <t>SFST81000050</t>
        </is>
      </c>
      <c r="M49" s="7" t="inlineStr">
        <is>
          <t>PPE Equipment</t>
        </is>
      </c>
      <c r="N49" s="7" t="inlineStr">
        <is>
          <t>PPE and other equipment</t>
        </is>
      </c>
      <c r="O49" s="11" t="n">
        <v>3</v>
      </c>
      <c r="P49" s="10" t="inlineStr">
        <is>
          <t>YAMADA" steel toe rubber boots, Water Guard model #9 (43)</t>
        </is>
      </c>
      <c r="Q49" s="277" t="n">
        <v>4</v>
      </c>
      <c r="R49" s="5" t="inlineStr">
        <is>
          <t>NO</t>
        </is>
      </c>
      <c r="S49" s="284">
        <f>RawDataGenPO[[#This Row],[Total price]]/RawDataGenPO[[#This Row],[Qty'']]</f>
        <v/>
      </c>
      <c r="T49" s="285" t="n">
        <v>1938</v>
      </c>
      <c r="U49" s="161" t="inlineStr">
        <is>
          <t>Puneet Approval</t>
        </is>
      </c>
      <c r="V49" s="7" t="inlineStr">
        <is>
          <t>V1000065 - JENBUNJERD CO.,LTD.</t>
        </is>
      </c>
      <c r="W49" s="5" t="inlineStr">
        <is>
          <t>Recive bill and GRN already</t>
        </is>
      </c>
      <c r="X49" s="5" t="n"/>
      <c r="Y49" s="3" t="n">
        <v>45530</v>
      </c>
      <c r="Z49" s="3" t="n"/>
      <c r="AA49" s="17">
        <f>IF(RawDataGenPO[[#This Row],[Date Gen PO]]="","",RawDataGenPO[[#This Row],[Date recive bill]]-RawDataGenPO[[#This Row],[Date Gen PO]])</f>
        <v/>
      </c>
      <c r="AB49" s="16">
        <f>IF(RawDataGenPO[[#This Row],[GRN-PO date]]&gt;RawDataGenPO[[#This Row],[Lead time delivery (day)]],"over deliverry","Ontime")</f>
        <v/>
      </c>
      <c r="AC49" s="168" t="n"/>
    </row>
    <row r="50" ht="15" customFormat="1" customHeight="1" s="125">
      <c r="A50" s="5">
        <f>ROW()-ROW(RawDataGenPO[[#Headers],[No.]])</f>
        <v/>
      </c>
      <c r="B50" s="7" t="inlineStr">
        <is>
          <t>Expent  cost</t>
        </is>
      </c>
      <c r="C50" s="276" t="n">
        <v>45476</v>
      </c>
      <c r="D50" s="276" t="n"/>
      <c r="E50" s="276" t="n"/>
      <c r="F50" s="276" t="n">
        <v>45476</v>
      </c>
      <c r="G50" s="5" t="inlineStr">
        <is>
          <t>PR2425-01704</t>
        </is>
      </c>
      <c r="H50" s="5" t="inlineStr">
        <is>
          <t>PO2425-02072</t>
        </is>
      </c>
      <c r="I50" s="290">
        <f>IF(RawDataGenPO[[#This Row],[PO No.]]="","",RawDataGenPO[[#This Row],[DMY Create PR]]+7)</f>
        <v/>
      </c>
      <c r="J50" s="290" t="n"/>
      <c r="K50" s="20">
        <f>IF(RawDataGenPO[[#This Row],[PO No.]]="","",10)</f>
        <v/>
      </c>
      <c r="L50" s="5" t="inlineStr">
        <is>
          <t>SFST81000050</t>
        </is>
      </c>
      <c r="M50" s="7" t="inlineStr">
        <is>
          <t>Electrical system out  PD area</t>
        </is>
      </c>
      <c r="N50" s="7" t="inlineStr">
        <is>
          <t>Utility jobs</t>
        </is>
      </c>
      <c r="O50" s="11" t="n">
        <v>1</v>
      </c>
      <c r="P50" s="10" t="inlineStr">
        <is>
          <t>Batteries for use in maintenance departments</t>
        </is>
      </c>
      <c r="Q50" s="277" t="n">
        <v>4</v>
      </c>
      <c r="R50" s="5" t="inlineStr">
        <is>
          <t>NO</t>
        </is>
      </c>
      <c r="S50" s="284">
        <f>RawDataGenPO[[#This Row],[Total price]]/RawDataGenPO[[#This Row],[Qty'']]</f>
        <v/>
      </c>
      <c r="T50" s="285" t="n">
        <v>5457.96</v>
      </c>
      <c r="U50" s="161" t="inlineStr">
        <is>
          <t>Puneet Approval</t>
        </is>
      </c>
      <c r="V50" s="7" t="inlineStr">
        <is>
          <t>V1000046 - OFFICEMATE (THAI) LIMITED</t>
        </is>
      </c>
      <c r="W50" s="5" t="inlineStr">
        <is>
          <t>Recive bill and GRN already</t>
        </is>
      </c>
      <c r="X50" s="5" t="n"/>
      <c r="Y50" s="3" t="n">
        <v>45488</v>
      </c>
      <c r="Z50" s="3" t="n"/>
      <c r="AA50" s="17">
        <f>IF(RawDataGenPO[[#This Row],[Date Gen PO]]="","",RawDataGenPO[[#This Row],[Date recive bill]]-RawDataGenPO[[#This Row],[Date Gen PO]])</f>
        <v/>
      </c>
      <c r="AB50" s="16">
        <f>IF(RawDataGenPO[[#This Row],[GRN-PO date]]&gt;RawDataGenPO[[#This Row],[Lead time delivery (day)]],"over deliverry","Ontime")</f>
        <v/>
      </c>
      <c r="AC50" s="168" t="n"/>
    </row>
    <row r="51" ht="15" customFormat="1" customHeight="1" s="125">
      <c r="A51" s="5">
        <f>ROW()-ROW(RawDataGenPO[[#Headers],[No.]])</f>
        <v/>
      </c>
      <c r="B51" s="7" t="inlineStr">
        <is>
          <t>Expent  cost</t>
        </is>
      </c>
      <c r="C51" s="276" t="n">
        <v>45462</v>
      </c>
      <c r="D51" s="276" t="n"/>
      <c r="E51" s="276" t="n"/>
      <c r="F51" s="276" t="n">
        <v>45462</v>
      </c>
      <c r="G51" s="5" t="inlineStr">
        <is>
          <t>PR2425-01529</t>
        </is>
      </c>
      <c r="H51" s="5" t="inlineStr">
        <is>
          <t>PO2425-02075</t>
        </is>
      </c>
      <c r="I51" s="290">
        <f>IF(RawDataGenPO[[#This Row],[PO No.]]="","",RawDataGenPO[[#This Row],[DMY Create PR]]+7)</f>
        <v/>
      </c>
      <c r="J51" s="290" t="n"/>
      <c r="K51" s="20" t="n">
        <v>60</v>
      </c>
      <c r="L51" s="5" t="inlineStr">
        <is>
          <t>SFST81000050</t>
        </is>
      </c>
      <c r="M51" s="7" t="inlineStr">
        <is>
          <t>Machanical part</t>
        </is>
      </c>
      <c r="N51" s="7" t="inlineStr">
        <is>
          <t>Machanical jobs</t>
        </is>
      </c>
      <c r="O51" s="11" t="n">
        <v>1</v>
      </c>
      <c r="P51" s="10" t="inlineStr">
        <is>
          <t>EAGLE ONE" thread wrapping tape 12mm.x10m. Blue</t>
        </is>
      </c>
      <c r="Q51" s="277" t="n">
        <v>1</v>
      </c>
      <c r="R51" s="5" t="inlineStr">
        <is>
          <t>NO</t>
        </is>
      </c>
      <c r="S51" s="284">
        <f>RawDataGenPO[[#This Row],[Total price]]/RawDataGenPO[[#This Row],[Qty'']]</f>
        <v/>
      </c>
      <c r="T51" s="285" t="n">
        <v>160</v>
      </c>
      <c r="U51" s="161" t="inlineStr">
        <is>
          <t>Puneet Approval</t>
        </is>
      </c>
      <c r="V51" s="7" t="inlineStr">
        <is>
          <t>V1000306 - Inter Supply (1992) Co., Ltd.</t>
        </is>
      </c>
      <c r="W51" s="5" t="inlineStr">
        <is>
          <t>Recive bill and GRN already</t>
        </is>
      </c>
      <c r="X51" s="5" t="n"/>
      <c r="Y51" s="3" t="n">
        <v>45485</v>
      </c>
      <c r="Z51" s="3" t="n"/>
      <c r="AA51" s="17">
        <f>IF(RawDataGenPO[[#This Row],[Date Gen PO]]="","",RawDataGenPO[[#This Row],[Date recive bill]]-RawDataGenPO[[#This Row],[Date Gen PO]])</f>
        <v/>
      </c>
      <c r="AB51" s="16">
        <f>IF(RawDataGenPO[[#This Row],[GRN-PO date]]&gt;RawDataGenPO[[#This Row],[Lead time delivery (day)]],"over deliverry","Ontime")</f>
        <v/>
      </c>
      <c r="AC51" s="168" t="n"/>
    </row>
    <row r="52" ht="15" customFormat="1" customHeight="1" s="125">
      <c r="A52" s="5">
        <f>ROW()-ROW(RawDataGenPO[[#Headers],[No.]])</f>
        <v/>
      </c>
      <c r="B52" s="7" t="inlineStr">
        <is>
          <t>Expent  cost</t>
        </is>
      </c>
      <c r="C52" s="276" t="n">
        <v>45462</v>
      </c>
      <c r="D52" s="276" t="n"/>
      <c r="E52" s="276" t="n"/>
      <c r="F52" s="276" t="n">
        <v>45462</v>
      </c>
      <c r="G52" s="5" t="inlineStr">
        <is>
          <t>PR2425-01529</t>
        </is>
      </c>
      <c r="H52" s="5" t="inlineStr">
        <is>
          <t>PO2425-02075</t>
        </is>
      </c>
      <c r="I52" s="290">
        <f>IF(RawDataGenPO[[#This Row],[PO No.]]="","",RawDataGenPO[[#This Row],[DMY Create PR]]+7)</f>
        <v/>
      </c>
      <c r="J52" s="290" t="n"/>
      <c r="K52" s="20" t="n">
        <v>60</v>
      </c>
      <c r="L52" s="5" t="inlineStr">
        <is>
          <t>SFST81000050</t>
        </is>
      </c>
      <c r="M52" s="7" t="inlineStr">
        <is>
          <t>Machanical part</t>
        </is>
      </c>
      <c r="N52" s="7" t="inlineStr">
        <is>
          <t>Machanical jobs</t>
        </is>
      </c>
      <c r="O52" s="11" t="n">
        <v>2</v>
      </c>
      <c r="P52" s="10" t="inlineStr">
        <is>
          <t>Nipple, Danless, size 1/2 inch</t>
        </is>
      </c>
      <c r="Q52" s="277" t="n">
        <v>20</v>
      </c>
      <c r="R52" s="5" t="inlineStr">
        <is>
          <t>NO</t>
        </is>
      </c>
      <c r="S52" s="284">
        <f>RawDataGenPO[[#This Row],[Total price]]/RawDataGenPO[[#This Row],[Qty'']]</f>
        <v/>
      </c>
      <c r="T52" s="285" t="n">
        <v>660</v>
      </c>
      <c r="U52" s="161" t="inlineStr">
        <is>
          <t>Puneet Approval</t>
        </is>
      </c>
      <c r="V52" s="7" t="inlineStr">
        <is>
          <t>V1000306 - Inter Supply (1992) Co., Ltd.</t>
        </is>
      </c>
      <c r="W52" s="5" t="inlineStr">
        <is>
          <t>Recive bill and GRN already</t>
        </is>
      </c>
      <c r="X52" s="5" t="n"/>
      <c r="Y52" s="3" t="n">
        <v>45486</v>
      </c>
      <c r="Z52" s="3" t="n"/>
      <c r="AA52" s="17">
        <f>IF(RawDataGenPO[[#This Row],[Date Gen PO]]="","",RawDataGenPO[[#This Row],[Date recive bill]]-RawDataGenPO[[#This Row],[Date Gen PO]])</f>
        <v/>
      </c>
      <c r="AB52" s="16">
        <f>IF(RawDataGenPO[[#This Row],[GRN-PO date]]&gt;RawDataGenPO[[#This Row],[Lead time delivery (day)]],"over deliverry","Ontime")</f>
        <v/>
      </c>
      <c r="AC52" s="168" t="n"/>
    </row>
    <row r="53" ht="15" customFormat="1" customHeight="1" s="125">
      <c r="A53" s="5">
        <f>ROW()-ROW(RawDataGenPO[[#Headers],[No.]])</f>
        <v/>
      </c>
      <c r="B53" s="7" t="inlineStr">
        <is>
          <t>Expent  cost</t>
        </is>
      </c>
      <c r="C53" s="276" t="n">
        <v>45462</v>
      </c>
      <c r="D53" s="276" t="n"/>
      <c r="E53" s="276" t="n"/>
      <c r="F53" s="276" t="n">
        <v>45462</v>
      </c>
      <c r="G53" s="5" t="inlineStr">
        <is>
          <t>PR2425-01529</t>
        </is>
      </c>
      <c r="H53" s="5" t="inlineStr">
        <is>
          <t>PO2425-02075</t>
        </is>
      </c>
      <c r="I53" s="290">
        <f>IF(RawDataGenPO[[#This Row],[PO No.]]="","",RawDataGenPO[[#This Row],[DMY Create PR]]+7)</f>
        <v/>
      </c>
      <c r="J53" s="290" t="n"/>
      <c r="K53" s="20" t="n">
        <v>60</v>
      </c>
      <c r="L53" s="5" t="inlineStr">
        <is>
          <t>SFST81000050</t>
        </is>
      </c>
      <c r="M53" s="7" t="inlineStr">
        <is>
          <t>Machanical part</t>
        </is>
      </c>
      <c r="N53" s="7" t="inlineStr">
        <is>
          <t>Machanical jobs</t>
        </is>
      </c>
      <c r="O53" s="11" t="n">
        <v>3</v>
      </c>
      <c r="P53" s="10" t="inlineStr">
        <is>
          <t>Nipple, Danless, size 3/4 inch</t>
        </is>
      </c>
      <c r="Q53" s="277" t="n">
        <v>20</v>
      </c>
      <c r="R53" s="5" t="inlineStr">
        <is>
          <t>NO</t>
        </is>
      </c>
      <c r="S53" s="284">
        <f>RawDataGenPO[[#This Row],[Total price]]/RawDataGenPO[[#This Row],[Qty'']]</f>
        <v/>
      </c>
      <c r="T53" s="285" t="n">
        <v>480</v>
      </c>
      <c r="U53" s="161" t="inlineStr">
        <is>
          <t>Puneet Approval</t>
        </is>
      </c>
      <c r="V53" s="7" t="inlineStr">
        <is>
          <t>V1000306 - Inter Supply (1992) Co., Ltd.</t>
        </is>
      </c>
      <c r="W53" s="5" t="inlineStr">
        <is>
          <t>Recive bill and GRN already</t>
        </is>
      </c>
      <c r="X53" s="5" t="n"/>
      <c r="Y53" s="3" t="n">
        <v>45487</v>
      </c>
      <c r="Z53" s="3" t="n"/>
      <c r="AA53" s="17">
        <f>IF(RawDataGenPO[[#This Row],[Date Gen PO]]="","",RawDataGenPO[[#This Row],[Date recive bill]]-RawDataGenPO[[#This Row],[Date Gen PO]])</f>
        <v/>
      </c>
      <c r="AB53" s="16">
        <f>IF(RawDataGenPO[[#This Row],[GRN-PO date]]&gt;RawDataGenPO[[#This Row],[Lead time delivery (day)]],"over deliverry","Ontime")</f>
        <v/>
      </c>
      <c r="AC53" s="168" t="n"/>
    </row>
    <row r="54" ht="15" customFormat="1" customHeight="1" s="125">
      <c r="A54" s="5">
        <f>ROW()-ROW(RawDataGenPO[[#Headers],[No.]])</f>
        <v/>
      </c>
      <c r="B54" s="7" t="inlineStr">
        <is>
          <t>Expent  cost</t>
        </is>
      </c>
      <c r="C54" s="276" t="n">
        <v>45462</v>
      </c>
      <c r="D54" s="276" t="n"/>
      <c r="E54" s="276" t="n"/>
      <c r="F54" s="276" t="n">
        <v>45462</v>
      </c>
      <c r="G54" s="5" t="inlineStr">
        <is>
          <t>PR2425-01529</t>
        </is>
      </c>
      <c r="H54" s="5" t="inlineStr">
        <is>
          <t>PO2425-02076</t>
        </is>
      </c>
      <c r="I54" s="290">
        <f>IF(RawDataGenPO[[#This Row],[PO No.]]="","",RawDataGenPO[[#This Row],[DMY Create PR]]+7)</f>
        <v/>
      </c>
      <c r="J54" s="290" t="n"/>
      <c r="K54" s="20" t="n">
        <v>60</v>
      </c>
      <c r="L54" s="5" t="inlineStr">
        <is>
          <t>SFST81000050</t>
        </is>
      </c>
      <c r="M54" s="7" t="inlineStr">
        <is>
          <t>Machanical part</t>
        </is>
      </c>
      <c r="N54" s="7" t="inlineStr">
        <is>
          <t>Machanical jobs</t>
        </is>
      </c>
      <c r="O54" s="11" t="n">
        <v>4</v>
      </c>
      <c r="P54" s="10" t="inlineStr">
        <is>
          <t>COBRA steel drill bit HSS 25 size 1.5-13 mm</t>
        </is>
      </c>
      <c r="Q54" s="277" t="n">
        <v>1</v>
      </c>
      <c r="R54" s="5" t="inlineStr">
        <is>
          <t>NO</t>
        </is>
      </c>
      <c r="S54" s="284">
        <f>RawDataGenPO[[#This Row],[Total price]]/RawDataGenPO[[#This Row],[Qty'']]</f>
        <v/>
      </c>
      <c r="T54" s="285" t="n">
        <v>820</v>
      </c>
      <c r="U54" s="161" t="inlineStr">
        <is>
          <t>Puneet Approval</t>
        </is>
      </c>
      <c r="V54" s="7" t="inlineStr">
        <is>
          <t>V1000306 - Inter Supply (1992) Co., Ltd.</t>
        </is>
      </c>
      <c r="W54" s="5" t="inlineStr">
        <is>
          <t>Recive bill and GRN already</t>
        </is>
      </c>
      <c r="X54" s="5" t="n"/>
      <c r="Y54" s="3" t="n">
        <v>45488</v>
      </c>
      <c r="Z54" s="3" t="n"/>
      <c r="AA54" s="17">
        <f>IF(RawDataGenPO[[#This Row],[Date Gen PO]]="","",RawDataGenPO[[#This Row],[Date recive bill]]-RawDataGenPO[[#This Row],[Date Gen PO]])</f>
        <v/>
      </c>
      <c r="AB54" s="16">
        <f>IF(RawDataGenPO[[#This Row],[GRN-PO date]]&gt;RawDataGenPO[[#This Row],[Lead time delivery (day)]],"over deliverry","Ontime")</f>
        <v/>
      </c>
      <c r="AC54" s="168" t="n"/>
    </row>
    <row r="55" ht="15" customFormat="1" customHeight="1" s="125">
      <c r="A55" s="5">
        <f>ROW()-ROW(RawDataGenPO[[#Headers],[No.]])</f>
        <v/>
      </c>
      <c r="B55" s="7" t="inlineStr">
        <is>
          <t>Expent  cost</t>
        </is>
      </c>
      <c r="C55" s="276" t="n">
        <v>45462</v>
      </c>
      <c r="D55" s="276" t="n"/>
      <c r="E55" s="276" t="n"/>
      <c r="F55" s="276" t="n">
        <v>45462</v>
      </c>
      <c r="G55" s="5" t="inlineStr">
        <is>
          <t>PR2425-01529</t>
        </is>
      </c>
      <c r="H55" s="5" t="inlineStr">
        <is>
          <t>PO2425-02075</t>
        </is>
      </c>
      <c r="I55" s="290">
        <f>IF(RawDataGenPO[[#This Row],[PO No.]]="","",RawDataGenPO[[#This Row],[DMY Create PR]]+7)</f>
        <v/>
      </c>
      <c r="J55" s="290" t="n"/>
      <c r="K55" s="20" t="n">
        <v>60</v>
      </c>
      <c r="L55" s="5" t="inlineStr">
        <is>
          <t>SFST81000050</t>
        </is>
      </c>
      <c r="M55" s="7" t="inlineStr">
        <is>
          <t>Machanical part</t>
        </is>
      </c>
      <c r="N55" s="7" t="inlineStr">
        <is>
          <t>Machanical jobs</t>
        </is>
      </c>
      <c r="O55" s="11" t="n">
        <v>5</v>
      </c>
      <c r="P55" s="10" t="inlineStr">
        <is>
          <t>YAWATA", model FT-51, size 2.6 mm., mild steel welding wire</t>
        </is>
      </c>
      <c r="Q55" s="277" t="n">
        <v>2</v>
      </c>
      <c r="R55" s="5" t="inlineStr">
        <is>
          <t>NO</t>
        </is>
      </c>
      <c r="S55" s="284">
        <f>RawDataGenPO[[#This Row],[Total price]]/RawDataGenPO[[#This Row],[Qty'']]</f>
        <v/>
      </c>
      <c r="T55" s="285" t="n">
        <v>280</v>
      </c>
      <c r="U55" s="161" t="inlineStr">
        <is>
          <t>Puneet Approval</t>
        </is>
      </c>
      <c r="V55" s="7" t="inlineStr">
        <is>
          <t>V1000306 - Inter Supply (1992) Co., Ltd.</t>
        </is>
      </c>
      <c r="W55" s="5" t="inlineStr">
        <is>
          <t>Recive bill and GRN already</t>
        </is>
      </c>
      <c r="X55" s="5" t="n"/>
      <c r="Y55" s="3" t="n">
        <v>45489</v>
      </c>
      <c r="Z55" s="3" t="n"/>
      <c r="AA55" s="17">
        <f>IF(RawDataGenPO[[#This Row],[Date Gen PO]]="","",RawDataGenPO[[#This Row],[Date recive bill]]-RawDataGenPO[[#This Row],[Date Gen PO]])</f>
        <v/>
      </c>
      <c r="AB55" s="16">
        <f>IF(RawDataGenPO[[#This Row],[GRN-PO date]]&gt;RawDataGenPO[[#This Row],[Lead time delivery (day)]],"over deliverry","Ontime")</f>
        <v/>
      </c>
      <c r="AC55" s="168" t="n"/>
    </row>
    <row r="56" ht="45" customFormat="1" customHeight="1" s="125">
      <c r="A56" s="5">
        <f>ROW()-ROW(RawDataGenPO[[#Headers],[No.]])</f>
        <v/>
      </c>
      <c r="B56" s="7" t="inlineStr">
        <is>
          <t>Expent  cost</t>
        </is>
      </c>
      <c r="C56" s="276" t="n">
        <v>45482</v>
      </c>
      <c r="D56" s="276" t="n"/>
      <c r="E56" s="276" t="n"/>
      <c r="F56" s="276" t="n">
        <v>45482</v>
      </c>
      <c r="G56" s="5" t="inlineStr">
        <is>
          <t>PR2425-01828</t>
        </is>
      </c>
      <c r="H56" s="5" t="inlineStr">
        <is>
          <t>PO2425-02103</t>
        </is>
      </c>
      <c r="I56" s="290">
        <f>IF(RawDataGenPO[[#This Row],[PO No.]]="","",RawDataGenPO[[#This Row],[DMY Create PR]]+7)</f>
        <v/>
      </c>
      <c r="J56" s="290" t="n"/>
      <c r="K56" s="20">
        <f>IF(RawDataGenPO[[#This Row],[PO No.]]="","",10)</f>
        <v/>
      </c>
      <c r="L56" s="5" t="inlineStr">
        <is>
          <t>SFST81000050</t>
        </is>
      </c>
      <c r="M56" s="7" t="inlineStr">
        <is>
          <t>PD Machine</t>
        </is>
      </c>
      <c r="N56" s="7" t="inlineStr">
        <is>
          <t>Steambox1</t>
        </is>
      </c>
      <c r="O56" s="11" t="n">
        <v>1</v>
      </c>
      <c r="P56" s="10" t="inlineStr">
        <is>
          <t>Temp Sensor Model Made to Order
RTD PT-100 Ohm 3 wire (Singel Element)
- Tube SUS316L Dia. 6 mm Length 70 mm</t>
        </is>
      </c>
      <c r="Q56" s="277" t="n">
        <v>5</v>
      </c>
      <c r="R56" s="5" t="inlineStr">
        <is>
          <t>NO</t>
        </is>
      </c>
      <c r="S56" s="284">
        <f>RawDataGenPO[[#This Row],[Total price]]/RawDataGenPO[[#This Row],[Qty'']]</f>
        <v/>
      </c>
      <c r="T56" s="285" t="n">
        <v>4750</v>
      </c>
      <c r="U56" s="161" t="inlineStr">
        <is>
          <t>Puneet Approval</t>
        </is>
      </c>
      <c r="V56" s="7" t="inlineStr">
        <is>
          <t>V1000589 - KC AUTOMATION LIMITED PARTNERSHIP</t>
        </is>
      </c>
      <c r="W56" s="5" t="inlineStr">
        <is>
          <t>Recive bill and GRN already</t>
        </is>
      </c>
      <c r="X56" s="5" t="n"/>
      <c r="Y56" s="3" t="n">
        <v>45496</v>
      </c>
      <c r="Z56" s="3" t="n"/>
      <c r="AA56" s="17">
        <f>IF(RawDataGenPO[[#This Row],[Date Gen PO]]="","",RawDataGenPO[[#This Row],[Date recive bill]]-RawDataGenPO[[#This Row],[Date Gen PO]])</f>
        <v/>
      </c>
      <c r="AB56" s="16">
        <f>IF(RawDataGenPO[[#This Row],[GRN-PO date]]&gt;RawDataGenPO[[#This Row],[Lead time delivery (day)]],"over deliverry","Ontime")</f>
        <v/>
      </c>
      <c r="AC56" s="168" t="n"/>
    </row>
    <row r="57" ht="34.5" customFormat="1" customHeight="1" s="125">
      <c r="A57" s="5">
        <f>ROW()-ROW(RawDataGenPO[[#Headers],[No.]])</f>
        <v/>
      </c>
      <c r="B57" s="7" t="inlineStr">
        <is>
          <t>Expent  cost</t>
        </is>
      </c>
      <c r="C57" s="276" t="n">
        <v>45483</v>
      </c>
      <c r="D57" s="276" t="n"/>
      <c r="E57" s="276" t="n"/>
      <c r="F57" s="276" t="n">
        <v>45483</v>
      </c>
      <c r="G57" s="5" t="inlineStr">
        <is>
          <t>PR2425-01895</t>
        </is>
      </c>
      <c r="H57" s="5" t="inlineStr">
        <is>
          <t>PO2425-02128</t>
        </is>
      </c>
      <c r="I57" s="290" t="n">
        <v>45478</v>
      </c>
      <c r="J57" s="290" t="n"/>
      <c r="K57" s="20">
        <f>IF(RawDataGenPO[[#This Row],[PO No.]]="","",10)</f>
        <v/>
      </c>
      <c r="L57" s="5" t="inlineStr">
        <is>
          <t>SFST81000050</t>
        </is>
      </c>
      <c r="M57" s="7" t="inlineStr">
        <is>
          <t>Stationnary admin jobs</t>
        </is>
      </c>
      <c r="N57" s="7" t="inlineStr">
        <is>
          <t>Stationnary admin jobs</t>
        </is>
      </c>
      <c r="O57" s="11" t="n">
        <v>1</v>
      </c>
      <c r="P57" s="10" t="inlineStr">
        <is>
          <t>A4 card laminating plastic</t>
        </is>
      </c>
      <c r="Q57" s="277" t="n">
        <v>1</v>
      </c>
      <c r="R57" s="5" t="inlineStr">
        <is>
          <t>PC</t>
        </is>
      </c>
      <c r="S57" s="284">
        <f>RawDataGenPO[[#This Row],[Total price]]/RawDataGenPO[[#This Row],[Qty'']]</f>
        <v/>
      </c>
      <c r="T57" s="285" t="n">
        <v>326.17</v>
      </c>
      <c r="U57" s="291" t="inlineStr">
        <is>
          <t>Puneet Approval</t>
        </is>
      </c>
      <c r="V57" s="7" t="n"/>
      <c r="W57" s="5" t="inlineStr">
        <is>
          <t>Recive bill and GRN already</t>
        </is>
      </c>
      <c r="X57" s="5" t="n"/>
      <c r="Y57" s="3" t="n">
        <v>45485</v>
      </c>
      <c r="Z57" s="3" t="n"/>
      <c r="AA57" s="17">
        <f>IF(RawDataGenPO[[#This Row],[Date Gen PO]]="","",RawDataGenPO[[#This Row],[Date recive bill]]-RawDataGenPO[[#This Row],[Date Gen PO]])</f>
        <v/>
      </c>
      <c r="AB57" s="16">
        <f>IF(RawDataGenPO[[#This Row],[GRN-PO date]]&gt;RawDataGenPO[[#This Row],[Lead time delivery (day)]],"over deliverry","Ontime")</f>
        <v/>
      </c>
      <c r="AC57" s="168" t="n"/>
    </row>
    <row r="58" ht="15" customFormat="1" customHeight="1" s="125">
      <c r="A58" s="5">
        <f>ROW()-ROW(RawDataGenPO[[#Headers],[No.]])</f>
        <v/>
      </c>
      <c r="B58" s="7" t="inlineStr">
        <is>
          <t>Expent  cost</t>
        </is>
      </c>
      <c r="C58" s="276" t="n">
        <v>45484</v>
      </c>
      <c r="D58" s="276" t="n"/>
      <c r="E58" s="276" t="n"/>
      <c r="F58" s="276" t="n">
        <v>45484</v>
      </c>
      <c r="G58" s="5" t="inlineStr">
        <is>
          <t xml:space="preserve">PR2425-02043 </t>
        </is>
      </c>
      <c r="H58" s="5" t="inlineStr">
        <is>
          <t>PO2425-02276</t>
        </is>
      </c>
      <c r="I58" s="290" t="n">
        <v>45478</v>
      </c>
      <c r="J58" s="290" t="n"/>
      <c r="K58" s="20">
        <f>IF(RawDataGenPO[[#This Row],[PO No.]]="","",10)</f>
        <v/>
      </c>
      <c r="L58" s="5" t="inlineStr">
        <is>
          <t>SFST81000050</t>
        </is>
      </c>
      <c r="M58" s="7" t="inlineStr">
        <is>
          <t>PD Machine</t>
        </is>
      </c>
      <c r="N58" s="7" t="inlineStr">
        <is>
          <t>Food Mixer 2</t>
        </is>
      </c>
      <c r="O58" s="11" t="n">
        <v>1</v>
      </c>
      <c r="P58" s="10" t="inlineStr">
        <is>
          <t xml:space="preserve"> Gear set for Mixer 40 L</t>
        </is>
      </c>
      <c r="Q58" s="277" t="n">
        <v>1</v>
      </c>
      <c r="R58" s="5" t="inlineStr">
        <is>
          <t>PC</t>
        </is>
      </c>
      <c r="S58" s="284">
        <f>RawDataGenPO[[#This Row],[Total price]]/RawDataGenPO[[#This Row],[Qty'']]</f>
        <v/>
      </c>
      <c r="T58" s="285" t="n">
        <v>45000</v>
      </c>
      <c r="U58" s="161" t="inlineStr">
        <is>
          <t>Puneet Approval</t>
        </is>
      </c>
      <c r="V58" s="7" t="inlineStr">
        <is>
          <t>V1000574 - TKM INDUSTRIAL COMPANY LIMITED</t>
        </is>
      </c>
      <c r="W58" s="5" t="inlineStr">
        <is>
          <t>Recive bill and GRN already</t>
        </is>
      </c>
      <c r="X58" s="5" t="n"/>
      <c r="Y58" s="3" t="n">
        <v>45481</v>
      </c>
      <c r="Z58" s="3" t="n"/>
      <c r="AA58" s="17">
        <f>IF(RawDataGenPO[[#This Row],[Date Gen PO]]="","",RawDataGenPO[[#This Row],[Date recive bill]]-RawDataGenPO[[#This Row],[Date Gen PO]])</f>
        <v/>
      </c>
      <c r="AB58" s="16">
        <f>IF(RawDataGenPO[[#This Row],[GRN-PO date]]&gt;RawDataGenPO[[#This Row],[Lead time delivery (day)]],"over deliverry","Ontime")</f>
        <v/>
      </c>
      <c r="AC58" s="168" t="n"/>
    </row>
    <row r="59" ht="15" customFormat="1" customHeight="1" s="125">
      <c r="A59" s="5">
        <f>ROW()-ROW(RawDataGenPO[[#Headers],[No.]])</f>
        <v/>
      </c>
      <c r="B59" s="7" t="inlineStr">
        <is>
          <t>Expent  cost</t>
        </is>
      </c>
      <c r="C59" s="276" t="n">
        <v>45481</v>
      </c>
      <c r="D59" s="276" t="n"/>
      <c r="E59" s="276" t="n"/>
      <c r="F59" s="276" t="n">
        <v>45481</v>
      </c>
      <c r="G59" s="5" t="inlineStr">
        <is>
          <t>PR2425-01960</t>
        </is>
      </c>
      <c r="H59" s="5" t="inlineStr">
        <is>
          <t>PO2425-02277</t>
        </is>
      </c>
      <c r="I59" s="290">
        <f>IF(RawDataGenPO[[#This Row],[PO No.]]="","",RawDataGenPO[[#This Row],[DMY Create PR]]+7)</f>
        <v/>
      </c>
      <c r="J59" s="290" t="n"/>
      <c r="K59" s="20" t="n">
        <v>60</v>
      </c>
      <c r="L59" s="5" t="inlineStr">
        <is>
          <t>SFST81000048</t>
        </is>
      </c>
      <c r="M59" s="7" t="inlineStr">
        <is>
          <t>PD Machine</t>
        </is>
      </c>
      <c r="N59" s="7" t="inlineStr">
        <is>
          <t>X-Ray No.2</t>
        </is>
      </c>
      <c r="O59" s="11" t="n">
        <v>1</v>
      </c>
      <c r="P59" s="10" t="inlineStr">
        <is>
          <t>Repair (X-ray machine)</t>
        </is>
      </c>
      <c r="Q59" s="277" t="n">
        <v>1</v>
      </c>
      <c r="R59" s="5" t="inlineStr">
        <is>
          <t>PC</t>
        </is>
      </c>
      <c r="S59" s="284">
        <f>RawDataGenPO[[#This Row],[Total price]]/RawDataGenPO[[#This Row],[Qty'']]</f>
        <v/>
      </c>
      <c r="T59" s="285" t="n">
        <v>7500</v>
      </c>
      <c r="U59" s="291" t="inlineStr">
        <is>
          <t>Puneet Approval</t>
        </is>
      </c>
      <c r="V59" s="7" t="inlineStr">
        <is>
          <t>V1000046 - OFFICEMATE (THAI) LIMITED</t>
        </is>
      </c>
      <c r="W59" s="5" t="inlineStr">
        <is>
          <t>Recive bill and GRN already</t>
        </is>
      </c>
      <c r="X59" s="5" t="n"/>
      <c r="Y59" s="3" t="n">
        <v>45514</v>
      </c>
      <c r="Z59" s="3" t="n"/>
      <c r="AA59" s="17">
        <f>IF(RawDataGenPO[[#This Row],[Date Gen PO]]="","",RawDataGenPO[[#This Row],[Date recive bill]]-RawDataGenPO[[#This Row],[Date Gen PO]])</f>
        <v/>
      </c>
      <c r="AB59" s="16">
        <f>IF(RawDataGenPO[[#This Row],[GRN-PO date]]&gt;RawDataGenPO[[#This Row],[Lead time delivery (day)]],"over deliverry","Ontime")</f>
        <v/>
      </c>
      <c r="AC59" s="168" t="n"/>
    </row>
    <row r="60" ht="15" customFormat="1" customHeight="1" s="125">
      <c r="A60" s="5">
        <f>ROW()-ROW(RawDataGenPO[[#Headers],[No.]])</f>
        <v/>
      </c>
      <c r="B60" s="7" t="inlineStr">
        <is>
          <t>Expent  cost</t>
        </is>
      </c>
      <c r="C60" s="276" t="n">
        <v>45498</v>
      </c>
      <c r="D60" s="276" t="n"/>
      <c r="E60" s="276" t="n"/>
      <c r="F60" s="276" t="n">
        <v>45498</v>
      </c>
      <c r="G60" s="5" t="inlineStr">
        <is>
          <t>PR2425-02018</t>
        </is>
      </c>
      <c r="H60" s="5" t="inlineStr">
        <is>
          <t>PO2425-02470</t>
        </is>
      </c>
      <c r="I60" s="290" t="n">
        <v>45493</v>
      </c>
      <c r="J60" s="290" t="n"/>
      <c r="K60" s="20">
        <f>IF(RawDataGenPO[[#This Row],[PO No.]]="","",10)</f>
        <v/>
      </c>
      <c r="L60" s="5" t="inlineStr">
        <is>
          <t>SFST34000054</t>
        </is>
      </c>
      <c r="M60" s="7" t="inlineStr">
        <is>
          <t>Consumable part for MN</t>
        </is>
      </c>
      <c r="N60" s="7" t="inlineStr">
        <is>
          <t>Refrigerant</t>
        </is>
      </c>
      <c r="O60" s="11" t="n">
        <v>1</v>
      </c>
      <c r="P60" s="160" t="inlineStr">
        <is>
          <t>R507 Refrigerant,(1 Tank 11.3 kg/Tank)</t>
        </is>
      </c>
      <c r="Q60" s="293" t="n">
        <v>15</v>
      </c>
      <c r="R60" s="34" t="inlineStr">
        <is>
          <t>Drm.</t>
        </is>
      </c>
      <c r="S60" s="294">
        <f>RawDataGenPO[[#This Row],[Total price]]/RawDataGenPO[[#This Row],[Qty'']]</f>
        <v/>
      </c>
      <c r="T60" s="295" t="n">
        <v>37500</v>
      </c>
      <c r="U60" s="161" t="inlineStr">
        <is>
          <t>Puneet Approval</t>
        </is>
      </c>
      <c r="V60" s="7" t="inlineStr">
        <is>
          <t>V1000312 - Colder Solution Co., Ltd.</t>
        </is>
      </c>
      <c r="W60" s="5" t="inlineStr">
        <is>
          <t>Recive bill and GRN already</t>
        </is>
      </c>
      <c r="X60" s="5" t="n"/>
      <c r="Y60" s="3" t="n">
        <v>45496</v>
      </c>
      <c r="Z60" s="3" t="n"/>
      <c r="AA60" s="17">
        <f>IF(RawDataGenPO[[#This Row],[Date Gen PO]]="","",RawDataGenPO[[#This Row],[Date recive bill]]-RawDataGenPO[[#This Row],[Date Gen PO]])</f>
        <v/>
      </c>
      <c r="AB60" s="16">
        <f>IF(RawDataGenPO[[#This Row],[GRN-PO date]]&gt;RawDataGenPO[[#This Row],[Lead time delivery (day)]],"over deliverry","Ontime")</f>
        <v/>
      </c>
      <c r="AC60" s="168" t="n"/>
    </row>
    <row r="61" ht="15" customFormat="1" customHeight="1" s="125">
      <c r="A61" s="5">
        <f>ROW()-ROW(RawDataGenPO[[#Headers],[No.]])</f>
        <v/>
      </c>
      <c r="B61" s="7" t="inlineStr">
        <is>
          <t>Expent  cost</t>
        </is>
      </c>
      <c r="C61" s="276" t="n">
        <v>45498</v>
      </c>
      <c r="D61" s="276" t="n"/>
      <c r="E61" s="276" t="n"/>
      <c r="F61" s="276" t="n">
        <v>45498</v>
      </c>
      <c r="G61" s="5" t="inlineStr">
        <is>
          <t>PR2425-02290</t>
        </is>
      </c>
      <c r="H61" s="5" t="inlineStr">
        <is>
          <t>PO2425-02597</t>
        </is>
      </c>
      <c r="I61" s="290">
        <f>IF(RawDataGenPO[[#This Row],[PO No.]]="","",RawDataGenPO[[#This Row],[DMY Create PR]]+7)</f>
        <v/>
      </c>
      <c r="J61" s="290" t="n"/>
      <c r="K61" s="20">
        <f>IF(RawDataGenPO[[#This Row],[PO No.]]="","",10)</f>
        <v/>
      </c>
      <c r="L61" s="5" t="inlineStr">
        <is>
          <t>SFST34000102</t>
        </is>
      </c>
      <c r="M61" s="7" t="inlineStr">
        <is>
          <t>Consumable part for MN</t>
        </is>
      </c>
      <c r="N61" s="7" t="inlineStr">
        <is>
          <t>Cevil jobs</t>
        </is>
      </c>
      <c r="O61" s="11" t="n">
        <v>1</v>
      </c>
      <c r="P61" s="10" t="inlineStr">
        <is>
          <t>Acid-free anti-fungal silicone, Wessbond silicone Neutra Foodgrade 300 ml, grey</t>
        </is>
      </c>
      <c r="Q61" s="277" t="n">
        <v>1</v>
      </c>
      <c r="R61" s="5" t="inlineStr">
        <is>
          <t>Box</t>
        </is>
      </c>
      <c r="S61" s="284">
        <f>RawDataGenPO[[#This Row],[Total price]]/RawDataGenPO[[#This Row],[Qty'']]</f>
        <v/>
      </c>
      <c r="T61" s="285" t="n">
        <v>5500</v>
      </c>
      <c r="U61" s="161" t="n"/>
      <c r="V61" s="7" t="inlineStr">
        <is>
          <t>Darmex Petroleum (Thailand) Corp., Ltd.</t>
        </is>
      </c>
      <c r="W61" s="5" t="inlineStr">
        <is>
          <t>Recive bill and GRN already</t>
        </is>
      </c>
      <c r="X61" s="5" t="n"/>
      <c r="Y61" s="3" t="n">
        <v>45511</v>
      </c>
      <c r="Z61" s="3" t="n"/>
      <c r="AA61" s="17">
        <f>IF(RawDataGenPO[[#This Row],[Date Gen PO]]="","",RawDataGenPO[[#This Row],[Date recive bill]]-RawDataGenPO[[#This Row],[Date Gen PO]])</f>
        <v/>
      </c>
      <c r="AB61" s="16">
        <f>IF(RawDataGenPO[[#This Row],[GRN-PO date]]&gt;RawDataGenPO[[#This Row],[Lead time delivery (day)]],"over deliverry","Ontime")</f>
        <v/>
      </c>
      <c r="AC61" s="168" t="n"/>
    </row>
    <row r="62" ht="15" customFormat="1" customHeight="1" s="125">
      <c r="A62" s="5">
        <f>ROW()-ROW(RawDataGenPO[[#Headers],[No.]])</f>
        <v/>
      </c>
      <c r="B62" s="7" t="inlineStr">
        <is>
          <t>Expent  cost</t>
        </is>
      </c>
      <c r="C62" s="276" t="n">
        <v>45498</v>
      </c>
      <c r="D62" s="276" t="n"/>
      <c r="E62" s="276" t="n"/>
      <c r="F62" s="276" t="n">
        <v>45498</v>
      </c>
      <c r="G62" s="5" t="inlineStr">
        <is>
          <t>PR2425-02290</t>
        </is>
      </c>
      <c r="H62" s="5" t="inlineStr">
        <is>
          <t>PO2425-02597</t>
        </is>
      </c>
      <c r="I62" s="290">
        <f>IF(RawDataGenPO[[#This Row],[PO No.]]="","",RawDataGenPO[[#This Row],[DMY Create PR]]+7)</f>
        <v/>
      </c>
      <c r="J62" s="290" t="n"/>
      <c r="K62" s="20">
        <f>IF(RawDataGenPO[[#This Row],[PO No.]]="","",10)</f>
        <v/>
      </c>
      <c r="L62" s="5" t="inlineStr">
        <is>
          <t>SFST34000103</t>
        </is>
      </c>
      <c r="M62" s="7" t="inlineStr">
        <is>
          <t>Consumable part for MN</t>
        </is>
      </c>
      <c r="N62" s="7" t="inlineStr">
        <is>
          <t>Cevil jobs</t>
        </is>
      </c>
      <c r="O62" s="11" t="n">
        <v>2</v>
      </c>
      <c r="P62" s="10" t="inlineStr">
        <is>
          <t>Acid-free anti-fungal silicone, Wessbond silicone Neutra Foodgrade 300 ml, white</t>
        </is>
      </c>
      <c r="Q62" s="277" t="n">
        <v>1</v>
      </c>
      <c r="R62" s="5" t="inlineStr">
        <is>
          <t>Box</t>
        </is>
      </c>
      <c r="S62" s="284">
        <f>RawDataGenPO[[#This Row],[Total price]]/RawDataGenPO[[#This Row],[Qty'']]</f>
        <v/>
      </c>
      <c r="T62" s="285" t="n">
        <v>5750</v>
      </c>
      <c r="U62" s="161" t="n"/>
      <c r="V62" s="7" t="inlineStr">
        <is>
          <t>Darmex Petroleum (Thailand) Corp., Ltd.</t>
        </is>
      </c>
      <c r="W62" s="5" t="inlineStr">
        <is>
          <t>Recive bill and GRN already</t>
        </is>
      </c>
      <c r="X62" s="5" t="n"/>
      <c r="Y62" s="3" t="n">
        <v>45511</v>
      </c>
      <c r="Z62" s="3" t="n"/>
      <c r="AA62" s="17">
        <f>IF(RawDataGenPO[[#This Row],[Date Gen PO]]="","",RawDataGenPO[[#This Row],[Date recive bill]]-RawDataGenPO[[#This Row],[Date Gen PO]])</f>
        <v/>
      </c>
      <c r="AB62" s="16">
        <f>IF(RawDataGenPO[[#This Row],[GRN-PO date]]&gt;RawDataGenPO[[#This Row],[Lead time delivery (day)]],"over deliverry","Ontime")</f>
        <v/>
      </c>
      <c r="AC62" s="168" t="n"/>
    </row>
    <row r="63" customFormat="1" s="125">
      <c r="A63" s="5">
        <f>ROW()-ROW(RawDataGenPO[[#Headers],[No.]])</f>
        <v/>
      </c>
      <c r="B63" s="7" t="inlineStr">
        <is>
          <t>Expent  cost</t>
        </is>
      </c>
      <c r="C63" s="276" t="n">
        <v>45498</v>
      </c>
      <c r="D63" s="276" t="n"/>
      <c r="E63" s="276" t="n"/>
      <c r="F63" s="276" t="n">
        <v>45498</v>
      </c>
      <c r="G63" s="235" t="inlineStr">
        <is>
          <t xml:space="preserve">PR2425-02290 </t>
        </is>
      </c>
      <c r="H63" s="5" t="inlineStr">
        <is>
          <t>PO2425-02597</t>
        </is>
      </c>
      <c r="I63" s="290">
        <f>IF(RawDataGenPO[[#This Row],[PO No.]]="","",RawDataGenPO[[#This Row],[DMY Create PR]]+7)</f>
        <v/>
      </c>
      <c r="J63" s="290" t="n"/>
      <c r="K63" s="20" t="n">
        <v>60</v>
      </c>
      <c r="L63" s="5" t="inlineStr">
        <is>
          <t>SFST34000102</t>
        </is>
      </c>
      <c r="M63" s="7" t="inlineStr">
        <is>
          <t>Consumable part for MN</t>
        </is>
      </c>
      <c r="N63" s="7" t="inlineStr">
        <is>
          <t>Cevil jobs</t>
        </is>
      </c>
      <c r="O63" s="11" t="n">
        <v>3</v>
      </c>
      <c r="P63" s="10" t="inlineStr">
        <is>
          <t>Acid-free anti-fungal silicone, Wessbond silicone Neutra Foodgrade 300 ml, grey</t>
        </is>
      </c>
      <c r="Q63" s="277" t="n">
        <v>25</v>
      </c>
      <c r="R63" s="5" t="inlineStr">
        <is>
          <t>pcs.</t>
        </is>
      </c>
      <c r="S63" s="284">
        <f>RawDataGenPO[[#This Row],[Total price]]/RawDataGenPO[[#This Row],[Qty'']]</f>
        <v/>
      </c>
      <c r="T63" s="285" t="n">
        <v>5750</v>
      </c>
      <c r="U63" s="161" t="inlineStr">
        <is>
          <t>Puneet Approval</t>
        </is>
      </c>
      <c r="V63" s="7" t="inlineStr">
        <is>
          <t>V1000576 - Darmex Petroleum (Thailand) Corp., Ltd.</t>
        </is>
      </c>
      <c r="W63" s="5" t="inlineStr">
        <is>
          <t>Recive bill and GRN already</t>
        </is>
      </c>
      <c r="X63" s="5" t="n"/>
      <c r="Y63" s="3" t="n">
        <v>45518</v>
      </c>
      <c r="Z63" s="3" t="n"/>
      <c r="AA63" s="17">
        <f>IF(RawDataGenPO[[#This Row],[Date Gen PO]]="","",RawDataGenPO[[#This Row],[Date recive bill]]-RawDataGenPO[[#This Row],[Date Gen PO]])</f>
        <v/>
      </c>
      <c r="AB63" s="16">
        <f>IF(RawDataGenPO[[#This Row],[GRN-PO date]]&gt;RawDataGenPO[[#This Row],[Lead time delivery (day)]],"over deliverry","Ontime")</f>
        <v/>
      </c>
      <c r="AC63" s="168" t="n"/>
    </row>
    <row r="64" customFormat="1" s="125">
      <c r="A64" s="5">
        <f>ROW()-ROW(RawDataGenPO[[#Headers],[No.]])</f>
        <v/>
      </c>
      <c r="B64" s="7" t="inlineStr">
        <is>
          <t>Expent  cost</t>
        </is>
      </c>
      <c r="C64" s="276" t="n">
        <v>45498</v>
      </c>
      <c r="D64" s="276" t="n"/>
      <c r="E64" s="276" t="n"/>
      <c r="F64" s="276" t="n">
        <v>45498</v>
      </c>
      <c r="G64" s="235" t="inlineStr">
        <is>
          <t xml:space="preserve">PR2425-02290 </t>
        </is>
      </c>
      <c r="H64" s="5" t="inlineStr">
        <is>
          <t>PO2425-02597</t>
        </is>
      </c>
      <c r="I64" s="290">
        <f>IF(RawDataGenPO[[#This Row],[PO No.]]="","",RawDataGenPO[[#This Row],[DMY Create PR]]+7)</f>
        <v/>
      </c>
      <c r="J64" s="290" t="n"/>
      <c r="K64" s="20" t="n">
        <v>60</v>
      </c>
      <c r="L64" s="5" t="inlineStr">
        <is>
          <t>SFST34000103</t>
        </is>
      </c>
      <c r="M64" s="7" t="inlineStr">
        <is>
          <t>Consumable part for MN</t>
        </is>
      </c>
      <c r="N64" s="7" t="inlineStr">
        <is>
          <t>Cevil jobs</t>
        </is>
      </c>
      <c r="O64" s="11" t="n">
        <v>4</v>
      </c>
      <c r="P64" s="10" t="inlineStr">
        <is>
          <t>Acid-free anti-fungal silicone, Wessbond silicone Neutra Foodgrade 300 ml, white</t>
        </is>
      </c>
      <c r="Q64" s="277" t="n">
        <v>25</v>
      </c>
      <c r="R64" s="5" t="inlineStr">
        <is>
          <t>pcs.</t>
        </is>
      </c>
      <c r="S64" s="284">
        <f>RawDataGenPO[[#This Row],[Total price]]/RawDataGenPO[[#This Row],[Qty'']]</f>
        <v/>
      </c>
      <c r="T64" s="285" t="n">
        <v>5500</v>
      </c>
      <c r="U64" s="161" t="inlineStr">
        <is>
          <t>Puneet Approval</t>
        </is>
      </c>
      <c r="V64" s="7" t="inlineStr">
        <is>
          <t>V1000576 - Darmex Petroleum (Thailand) Corp., Ltd.</t>
        </is>
      </c>
      <c r="W64" s="5" t="inlineStr">
        <is>
          <t>Recive bill and GRN already</t>
        </is>
      </c>
      <c r="X64" s="5" t="n"/>
      <c r="Y64" s="3" t="n">
        <v>45518</v>
      </c>
      <c r="Z64" s="3" t="n"/>
      <c r="AA64" s="17">
        <f>IF(RawDataGenPO[[#This Row],[Date Gen PO]]="","",RawDataGenPO[[#This Row],[Date recive bill]]-RawDataGenPO[[#This Row],[Date Gen PO]])</f>
        <v/>
      </c>
      <c r="AB64" s="16">
        <f>IF(RawDataGenPO[[#This Row],[GRN-PO date]]&gt;RawDataGenPO[[#This Row],[Lead time delivery (day)]],"over deliverry","Ontime")</f>
        <v/>
      </c>
      <c r="AC64" s="168" t="n"/>
    </row>
    <row r="65" customFormat="1" s="125">
      <c r="A65" s="5">
        <f>ROW()-ROW(RawDataGenPO[[#Headers],[No.]])</f>
        <v/>
      </c>
      <c r="B65" s="7" t="inlineStr">
        <is>
          <t>Expent  cost</t>
        </is>
      </c>
      <c r="C65" s="276" t="n">
        <v>45500</v>
      </c>
      <c r="D65" s="276" t="n"/>
      <c r="E65" s="276" t="n"/>
      <c r="F65" s="276" t="n">
        <v>45500</v>
      </c>
      <c r="G65" s="5" t="inlineStr">
        <is>
          <t>PR2425-02346</t>
        </is>
      </c>
      <c r="H65" s="5" t="inlineStr">
        <is>
          <t>PO2425-02599</t>
        </is>
      </c>
      <c r="I65" s="290">
        <f>IF(RawDataGenPO[[#This Row],[PO No.]]="","",RawDataGenPO[[#This Row],[DMY Create PR]]+7)</f>
        <v/>
      </c>
      <c r="J65" s="290" t="n"/>
      <c r="K65" s="20">
        <f>IF(RawDataGenPO[[#This Row],[PO No.]]="","",10)</f>
        <v/>
      </c>
      <c r="L65" s="5" t="inlineStr">
        <is>
          <t>SFST11000004</t>
        </is>
      </c>
      <c r="M65" s="7" t="inlineStr">
        <is>
          <t>Water plant</t>
        </is>
      </c>
      <c r="N65" s="7" t="inlineStr">
        <is>
          <t>Resin Tank No.1</t>
        </is>
      </c>
      <c r="O65" s="11" t="n">
        <v>1</v>
      </c>
      <c r="P65" s="10" t="inlineStr">
        <is>
          <t>Resin cleaning salt</t>
        </is>
      </c>
      <c r="Q65" s="277" t="n">
        <v>3000</v>
      </c>
      <c r="R65" s="5" t="inlineStr">
        <is>
          <t>Kg.</t>
        </is>
      </c>
      <c r="S65" s="284">
        <f>RawDataGenPO[[#This Row],[Total price]]/RawDataGenPO[[#This Row],[Qty'']]</f>
        <v/>
      </c>
      <c r="T65" s="285" t="n">
        <v>11100</v>
      </c>
      <c r="U65" s="161" t="n"/>
      <c r="V65" s="263" t="inlineStr">
        <is>
          <t>THAI REFINED SALT CO., LTD.</t>
        </is>
      </c>
      <c r="W65" s="5" t="inlineStr">
        <is>
          <t>Recive bill and GRN already</t>
        </is>
      </c>
      <c r="X65" s="5" t="n"/>
      <c r="Y65" s="3" t="n">
        <v>45513</v>
      </c>
      <c r="Z65" s="3" t="n"/>
      <c r="AA65" s="17">
        <f>IF(RawDataGenPO[[#This Row],[Date Gen PO]]="","",RawDataGenPO[[#This Row],[Date recive bill]]-RawDataGenPO[[#This Row],[Date Gen PO]])</f>
        <v/>
      </c>
      <c r="AB65" s="16">
        <f>IF(RawDataGenPO[[#This Row],[GRN-PO date]]&gt;RawDataGenPO[[#This Row],[Lead time delivery (day)]],"over deliverry","Ontime")</f>
        <v/>
      </c>
      <c r="AC65" s="168" t="n"/>
    </row>
    <row r="66" customFormat="1" s="125">
      <c r="A66" s="5">
        <f>ROW()-ROW(RawDataGenPO[[#Headers],[No.]])</f>
        <v/>
      </c>
      <c r="B66" s="7" t="inlineStr">
        <is>
          <t>Expent  cost</t>
        </is>
      </c>
      <c r="C66" s="276" t="n">
        <v>45503</v>
      </c>
      <c r="D66" s="276" t="n"/>
      <c r="E66" s="276" t="n"/>
      <c r="F66" s="276" t="n">
        <v>45503</v>
      </c>
      <c r="G66" s="235" t="inlineStr">
        <is>
          <t xml:space="preserve">PR2425-02346  </t>
        </is>
      </c>
      <c r="H66" s="5" t="inlineStr">
        <is>
          <t>PO2425-02599</t>
        </is>
      </c>
      <c r="I66" s="290">
        <f>IF(RawDataGenPO[[#This Row],[PO No.]]="","",RawDataGenPO[[#This Row],[DMY Create PR]]+7)</f>
        <v/>
      </c>
      <c r="J66" s="290" t="n"/>
      <c r="K66" s="20">
        <f>IF(RawDataGenPO[[#This Row],[PO No.]]="","",10)</f>
        <v/>
      </c>
      <c r="L66" s="5" t="inlineStr">
        <is>
          <t>SFST11000004</t>
        </is>
      </c>
      <c r="M66" s="7" t="inlineStr">
        <is>
          <t>Water plant</t>
        </is>
      </c>
      <c r="N66" s="7" t="inlineStr">
        <is>
          <t>Resin Tank No.2</t>
        </is>
      </c>
      <c r="O66" s="11" t="n">
        <v>2</v>
      </c>
      <c r="P66" s="10" t="inlineStr">
        <is>
          <t>Resin cleaning salt</t>
        </is>
      </c>
      <c r="Q66" s="277" t="n">
        <v>3000</v>
      </c>
      <c r="R66" s="5" t="inlineStr">
        <is>
          <t>KG.</t>
        </is>
      </c>
      <c r="S66" s="284">
        <f>RawDataGenPO[[#This Row],[Total price]]/RawDataGenPO[[#This Row],[Qty'']]</f>
        <v/>
      </c>
      <c r="T66" s="285" t="n">
        <v>11100</v>
      </c>
      <c r="U66" s="161" t="inlineStr">
        <is>
          <t>Puneet Approval</t>
        </is>
      </c>
      <c r="V66" s="7" t="inlineStr">
        <is>
          <t>V1000001 - THAI REFINED SALT CO., LTD.</t>
        </is>
      </c>
      <c r="W66" s="5" t="inlineStr">
        <is>
          <t>Recive bill and GRN already</t>
        </is>
      </c>
      <c r="X66" s="5" t="n"/>
      <c r="Y66" s="3" t="n">
        <v>45513</v>
      </c>
      <c r="Z66" s="3" t="n"/>
      <c r="AA66" s="17">
        <f>IF(RawDataGenPO[[#This Row],[Date Gen PO]]="","",RawDataGenPO[[#This Row],[Date recive bill]]-RawDataGenPO[[#This Row],[Date Gen PO]])</f>
        <v/>
      </c>
      <c r="AB66" s="16">
        <f>IF(RawDataGenPO[[#This Row],[GRN-PO date]]&gt;RawDataGenPO[[#This Row],[Lead time delivery (day)]],"over deliverry","Ontime")</f>
        <v/>
      </c>
      <c r="AC66" s="168" t="n"/>
    </row>
    <row r="67" ht="15" customFormat="1" customHeight="1" s="125">
      <c r="A67" s="5">
        <f>ROW()-ROW(RawDataGenPO[[#Headers],[No.]])</f>
        <v/>
      </c>
      <c r="B67" s="7" t="inlineStr">
        <is>
          <t>CAPEX  (Budget)</t>
        </is>
      </c>
      <c r="C67" s="276" t="n">
        <v>45498</v>
      </c>
      <c r="D67" s="276" t="n"/>
      <c r="E67" s="276" t="n"/>
      <c r="F67" s="276" t="n">
        <v>45498</v>
      </c>
      <c r="G67" s="5" t="inlineStr">
        <is>
          <t>PR2425-02117</t>
        </is>
      </c>
      <c r="H67" s="5" t="inlineStr">
        <is>
          <t>PO2425-02604</t>
        </is>
      </c>
      <c r="I67" s="290" t="n">
        <v>45493</v>
      </c>
      <c r="J67" s="290" t="n"/>
      <c r="K67" s="20">
        <f>IF(RawDataGenPO[[#This Row],[PO No.]]="","",10)</f>
        <v/>
      </c>
      <c r="L67" s="5" t="inlineStr">
        <is>
          <t>SFST82000007</t>
        </is>
      </c>
      <c r="M67" s="7" t="inlineStr">
        <is>
          <t xml:space="preserve">Waste water </t>
        </is>
      </c>
      <c r="N67" s="7" t="inlineStr">
        <is>
          <t>Utility jobs</t>
        </is>
      </c>
      <c r="O67" s="11" t="n">
        <v>1</v>
      </c>
      <c r="P67" s="10" t="inlineStr">
        <is>
          <t>SUPER PUMP SSP-405S 400 watts</t>
        </is>
      </c>
      <c r="Q67" s="277" t="n">
        <v>1</v>
      </c>
      <c r="R67" s="5" t="inlineStr">
        <is>
          <t>PC</t>
        </is>
      </c>
      <c r="S67" s="284">
        <f>RawDataGenPO[[#This Row],[Total price]]/RawDataGenPO[[#This Row],[Qty'']]</f>
        <v/>
      </c>
      <c r="T67" s="285" t="n">
        <v>4485.98</v>
      </c>
      <c r="U67" s="161" t="inlineStr">
        <is>
          <t>Puneet Approval</t>
        </is>
      </c>
      <c r="V67" s="7" t="inlineStr">
        <is>
          <t>V1000608 - KITTIPHAN RANGSIT</t>
        </is>
      </c>
      <c r="W67" s="5" t="inlineStr">
        <is>
          <t>Recive bill and GRN already</t>
        </is>
      </c>
      <c r="X67" s="5" t="n"/>
      <c r="Y67" s="3" t="n">
        <v>45496</v>
      </c>
      <c r="Z67" s="3" t="n"/>
      <c r="AA67" s="17">
        <f>IF(RawDataGenPO[[#This Row],[Date Gen PO]]="","",RawDataGenPO[[#This Row],[Date recive bill]]-RawDataGenPO[[#This Row],[Date Gen PO]])</f>
        <v/>
      </c>
      <c r="AB67" s="16">
        <f>IF(RawDataGenPO[[#This Row],[GRN-PO date]]&gt;RawDataGenPO[[#This Row],[Lead time delivery (day)]],"over deliverry","Ontime")</f>
        <v/>
      </c>
      <c r="AC67" s="168" t="n"/>
    </row>
    <row r="68" ht="15" customFormat="1" customHeight="1" s="125">
      <c r="A68" s="5">
        <f>ROW()-ROW(RawDataGenPO[[#Headers],[No.]])</f>
        <v/>
      </c>
      <c r="B68" s="7" t="inlineStr">
        <is>
          <t>Expent  cost</t>
        </is>
      </c>
      <c r="C68" s="276" t="n">
        <v>45498</v>
      </c>
      <c r="D68" s="276" t="n"/>
      <c r="E68" s="276" t="n"/>
      <c r="F68" s="276" t="n">
        <v>45498</v>
      </c>
      <c r="G68" s="5" t="inlineStr">
        <is>
          <t>PR2425-02117</t>
        </is>
      </c>
      <c r="H68" s="5" t="inlineStr">
        <is>
          <t>PO2425-02604</t>
        </is>
      </c>
      <c r="I68" s="290" t="n">
        <v>45493</v>
      </c>
      <c r="J68" s="290" t="n"/>
      <c r="K68" s="20">
        <f>IF(RawDataGenPO[[#This Row],[PO No.]]="","",10)</f>
        <v/>
      </c>
      <c r="L68" s="5" t="inlineStr">
        <is>
          <t>SFST81000050</t>
        </is>
      </c>
      <c r="M68" s="7" t="inlineStr">
        <is>
          <t xml:space="preserve">Waste water </t>
        </is>
      </c>
      <c r="N68" s="7" t="inlineStr">
        <is>
          <t>Utility jobs</t>
        </is>
      </c>
      <c r="O68" s="11" t="n">
        <v>2</v>
      </c>
      <c r="P68" s="10" t="inlineStr">
        <is>
          <t>Canvas hose 2 inch, length 5 m</t>
        </is>
      </c>
      <c r="Q68" s="277" t="n">
        <v>1</v>
      </c>
      <c r="R68" s="5" t="inlineStr">
        <is>
          <t>PC</t>
        </is>
      </c>
      <c r="S68" s="284">
        <f>RawDataGenPO[[#This Row],[Total price]]/RawDataGenPO[[#This Row],[Qty'']]</f>
        <v/>
      </c>
      <c r="T68" s="285" t="n">
        <v>210.28</v>
      </c>
      <c r="U68" s="161" t="inlineStr">
        <is>
          <t>Puneet Approval</t>
        </is>
      </c>
      <c r="V68" s="7" t="inlineStr">
        <is>
          <t>V1000608 - KITTIPHAN RANGSIT</t>
        </is>
      </c>
      <c r="W68" s="5" t="inlineStr">
        <is>
          <t>Recive bill and GRN already</t>
        </is>
      </c>
      <c r="X68" s="5" t="n"/>
      <c r="Y68" s="3" t="n">
        <v>45496</v>
      </c>
      <c r="Z68" s="3" t="n"/>
      <c r="AA68" s="17">
        <f>IF(RawDataGenPO[[#This Row],[Date Gen PO]]="","",RawDataGenPO[[#This Row],[Date recive bill]]-RawDataGenPO[[#This Row],[Date Gen PO]])</f>
        <v/>
      </c>
      <c r="AB68" s="16">
        <f>IF(RawDataGenPO[[#This Row],[GRN-PO date]]&gt;RawDataGenPO[[#This Row],[Lead time delivery (day)]],"over deliverry","Ontime")</f>
        <v/>
      </c>
      <c r="AC68" s="168" t="n"/>
    </row>
    <row r="69" ht="15" customFormat="1" customHeight="1" s="125">
      <c r="A69" s="5">
        <f>ROW()-ROW(RawDataGenPO[[#Headers],[No.]])</f>
        <v/>
      </c>
      <c r="B69" s="7" t="inlineStr">
        <is>
          <t>Expent  cost</t>
        </is>
      </c>
      <c r="C69" s="276" t="n">
        <v>45498</v>
      </c>
      <c r="D69" s="276" t="n"/>
      <c r="E69" s="276" t="n"/>
      <c r="F69" s="276" t="n">
        <v>45498</v>
      </c>
      <c r="G69" s="5" t="inlineStr">
        <is>
          <t>PR2425-02268</t>
        </is>
      </c>
      <c r="H69" s="261" t="inlineStr">
        <is>
          <t>PO2425-02608</t>
        </is>
      </c>
      <c r="I69" s="290">
        <f>IF(RawDataGenPO[[#This Row],[PO No.]]="","",RawDataGenPO[[#This Row],[DMY Create PR]]+7)</f>
        <v/>
      </c>
      <c r="J69" s="290" t="n"/>
      <c r="K69" s="20" t="n">
        <v>30</v>
      </c>
      <c r="L69" s="5" t="inlineStr">
        <is>
          <t>SFST34000121</t>
        </is>
      </c>
      <c r="M69" s="7" t="inlineStr">
        <is>
          <t>Consumable part for MN</t>
        </is>
      </c>
      <c r="N69" s="7" t="inlineStr">
        <is>
          <t>Consumable part</t>
        </is>
      </c>
      <c r="O69" s="11" t="n">
        <v>1</v>
      </c>
      <c r="P69" s="10" t="inlineStr">
        <is>
          <t>Black cable tie 6 inch, 100 pcs (Cable Tie black 6" 100 strands)</t>
        </is>
      </c>
      <c r="Q69" s="277" t="n">
        <v>1</v>
      </c>
      <c r="R69" s="5" t="inlineStr">
        <is>
          <t>PC</t>
        </is>
      </c>
      <c r="S69" s="284">
        <f>RawDataGenPO[[#This Row],[Total price]]/RawDataGenPO[[#This Row],[Qty'']]</f>
        <v/>
      </c>
      <c r="T69" s="285" t="n">
        <v>30</v>
      </c>
      <c r="U69" s="161" t="inlineStr">
        <is>
          <t>Puneet Approval</t>
        </is>
      </c>
      <c r="V69" s="7" t="inlineStr">
        <is>
          <t>V1000306 - Inter Supply (1992) Co., Ltd.</t>
        </is>
      </c>
      <c r="W69" s="5" t="inlineStr">
        <is>
          <t>Recive bill and GRN already</t>
        </is>
      </c>
      <c r="X69" s="5" t="n"/>
      <c r="Y69" s="3" t="n">
        <v>45530</v>
      </c>
      <c r="Z69" s="3" t="n"/>
      <c r="AA69" s="17">
        <f>IF(RawDataGenPO[[#This Row],[Date Gen PO]]="","",RawDataGenPO[[#This Row],[Date recive bill]]-RawDataGenPO[[#This Row],[Date Gen PO]])</f>
        <v/>
      </c>
      <c r="AB69" s="16">
        <f>IF(RawDataGenPO[[#This Row],[GRN-PO date]]&gt;RawDataGenPO[[#This Row],[Lead time delivery (day)]],"over deliverry","Ontime")</f>
        <v/>
      </c>
      <c r="AC69" s="168" t="n"/>
    </row>
    <row r="70" ht="15" customFormat="1" customHeight="1" s="125">
      <c r="A70" s="5">
        <f>ROW()-ROW(RawDataGenPO[[#Headers],[No.]])</f>
        <v/>
      </c>
      <c r="B70" s="7" t="inlineStr">
        <is>
          <t>Expent  cost</t>
        </is>
      </c>
      <c r="C70" s="276" t="n">
        <v>45498</v>
      </c>
      <c r="D70" s="276" t="n"/>
      <c r="E70" s="276" t="n"/>
      <c r="F70" s="276" t="n">
        <v>45498</v>
      </c>
      <c r="G70" s="5" t="inlineStr">
        <is>
          <t>PR2425-02268</t>
        </is>
      </c>
      <c r="H70" s="261" t="inlineStr">
        <is>
          <t>PO2425-02608</t>
        </is>
      </c>
      <c r="I70" s="290">
        <f>IF(RawDataGenPO[[#This Row],[PO No.]]="","",RawDataGenPO[[#This Row],[DMY Create PR]]+7)</f>
        <v/>
      </c>
      <c r="J70" s="290" t="n"/>
      <c r="K70" s="20" t="n">
        <v>30</v>
      </c>
      <c r="L70" s="5" t="inlineStr">
        <is>
          <t>SFST34000122</t>
        </is>
      </c>
      <c r="M70" s="7" t="inlineStr">
        <is>
          <t>Consumable part for MN</t>
        </is>
      </c>
      <c r="N70" s="7" t="inlineStr">
        <is>
          <t>Consumable part</t>
        </is>
      </c>
      <c r="O70" s="11" t="n">
        <v>2</v>
      </c>
      <c r="P70" s="10" t="inlineStr">
        <is>
          <t>Black cable tie 8 inch, 100 pcs (Cable Tie black 8" 100 strands)</t>
        </is>
      </c>
      <c r="Q70" s="277" t="n">
        <v>1</v>
      </c>
      <c r="R70" s="5" t="inlineStr">
        <is>
          <t>PC</t>
        </is>
      </c>
      <c r="S70" s="284">
        <f>RawDataGenPO[[#This Row],[Total price]]/RawDataGenPO[[#This Row],[Qty'']]</f>
        <v/>
      </c>
      <c r="T70" s="285" t="n">
        <v>38</v>
      </c>
      <c r="U70" s="161" t="inlineStr">
        <is>
          <t>Puneet Approval</t>
        </is>
      </c>
      <c r="V70" s="7" t="inlineStr">
        <is>
          <t>V1000306 - Inter Supply (1992) Co., Ltd.</t>
        </is>
      </c>
      <c r="W70" s="5" t="inlineStr">
        <is>
          <t>Recive bill and GRN already</t>
        </is>
      </c>
      <c r="X70" s="5" t="n"/>
      <c r="Y70" s="3" t="n">
        <v>45530</v>
      </c>
      <c r="Z70" s="3" t="n"/>
      <c r="AA70" s="17">
        <f>IF(RawDataGenPO[[#This Row],[Date Gen PO]]="","",RawDataGenPO[[#This Row],[Date recive bill]]-RawDataGenPO[[#This Row],[Date Gen PO]])</f>
        <v/>
      </c>
      <c r="AB70" s="16">
        <f>IF(RawDataGenPO[[#This Row],[GRN-PO date]]&gt;RawDataGenPO[[#This Row],[Lead time delivery (day)]],"over deliverry","Ontime")</f>
        <v/>
      </c>
      <c r="AC70" s="168" t="n"/>
    </row>
    <row r="71" ht="15" customFormat="1" customHeight="1" s="125">
      <c r="A71" s="5">
        <f>ROW()-ROW(RawDataGenPO[[#Headers],[No.]])</f>
        <v/>
      </c>
      <c r="B71" s="7" t="inlineStr">
        <is>
          <t>Expent  cost</t>
        </is>
      </c>
      <c r="C71" s="276" t="n">
        <v>45498</v>
      </c>
      <c r="D71" s="276" t="n"/>
      <c r="E71" s="276" t="n"/>
      <c r="F71" s="276" t="n">
        <v>45498</v>
      </c>
      <c r="G71" s="5" t="inlineStr">
        <is>
          <t>PR2425-02268</t>
        </is>
      </c>
      <c r="H71" s="261" t="inlineStr">
        <is>
          <t>PO2425-02608</t>
        </is>
      </c>
      <c r="I71" s="290">
        <f>IF(RawDataGenPO[[#This Row],[PO No.]]="","",RawDataGenPO[[#This Row],[DMY Create PR]]+7)</f>
        <v/>
      </c>
      <c r="J71" s="290" t="n"/>
      <c r="K71" s="20" t="n">
        <v>30</v>
      </c>
      <c r="L71" s="5" t="inlineStr">
        <is>
          <t>SFST34000123</t>
        </is>
      </c>
      <c r="M71" s="7" t="inlineStr">
        <is>
          <t>Consumable part for MN</t>
        </is>
      </c>
      <c r="N71" s="7" t="inlineStr">
        <is>
          <t>Consumable part</t>
        </is>
      </c>
      <c r="O71" s="11" t="n">
        <v>3</v>
      </c>
      <c r="P71" s="10" t="inlineStr">
        <is>
          <t>Black cable tie 10 inch, 100 pcs (Cable Tie black 10" 100 strands)</t>
        </is>
      </c>
      <c r="Q71" s="277" t="n">
        <v>1</v>
      </c>
      <c r="R71" s="5" t="inlineStr">
        <is>
          <t>PC</t>
        </is>
      </c>
      <c r="S71" s="284">
        <f>RawDataGenPO[[#This Row],[Total price]]/RawDataGenPO[[#This Row],[Qty'']]</f>
        <v/>
      </c>
      <c r="T71" s="285" t="n">
        <v>85</v>
      </c>
      <c r="U71" s="161" t="inlineStr">
        <is>
          <t>Puneet Approval</t>
        </is>
      </c>
      <c r="V71" s="7" t="inlineStr">
        <is>
          <t>V1000306 - Inter Supply (1992) Co., Ltd.</t>
        </is>
      </c>
      <c r="W71" s="5" t="inlineStr">
        <is>
          <t>Recive bill and GRN already</t>
        </is>
      </c>
      <c r="X71" s="5" t="n"/>
      <c r="Y71" s="3" t="n">
        <v>45530</v>
      </c>
      <c r="Z71" s="3" t="n"/>
      <c r="AA71" s="17">
        <f>IF(RawDataGenPO[[#This Row],[Date Gen PO]]="","",RawDataGenPO[[#This Row],[Date recive bill]]-RawDataGenPO[[#This Row],[Date Gen PO]])</f>
        <v/>
      </c>
      <c r="AB71" s="16">
        <f>IF(RawDataGenPO[[#This Row],[GRN-PO date]]&gt;RawDataGenPO[[#This Row],[Lead time delivery (day)]],"over deliverry","Ontime")</f>
        <v/>
      </c>
      <c r="AC71" s="168" t="n"/>
    </row>
    <row r="72" ht="15" customFormat="1" customHeight="1" s="125">
      <c r="A72" s="5">
        <f>ROW()-ROW(RawDataGenPO[[#Headers],[No.]])</f>
        <v/>
      </c>
      <c r="B72" s="7" t="inlineStr">
        <is>
          <t>Expent  cost</t>
        </is>
      </c>
      <c r="C72" s="276" t="n">
        <v>45498</v>
      </c>
      <c r="D72" s="276" t="n"/>
      <c r="E72" s="276" t="n"/>
      <c r="F72" s="276" t="n">
        <v>45498</v>
      </c>
      <c r="G72" s="5" t="inlineStr">
        <is>
          <t>PR2425-02268</t>
        </is>
      </c>
      <c r="H72" s="261" t="inlineStr">
        <is>
          <t>PO2425-02608</t>
        </is>
      </c>
      <c r="I72" s="290">
        <f>IF(RawDataGenPO[[#This Row],[PO No.]]="","",RawDataGenPO[[#This Row],[DMY Create PR]]+7)</f>
        <v/>
      </c>
      <c r="J72" s="290" t="n"/>
      <c r="K72" s="20" t="n">
        <v>30</v>
      </c>
      <c r="L72" s="5" t="inlineStr">
        <is>
          <t>SFST34000124</t>
        </is>
      </c>
      <c r="M72" s="7" t="inlineStr">
        <is>
          <t>Consumable part for MN</t>
        </is>
      </c>
      <c r="N72" s="7" t="inlineStr">
        <is>
          <t>Consumable part</t>
        </is>
      </c>
      <c r="O72" s="11" t="n">
        <v>4</v>
      </c>
      <c r="P72" s="10" t="inlineStr">
        <is>
          <t>Black cable tie 12 inch, 100 pcs (Cable Tie black 12" 100 strands)</t>
        </is>
      </c>
      <c r="Q72" s="277" t="n">
        <v>1</v>
      </c>
      <c r="R72" s="5" t="inlineStr">
        <is>
          <t>PC</t>
        </is>
      </c>
      <c r="S72" s="284">
        <f>RawDataGenPO[[#This Row],[Total price]]/RawDataGenPO[[#This Row],[Qty'']]</f>
        <v/>
      </c>
      <c r="T72" s="285" t="n">
        <v>90</v>
      </c>
      <c r="U72" s="161" t="inlineStr">
        <is>
          <t>Puneet Approval</t>
        </is>
      </c>
      <c r="V72" s="7" t="inlineStr">
        <is>
          <t>V1000306 - Inter Supply (1992) Co., Ltd.</t>
        </is>
      </c>
      <c r="W72" s="5" t="inlineStr">
        <is>
          <t>Recive bill and GRN already</t>
        </is>
      </c>
      <c r="X72" s="5" t="n"/>
      <c r="Y72" s="3" t="n">
        <v>45530</v>
      </c>
      <c r="Z72" s="3" t="n"/>
      <c r="AA72" s="17">
        <f>IF(RawDataGenPO[[#This Row],[Date Gen PO]]="","",RawDataGenPO[[#This Row],[Date recive bill]]-RawDataGenPO[[#This Row],[Date Gen PO]])</f>
        <v/>
      </c>
      <c r="AB72" s="16">
        <f>IF(RawDataGenPO[[#This Row],[GRN-PO date]]&gt;RawDataGenPO[[#This Row],[Lead time delivery (day)]],"over deliverry","Ontime")</f>
        <v/>
      </c>
      <c r="AC72" s="168" t="n"/>
    </row>
    <row r="73" customFormat="1" s="125">
      <c r="A73" s="5">
        <f>ROW()-ROW(RawDataGenPO[[#Headers],[No.]])</f>
        <v/>
      </c>
      <c r="B73" s="7" t="inlineStr">
        <is>
          <t>Expent  cost</t>
        </is>
      </c>
      <c r="C73" s="276" t="n">
        <v>45498</v>
      </c>
      <c r="D73" s="276" t="n"/>
      <c r="E73" s="276" t="n"/>
      <c r="F73" s="276" t="n">
        <v>45498</v>
      </c>
      <c r="G73" s="235" t="inlineStr">
        <is>
          <t>PR2425-02668</t>
        </is>
      </c>
      <c r="H73" s="5" t="inlineStr">
        <is>
          <t xml:space="preserve">PO2425-02608 </t>
        </is>
      </c>
      <c r="I73" s="290">
        <f>IF(RawDataGenPO[[#This Row],[PO No.]]="","",RawDataGenPO[[#This Row],[DMY Create PR]]+7)</f>
        <v/>
      </c>
      <c r="J73" s="290" t="n"/>
      <c r="K73" s="20" t="n">
        <v>30</v>
      </c>
      <c r="L73" s="196" t="inlineStr">
        <is>
          <t>SFST34000121</t>
        </is>
      </c>
      <c r="M73" s="7" t="inlineStr">
        <is>
          <t>Consumable part for MN</t>
        </is>
      </c>
      <c r="N73" s="7" t="inlineStr">
        <is>
          <t>Consumable part</t>
        </is>
      </c>
      <c r="O73" s="11" t="n">
        <v>5</v>
      </c>
      <c r="P73" s="262" t="inlineStr">
        <is>
          <t>Black cable tie 6 inch, 100 pcs (Cable Tie black 6" 100 stra</t>
        </is>
      </c>
      <c r="Q73" s="277" t="n">
        <v>1</v>
      </c>
      <c r="R73" s="5" t="inlineStr">
        <is>
          <t>pcs.</t>
        </is>
      </c>
      <c r="S73" s="284">
        <f>RawDataGenPO[[#This Row],[Total price]]/RawDataGenPO[[#This Row],[Qty'']]</f>
        <v/>
      </c>
      <c r="T73" s="285" t="n">
        <v>30</v>
      </c>
      <c r="U73" s="161" t="inlineStr">
        <is>
          <t>Puneet Approval</t>
        </is>
      </c>
      <c r="V73" s="7" t="inlineStr">
        <is>
          <t>V1000306 - Inter Supply (1992) Co., Ltd.</t>
        </is>
      </c>
      <c r="W73" s="5" t="inlineStr">
        <is>
          <t>Recive bill and GRN already</t>
        </is>
      </c>
      <c r="X73" s="5" t="n"/>
      <c r="Y73" s="3" t="n">
        <v>45530</v>
      </c>
      <c r="Z73" s="3" t="n"/>
      <c r="AA73" s="17">
        <f>IF(RawDataGenPO[[#This Row],[Date Gen PO]]="","",RawDataGenPO[[#This Row],[Date recive bill]]-RawDataGenPO[[#This Row],[Date Gen PO]])</f>
        <v/>
      </c>
      <c r="AB73" s="16">
        <f>IF(RawDataGenPO[[#This Row],[GRN-PO date]]&gt;RawDataGenPO[[#This Row],[Lead time delivery (day)]],"over deliverry","Ontime")</f>
        <v/>
      </c>
      <c r="AC73" s="168" t="n"/>
    </row>
    <row r="74" customFormat="1" s="125">
      <c r="A74" s="5">
        <f>ROW()-ROW(RawDataGenPO[[#Headers],[No.]])</f>
        <v/>
      </c>
      <c r="B74" s="7" t="inlineStr">
        <is>
          <t>Expent  cost</t>
        </is>
      </c>
      <c r="C74" s="276" t="n">
        <v>45498</v>
      </c>
      <c r="D74" s="276" t="n"/>
      <c r="E74" s="276" t="n"/>
      <c r="F74" s="276" t="n">
        <v>45498</v>
      </c>
      <c r="G74" s="235" t="inlineStr">
        <is>
          <t>PR2425-02668</t>
        </is>
      </c>
      <c r="H74" s="5" t="inlineStr">
        <is>
          <t xml:space="preserve">PO2425-02608 </t>
        </is>
      </c>
      <c r="I74" s="290">
        <f>IF(RawDataGenPO[[#This Row],[PO No.]]="","",RawDataGenPO[[#This Row],[DMY Create PR]]+7)</f>
        <v/>
      </c>
      <c r="J74" s="290" t="n"/>
      <c r="K74" s="20" t="n">
        <v>30</v>
      </c>
      <c r="L74" s="189" t="inlineStr">
        <is>
          <t>SFST34000122</t>
        </is>
      </c>
      <c r="M74" s="7" t="inlineStr">
        <is>
          <t>Consumable part for MN</t>
        </is>
      </c>
      <c r="N74" s="7" t="inlineStr">
        <is>
          <t>Consumable part</t>
        </is>
      </c>
      <c r="O74" s="11" t="n">
        <v>6</v>
      </c>
      <c r="P74" s="262" t="inlineStr">
        <is>
          <t>Black cable tie 8 inch, 100 pcs (Cable Tie black 8" 100 stra</t>
        </is>
      </c>
      <c r="Q74" s="277" t="n">
        <v>1</v>
      </c>
      <c r="R74" s="5" t="inlineStr">
        <is>
          <t>pcs.</t>
        </is>
      </c>
      <c r="S74" s="284">
        <f>RawDataGenPO[[#This Row],[Total price]]/RawDataGenPO[[#This Row],[Qty'']]</f>
        <v/>
      </c>
      <c r="T74" s="285" t="n">
        <v>38</v>
      </c>
      <c r="U74" s="161" t="inlineStr">
        <is>
          <t>Puneet Approval</t>
        </is>
      </c>
      <c r="V74" s="7" t="inlineStr">
        <is>
          <t>V1000306 - Inter Supply (1992) Co., Ltd.</t>
        </is>
      </c>
      <c r="W74" s="5" t="inlineStr">
        <is>
          <t>Recive bill and GRN already</t>
        </is>
      </c>
      <c r="X74" s="5" t="n"/>
      <c r="Y74" s="3" t="n">
        <v>45530</v>
      </c>
      <c r="Z74" s="3" t="n"/>
      <c r="AA74" s="17">
        <f>IF(RawDataGenPO[[#This Row],[Date Gen PO]]="","",RawDataGenPO[[#This Row],[Date recive bill]]-RawDataGenPO[[#This Row],[Date Gen PO]])</f>
        <v/>
      </c>
      <c r="AB74" s="16">
        <f>IF(RawDataGenPO[[#This Row],[GRN-PO date]]&gt;RawDataGenPO[[#This Row],[Lead time delivery (day)]],"over deliverry","Ontime")</f>
        <v/>
      </c>
      <c r="AC74" s="168" t="n"/>
    </row>
    <row r="75" customFormat="1" s="125">
      <c r="A75" s="5">
        <f>ROW()-ROW(RawDataGenPO[[#Headers],[No.]])</f>
        <v/>
      </c>
      <c r="B75" s="7" t="inlineStr">
        <is>
          <t>Expent  cost</t>
        </is>
      </c>
      <c r="C75" s="276" t="n">
        <v>45498</v>
      </c>
      <c r="D75" s="276" t="n"/>
      <c r="E75" s="276" t="n"/>
      <c r="F75" s="276" t="n">
        <v>45498</v>
      </c>
      <c r="G75" s="235" t="inlineStr">
        <is>
          <t>PR2425-02668</t>
        </is>
      </c>
      <c r="H75" s="5" t="inlineStr">
        <is>
          <t xml:space="preserve">PO2425-02608 </t>
        </is>
      </c>
      <c r="I75" s="290">
        <f>IF(RawDataGenPO[[#This Row],[PO No.]]="","",RawDataGenPO[[#This Row],[DMY Create PR]]+7)</f>
        <v/>
      </c>
      <c r="J75" s="290" t="n"/>
      <c r="K75" s="20" t="n">
        <v>30</v>
      </c>
      <c r="L75" s="189" t="inlineStr">
        <is>
          <t>SFST34000123</t>
        </is>
      </c>
      <c r="M75" s="7" t="inlineStr">
        <is>
          <t>Consumable part for MN</t>
        </is>
      </c>
      <c r="N75" s="7" t="inlineStr">
        <is>
          <t>Consumable part</t>
        </is>
      </c>
      <c r="O75" s="11" t="n">
        <v>7</v>
      </c>
      <c r="P75" s="262" t="inlineStr">
        <is>
          <t>Black cable tie 10 inch, 100 pcs (Cable Tie black 10" 100 st</t>
        </is>
      </c>
      <c r="Q75" s="277" t="n">
        <v>1</v>
      </c>
      <c r="R75" s="5" t="inlineStr">
        <is>
          <t>pcs.</t>
        </is>
      </c>
      <c r="S75" s="284">
        <f>RawDataGenPO[[#This Row],[Total price]]/RawDataGenPO[[#This Row],[Qty'']]</f>
        <v/>
      </c>
      <c r="T75" s="285" t="n">
        <v>85</v>
      </c>
      <c r="U75" s="161" t="inlineStr">
        <is>
          <t>Puneet Approval</t>
        </is>
      </c>
      <c r="V75" s="7" t="inlineStr">
        <is>
          <t>V1000306 - Inter Supply (1992) Co., Ltd.</t>
        </is>
      </c>
      <c r="W75" s="5" t="inlineStr">
        <is>
          <t>Recive bill and GRN already</t>
        </is>
      </c>
      <c r="X75" s="5" t="n"/>
      <c r="Y75" s="3" t="n">
        <v>45530</v>
      </c>
      <c r="Z75" s="3" t="n"/>
      <c r="AA75" s="17">
        <f>IF(RawDataGenPO[[#This Row],[Date Gen PO]]="","",RawDataGenPO[[#This Row],[Date recive bill]]-RawDataGenPO[[#This Row],[Date Gen PO]])</f>
        <v/>
      </c>
      <c r="AB75" s="16">
        <f>IF(RawDataGenPO[[#This Row],[GRN-PO date]]&gt;RawDataGenPO[[#This Row],[Lead time delivery (day)]],"over deliverry","Ontime")</f>
        <v/>
      </c>
      <c r="AC75" s="168" t="n"/>
    </row>
    <row r="76" customFormat="1" s="125">
      <c r="A76" s="5">
        <f>ROW()-ROW(RawDataGenPO[[#Headers],[No.]])</f>
        <v/>
      </c>
      <c r="B76" s="7" t="inlineStr">
        <is>
          <t>Expent  cost</t>
        </is>
      </c>
      <c r="C76" s="276" t="n">
        <v>45498</v>
      </c>
      <c r="D76" s="276" t="n"/>
      <c r="E76" s="276" t="n"/>
      <c r="F76" s="276" t="n">
        <v>45498</v>
      </c>
      <c r="G76" s="235" t="inlineStr">
        <is>
          <t>PR2425-02668</t>
        </is>
      </c>
      <c r="H76" s="5" t="inlineStr">
        <is>
          <t xml:space="preserve">PO2425-02608 </t>
        </is>
      </c>
      <c r="I76" s="290">
        <f>IF(RawDataGenPO[[#This Row],[PO No.]]="","",RawDataGenPO[[#This Row],[DMY Create PR]]+7)</f>
        <v/>
      </c>
      <c r="J76" s="290" t="n"/>
      <c r="K76" s="20" t="n">
        <v>30</v>
      </c>
      <c r="L76" s="189" t="inlineStr">
        <is>
          <t>SFST34000124</t>
        </is>
      </c>
      <c r="M76" s="7" t="inlineStr">
        <is>
          <t>Consumable part for MN</t>
        </is>
      </c>
      <c r="N76" s="7" t="inlineStr">
        <is>
          <t>Consumable part</t>
        </is>
      </c>
      <c r="O76" s="11" t="n">
        <v>8</v>
      </c>
      <c r="P76" s="262" t="inlineStr">
        <is>
          <t>Black cable tie 12 inch, 100 pcs (Cable Tie black 12" 100 st</t>
        </is>
      </c>
      <c r="Q76" s="277" t="n">
        <v>1</v>
      </c>
      <c r="R76" s="5" t="inlineStr">
        <is>
          <t>pcs.</t>
        </is>
      </c>
      <c r="S76" s="284">
        <f>RawDataGenPO[[#This Row],[Total price]]/RawDataGenPO[[#This Row],[Qty'']]</f>
        <v/>
      </c>
      <c r="T76" s="285" t="n">
        <v>90</v>
      </c>
      <c r="U76" s="161" t="inlineStr">
        <is>
          <t>Puneet Approval</t>
        </is>
      </c>
      <c r="V76" s="7" t="inlineStr">
        <is>
          <t>V1000306 - Inter Supply (1992) Co., Ltd.</t>
        </is>
      </c>
      <c r="W76" s="5" t="inlineStr">
        <is>
          <t>Recive bill and GRN already</t>
        </is>
      </c>
      <c r="X76" s="5" t="n"/>
      <c r="Y76" s="3" t="n">
        <v>45530</v>
      </c>
      <c r="Z76" s="3" t="n"/>
      <c r="AA76" s="17">
        <f>IF(RawDataGenPO[[#This Row],[Date Gen PO]]="","",RawDataGenPO[[#This Row],[Date recive bill]]-RawDataGenPO[[#This Row],[Date Gen PO]])</f>
        <v/>
      </c>
      <c r="AB76" s="16">
        <f>IF(RawDataGenPO[[#This Row],[GRN-PO date]]&gt;RawDataGenPO[[#This Row],[Lead time delivery (day)]],"over deliverry","Ontime")</f>
        <v/>
      </c>
      <c r="AC76" s="168" t="n"/>
    </row>
    <row r="77" ht="15" customFormat="1" customHeight="1" s="125">
      <c r="A77" s="5">
        <f>ROW()-ROW(RawDataGenPO[[#Headers],[No.]])</f>
        <v/>
      </c>
      <c r="B77" s="7" t="inlineStr">
        <is>
          <t>Expent  cost</t>
        </is>
      </c>
      <c r="C77" s="276" t="n">
        <v>45498</v>
      </c>
      <c r="D77" s="276" t="n"/>
      <c r="E77" s="276" t="n"/>
      <c r="F77" s="276" t="n">
        <v>45498</v>
      </c>
      <c r="G77" s="5" t="inlineStr">
        <is>
          <t>PR2425-02268</t>
        </is>
      </c>
      <c r="H77" s="261" t="inlineStr">
        <is>
          <t>PO2425-02609</t>
        </is>
      </c>
      <c r="I77" s="290">
        <f>IF(RawDataGenPO[[#This Row],[PO No.]]="","",RawDataGenPO[[#This Row],[DMY Create PR]]+7)</f>
        <v/>
      </c>
      <c r="J77" s="290" t="n"/>
      <c r="K77" s="20">
        <f>IF(RawDataGenPO[[#This Row],[PO No.]]="","",10)</f>
        <v/>
      </c>
      <c r="L77" s="5" t="inlineStr">
        <is>
          <t>SFST81000050</t>
        </is>
      </c>
      <c r="M77" s="7" t="inlineStr">
        <is>
          <t>Consumable part for MN</t>
        </is>
      </c>
      <c r="N77" s="7" t="inlineStr">
        <is>
          <t>Consumable part</t>
        </is>
      </c>
      <c r="O77" s="11" t="n">
        <v>1</v>
      </c>
      <c r="P77" s="10" t="inlineStr">
        <is>
          <t>SANKO" stainless steel anchor (ST) SUS-304, size M8x70 mm</t>
        </is>
      </c>
      <c r="Q77" s="277" t="n">
        <v>1</v>
      </c>
      <c r="R77" s="5" t="inlineStr">
        <is>
          <t>PC</t>
        </is>
      </c>
      <c r="S77" s="284">
        <f>RawDataGenPO[[#This Row],[Total price]]/RawDataGenPO[[#This Row],[Qty'']]</f>
        <v/>
      </c>
      <c r="T77" s="285" t="n">
        <v>2200</v>
      </c>
      <c r="U77" s="161" t="n"/>
      <c r="V77" s="260" t="inlineStr">
        <is>
          <t>V1000306 - Inter Supply (1992) Co., Ltd.</t>
        </is>
      </c>
      <c r="W77" s="5" t="inlineStr">
        <is>
          <t>Recive bill and GRN already</t>
        </is>
      </c>
      <c r="X77" s="5" t="n"/>
      <c r="Y77" s="3" t="n">
        <v>45514</v>
      </c>
      <c r="Z77" s="3" t="n"/>
      <c r="AA77" s="17">
        <f>IF(RawDataGenPO[[#This Row],[Date Gen PO]]="","",RawDataGenPO[[#This Row],[Date recive bill]]-RawDataGenPO[[#This Row],[Date Gen PO]])</f>
        <v/>
      </c>
      <c r="AB77" s="16">
        <f>IF(RawDataGenPO[[#This Row],[GRN-PO date]]&gt;RawDataGenPO[[#This Row],[Lead time delivery (day)]],"over deliverry","Ontime")</f>
        <v/>
      </c>
      <c r="AC77" s="168" t="n"/>
    </row>
    <row r="78" ht="15" customFormat="1" customHeight="1" s="125">
      <c r="A78" s="5">
        <f>ROW()-ROW(RawDataGenPO[[#Headers],[No.]])</f>
        <v/>
      </c>
      <c r="B78" s="7" t="inlineStr">
        <is>
          <t>Expent  cost</t>
        </is>
      </c>
      <c r="C78" s="276" t="n">
        <v>45498</v>
      </c>
      <c r="D78" s="276" t="n"/>
      <c r="E78" s="276" t="n"/>
      <c r="F78" s="276" t="n">
        <v>45498</v>
      </c>
      <c r="G78" s="5" t="inlineStr">
        <is>
          <t>PR2425-02268</t>
        </is>
      </c>
      <c r="H78" s="261" t="inlineStr">
        <is>
          <t>PO2425-02609</t>
        </is>
      </c>
      <c r="I78" s="290">
        <f>IF(RawDataGenPO[[#This Row],[PO No.]]="","",RawDataGenPO[[#This Row],[DMY Create PR]]+7)</f>
        <v/>
      </c>
      <c r="J78" s="290" t="n"/>
      <c r="K78" s="20">
        <f>IF(RawDataGenPO[[#This Row],[PO No.]]="","",10)</f>
        <v/>
      </c>
      <c r="L78" s="5" t="inlineStr">
        <is>
          <t>SFST81000050</t>
        </is>
      </c>
      <c r="M78" s="7" t="inlineStr">
        <is>
          <t>Consumable part for MN</t>
        </is>
      </c>
      <c r="N78" s="7" t="inlineStr">
        <is>
          <t>Consumable part</t>
        </is>
      </c>
      <c r="O78" s="11" t="n">
        <v>2</v>
      </c>
      <c r="P78" s="10" t="inlineStr">
        <is>
          <t>SANKO" stainless steel anchor (ST) SUS-304, size M12x70 mm</t>
        </is>
      </c>
      <c r="Q78" s="277" t="n">
        <v>1</v>
      </c>
      <c r="R78" s="5" t="inlineStr">
        <is>
          <t>PC</t>
        </is>
      </c>
      <c r="S78" s="284">
        <f>RawDataGenPO[[#This Row],[Total price]]/RawDataGenPO[[#This Row],[Qty'']]</f>
        <v/>
      </c>
      <c r="T78" s="285" t="n">
        <v>2450</v>
      </c>
      <c r="U78" s="161" t="n"/>
      <c r="V78" s="260" t="inlineStr">
        <is>
          <t>V1000306 - Inter Supply (1992) Co., Ltd.</t>
        </is>
      </c>
      <c r="W78" s="5" t="inlineStr">
        <is>
          <t>Recive bill and GRN already</t>
        </is>
      </c>
      <c r="X78" s="5" t="n"/>
      <c r="Y78" s="3" t="n">
        <v>45514</v>
      </c>
      <c r="Z78" s="3" t="n"/>
      <c r="AA78" s="17">
        <f>IF(RawDataGenPO[[#This Row],[Date Gen PO]]="","",RawDataGenPO[[#This Row],[Date recive bill]]-RawDataGenPO[[#This Row],[Date Gen PO]])</f>
        <v/>
      </c>
      <c r="AB78" s="16">
        <f>IF(RawDataGenPO[[#This Row],[GRN-PO date]]&gt;RawDataGenPO[[#This Row],[Lead time delivery (day)]],"over deliverry","Ontime")</f>
        <v/>
      </c>
      <c r="AC78" s="168" t="n"/>
    </row>
    <row r="79" customFormat="1" s="125">
      <c r="A79" s="5">
        <f>ROW()-ROW(RawDataGenPO[[#Headers],[No.]])</f>
        <v/>
      </c>
      <c r="B79" s="7" t="inlineStr">
        <is>
          <t>Expent  cost</t>
        </is>
      </c>
      <c r="C79" s="276" t="n">
        <v>45498</v>
      </c>
      <c r="D79" s="276" t="n"/>
      <c r="E79" s="276" t="n"/>
      <c r="F79" s="276" t="n">
        <v>45498</v>
      </c>
      <c r="G79" s="235" t="inlineStr">
        <is>
          <t>PR2425-02668</t>
        </is>
      </c>
      <c r="H79" s="5" t="inlineStr">
        <is>
          <t>PO2425-02609</t>
        </is>
      </c>
      <c r="I79" s="290">
        <f>IF(RawDataGenPO[[#This Row],[PO No.]]="","",RawDataGenPO[[#This Row],[DMY Create PR]]+7)</f>
        <v/>
      </c>
      <c r="J79" s="290" t="n"/>
      <c r="K79" s="20">
        <f>IF(RawDataGenPO[[#This Row],[PO No.]]="","",10)</f>
        <v/>
      </c>
      <c r="L79" s="189" t="inlineStr">
        <is>
          <t>SFST81000050</t>
        </is>
      </c>
      <c r="M79" s="7" t="inlineStr">
        <is>
          <t>Consumable part for MN</t>
        </is>
      </c>
      <c r="N79" s="7" t="inlineStr">
        <is>
          <t>Consumable part</t>
        </is>
      </c>
      <c r="O79" s="11" t="n">
        <v>1</v>
      </c>
      <c r="P79" s="10" t="inlineStr">
        <is>
          <t>SANKO" stainless steel anchor (ST) SUS-304, size M8x70 mm</t>
        </is>
      </c>
      <c r="Q79" s="277" t="n">
        <v>1</v>
      </c>
      <c r="R79" s="5" t="inlineStr">
        <is>
          <t>pcs.</t>
        </is>
      </c>
      <c r="S79" s="284">
        <f>RawDataGenPO[[#This Row],[Total price]]/RawDataGenPO[[#This Row],[Qty'']]</f>
        <v/>
      </c>
      <c r="T79" s="285" t="n">
        <v>2200</v>
      </c>
      <c r="U79" s="161" t="inlineStr">
        <is>
          <t>Puneet Approval</t>
        </is>
      </c>
      <c r="V79" s="33" t="inlineStr">
        <is>
          <t>V1000306 - Inter Supply (1992) Co., Ltd.</t>
        </is>
      </c>
      <c r="W79" s="5" t="inlineStr">
        <is>
          <t>Recive bill and GRN already</t>
        </is>
      </c>
      <c r="X79" s="5" t="n"/>
      <c r="Y79" s="3" t="n">
        <v>45514</v>
      </c>
      <c r="Z79" s="3" t="n"/>
      <c r="AA79" s="17">
        <f>IF(RawDataGenPO[[#This Row],[Date Gen PO]]="","",RawDataGenPO[[#This Row],[Date recive bill]]-RawDataGenPO[[#This Row],[Date Gen PO]])</f>
        <v/>
      </c>
      <c r="AB79" s="16">
        <f>IF(RawDataGenPO[[#This Row],[GRN-PO date]]&gt;RawDataGenPO[[#This Row],[Lead time delivery (day)]],"over deliverry","Ontime")</f>
        <v/>
      </c>
      <c r="AC79" s="168" t="n"/>
    </row>
    <row r="80" customFormat="1" s="125">
      <c r="A80" s="5">
        <f>ROW()-ROW(RawDataGenPO[[#Headers],[No.]])</f>
        <v/>
      </c>
      <c r="B80" s="7" t="inlineStr">
        <is>
          <t>Expent  cost</t>
        </is>
      </c>
      <c r="C80" s="276" t="n">
        <v>45498</v>
      </c>
      <c r="D80" s="276" t="n"/>
      <c r="E80" s="276" t="n"/>
      <c r="F80" s="276" t="n">
        <v>45498</v>
      </c>
      <c r="G80" s="235" t="inlineStr">
        <is>
          <t>PR2425-02668</t>
        </is>
      </c>
      <c r="H80" s="5" t="inlineStr">
        <is>
          <t>PO2425-02609</t>
        </is>
      </c>
      <c r="I80" s="290">
        <f>IF(RawDataGenPO[[#This Row],[PO No.]]="","",RawDataGenPO[[#This Row],[DMY Create PR]]+7)</f>
        <v/>
      </c>
      <c r="J80" s="290" t="n"/>
      <c r="K80" s="20">
        <f>IF(RawDataGenPO[[#This Row],[PO No.]]="","",10)</f>
        <v/>
      </c>
      <c r="L80" s="189" t="inlineStr">
        <is>
          <t>SFST81000050</t>
        </is>
      </c>
      <c r="M80" s="7" t="inlineStr">
        <is>
          <t>Consumable part for MN</t>
        </is>
      </c>
      <c r="N80" s="7" t="inlineStr">
        <is>
          <t>Consumable part</t>
        </is>
      </c>
      <c r="O80" s="11" t="n">
        <v>2</v>
      </c>
      <c r="P80" s="10" t="inlineStr">
        <is>
          <t>SANKO" stainless steel anchor (ST) SUS-304, size M12x70 mm</t>
        </is>
      </c>
      <c r="Q80" s="277" t="n">
        <v>1</v>
      </c>
      <c r="R80" s="5" t="inlineStr">
        <is>
          <t>pcs.</t>
        </is>
      </c>
      <c r="S80" s="284">
        <f>RawDataGenPO[[#This Row],[Total price]]/RawDataGenPO[[#This Row],[Qty'']]</f>
        <v/>
      </c>
      <c r="T80" s="285" t="n">
        <v>2450</v>
      </c>
      <c r="U80" s="161" t="inlineStr">
        <is>
          <t>Puneet Approval</t>
        </is>
      </c>
      <c r="V80" s="33" t="inlineStr">
        <is>
          <t>V1000306 - Inter Supply (1992) Co., Ltd.</t>
        </is>
      </c>
      <c r="W80" s="5" t="inlineStr">
        <is>
          <t>Recive bill and GRN already</t>
        </is>
      </c>
      <c r="X80" s="5" t="n"/>
      <c r="Y80" s="3" t="n">
        <v>45514</v>
      </c>
      <c r="Z80" s="3" t="n"/>
      <c r="AA80" s="17">
        <f>IF(RawDataGenPO[[#This Row],[Date Gen PO]]="","",RawDataGenPO[[#This Row],[Date recive bill]]-RawDataGenPO[[#This Row],[Date Gen PO]])</f>
        <v/>
      </c>
      <c r="AB80" s="16">
        <f>IF(RawDataGenPO[[#This Row],[GRN-PO date]]&gt;RawDataGenPO[[#This Row],[Lead time delivery (day)]],"over deliverry","Ontime")</f>
        <v/>
      </c>
      <c r="AC80" s="168" t="n"/>
    </row>
    <row r="81" ht="15" customFormat="1" customHeight="1" s="125">
      <c r="A81" s="5">
        <f>ROW()-ROW(RawDataGenPO[[#Headers],[No.]])</f>
        <v/>
      </c>
      <c r="B81" s="7" t="inlineStr">
        <is>
          <t>Expent  cost</t>
        </is>
      </c>
      <c r="C81" s="276" t="n">
        <v>45498</v>
      </c>
      <c r="D81" s="276" t="n"/>
      <c r="E81" s="276" t="n"/>
      <c r="F81" s="276" t="n">
        <v>45498</v>
      </c>
      <c r="G81" s="5" t="inlineStr">
        <is>
          <t>PR2425-02268</t>
        </is>
      </c>
      <c r="H81" s="261" t="inlineStr">
        <is>
          <t>PO2425-02610</t>
        </is>
      </c>
      <c r="I81" s="290">
        <f>IF(RawDataGenPO[[#This Row],[PO No.]]="","",RawDataGenPO[[#This Row],[DMY Create PR]]+7)</f>
        <v/>
      </c>
      <c r="J81" s="290" t="n"/>
      <c r="K81" s="20" t="n">
        <v>30</v>
      </c>
      <c r="L81" s="5" t="inlineStr">
        <is>
          <t>SFST81000050</t>
        </is>
      </c>
      <c r="M81" s="7" t="inlineStr">
        <is>
          <t>Consumable part for MN</t>
        </is>
      </c>
      <c r="N81" s="7" t="inlineStr">
        <is>
          <t>Consumable part</t>
        </is>
      </c>
      <c r="O81" s="11" t="n">
        <v>1</v>
      </c>
      <c r="P81" s="10" t="inlineStr">
        <is>
          <t>Repair clamp for HDPE pipe, size 75 mm</t>
        </is>
      </c>
      <c r="Q81" s="277" t="n">
        <v>4</v>
      </c>
      <c r="R81" s="5" t="inlineStr">
        <is>
          <t>PC</t>
        </is>
      </c>
      <c r="S81" s="284">
        <f>RawDataGenPO[[#This Row],[Total price]]/RawDataGenPO[[#This Row],[Qty'']]</f>
        <v/>
      </c>
      <c r="T81" s="285" t="n">
        <v>2280</v>
      </c>
      <c r="U81" s="161" t="n"/>
      <c r="V81" s="260" t="inlineStr">
        <is>
          <t>V1000529 - 168 Supply</t>
        </is>
      </c>
      <c r="W81" s="5" t="inlineStr">
        <is>
          <t>Recive bill and GRN already</t>
        </is>
      </c>
      <c r="X81" s="5" t="n"/>
      <c r="Y81" s="3" t="n">
        <v>45518</v>
      </c>
      <c r="Z81" s="3" t="n"/>
      <c r="AA81" s="17">
        <f>IF(RawDataGenPO[[#This Row],[Date Gen PO]]="","",RawDataGenPO[[#This Row],[Date recive bill]]-RawDataGenPO[[#This Row],[Date Gen PO]])</f>
        <v/>
      </c>
      <c r="AB81" s="16">
        <f>IF(RawDataGenPO[[#This Row],[GRN-PO date]]&gt;RawDataGenPO[[#This Row],[Lead time delivery (day)]],"over deliverry","Ontime")</f>
        <v/>
      </c>
      <c r="AC81" s="168" t="n"/>
    </row>
    <row r="82" customFormat="1" s="125">
      <c r="A82" s="5">
        <f>ROW()-ROW(RawDataGenPO[[#Headers],[No.]])</f>
        <v/>
      </c>
      <c r="B82" s="7" t="inlineStr">
        <is>
          <t>Expent  cost</t>
        </is>
      </c>
      <c r="C82" s="276" t="n">
        <v>45498</v>
      </c>
      <c r="D82" s="276" t="n"/>
      <c r="E82" s="276" t="n"/>
      <c r="F82" s="276" t="n">
        <v>45498</v>
      </c>
      <c r="G82" s="235" t="inlineStr">
        <is>
          <t>PR2425-02668</t>
        </is>
      </c>
      <c r="H82" s="5" t="inlineStr">
        <is>
          <t>PO2425-02610</t>
        </is>
      </c>
      <c r="I82" s="290">
        <f>IF(RawDataGenPO[[#This Row],[PO No.]]="","",RawDataGenPO[[#This Row],[DMY Create PR]]+7)</f>
        <v/>
      </c>
      <c r="J82" s="290" t="n"/>
      <c r="K82" s="20" t="n">
        <v>30</v>
      </c>
      <c r="L82" s="189" t="inlineStr">
        <is>
          <t>SFST81000050</t>
        </is>
      </c>
      <c r="M82" s="7" t="inlineStr">
        <is>
          <t>Consumable part for MN</t>
        </is>
      </c>
      <c r="N82" s="7" t="inlineStr">
        <is>
          <t>Consumable part</t>
        </is>
      </c>
      <c r="O82" s="11" t="n">
        <v>2</v>
      </c>
      <c r="P82" s="10" t="inlineStr">
        <is>
          <t>Repair clamp for HDPE pipe, size 75 mm</t>
        </is>
      </c>
      <c r="Q82" s="277" t="n">
        <v>4</v>
      </c>
      <c r="R82" s="5" t="inlineStr">
        <is>
          <t>pcs.</t>
        </is>
      </c>
      <c r="S82" s="284">
        <f>RawDataGenPO[[#This Row],[Total price]]/RawDataGenPO[[#This Row],[Qty'']]</f>
        <v/>
      </c>
      <c r="T82" s="285" t="n">
        <v>2280</v>
      </c>
      <c r="U82" s="161" t="inlineStr">
        <is>
          <t>Puneet Approval</t>
        </is>
      </c>
      <c r="V82" s="33" t="inlineStr">
        <is>
          <t xml:space="preserve"> V1000529 - 168 Supply</t>
        </is>
      </c>
      <c r="W82" s="5" t="inlineStr">
        <is>
          <t>Recive bill and GRN already</t>
        </is>
      </c>
      <c r="X82" s="5" t="n"/>
      <c r="Y82" s="3" t="n">
        <v>45518</v>
      </c>
      <c r="Z82" s="3" t="n"/>
      <c r="AA82" s="17">
        <f>IF(RawDataGenPO[[#This Row],[Date Gen PO]]="","",RawDataGenPO[[#This Row],[Date recive bill]]-RawDataGenPO[[#This Row],[Date Gen PO]])</f>
        <v/>
      </c>
      <c r="AB82" s="16">
        <f>IF(RawDataGenPO[[#This Row],[GRN-PO date]]&gt;RawDataGenPO[[#This Row],[Lead time delivery (day)]],"over deliverry","Ontime")</f>
        <v/>
      </c>
      <c r="AC82" s="168" t="n"/>
    </row>
    <row r="83" ht="15" customFormat="1" customHeight="1" s="125">
      <c r="A83" s="5">
        <f>ROW()-ROW(RawDataGenPO[[#Headers],[No.]])</f>
        <v/>
      </c>
      <c r="B83" s="7" t="inlineStr">
        <is>
          <t>Expent  cost</t>
        </is>
      </c>
      <c r="C83" s="276" t="n">
        <v>45498</v>
      </c>
      <c r="D83" s="276" t="n"/>
      <c r="E83" s="276" t="n"/>
      <c r="F83" s="276" t="n">
        <v>45498</v>
      </c>
      <c r="G83" s="259" t="inlineStr">
        <is>
          <t xml:space="preserve">PR2425-02270 </t>
        </is>
      </c>
      <c r="H83" s="5" t="inlineStr">
        <is>
          <t xml:space="preserve">PO2425-02614 </t>
        </is>
      </c>
      <c r="I83" s="290">
        <f>IF(RawDataGenPO[[#This Row],[PO No.]]="","",RawDataGenPO[[#This Row],[DMY Create PR]]+7)</f>
        <v/>
      </c>
      <c r="J83" s="290" t="n"/>
      <c r="K83" s="20" t="n">
        <v>30</v>
      </c>
      <c r="L83" s="5" t="inlineStr">
        <is>
          <t>SFST34000094</t>
        </is>
      </c>
      <c r="M83" s="7" t="inlineStr">
        <is>
          <t>Consumable part for MN</t>
        </is>
      </c>
      <c r="N83" s="7" t="inlineStr">
        <is>
          <t>Consumable part</t>
        </is>
      </c>
      <c r="O83" s="11" t="n">
        <v>1</v>
      </c>
      <c r="P83" s="10" t="inlineStr">
        <is>
          <t>Stainless steel argon welding filler wire, size 1.6 mm</t>
        </is>
      </c>
      <c r="Q83" s="189" t="n">
        <v>2</v>
      </c>
      <c r="R83" s="5" t="inlineStr">
        <is>
          <t>pcs.</t>
        </is>
      </c>
      <c r="S83" s="284">
        <f>RawDataGenPO[[#This Row],[Total price]]/RawDataGenPO[[#This Row],[Qty'']]</f>
        <v/>
      </c>
      <c r="T83" s="285" t="n">
        <v>1100</v>
      </c>
      <c r="U83" s="291" t="inlineStr">
        <is>
          <t>Puneet Approval</t>
        </is>
      </c>
      <c r="V83" s="7" t="inlineStr">
        <is>
          <t>V1000293 - JTB ELECTRIC SUPPLY LIMITED PARTNERSHIP</t>
        </is>
      </c>
      <c r="W83" s="5" t="inlineStr">
        <is>
          <t>Recive bill and GRN already</t>
        </is>
      </c>
      <c r="X83" s="5" t="n"/>
      <c r="Y83" s="3" t="n">
        <v>45518</v>
      </c>
      <c r="Z83" s="3" t="n"/>
      <c r="AA83" s="17">
        <f>IF(RawDataGenPO[[#This Row],[Date Gen PO]]="","",RawDataGenPO[[#This Row],[Date recive bill]]-RawDataGenPO[[#This Row],[Date Gen PO]])</f>
        <v/>
      </c>
      <c r="AB83" s="16">
        <f>IF(RawDataGenPO[[#This Row],[GRN-PO date]]&gt;RawDataGenPO[[#This Row],[Lead time delivery (day)]],"over deliverry","Ontime")</f>
        <v/>
      </c>
      <c r="AC83" s="168" t="n"/>
    </row>
    <row r="84" ht="15" customFormat="1" customHeight="1" s="125">
      <c r="A84" s="5">
        <f>ROW()-ROW(RawDataGenPO[[#Headers],[No.]])</f>
        <v/>
      </c>
      <c r="B84" s="7" t="inlineStr">
        <is>
          <t>Expent  cost</t>
        </is>
      </c>
      <c r="C84" s="276" t="n">
        <v>45498</v>
      </c>
      <c r="D84" s="276" t="n"/>
      <c r="E84" s="276" t="n"/>
      <c r="F84" s="276" t="n">
        <v>45498</v>
      </c>
      <c r="G84" s="259" t="inlineStr">
        <is>
          <t xml:space="preserve">PR2425-02270 </t>
        </is>
      </c>
      <c r="H84" s="5" t="inlineStr">
        <is>
          <t xml:space="preserve">PO2425-02614 </t>
        </is>
      </c>
      <c r="I84" s="290">
        <f>IF(RawDataGenPO[[#This Row],[PO No.]]="","",RawDataGenPO[[#This Row],[DMY Create PR]]+7)</f>
        <v/>
      </c>
      <c r="J84" s="290" t="n"/>
      <c r="K84" s="20" t="n">
        <v>30</v>
      </c>
      <c r="L84" s="5" t="inlineStr">
        <is>
          <t>SFST34000095</t>
        </is>
      </c>
      <c r="M84" s="7" t="inlineStr">
        <is>
          <t>Consumable part for MN</t>
        </is>
      </c>
      <c r="N84" s="7" t="inlineStr">
        <is>
          <t>Consumable part</t>
        </is>
      </c>
      <c r="O84" s="11" t="n">
        <v>2</v>
      </c>
      <c r="P84" s="10" t="inlineStr">
        <is>
          <t>Stainless steel argon welding filler wire, size 2.0 mm</t>
        </is>
      </c>
      <c r="Q84" s="189" t="n">
        <v>2</v>
      </c>
      <c r="R84" s="5" t="inlineStr">
        <is>
          <t>pcs.</t>
        </is>
      </c>
      <c r="S84" s="284">
        <f>RawDataGenPO[[#This Row],[Total price]]/RawDataGenPO[[#This Row],[Qty'']]</f>
        <v/>
      </c>
      <c r="T84" s="285" t="n">
        <v>1060</v>
      </c>
      <c r="U84" s="291" t="inlineStr">
        <is>
          <t>Puneet Approval</t>
        </is>
      </c>
      <c r="V84" s="7" t="inlineStr">
        <is>
          <t>V1000293 - JTB ELECTRIC SUPPLY LIMITED PARTNERSHIP</t>
        </is>
      </c>
      <c r="W84" s="5" t="inlineStr">
        <is>
          <t>Recive bill and GRN already</t>
        </is>
      </c>
      <c r="X84" s="5" t="n"/>
      <c r="Y84" s="3" t="n">
        <v>45518</v>
      </c>
      <c r="Z84" s="3" t="n"/>
      <c r="AA84" s="17">
        <f>IF(RawDataGenPO[[#This Row],[Date Gen PO]]="","",RawDataGenPO[[#This Row],[Date recive bill]]-RawDataGenPO[[#This Row],[Date Gen PO]])</f>
        <v/>
      </c>
      <c r="AB84" s="16">
        <f>IF(RawDataGenPO[[#This Row],[GRN-PO date]]&gt;RawDataGenPO[[#This Row],[Lead time delivery (day)]],"over deliverry","Ontime")</f>
        <v/>
      </c>
      <c r="AC84" s="168" t="n"/>
    </row>
    <row r="85" ht="15" customFormat="1" customHeight="1" s="125">
      <c r="A85" s="5">
        <f>ROW()-ROW(RawDataGenPO[[#Headers],[No.]])</f>
        <v/>
      </c>
      <c r="B85" s="7" t="inlineStr">
        <is>
          <t>Expent  cost</t>
        </is>
      </c>
      <c r="C85" s="276" t="n">
        <v>45498</v>
      </c>
      <c r="D85" s="276" t="n"/>
      <c r="E85" s="276" t="n"/>
      <c r="F85" s="276" t="n">
        <v>45498</v>
      </c>
      <c r="G85" s="259" t="inlineStr">
        <is>
          <t xml:space="preserve">PR2425-02270 </t>
        </is>
      </c>
      <c r="H85" s="5" t="inlineStr">
        <is>
          <t xml:space="preserve">PO2425-02614 </t>
        </is>
      </c>
      <c r="I85" s="290">
        <f>IF(RawDataGenPO[[#This Row],[PO No.]]="","",RawDataGenPO[[#This Row],[DMY Create PR]]+7)</f>
        <v/>
      </c>
      <c r="J85" s="290" t="n"/>
      <c r="K85" s="20" t="n">
        <v>30</v>
      </c>
      <c r="L85" s="5" t="inlineStr">
        <is>
          <t>SFST34000096</t>
        </is>
      </c>
      <c r="M85" s="7" t="inlineStr">
        <is>
          <t>Consumable part for MN</t>
        </is>
      </c>
      <c r="N85" s="7" t="inlineStr">
        <is>
          <t>Consumable part</t>
        </is>
      </c>
      <c r="O85" s="11" t="n">
        <v>3</v>
      </c>
      <c r="P85" s="10" t="inlineStr">
        <is>
          <t>Stainless steel argon welding filler wire, size 2.4 mm</t>
        </is>
      </c>
      <c r="Q85" s="189" t="n">
        <v>2</v>
      </c>
      <c r="R85" s="5" t="inlineStr">
        <is>
          <t>pcs.</t>
        </is>
      </c>
      <c r="S85" s="284">
        <f>RawDataGenPO[[#This Row],[Total price]]/RawDataGenPO[[#This Row],[Qty'']]</f>
        <v/>
      </c>
      <c r="T85" s="285" t="n">
        <v>1020</v>
      </c>
      <c r="U85" s="291" t="inlineStr">
        <is>
          <t>Puneet Approval</t>
        </is>
      </c>
      <c r="V85" s="7" t="inlineStr">
        <is>
          <t>V1000293 - JTB ELECTRIC SUPPLY LIMITED PARTNERSHIP</t>
        </is>
      </c>
      <c r="W85" s="5" t="inlineStr">
        <is>
          <t>Recive bill and GRN already</t>
        </is>
      </c>
      <c r="X85" s="5" t="n"/>
      <c r="Y85" s="3" t="n">
        <v>45518</v>
      </c>
      <c r="Z85" s="3" t="n"/>
      <c r="AA85" s="17">
        <f>IF(RawDataGenPO[[#This Row],[Date Gen PO]]="","",RawDataGenPO[[#This Row],[Date recive bill]]-RawDataGenPO[[#This Row],[Date Gen PO]])</f>
        <v/>
      </c>
      <c r="AB85" s="16">
        <f>IF(RawDataGenPO[[#This Row],[GRN-PO date]]&gt;RawDataGenPO[[#This Row],[Lead time delivery (day)]],"over deliverry","Ontime")</f>
        <v/>
      </c>
      <c r="AC85" s="168" t="n"/>
    </row>
    <row r="86" ht="15" customFormat="1" customHeight="1" s="125">
      <c r="A86" s="5">
        <f>ROW()-ROW(RawDataGenPO[[#Headers],[No.]])</f>
        <v/>
      </c>
      <c r="B86" s="7" t="inlineStr">
        <is>
          <t>Expent  cost</t>
        </is>
      </c>
      <c r="C86" s="276" t="n">
        <v>45498</v>
      </c>
      <c r="D86" s="276" t="n"/>
      <c r="E86" s="276" t="n"/>
      <c r="F86" s="276" t="n">
        <v>45498</v>
      </c>
      <c r="G86" s="259" t="inlineStr">
        <is>
          <t xml:space="preserve">PR2425-02270 </t>
        </is>
      </c>
      <c r="H86" s="5" t="inlineStr">
        <is>
          <t xml:space="preserve">PO2425-02614 </t>
        </is>
      </c>
      <c r="I86" s="290">
        <f>IF(RawDataGenPO[[#This Row],[PO No.]]="","",RawDataGenPO[[#This Row],[DMY Create PR]]+7)</f>
        <v/>
      </c>
      <c r="J86" s="290" t="n"/>
      <c r="K86" s="20" t="n">
        <v>30</v>
      </c>
      <c r="L86" s="5" t="inlineStr">
        <is>
          <t>SFST34000097</t>
        </is>
      </c>
      <c r="M86" s="7" t="inlineStr">
        <is>
          <t>Consumable part for MN</t>
        </is>
      </c>
      <c r="N86" s="7" t="inlineStr">
        <is>
          <t>Consumable part</t>
        </is>
      </c>
      <c r="O86" s="11" t="n">
        <v>4</v>
      </c>
      <c r="P86" s="10" t="inlineStr">
        <is>
          <t>Stainless steel argon welding filler wire, size 3.2 mm</t>
        </is>
      </c>
      <c r="Q86" s="189" t="n">
        <v>2</v>
      </c>
      <c r="R86" s="5" t="inlineStr">
        <is>
          <t>pcs.</t>
        </is>
      </c>
      <c r="S86" s="284">
        <f>RawDataGenPO[[#This Row],[Total price]]/RawDataGenPO[[#This Row],[Qty'']]</f>
        <v/>
      </c>
      <c r="T86" s="285" t="n">
        <v>1000</v>
      </c>
      <c r="U86" s="291" t="inlineStr">
        <is>
          <t>Puneet Approval</t>
        </is>
      </c>
      <c r="V86" s="7" t="inlineStr">
        <is>
          <t>V1000293 - JTB ELECTRIC SUPPLY LIMITED PARTNERSHIP</t>
        </is>
      </c>
      <c r="W86" s="5" t="inlineStr">
        <is>
          <t>Recive bill and GRN already</t>
        </is>
      </c>
      <c r="X86" s="5" t="n"/>
      <c r="Y86" s="3" t="n">
        <v>45518</v>
      </c>
      <c r="Z86" s="3" t="n"/>
      <c r="AA86" s="17">
        <f>IF(RawDataGenPO[[#This Row],[Date Gen PO]]="","",RawDataGenPO[[#This Row],[Date recive bill]]-RawDataGenPO[[#This Row],[Date Gen PO]])</f>
        <v/>
      </c>
      <c r="AB86" s="16">
        <f>IF(RawDataGenPO[[#This Row],[GRN-PO date]]&gt;RawDataGenPO[[#This Row],[Lead time delivery (day)]],"over deliverry","Ontime")</f>
        <v/>
      </c>
      <c r="AC86" s="168" t="n"/>
    </row>
    <row r="87" ht="15" customFormat="1" customHeight="1" s="125">
      <c r="A87" s="5">
        <f>ROW()-ROW(RawDataGenPO[[#Headers],[No.]])</f>
        <v/>
      </c>
      <c r="B87" s="7" t="inlineStr">
        <is>
          <t>Expent  cost</t>
        </is>
      </c>
      <c r="C87" s="276" t="n">
        <v>45498</v>
      </c>
      <c r="D87" s="276" t="n"/>
      <c r="E87" s="276" t="n"/>
      <c r="F87" s="276" t="n">
        <v>45498</v>
      </c>
      <c r="G87" s="259" t="inlineStr">
        <is>
          <t xml:space="preserve">PR2425-02270 </t>
        </is>
      </c>
      <c r="H87" s="5" t="inlineStr">
        <is>
          <t>PO2425-02615</t>
        </is>
      </c>
      <c r="I87" s="290">
        <f>IF(RawDataGenPO[[#This Row],[PO No.]]="","",RawDataGenPO[[#This Row],[DMY Create PR]]+7)</f>
        <v/>
      </c>
      <c r="J87" s="290" t="n"/>
      <c r="K87" s="20" t="n">
        <v>30</v>
      </c>
      <c r="L87" s="5" t="inlineStr">
        <is>
          <t>SFST34000098</t>
        </is>
      </c>
      <c r="M87" s="7" t="inlineStr">
        <is>
          <t>Consumable part for MN</t>
        </is>
      </c>
      <c r="N87" s="7" t="inlineStr">
        <is>
          <t>Consumable part</t>
        </is>
      </c>
      <c r="O87" s="11" t="n">
        <v>1</v>
      </c>
      <c r="P87" s="10" t="inlineStr">
        <is>
          <t>Steel argon welding filler wire, size 1.6 mm</t>
        </is>
      </c>
      <c r="Q87" s="189" t="n">
        <v>2</v>
      </c>
      <c r="R87" s="5" t="inlineStr">
        <is>
          <t>pcs.</t>
        </is>
      </c>
      <c r="S87" s="284">
        <f>RawDataGenPO[[#This Row],[Total price]]/RawDataGenPO[[#This Row],[Qty'']]</f>
        <v/>
      </c>
      <c r="T87" s="285" t="n">
        <v>520</v>
      </c>
      <c r="U87" s="291" t="inlineStr">
        <is>
          <t>Puneet Approval</t>
        </is>
      </c>
      <c r="V87" s="7" t="inlineStr">
        <is>
          <t>V1000529 - 168 Supply</t>
        </is>
      </c>
      <c r="W87" s="5" t="inlineStr">
        <is>
          <t>Recive bill and GRN already</t>
        </is>
      </c>
      <c r="X87" s="5" t="n"/>
      <c r="Y87" s="3" t="n">
        <v>45518</v>
      </c>
      <c r="Z87" s="3" t="n"/>
      <c r="AA87" s="17">
        <f>IF(RawDataGenPO[[#This Row],[Date Gen PO]]="","",RawDataGenPO[[#This Row],[Date recive bill]]-RawDataGenPO[[#This Row],[Date Gen PO]])</f>
        <v/>
      </c>
      <c r="AB87" s="16">
        <f>IF(RawDataGenPO[[#This Row],[GRN-PO date]]&gt;RawDataGenPO[[#This Row],[Lead time delivery (day)]],"over deliverry","Ontime")</f>
        <v/>
      </c>
      <c r="AC87" s="168" t="n"/>
    </row>
    <row r="88" ht="15" customFormat="1" customHeight="1" s="125">
      <c r="A88" s="5">
        <f>ROW()-ROW(RawDataGenPO[[#Headers],[No.]])</f>
        <v/>
      </c>
      <c r="B88" s="7" t="inlineStr">
        <is>
          <t>Expent  cost</t>
        </is>
      </c>
      <c r="C88" s="276" t="n">
        <v>45498</v>
      </c>
      <c r="D88" s="276" t="n"/>
      <c r="E88" s="276" t="n"/>
      <c r="F88" s="276" t="n">
        <v>45498</v>
      </c>
      <c r="G88" s="259" t="inlineStr">
        <is>
          <t xml:space="preserve">PR2425-02270 </t>
        </is>
      </c>
      <c r="H88" s="5" t="inlineStr">
        <is>
          <t>PO2425-02615</t>
        </is>
      </c>
      <c r="I88" s="290">
        <f>IF(RawDataGenPO[[#This Row],[PO No.]]="","",RawDataGenPO[[#This Row],[DMY Create PR]]+7)</f>
        <v/>
      </c>
      <c r="J88" s="290" t="n"/>
      <c r="K88" s="20" t="n">
        <v>30</v>
      </c>
      <c r="L88" s="5" t="inlineStr">
        <is>
          <t>SFST34000099</t>
        </is>
      </c>
      <c r="M88" s="7" t="inlineStr">
        <is>
          <t>Consumable part for MN</t>
        </is>
      </c>
      <c r="N88" s="7" t="inlineStr">
        <is>
          <t>Consumable part</t>
        </is>
      </c>
      <c r="O88" s="11" t="n">
        <v>2</v>
      </c>
      <c r="P88" s="10" t="inlineStr">
        <is>
          <t>Steel argon welding filler wire, size 2.0 mm</t>
        </is>
      </c>
      <c r="Q88" s="189" t="n">
        <v>2</v>
      </c>
      <c r="R88" s="5" t="inlineStr">
        <is>
          <t>pcs.</t>
        </is>
      </c>
      <c r="S88" s="284">
        <f>RawDataGenPO[[#This Row],[Total price]]/RawDataGenPO[[#This Row],[Qty'']]</f>
        <v/>
      </c>
      <c r="T88" s="285" t="n">
        <v>520</v>
      </c>
      <c r="U88" s="291" t="inlineStr">
        <is>
          <t>Puneet Approval</t>
        </is>
      </c>
      <c r="V88" s="7" t="inlineStr">
        <is>
          <t>V1000529 - 168 Supply</t>
        </is>
      </c>
      <c r="W88" s="5" t="inlineStr">
        <is>
          <t>Recive bill and GRN already</t>
        </is>
      </c>
      <c r="X88" s="5" t="n"/>
      <c r="Y88" s="3" t="n">
        <v>45518</v>
      </c>
      <c r="Z88" s="3" t="n"/>
      <c r="AA88" s="17">
        <f>IF(RawDataGenPO[[#This Row],[Date Gen PO]]="","",RawDataGenPO[[#This Row],[Date recive bill]]-RawDataGenPO[[#This Row],[Date Gen PO]])</f>
        <v/>
      </c>
      <c r="AB88" s="16">
        <f>IF(RawDataGenPO[[#This Row],[GRN-PO date]]&gt;RawDataGenPO[[#This Row],[Lead time delivery (day)]],"over deliverry","Ontime")</f>
        <v/>
      </c>
      <c r="AC88" s="168" t="n"/>
    </row>
    <row r="89" ht="15" customFormat="1" customHeight="1" s="125">
      <c r="A89" s="5">
        <f>ROW()-ROW(RawDataGenPO[[#Headers],[No.]])</f>
        <v/>
      </c>
      <c r="B89" s="7" t="inlineStr">
        <is>
          <t>Expent  cost</t>
        </is>
      </c>
      <c r="C89" s="276" t="n">
        <v>45498</v>
      </c>
      <c r="D89" s="276" t="n"/>
      <c r="E89" s="276" t="n"/>
      <c r="F89" s="276" t="n">
        <v>45498</v>
      </c>
      <c r="G89" s="259" t="inlineStr">
        <is>
          <t xml:space="preserve">PR2425-02270 </t>
        </is>
      </c>
      <c r="H89" s="5" t="inlineStr">
        <is>
          <t>PO2425-02615</t>
        </is>
      </c>
      <c r="I89" s="290">
        <f>IF(RawDataGenPO[[#This Row],[PO No.]]="","",RawDataGenPO[[#This Row],[DMY Create PR]]+7)</f>
        <v/>
      </c>
      <c r="J89" s="290" t="n"/>
      <c r="K89" s="20" t="n">
        <v>30</v>
      </c>
      <c r="L89" s="5" t="inlineStr">
        <is>
          <t>SFST34000100</t>
        </is>
      </c>
      <c r="M89" s="7" t="inlineStr">
        <is>
          <t>Consumable part for MN</t>
        </is>
      </c>
      <c r="N89" s="7" t="inlineStr">
        <is>
          <t>Consumable part</t>
        </is>
      </c>
      <c r="O89" s="11" t="n">
        <v>3</v>
      </c>
      <c r="P89" s="10" t="inlineStr">
        <is>
          <t>Steel argon welding filler wire, size 2.4 mm</t>
        </is>
      </c>
      <c r="Q89" s="189" t="n">
        <v>2</v>
      </c>
      <c r="R89" s="5" t="inlineStr">
        <is>
          <t>pcs.</t>
        </is>
      </c>
      <c r="S89" s="284">
        <f>RawDataGenPO[[#This Row],[Total price]]/RawDataGenPO[[#This Row],[Qty'']]</f>
        <v/>
      </c>
      <c r="T89" s="285" t="n">
        <v>598</v>
      </c>
      <c r="U89" s="291" t="inlineStr">
        <is>
          <t>Puneet Approval</t>
        </is>
      </c>
      <c r="V89" s="7" t="inlineStr">
        <is>
          <t>V1000529 - 168 Supply</t>
        </is>
      </c>
      <c r="W89" s="5" t="inlineStr">
        <is>
          <t>Recive bill and GRN already</t>
        </is>
      </c>
      <c r="X89" s="5" t="n"/>
      <c r="Y89" s="3" t="n">
        <v>45518</v>
      </c>
      <c r="Z89" s="3" t="n"/>
      <c r="AA89" s="17">
        <f>IF(RawDataGenPO[[#This Row],[Date Gen PO]]="","",RawDataGenPO[[#This Row],[Date recive bill]]-RawDataGenPO[[#This Row],[Date Gen PO]])</f>
        <v/>
      </c>
      <c r="AB89" s="16">
        <f>IF(RawDataGenPO[[#This Row],[GRN-PO date]]&gt;RawDataGenPO[[#This Row],[Lead time delivery (day)]],"over deliverry","Ontime")</f>
        <v/>
      </c>
      <c r="AC89" s="168" t="n"/>
    </row>
    <row r="90" ht="15" customFormat="1" customHeight="1" s="125">
      <c r="A90" s="5">
        <f>ROW()-ROW(RawDataGenPO[[#Headers],[No.]])</f>
        <v/>
      </c>
      <c r="B90" s="7" t="inlineStr">
        <is>
          <t>Expent  cost</t>
        </is>
      </c>
      <c r="C90" s="276" t="n">
        <v>45498</v>
      </c>
      <c r="D90" s="276" t="n"/>
      <c r="E90" s="276" t="n"/>
      <c r="F90" s="276" t="n">
        <v>45498</v>
      </c>
      <c r="G90" s="5" t="inlineStr">
        <is>
          <t xml:space="preserve">PR2425-02270 </t>
        </is>
      </c>
      <c r="H90" s="5" t="inlineStr">
        <is>
          <t>PO2425-02616</t>
        </is>
      </c>
      <c r="I90" s="290">
        <f>IF(RawDataGenPO[[#This Row],[PO No.]]="","",RawDataGenPO[[#This Row],[DMY Create PR]]+7)</f>
        <v/>
      </c>
      <c r="J90" s="290" t="n"/>
      <c r="K90" s="20" t="n">
        <v>30</v>
      </c>
      <c r="L90" s="5" t="inlineStr">
        <is>
          <t>SFST34000093</t>
        </is>
      </c>
      <c r="M90" s="7" t="inlineStr">
        <is>
          <t>Consumable part for MN</t>
        </is>
      </c>
      <c r="N90" s="7" t="inlineStr">
        <is>
          <t>Consumable part</t>
        </is>
      </c>
      <c r="O90" s="11" t="n">
        <v>1</v>
      </c>
      <c r="P90" s="10" t="inlineStr">
        <is>
          <t>Tungsten welding rod, size 2.4 mm (blue)</t>
        </is>
      </c>
      <c r="Q90" s="277" t="n">
        <v>2</v>
      </c>
      <c r="R90" s="5" t="inlineStr">
        <is>
          <t>PC</t>
        </is>
      </c>
      <c r="S90" s="284">
        <f>RawDataGenPO[[#This Row],[Total price]]/RawDataGenPO[[#This Row],[Qty'']]</f>
        <v/>
      </c>
      <c r="T90" s="285" t="n">
        <v>980</v>
      </c>
      <c r="U90" s="161" t="inlineStr">
        <is>
          <t>Puneet Approval</t>
        </is>
      </c>
      <c r="V90" s="7" t="inlineStr">
        <is>
          <t>V1000306 - Inter Supply (1992) Co., Ltd.</t>
        </is>
      </c>
      <c r="W90" s="5" t="inlineStr">
        <is>
          <t>Recive bill and GRN already</t>
        </is>
      </c>
      <c r="X90" s="5" t="n"/>
      <c r="Y90" s="3" t="n">
        <v>45524</v>
      </c>
      <c r="Z90" s="3" t="n"/>
      <c r="AA90" s="17">
        <f>IF(RawDataGenPO[[#This Row],[Date Gen PO]]="","",RawDataGenPO[[#This Row],[Date recive bill]]-RawDataGenPO[[#This Row],[Date Gen PO]])</f>
        <v/>
      </c>
      <c r="AB90" s="16">
        <f>IF(RawDataGenPO[[#This Row],[GRN-PO date]]&gt;RawDataGenPO[[#This Row],[Lead time delivery (day)]],"over deliverry","Ontime")</f>
        <v/>
      </c>
      <c r="AC90" s="168" t="n"/>
    </row>
    <row r="91" ht="15" customFormat="1" customHeight="1" s="125">
      <c r="A91" s="5">
        <f>ROW()-ROW(RawDataGenPO[[#Headers],[No.]])</f>
        <v/>
      </c>
      <c r="B91" s="7" t="inlineStr">
        <is>
          <t>Expent  cost</t>
        </is>
      </c>
      <c r="C91" s="276" t="n">
        <v>45498</v>
      </c>
      <c r="D91" s="276" t="n"/>
      <c r="E91" s="276" t="n"/>
      <c r="F91" s="276" t="n">
        <v>45498</v>
      </c>
      <c r="G91" s="259" t="inlineStr">
        <is>
          <t xml:space="preserve">PR2425-02270 </t>
        </is>
      </c>
      <c r="H91" s="5" t="inlineStr">
        <is>
          <t>PO2425-02618</t>
        </is>
      </c>
      <c r="I91" s="290">
        <f>IF(RawDataGenPO[[#This Row],[PO No.]]="","",RawDataGenPO[[#This Row],[DMY Create PR]]+7)</f>
        <v/>
      </c>
      <c r="J91" s="290" t="n"/>
      <c r="K91" s="20" t="n">
        <v>30</v>
      </c>
      <c r="L91" s="5" t="inlineStr">
        <is>
          <t>SFST81000050</t>
        </is>
      </c>
      <c r="M91" s="7" t="inlineStr">
        <is>
          <t>Consumable part for MN</t>
        </is>
      </c>
      <c r="N91" s="7" t="inlineStr">
        <is>
          <t>Consumable part</t>
        </is>
      </c>
      <c r="O91" s="11" t="n">
        <v>1</v>
      </c>
      <c r="P91" s="10" t="inlineStr">
        <is>
          <t>WP-26 collet 2.4 mm</t>
        </is>
      </c>
      <c r="Q91" s="189" t="n">
        <v>10</v>
      </c>
      <c r="R91" s="5" t="inlineStr">
        <is>
          <t>pcs.</t>
        </is>
      </c>
      <c r="S91" s="284">
        <f>RawDataGenPO[[#This Row],[Total price]]/RawDataGenPO[[#This Row],[Qty'']]</f>
        <v/>
      </c>
      <c r="T91" s="285" t="n">
        <v>100</v>
      </c>
      <c r="U91" s="291" t="inlineStr">
        <is>
          <t>Puneet Approval</t>
        </is>
      </c>
      <c r="V91" s="7" t="inlineStr">
        <is>
          <t>V1000259 - JJP SUPPLY CO., LTD</t>
        </is>
      </c>
      <c r="W91" s="5" t="inlineStr">
        <is>
          <t>Recive bill and GRN already</t>
        </is>
      </c>
      <c r="X91" s="5" t="n"/>
      <c r="Y91" s="3" t="n">
        <v>45524</v>
      </c>
      <c r="Z91" s="3" t="n"/>
      <c r="AA91" s="17">
        <f>IF(RawDataGenPO[[#This Row],[Date Gen PO]]="","",RawDataGenPO[[#This Row],[Date recive bill]]-RawDataGenPO[[#This Row],[Date Gen PO]])</f>
        <v/>
      </c>
      <c r="AB91" s="16">
        <f>IF(RawDataGenPO[[#This Row],[GRN-PO date]]&gt;RawDataGenPO[[#This Row],[Lead time delivery (day)]],"over deliverry","Ontime")</f>
        <v/>
      </c>
      <c r="AC91" s="168" t="n"/>
    </row>
    <row r="92" ht="15" customFormat="1" customHeight="1" s="125">
      <c r="A92" s="5">
        <f>ROW()-ROW(RawDataGenPO[[#Headers],[No.]])</f>
        <v/>
      </c>
      <c r="B92" s="7" t="inlineStr">
        <is>
          <t>Expent  cost</t>
        </is>
      </c>
      <c r="C92" s="276" t="n">
        <v>45498</v>
      </c>
      <c r="D92" s="276" t="n"/>
      <c r="E92" s="276" t="n"/>
      <c r="F92" s="276" t="n">
        <v>45498</v>
      </c>
      <c r="G92" s="259" t="inlineStr">
        <is>
          <t xml:space="preserve">PR2425-02270 </t>
        </is>
      </c>
      <c r="H92" s="5" t="inlineStr">
        <is>
          <t>PO2425-02618</t>
        </is>
      </c>
      <c r="I92" s="290">
        <f>IF(RawDataGenPO[[#This Row],[PO No.]]="","",RawDataGenPO[[#This Row],[DMY Create PR]]+7)</f>
        <v/>
      </c>
      <c r="J92" s="290" t="n"/>
      <c r="K92" s="20" t="n">
        <v>30</v>
      </c>
      <c r="L92" s="5" t="inlineStr">
        <is>
          <t>SFST81000050</t>
        </is>
      </c>
      <c r="M92" s="7" t="inlineStr">
        <is>
          <t>Consumable part for MN</t>
        </is>
      </c>
      <c r="N92" s="7" t="inlineStr">
        <is>
          <t>Consumable part</t>
        </is>
      </c>
      <c r="O92" s="11" t="n">
        <v>3</v>
      </c>
      <c r="P92" s="10" t="inlineStr">
        <is>
          <t>WP-26 collet body 2.4 mm</t>
        </is>
      </c>
      <c r="Q92" s="189" t="n">
        <v>10</v>
      </c>
      <c r="R92" s="5" t="inlineStr">
        <is>
          <t>pcs.</t>
        </is>
      </c>
      <c r="S92" s="284">
        <f>RawDataGenPO[[#This Row],[Total price]]/RawDataGenPO[[#This Row],[Qty'']]</f>
        <v/>
      </c>
      <c r="T92" s="285" t="n">
        <v>250</v>
      </c>
      <c r="U92" s="291" t="inlineStr">
        <is>
          <t>Puneet Approval</t>
        </is>
      </c>
      <c r="V92" s="7" t="inlineStr">
        <is>
          <t>V1000259 - JJP SUPPLY CO., LTD</t>
        </is>
      </c>
      <c r="W92" s="5" t="inlineStr">
        <is>
          <t>Recive bill and GRN already</t>
        </is>
      </c>
      <c r="X92" s="5" t="n"/>
      <c r="Y92" s="3" t="n">
        <v>45524</v>
      </c>
      <c r="Z92" s="3" t="n"/>
      <c r="AA92" s="17">
        <f>IF(RawDataGenPO[[#This Row],[Date Gen PO]]="","",RawDataGenPO[[#This Row],[Date recive bill]]-RawDataGenPO[[#This Row],[Date Gen PO]])</f>
        <v/>
      </c>
      <c r="AB92" s="16">
        <f>IF(RawDataGenPO[[#This Row],[GRN-PO date]]&gt;RawDataGenPO[[#This Row],[Lead time delivery (day)]],"over deliverry","Ontime")</f>
        <v/>
      </c>
      <c r="AC92" s="168" t="n"/>
    </row>
    <row r="93" ht="15" customFormat="1" customHeight="1" s="125">
      <c r="A93" s="5">
        <f>ROW()-ROW(RawDataGenPO[[#Headers],[No.]])</f>
        <v/>
      </c>
      <c r="B93" s="7" t="inlineStr">
        <is>
          <t>Expent  cost</t>
        </is>
      </c>
      <c r="C93" s="276" t="n">
        <v>45498</v>
      </c>
      <c r="D93" s="276" t="n"/>
      <c r="E93" s="276" t="n"/>
      <c r="F93" s="276" t="n">
        <v>45498</v>
      </c>
      <c r="G93" s="259" t="inlineStr">
        <is>
          <t xml:space="preserve">PR2425-02270 </t>
        </is>
      </c>
      <c r="H93" s="5" t="inlineStr">
        <is>
          <t>PO2425-02618</t>
        </is>
      </c>
      <c r="I93" s="290">
        <f>IF(RawDataGenPO[[#This Row],[PO No.]]="","",RawDataGenPO[[#This Row],[DMY Create PR]]+7)</f>
        <v/>
      </c>
      <c r="J93" s="290" t="n"/>
      <c r="K93" s="20" t="n">
        <v>30</v>
      </c>
      <c r="L93" s="5" t="inlineStr">
        <is>
          <t>SFST81000050</t>
        </is>
      </c>
      <c r="M93" s="7" t="inlineStr">
        <is>
          <t>Consumable part for MN</t>
        </is>
      </c>
      <c r="N93" s="7" t="inlineStr">
        <is>
          <t>Consumable part</t>
        </is>
      </c>
      <c r="O93" s="11" t="n">
        <v>4</v>
      </c>
      <c r="P93" s="10" t="inlineStr">
        <is>
          <t>WP-26 collet body 3.2 mm</t>
        </is>
      </c>
      <c r="Q93" s="189" t="n">
        <v>10</v>
      </c>
      <c r="R93" s="5" t="inlineStr">
        <is>
          <t>pcs.</t>
        </is>
      </c>
      <c r="S93" s="284">
        <f>RawDataGenPO[[#This Row],[Total price]]/RawDataGenPO[[#This Row],[Qty'']]</f>
        <v/>
      </c>
      <c r="T93" s="285" t="n">
        <v>250</v>
      </c>
      <c r="U93" s="291" t="inlineStr">
        <is>
          <t>Puneet Approval</t>
        </is>
      </c>
      <c r="V93" s="7" t="inlineStr">
        <is>
          <t>V1000259 - JJP SUPPLY CO., LTD</t>
        </is>
      </c>
      <c r="W93" s="5" t="inlineStr">
        <is>
          <t>Recive bill and GRN already</t>
        </is>
      </c>
      <c r="X93" s="5" t="n"/>
      <c r="Y93" s="3" t="n">
        <v>45524</v>
      </c>
      <c r="Z93" s="3" t="n"/>
      <c r="AA93" s="17">
        <f>IF(RawDataGenPO[[#This Row],[Date Gen PO]]="","",RawDataGenPO[[#This Row],[Date recive bill]]-RawDataGenPO[[#This Row],[Date Gen PO]])</f>
        <v/>
      </c>
      <c r="AB93" s="16">
        <f>IF(RawDataGenPO[[#This Row],[GRN-PO date]]&gt;RawDataGenPO[[#This Row],[Lead time delivery (day)]],"over deliverry","Ontime")</f>
        <v/>
      </c>
      <c r="AC93" s="168" t="n"/>
    </row>
    <row r="94" ht="15" customFormat="1" customHeight="1" s="125">
      <c r="A94" s="5">
        <f>ROW()-ROW(RawDataGenPO[[#Headers],[No.]])</f>
        <v/>
      </c>
      <c r="B94" s="7" t="inlineStr">
        <is>
          <t>Expent  cost</t>
        </is>
      </c>
      <c r="C94" s="276" t="n">
        <v>45498</v>
      </c>
      <c r="D94" s="276" t="n"/>
      <c r="E94" s="276" t="n"/>
      <c r="F94" s="276" t="n">
        <v>45498</v>
      </c>
      <c r="G94" s="259" t="inlineStr">
        <is>
          <t xml:space="preserve">PR2425-02270 </t>
        </is>
      </c>
      <c r="H94" s="5" t="inlineStr">
        <is>
          <t>PO2425-02625</t>
        </is>
      </c>
      <c r="I94" s="290">
        <f>IF(RawDataGenPO[[#This Row],[PO No.]]="","",RawDataGenPO[[#This Row],[DMY Create PR]]+7)</f>
        <v/>
      </c>
      <c r="J94" s="290" t="n"/>
      <c r="K94" s="20" t="n">
        <v>30</v>
      </c>
      <c r="L94" s="5" t="inlineStr">
        <is>
          <t>SFST81000050</t>
        </is>
      </c>
      <c r="M94" s="7" t="inlineStr">
        <is>
          <t>Consumable part for MN</t>
        </is>
      </c>
      <c r="N94" s="7" t="inlineStr">
        <is>
          <t>Consumable part</t>
        </is>
      </c>
      <c r="O94" s="11" t="n">
        <v>1</v>
      </c>
      <c r="P94" s="10" t="inlineStr">
        <is>
          <t>Ceramic cup no. 8</t>
        </is>
      </c>
      <c r="Q94" s="189" t="n">
        <v>3</v>
      </c>
      <c r="R94" s="5" t="inlineStr">
        <is>
          <t>pcs.</t>
        </is>
      </c>
      <c r="S94" s="284">
        <f>RawDataGenPO[[#This Row],[Total price]]/RawDataGenPO[[#This Row],[Qty'']]</f>
        <v/>
      </c>
      <c r="T94" s="285" t="n">
        <v>45</v>
      </c>
      <c r="U94" s="291" t="inlineStr">
        <is>
          <t>Puneet Approval</t>
        </is>
      </c>
      <c r="V94" s="7" t="inlineStr">
        <is>
          <t>V1000259 - JJP SUPPLY CO., LTD</t>
        </is>
      </c>
      <c r="W94" s="5" t="inlineStr">
        <is>
          <t>Recive bill and GRN already</t>
        </is>
      </c>
      <c r="X94" s="5" t="n"/>
      <c r="Y94" s="3" t="n">
        <v>45524</v>
      </c>
      <c r="Z94" s="3" t="n"/>
      <c r="AA94" s="17">
        <f>IF(RawDataGenPO[[#This Row],[Date Gen PO]]="","",RawDataGenPO[[#This Row],[Date recive bill]]-RawDataGenPO[[#This Row],[Date Gen PO]])</f>
        <v/>
      </c>
      <c r="AB94" s="16">
        <f>IF(RawDataGenPO[[#This Row],[GRN-PO date]]&gt;RawDataGenPO[[#This Row],[Lead time delivery (day)]],"over deliverry","Ontime")</f>
        <v/>
      </c>
      <c r="AC94" s="168" t="n"/>
    </row>
    <row r="95" ht="15" customFormat="1" customHeight="1" s="125">
      <c r="A95" s="5">
        <f>ROW()-ROW(RawDataGenPO[[#Headers],[No.]])</f>
        <v/>
      </c>
      <c r="B95" s="7" t="inlineStr">
        <is>
          <t>Expent  cost</t>
        </is>
      </c>
      <c r="C95" s="276" t="n">
        <v>45498</v>
      </c>
      <c r="D95" s="276" t="n"/>
      <c r="E95" s="276" t="n"/>
      <c r="F95" s="276" t="n">
        <v>45498</v>
      </c>
      <c r="G95" s="259" t="inlineStr">
        <is>
          <t xml:space="preserve">PR2425-02270 </t>
        </is>
      </c>
      <c r="H95" s="5" t="inlineStr">
        <is>
          <t>PO2425-02625</t>
        </is>
      </c>
      <c r="I95" s="290">
        <f>IF(RawDataGenPO[[#This Row],[PO No.]]="","",RawDataGenPO[[#This Row],[DMY Create PR]]+7)</f>
        <v/>
      </c>
      <c r="J95" s="290" t="n"/>
      <c r="K95" s="20" t="n">
        <v>30</v>
      </c>
      <c r="L95" s="5" t="inlineStr">
        <is>
          <t>SFST81000050</t>
        </is>
      </c>
      <c r="M95" s="7" t="inlineStr">
        <is>
          <t>Consumable part for MN</t>
        </is>
      </c>
      <c r="N95" s="7" t="inlineStr">
        <is>
          <t>Consumable part</t>
        </is>
      </c>
      <c r="O95" s="11" t="n">
        <v>2</v>
      </c>
      <c r="P95" s="10" t="inlineStr">
        <is>
          <t>YAMADA, model YMD2200, black, automatic welding mask.</t>
        </is>
      </c>
      <c r="Q95" s="189" t="n">
        <v>1</v>
      </c>
      <c r="R95" s="5" t="inlineStr">
        <is>
          <t>pcs.</t>
        </is>
      </c>
      <c r="S95" s="284">
        <f>RawDataGenPO[[#This Row],[Total price]]/RawDataGenPO[[#This Row],[Qty'']]</f>
        <v/>
      </c>
      <c r="T95" s="285" t="n">
        <v>1820</v>
      </c>
      <c r="U95" s="291" t="inlineStr">
        <is>
          <t>Puneet Approval</t>
        </is>
      </c>
      <c r="V95" s="7" t="inlineStr">
        <is>
          <t>V1000259 - JJP SUPPLY CO., LTD</t>
        </is>
      </c>
      <c r="W95" s="5" t="inlineStr">
        <is>
          <t>Recive bill and GRN already</t>
        </is>
      </c>
      <c r="X95" s="5" t="n"/>
      <c r="Y95" s="3" t="n">
        <v>45524</v>
      </c>
      <c r="Z95" s="3" t="n"/>
      <c r="AA95" s="17">
        <f>IF(RawDataGenPO[[#This Row],[Date Gen PO]]="","",RawDataGenPO[[#This Row],[Date recive bill]]-RawDataGenPO[[#This Row],[Date Gen PO]])</f>
        <v/>
      </c>
      <c r="AB95" s="16">
        <f>IF(RawDataGenPO[[#This Row],[GRN-PO date]]&gt;RawDataGenPO[[#This Row],[Lead time delivery (day)]],"over deliverry","Ontime")</f>
        <v/>
      </c>
      <c r="AC95" s="168" t="n"/>
    </row>
    <row r="96" ht="15" customFormat="1" customHeight="1" s="125">
      <c r="A96" s="5">
        <f>ROW()-ROW(RawDataGenPO[[#Headers],[No.]])</f>
        <v/>
      </c>
      <c r="B96" s="7" t="inlineStr">
        <is>
          <t>Expent  cost</t>
        </is>
      </c>
      <c r="C96" s="276" t="n">
        <v>45498</v>
      </c>
      <c r="D96" s="276" t="n"/>
      <c r="E96" s="276" t="n"/>
      <c r="F96" s="276" t="n">
        <v>45498</v>
      </c>
      <c r="G96" s="259" t="inlineStr">
        <is>
          <t xml:space="preserve">PR2425-02270 </t>
        </is>
      </c>
      <c r="H96" s="5" t="inlineStr">
        <is>
          <t>PO2425-02625</t>
        </is>
      </c>
      <c r="I96" s="290">
        <f>IF(RawDataGenPO[[#This Row],[PO No.]]="","",RawDataGenPO[[#This Row],[DMY Create PR]]+7)</f>
        <v/>
      </c>
      <c r="J96" s="290" t="n"/>
      <c r="K96" s="20" t="n">
        <v>30</v>
      </c>
      <c r="L96" s="5" t="inlineStr">
        <is>
          <t>SFST81000050</t>
        </is>
      </c>
      <c r="M96" s="7" t="inlineStr">
        <is>
          <t>Consumable part for MN</t>
        </is>
      </c>
      <c r="N96" s="7" t="inlineStr">
        <is>
          <t>Consumable part</t>
        </is>
      </c>
      <c r="O96" s="11" t="n">
        <v>3</v>
      </c>
      <c r="P96" s="10" t="inlineStr">
        <is>
          <t>SUMO" TIG welding torch cable with WP26-25 head, length 7.5 m</t>
        </is>
      </c>
      <c r="Q96" s="189" t="n">
        <v>1</v>
      </c>
      <c r="R96" s="5" t="inlineStr">
        <is>
          <t>pcs.</t>
        </is>
      </c>
      <c r="S96" s="284">
        <f>RawDataGenPO[[#This Row],[Total price]]/RawDataGenPO[[#This Row],[Qty'']]</f>
        <v/>
      </c>
      <c r="T96" s="285" t="n">
        <v>400</v>
      </c>
      <c r="U96" s="291" t="inlineStr">
        <is>
          <t>Puneet Approval</t>
        </is>
      </c>
      <c r="V96" s="7" t="inlineStr">
        <is>
          <t>V1000259 - JJP SUPPLY CO., LTD</t>
        </is>
      </c>
      <c r="W96" s="5" t="inlineStr">
        <is>
          <t>Recive bill and GRN already</t>
        </is>
      </c>
      <c r="X96" s="5" t="n"/>
      <c r="Y96" s="3" t="n">
        <v>45524</v>
      </c>
      <c r="Z96" s="3" t="n"/>
      <c r="AA96" s="17">
        <f>IF(RawDataGenPO[[#This Row],[Date Gen PO]]="","",RawDataGenPO[[#This Row],[Date recive bill]]-RawDataGenPO[[#This Row],[Date Gen PO]])</f>
        <v/>
      </c>
      <c r="AB96" s="16">
        <f>IF(RawDataGenPO[[#This Row],[GRN-PO date]]&gt;RawDataGenPO[[#This Row],[Lead time delivery (day)]],"over deliverry","Ontime")</f>
        <v/>
      </c>
      <c r="AC96" s="168" t="n"/>
    </row>
    <row r="97" ht="15" customFormat="1" customHeight="1" s="125">
      <c r="A97" s="5">
        <f>ROW()-ROW(RawDataGenPO[[#Headers],[No.]])</f>
        <v/>
      </c>
      <c r="B97" s="7" t="inlineStr">
        <is>
          <t>Expent  cost</t>
        </is>
      </c>
      <c r="C97" s="276" t="n">
        <v>45498</v>
      </c>
      <c r="D97" s="276" t="n"/>
      <c r="E97" s="276" t="n"/>
      <c r="F97" s="276" t="n">
        <v>45498</v>
      </c>
      <c r="G97" s="259" t="inlineStr">
        <is>
          <t xml:space="preserve">PR2425-02270 </t>
        </is>
      </c>
      <c r="H97" s="5" t="inlineStr">
        <is>
          <t>PO2425-02627</t>
        </is>
      </c>
      <c r="I97" s="290">
        <f>IF(RawDataGenPO[[#This Row],[PO No.]]="","",RawDataGenPO[[#This Row],[DMY Create PR]]+7)</f>
        <v/>
      </c>
      <c r="J97" s="290" t="n"/>
      <c r="K97" s="20" t="n">
        <v>30</v>
      </c>
      <c r="L97" s="5" t="inlineStr">
        <is>
          <t>SFST81000050</t>
        </is>
      </c>
      <c r="M97" s="7" t="inlineStr">
        <is>
          <t>Consumable part for MN</t>
        </is>
      </c>
      <c r="N97" s="7" t="inlineStr">
        <is>
          <t>Consumable part</t>
        </is>
      </c>
      <c r="O97" s="11" t="n">
        <v>1</v>
      </c>
      <c r="P97" s="10" t="inlineStr">
        <is>
          <t>Ceramic cup no. 6</t>
        </is>
      </c>
      <c r="Q97" s="189" t="n">
        <v>3</v>
      </c>
      <c r="R97" s="5" t="inlineStr">
        <is>
          <t>pcs.</t>
        </is>
      </c>
      <c r="S97" s="284">
        <f>RawDataGenPO[[#This Row],[Total price]]/RawDataGenPO[[#This Row],[Qty'']]</f>
        <v/>
      </c>
      <c r="T97" s="285" t="n">
        <v>120</v>
      </c>
      <c r="U97" s="291" t="inlineStr">
        <is>
          <t>Puneet Approval</t>
        </is>
      </c>
      <c r="V97" s="7" t="inlineStr">
        <is>
          <t>V1000529 - 168 Supply</t>
        </is>
      </c>
      <c r="W97" s="5" t="inlineStr">
        <is>
          <t>Recive bill and GRN already</t>
        </is>
      </c>
      <c r="X97" s="5" t="n"/>
      <c r="Y97" s="3" t="n">
        <v>45518</v>
      </c>
      <c r="Z97" s="3" t="n"/>
      <c r="AA97" s="17">
        <f>IF(RawDataGenPO[[#This Row],[Date Gen PO]]="","",RawDataGenPO[[#This Row],[Date recive bill]]-RawDataGenPO[[#This Row],[Date Gen PO]])</f>
        <v/>
      </c>
      <c r="AB97" s="16">
        <f>IF(RawDataGenPO[[#This Row],[GRN-PO date]]&gt;RawDataGenPO[[#This Row],[Lead time delivery (day)]],"over deliverry","Ontime")</f>
        <v/>
      </c>
      <c r="AC97" s="168" t="n"/>
    </row>
    <row r="98" ht="18" customFormat="1" customHeight="1" s="125">
      <c r="A98" s="5">
        <f>ROW()-ROW(RawDataGenPO[[#Headers],[No.]])</f>
        <v/>
      </c>
      <c r="B98" s="7" t="inlineStr">
        <is>
          <t>Expent  cost</t>
        </is>
      </c>
      <c r="C98" s="276" t="n">
        <v>45498</v>
      </c>
      <c r="D98" s="276" t="n"/>
      <c r="E98" s="276" t="n"/>
      <c r="F98" s="276" t="n">
        <v>45498</v>
      </c>
      <c r="G98" s="259" t="inlineStr">
        <is>
          <t xml:space="preserve">PR2425-02270 </t>
        </is>
      </c>
      <c r="H98" s="5" t="inlineStr">
        <is>
          <t>PO2425-02627</t>
        </is>
      </c>
      <c r="I98" s="290">
        <f>IF(RawDataGenPO[[#This Row],[PO No.]]="","",RawDataGenPO[[#This Row],[DMY Create PR]]+7)</f>
        <v/>
      </c>
      <c r="J98" s="290" t="n"/>
      <c r="K98" s="20" t="n">
        <v>30</v>
      </c>
      <c r="L98" s="5" t="inlineStr">
        <is>
          <t>SFST81000050</t>
        </is>
      </c>
      <c r="M98" s="7" t="inlineStr">
        <is>
          <t>Consumable part for MN</t>
        </is>
      </c>
      <c r="N98" s="7" t="inlineStr">
        <is>
          <t>Consumable part</t>
        </is>
      </c>
      <c r="O98" s="11" t="n">
        <v>2</v>
      </c>
      <c r="P98" s="258" t="inlineStr">
        <is>
          <t>Steel argon welding filler wire, size 3.2 mm (1 kg / box)</t>
        </is>
      </c>
      <c r="Q98" s="189" t="n">
        <v>2</v>
      </c>
      <c r="R98" s="5" t="inlineStr">
        <is>
          <t>pcs.</t>
        </is>
      </c>
      <c r="S98" s="284">
        <f>RawDataGenPO[[#This Row],[Total price]]/RawDataGenPO[[#This Row],[Qty'']]</f>
        <v/>
      </c>
      <c r="T98" s="285" t="n">
        <v>598</v>
      </c>
      <c r="U98" s="291" t="inlineStr">
        <is>
          <t>Puneet Approval</t>
        </is>
      </c>
      <c r="V98" s="7" t="inlineStr">
        <is>
          <t>V1000529 - 168 Supply</t>
        </is>
      </c>
      <c r="W98" s="5" t="inlineStr">
        <is>
          <t>Recive bill and GRN already</t>
        </is>
      </c>
      <c r="X98" s="5" t="n"/>
      <c r="Y98" s="3" t="n">
        <v>45518</v>
      </c>
      <c r="Z98" s="3" t="n"/>
      <c r="AA98" s="17">
        <f>IF(RawDataGenPO[[#This Row],[Date Gen PO]]="","",RawDataGenPO[[#This Row],[Date recive bill]]-RawDataGenPO[[#This Row],[Date Gen PO]])</f>
        <v/>
      </c>
      <c r="AB98" s="16">
        <f>IF(RawDataGenPO[[#This Row],[GRN-PO date]]&gt;RawDataGenPO[[#This Row],[Lead time delivery (day)]],"over deliverry","Ontime")</f>
        <v/>
      </c>
      <c r="AC98" s="168" t="n"/>
    </row>
    <row r="99" ht="15" customFormat="1" customHeight="1" s="125">
      <c r="A99" s="5">
        <f>ROW()-ROW(RawDataGenPO[[#Headers],[No.]])</f>
        <v/>
      </c>
      <c r="B99" s="7" t="inlineStr">
        <is>
          <t>Expent  cost</t>
        </is>
      </c>
      <c r="C99" s="276" t="n">
        <v>45498</v>
      </c>
      <c r="D99" s="276" t="n"/>
      <c r="E99" s="276" t="n"/>
      <c r="F99" s="276" t="n">
        <v>45498</v>
      </c>
      <c r="G99" s="5" t="inlineStr">
        <is>
          <t>PR2425-02269</t>
        </is>
      </c>
      <c r="H99" s="5" t="inlineStr">
        <is>
          <t>PO2425-02637</t>
        </is>
      </c>
      <c r="I99" s="290">
        <f>IF(RawDataGenPO[[#This Row],[PO No.]]="","",RawDataGenPO[[#This Row],[DMY Create PR]]+7)</f>
        <v/>
      </c>
      <c r="J99" s="290" t="n"/>
      <c r="K99" s="20">
        <f>IF(RawDataGenPO[[#This Row],[PO No.]]="","",10)</f>
        <v/>
      </c>
      <c r="L99" s="5" t="inlineStr">
        <is>
          <t>SFST81000050</t>
        </is>
      </c>
      <c r="M99" s="7" t="inlineStr">
        <is>
          <t>Consumable part for MN</t>
        </is>
      </c>
      <c r="N99" s="7" t="inlineStr">
        <is>
          <t>Consumable part</t>
        </is>
      </c>
      <c r="O99" s="11" t="n">
        <v>3</v>
      </c>
      <c r="P99" s="10" t="inlineStr">
        <is>
          <t>Ground rail terminal FJ10N, insert cable 10 sq m. 101A, gray</t>
        </is>
      </c>
      <c r="Q99" s="277" t="n">
        <v>4</v>
      </c>
      <c r="R99" s="5" t="inlineStr">
        <is>
          <t>PC</t>
        </is>
      </c>
      <c r="S99" s="284">
        <f>RawDataGenPO[[#This Row],[Total price]]/RawDataGenPO[[#This Row],[Qty'']]</f>
        <v/>
      </c>
      <c r="T99" s="285" t="n">
        <v>580</v>
      </c>
      <c r="U99" s="161" t="inlineStr">
        <is>
          <t>Puneet Approval</t>
        </is>
      </c>
      <c r="V99" s="7" t="inlineStr">
        <is>
          <t>V1000276 - SN. ELECTRIC AND SUPPLY CO., LTD.</t>
        </is>
      </c>
      <c r="W99" s="5" t="inlineStr">
        <is>
          <t>Recive bill and GRN already</t>
        </is>
      </c>
      <c r="X99" s="5" t="n"/>
      <c r="Y99" s="3" t="n">
        <v>45513</v>
      </c>
      <c r="Z99" s="3" t="n"/>
      <c r="AA99" s="17">
        <f>IF(RawDataGenPO[[#This Row],[Date Gen PO]]="","",RawDataGenPO[[#This Row],[Date recive bill]]-RawDataGenPO[[#This Row],[Date Gen PO]])</f>
        <v/>
      </c>
      <c r="AB99" s="16">
        <f>IF(RawDataGenPO[[#This Row],[GRN-PO date]]&gt;RawDataGenPO[[#This Row],[Lead time delivery (day)]],"over deliverry","Ontime")</f>
        <v/>
      </c>
      <c r="AC99" s="168" t="n"/>
    </row>
    <row r="100" ht="15" customFormat="1" customHeight="1" s="125">
      <c r="A100" s="5">
        <f>ROW()-ROW(RawDataGenPO[[#Headers],[No.]])</f>
        <v/>
      </c>
      <c r="B100" s="7" t="inlineStr">
        <is>
          <t>Expent  cost</t>
        </is>
      </c>
      <c r="C100" s="276" t="n">
        <v>45498</v>
      </c>
      <c r="D100" s="276" t="n"/>
      <c r="E100" s="276" t="n"/>
      <c r="F100" s="276" t="n">
        <v>45498</v>
      </c>
      <c r="G100" s="5" t="inlineStr">
        <is>
          <t>PR2425-02269</t>
        </is>
      </c>
      <c r="H100" s="5" t="inlineStr">
        <is>
          <t>PO2425-02637</t>
        </is>
      </c>
      <c r="I100" s="290">
        <f>IF(RawDataGenPO[[#This Row],[PO No.]]="","",RawDataGenPO[[#This Row],[DMY Create PR]]+7)</f>
        <v/>
      </c>
      <c r="J100" s="290" t="n"/>
      <c r="K100" s="20">
        <f>IF(RawDataGenPO[[#This Row],[PO No.]]="","",10)</f>
        <v/>
      </c>
      <c r="L100" s="5" t="inlineStr">
        <is>
          <t>SFST81000050</t>
        </is>
      </c>
      <c r="M100" s="7" t="inlineStr">
        <is>
          <t>Consumable part for MN</t>
        </is>
      </c>
      <c r="N100" s="7" t="inlineStr">
        <is>
          <t>Consumable part</t>
        </is>
      </c>
      <c r="O100" s="11" t="n">
        <v>4</v>
      </c>
      <c r="P100" s="10" t="inlineStr">
        <is>
          <t>Din rail terminal FJ6N with cable 6sqmm 101A gray</t>
        </is>
      </c>
      <c r="Q100" s="277" t="n">
        <v>4</v>
      </c>
      <c r="R100" s="5" t="inlineStr">
        <is>
          <t>PC</t>
        </is>
      </c>
      <c r="S100" s="284">
        <f>RawDataGenPO[[#This Row],[Total price]]/RawDataGenPO[[#This Row],[Qty'']]</f>
        <v/>
      </c>
      <c r="T100" s="285" t="n">
        <v>540</v>
      </c>
      <c r="U100" s="161" t="inlineStr">
        <is>
          <t>Puneet Approval</t>
        </is>
      </c>
      <c r="V100" s="7" t="inlineStr">
        <is>
          <t>V1000276 - SN. ELECTRIC AND SUPPLY CO., LTD.</t>
        </is>
      </c>
      <c r="W100" s="5" t="inlineStr">
        <is>
          <t>Recive bill and GRN already</t>
        </is>
      </c>
      <c r="X100" s="5" t="n"/>
      <c r="Y100" s="3" t="n">
        <v>45513</v>
      </c>
      <c r="Z100" s="3" t="n"/>
      <c r="AA100" s="17">
        <f>IF(RawDataGenPO[[#This Row],[Date Gen PO]]="","",RawDataGenPO[[#This Row],[Date recive bill]]-RawDataGenPO[[#This Row],[Date Gen PO]])</f>
        <v/>
      </c>
      <c r="AB100" s="16">
        <f>IF(RawDataGenPO[[#This Row],[GRN-PO date]]&gt;RawDataGenPO[[#This Row],[Lead time delivery (day)]],"over deliverry","Ontime")</f>
        <v/>
      </c>
      <c r="AC100" s="168" t="n"/>
    </row>
    <row r="101" ht="15" customFormat="1" customHeight="1" s="125">
      <c r="A101" s="5">
        <f>ROW()-ROW(RawDataGenPO[[#Headers],[No.]])</f>
        <v/>
      </c>
      <c r="B101" s="7" t="inlineStr">
        <is>
          <t>Expent  cost</t>
        </is>
      </c>
      <c r="C101" s="276" t="n">
        <v>45498</v>
      </c>
      <c r="D101" s="276" t="n"/>
      <c r="E101" s="276" t="n"/>
      <c r="F101" s="276" t="n">
        <v>45498</v>
      </c>
      <c r="G101" s="5" t="inlineStr">
        <is>
          <t>PR2425-02269</t>
        </is>
      </c>
      <c r="H101" s="5" t="inlineStr">
        <is>
          <t>PO2425-02637</t>
        </is>
      </c>
      <c r="I101" s="290">
        <f>IF(RawDataGenPO[[#This Row],[PO No.]]="","",RawDataGenPO[[#This Row],[DMY Create PR]]+7)</f>
        <v/>
      </c>
      <c r="J101" s="290" t="n"/>
      <c r="K101" s="20">
        <f>IF(RawDataGenPO[[#This Row],[PO No.]]="","",10)</f>
        <v/>
      </c>
      <c r="L101" s="5" t="inlineStr">
        <is>
          <t>SFST81000050</t>
        </is>
      </c>
      <c r="M101" s="7" t="inlineStr">
        <is>
          <t>Consumable part for MN</t>
        </is>
      </c>
      <c r="N101" s="7" t="inlineStr">
        <is>
          <t>Consumable part</t>
        </is>
      </c>
      <c r="O101" s="11" t="n">
        <v>5</v>
      </c>
      <c r="P101" s="10" t="inlineStr">
        <is>
          <t>Din rail terminal FJ2.5N, insert cable 2.5 sqmm 101A, gray</t>
        </is>
      </c>
      <c r="Q101" s="277" t="n">
        <v>2</v>
      </c>
      <c r="R101" s="5" t="inlineStr">
        <is>
          <t>PC</t>
        </is>
      </c>
      <c r="S101" s="284">
        <f>RawDataGenPO[[#This Row],[Total price]]/RawDataGenPO[[#This Row],[Qty'']]</f>
        <v/>
      </c>
      <c r="T101" s="285" t="n">
        <v>260</v>
      </c>
      <c r="U101" s="161" t="inlineStr">
        <is>
          <t>Puneet Approval</t>
        </is>
      </c>
      <c r="V101" s="7" t="inlineStr">
        <is>
          <t>V1000276 - SN. ELECTRIC AND SUPPLY CO., LTD.</t>
        </is>
      </c>
      <c r="W101" s="5" t="inlineStr">
        <is>
          <t>Recive bill and GRN already</t>
        </is>
      </c>
      <c r="X101" s="5" t="n"/>
      <c r="Y101" s="3" t="n">
        <v>45513</v>
      </c>
      <c r="Z101" s="3" t="n"/>
      <c r="AA101" s="17">
        <f>IF(RawDataGenPO[[#This Row],[Date Gen PO]]="","",RawDataGenPO[[#This Row],[Date recive bill]]-RawDataGenPO[[#This Row],[Date Gen PO]])</f>
        <v/>
      </c>
      <c r="AB101" s="16">
        <f>IF(RawDataGenPO[[#This Row],[GRN-PO date]]&gt;RawDataGenPO[[#This Row],[Lead time delivery (day)]],"over deliverry","Ontime")</f>
        <v/>
      </c>
      <c r="AC101" s="168" t="n"/>
    </row>
    <row r="102" ht="15" customFormat="1" customHeight="1" s="125">
      <c r="A102" s="5">
        <f>ROW()-ROW(RawDataGenPO[[#Headers],[No.]])</f>
        <v/>
      </c>
      <c r="B102" s="7" t="inlineStr">
        <is>
          <t>Expent  cost</t>
        </is>
      </c>
      <c r="C102" s="276" t="n">
        <v>45498</v>
      </c>
      <c r="D102" s="276" t="n"/>
      <c r="E102" s="276" t="n"/>
      <c r="F102" s="276" t="n">
        <v>45498</v>
      </c>
      <c r="G102" s="5" t="inlineStr">
        <is>
          <t>PR2425-02269</t>
        </is>
      </c>
      <c r="H102" s="5" t="inlineStr">
        <is>
          <t>PO2425-02637</t>
        </is>
      </c>
      <c r="I102" s="290">
        <f>IF(RawDataGenPO[[#This Row],[PO No.]]="","",RawDataGenPO[[#This Row],[DMY Create PR]]+7)</f>
        <v/>
      </c>
      <c r="J102" s="290" t="n"/>
      <c r="K102" s="20">
        <f>IF(RawDataGenPO[[#This Row],[PO No.]]="","",10)</f>
        <v/>
      </c>
      <c r="L102" s="5" t="inlineStr">
        <is>
          <t>SFST81000050</t>
        </is>
      </c>
      <c r="M102" s="7" t="inlineStr">
        <is>
          <t>PD Machine</t>
        </is>
      </c>
      <c r="N102" s="7" t="inlineStr">
        <is>
          <t>Electrical jobs</t>
        </is>
      </c>
      <c r="O102" s="11" t="n">
        <v>6</v>
      </c>
      <c r="P102" s="10" t="inlineStr">
        <is>
          <t>Pilot lamp LED 22mm 220 Vac (green)</t>
        </is>
      </c>
      <c r="Q102" s="277" t="n">
        <v>10</v>
      </c>
      <c r="R102" s="5" t="inlineStr">
        <is>
          <t>PC</t>
        </is>
      </c>
      <c r="S102" s="284">
        <f>RawDataGenPO[[#This Row],[Total price]]/RawDataGenPO[[#This Row],[Qty'']]</f>
        <v/>
      </c>
      <c r="T102" s="285" t="n">
        <v>390</v>
      </c>
      <c r="U102" s="161" t="inlineStr">
        <is>
          <t>Puneet Approval</t>
        </is>
      </c>
      <c r="V102" s="7" t="inlineStr">
        <is>
          <t>V1000276 - SN. ELECTRIC AND SUPPLY CO., LTD.</t>
        </is>
      </c>
      <c r="W102" s="5" t="inlineStr">
        <is>
          <t>Recive bill and GRN already</t>
        </is>
      </c>
      <c r="X102" s="5" t="n"/>
      <c r="Y102" s="3" t="n">
        <v>45513</v>
      </c>
      <c r="Z102" s="3" t="n"/>
      <c r="AA102" s="17">
        <f>IF(RawDataGenPO[[#This Row],[Date Gen PO]]="","",RawDataGenPO[[#This Row],[Date recive bill]]-RawDataGenPO[[#This Row],[Date Gen PO]])</f>
        <v/>
      </c>
      <c r="AB102" s="16">
        <f>IF(RawDataGenPO[[#This Row],[GRN-PO date]]&gt;RawDataGenPO[[#This Row],[Lead time delivery (day)]],"over deliverry","Ontime")</f>
        <v/>
      </c>
      <c r="AC102" s="168" t="n"/>
    </row>
    <row r="103" ht="15" customFormat="1" customHeight="1" s="125">
      <c r="A103" s="5">
        <f>ROW()-ROW(RawDataGenPO[[#Headers],[No.]])</f>
        <v/>
      </c>
      <c r="B103" s="7" t="inlineStr">
        <is>
          <t>Expent  cost</t>
        </is>
      </c>
      <c r="C103" s="276" t="n">
        <v>45498</v>
      </c>
      <c r="D103" s="276" t="n"/>
      <c r="E103" s="276" t="n"/>
      <c r="F103" s="276" t="n">
        <v>45498</v>
      </c>
      <c r="G103" s="5" t="inlineStr">
        <is>
          <t>PR2425-02269</t>
        </is>
      </c>
      <c r="H103" s="5" t="inlineStr">
        <is>
          <t>PO2425-02637</t>
        </is>
      </c>
      <c r="I103" s="290">
        <f>IF(RawDataGenPO[[#This Row],[PO No.]]="","",RawDataGenPO[[#This Row],[DMY Create PR]]+7)</f>
        <v/>
      </c>
      <c r="J103" s="290" t="n"/>
      <c r="K103" s="20">
        <f>IF(RawDataGenPO[[#This Row],[PO No.]]="","",10)</f>
        <v/>
      </c>
      <c r="L103" s="5" t="inlineStr">
        <is>
          <t>SFST81000050</t>
        </is>
      </c>
      <c r="M103" s="7" t="inlineStr">
        <is>
          <t>Electrical system in PD area</t>
        </is>
      </c>
      <c r="N103" s="7" t="inlineStr">
        <is>
          <t>Electrical jobs</t>
        </is>
      </c>
      <c r="O103" s="11" t="n">
        <v>7</v>
      </c>
      <c r="P103" s="10" t="inlineStr">
        <is>
          <t>ASW220 IDEC Selector Switch 22mm 2 position</t>
        </is>
      </c>
      <c r="Q103" s="277" t="n">
        <v>6</v>
      </c>
      <c r="R103" s="5" t="inlineStr">
        <is>
          <t>PC</t>
        </is>
      </c>
      <c r="S103" s="284">
        <f>RawDataGenPO[[#This Row],[Total price]]/RawDataGenPO[[#This Row],[Qty'']]</f>
        <v/>
      </c>
      <c r="T103" s="285" t="n">
        <v>2100</v>
      </c>
      <c r="U103" s="161" t="inlineStr">
        <is>
          <t>Puneet Approval</t>
        </is>
      </c>
      <c r="V103" s="7" t="inlineStr">
        <is>
          <t>V1000276 - SN. ELECTRIC AND SUPPLY CO., LTD.</t>
        </is>
      </c>
      <c r="W103" s="5" t="inlineStr">
        <is>
          <t>Recive bill and GRN already</t>
        </is>
      </c>
      <c r="X103" s="5" t="n"/>
      <c r="Y103" s="3" t="n">
        <v>45513</v>
      </c>
      <c r="Z103" s="3" t="n"/>
      <c r="AA103" s="17">
        <f>IF(RawDataGenPO[[#This Row],[Date Gen PO]]="","",RawDataGenPO[[#This Row],[Date recive bill]]-RawDataGenPO[[#This Row],[Date Gen PO]])</f>
        <v/>
      </c>
      <c r="AB103" s="16">
        <f>IF(RawDataGenPO[[#This Row],[GRN-PO date]]&gt;RawDataGenPO[[#This Row],[Lead time delivery (day)]],"over deliverry","Ontime")</f>
        <v/>
      </c>
      <c r="AC103" s="168" t="n"/>
    </row>
    <row r="104" ht="15" customFormat="1" customHeight="1" s="125">
      <c r="A104" s="5">
        <f>ROW()-ROW(RawDataGenPO[[#Headers],[No.]])</f>
        <v/>
      </c>
      <c r="B104" s="7" t="inlineStr">
        <is>
          <t>Expent  cost</t>
        </is>
      </c>
      <c r="C104" s="276" t="n">
        <v>45498</v>
      </c>
      <c r="D104" s="276" t="n"/>
      <c r="E104" s="276" t="n"/>
      <c r="F104" s="276" t="n">
        <v>45498</v>
      </c>
      <c r="G104" s="5" t="inlineStr">
        <is>
          <t>PR2425-02269</t>
        </is>
      </c>
      <c r="H104" s="5" t="inlineStr">
        <is>
          <t>PO2425-02637</t>
        </is>
      </c>
      <c r="I104" s="290">
        <f>IF(RawDataGenPO[[#This Row],[PO No.]]="","",RawDataGenPO[[#This Row],[DMY Create PR]]+7)</f>
        <v/>
      </c>
      <c r="J104" s="290" t="n"/>
      <c r="K104" s="20">
        <f>IF(RawDataGenPO[[#This Row],[PO No.]]="","",10)</f>
        <v/>
      </c>
      <c r="L104" s="5" t="inlineStr">
        <is>
          <t>SFST81000050</t>
        </is>
      </c>
      <c r="M104" s="7" t="inlineStr">
        <is>
          <t>Electrical system in PD area</t>
        </is>
      </c>
      <c r="N104" s="7" t="inlineStr">
        <is>
          <t>Electrical jobs</t>
        </is>
      </c>
      <c r="O104" s="11" t="n">
        <v>8</v>
      </c>
      <c r="P104" s="10" t="inlineStr">
        <is>
          <t>Wire Duct rails, size Hight 40 mm, Width 30 mm, Length 2 M.</t>
        </is>
      </c>
      <c r="Q104" s="277" t="n">
        <v>5</v>
      </c>
      <c r="R104" s="5" t="inlineStr">
        <is>
          <t>PC</t>
        </is>
      </c>
      <c r="S104" s="284">
        <f>RawDataGenPO[[#This Row],[Total price]]/RawDataGenPO[[#This Row],[Qty'']]</f>
        <v/>
      </c>
      <c r="T104" s="285" t="n">
        <v>480</v>
      </c>
      <c r="U104" s="161" t="inlineStr">
        <is>
          <t>Puneet Approval</t>
        </is>
      </c>
      <c r="V104" s="7" t="inlineStr">
        <is>
          <t>V1000276 - SN. ELECTRIC AND SUPPLY CO., LTD.</t>
        </is>
      </c>
      <c r="W104" s="5" t="inlineStr">
        <is>
          <t>Recive bill and GRN already</t>
        </is>
      </c>
      <c r="X104" s="5" t="n"/>
      <c r="Y104" s="3" t="n">
        <v>45513</v>
      </c>
      <c r="Z104" s="3" t="n"/>
      <c r="AA104" s="17">
        <f>IF(RawDataGenPO[[#This Row],[Date Gen PO]]="","",RawDataGenPO[[#This Row],[Date recive bill]]-RawDataGenPO[[#This Row],[Date Gen PO]])</f>
        <v/>
      </c>
      <c r="AB104" s="16">
        <f>IF(RawDataGenPO[[#This Row],[GRN-PO date]]&gt;RawDataGenPO[[#This Row],[Lead time delivery (day)]],"over deliverry","Ontime")</f>
        <v/>
      </c>
      <c r="AC104" s="168" t="n"/>
    </row>
    <row r="105" customFormat="1" s="125">
      <c r="A105" s="5">
        <f>ROW()-ROW(RawDataGenPO[[#Headers],[No.]])</f>
        <v/>
      </c>
      <c r="B105" s="7" t="inlineStr">
        <is>
          <t>Expent  cost</t>
        </is>
      </c>
      <c r="C105" s="276" t="n">
        <v>45498</v>
      </c>
      <c r="D105" s="276" t="n"/>
      <c r="E105" s="276" t="n"/>
      <c r="F105" s="276" t="n">
        <v>45498</v>
      </c>
      <c r="G105" s="235" t="inlineStr">
        <is>
          <t>PR2425-02669</t>
        </is>
      </c>
      <c r="H105" s="5" t="inlineStr">
        <is>
          <t>PO2425-02637</t>
        </is>
      </c>
      <c r="I105" s="290">
        <f>IF(RawDataGenPO[[#This Row],[PO No.]]="","",RawDataGenPO[[#This Row],[DMY Create PR]]+7)</f>
        <v/>
      </c>
      <c r="J105" s="290" t="n"/>
      <c r="K105" s="20">
        <f>IF(RawDataGenPO[[#This Row],[PO No.]]="","",10)</f>
        <v/>
      </c>
      <c r="L105" s="189" t="inlineStr">
        <is>
          <t>SFST81000050</t>
        </is>
      </c>
      <c r="M105" s="7" t="inlineStr">
        <is>
          <t>Electrical system in PD area</t>
        </is>
      </c>
      <c r="N105" s="7" t="inlineStr">
        <is>
          <t>Electrical jobs</t>
        </is>
      </c>
      <c r="O105" s="11" t="n">
        <v>9</v>
      </c>
      <c r="P105" s="10" t="inlineStr">
        <is>
          <t>Ground rail terminal FJ10N, insert cable 10 sq m. 101A, gray</t>
        </is>
      </c>
      <c r="Q105" s="277" t="n">
        <v>4</v>
      </c>
      <c r="R105" s="5" t="inlineStr">
        <is>
          <t>pcs.</t>
        </is>
      </c>
      <c r="S105" s="284">
        <f>RawDataGenPO[[#This Row],[Total price]]/RawDataGenPO[[#This Row],[Qty'']]</f>
        <v/>
      </c>
      <c r="T105" s="296" t="n">
        <v>580</v>
      </c>
      <c r="U105" s="291" t="inlineStr">
        <is>
          <t>Puneet Approval</t>
        </is>
      </c>
      <c r="V105" s="7" t="inlineStr">
        <is>
          <t>V1000276 - SN. ELECTRIC AND SUPPLY CO., LTD.</t>
        </is>
      </c>
      <c r="W105" s="5" t="inlineStr">
        <is>
          <t>Recive bill and GRN already</t>
        </is>
      </c>
      <c r="X105" s="5" t="n"/>
      <c r="Y105" s="3" t="n">
        <v>45513</v>
      </c>
      <c r="Z105" s="3" t="n"/>
      <c r="AA105" s="17">
        <f>IF(RawDataGenPO[[#This Row],[Date Gen PO]]="","",RawDataGenPO[[#This Row],[Date recive bill]]-RawDataGenPO[[#This Row],[Date Gen PO]])</f>
        <v/>
      </c>
      <c r="AB105" s="16">
        <f>IF(RawDataGenPO[[#This Row],[GRN-PO date]]&gt;RawDataGenPO[[#This Row],[Lead time delivery (day)]],"over deliverry","Ontime")</f>
        <v/>
      </c>
      <c r="AC105" s="168" t="n"/>
    </row>
    <row r="106" customFormat="1" s="125">
      <c r="A106" s="5">
        <f>ROW()-ROW(RawDataGenPO[[#Headers],[No.]])</f>
        <v/>
      </c>
      <c r="B106" s="7" t="inlineStr">
        <is>
          <t>Expent  cost</t>
        </is>
      </c>
      <c r="C106" s="276" t="n">
        <v>45498</v>
      </c>
      <c r="D106" s="276" t="n"/>
      <c r="E106" s="276" t="n"/>
      <c r="F106" s="276" t="n">
        <v>45498</v>
      </c>
      <c r="G106" s="235" t="inlineStr">
        <is>
          <t>PR2425-02669</t>
        </is>
      </c>
      <c r="H106" s="5" t="inlineStr">
        <is>
          <t>PO2425-02637</t>
        </is>
      </c>
      <c r="I106" s="290">
        <f>IF(RawDataGenPO[[#This Row],[PO No.]]="","",RawDataGenPO[[#This Row],[DMY Create PR]]+7)</f>
        <v/>
      </c>
      <c r="J106" s="290" t="n"/>
      <c r="K106" s="20">
        <f>IF(RawDataGenPO[[#This Row],[PO No.]]="","",10)</f>
        <v/>
      </c>
      <c r="L106" s="189" t="inlineStr">
        <is>
          <t>SFST81000050</t>
        </is>
      </c>
      <c r="M106" s="7" t="inlineStr">
        <is>
          <t>Electrical system in PD area</t>
        </is>
      </c>
      <c r="N106" s="7" t="inlineStr">
        <is>
          <t>Electrical jobs</t>
        </is>
      </c>
      <c r="O106" s="11" t="n">
        <v>10</v>
      </c>
      <c r="P106" s="10" t="inlineStr">
        <is>
          <t>Din rail terminal FJ6N with cable 6sqmm 101A gray</t>
        </is>
      </c>
      <c r="Q106" s="277" t="n">
        <v>4</v>
      </c>
      <c r="R106" s="5" t="inlineStr">
        <is>
          <t>pcs.</t>
        </is>
      </c>
      <c r="S106" s="284">
        <f>RawDataGenPO[[#This Row],[Total price]]/RawDataGenPO[[#This Row],[Qty'']]</f>
        <v/>
      </c>
      <c r="T106" s="285" t="n">
        <v>540</v>
      </c>
      <c r="U106" s="291" t="inlineStr">
        <is>
          <t>Puneet Approval</t>
        </is>
      </c>
      <c r="V106" s="7" t="inlineStr">
        <is>
          <t>V1000276 - SN. ELECTRIC AND SUPPLY CO., LTD.</t>
        </is>
      </c>
      <c r="W106" s="5" t="inlineStr">
        <is>
          <t>Recive bill and GRN already</t>
        </is>
      </c>
      <c r="X106" s="5" t="n"/>
      <c r="Y106" s="3" t="n">
        <v>45513</v>
      </c>
      <c r="Z106" s="3" t="n"/>
      <c r="AA106" s="17">
        <f>IF(RawDataGenPO[[#This Row],[Date Gen PO]]="","",RawDataGenPO[[#This Row],[Date recive bill]]-RawDataGenPO[[#This Row],[Date Gen PO]])</f>
        <v/>
      </c>
      <c r="AB106" s="16">
        <f>IF(RawDataGenPO[[#This Row],[GRN-PO date]]&gt;RawDataGenPO[[#This Row],[Lead time delivery (day)]],"over deliverry","Ontime")</f>
        <v/>
      </c>
      <c r="AC106" s="168" t="n"/>
    </row>
    <row r="107" customFormat="1" s="125">
      <c r="A107" s="5">
        <f>ROW()-ROW(RawDataGenPO[[#Headers],[No.]])</f>
        <v/>
      </c>
      <c r="B107" s="7" t="inlineStr">
        <is>
          <t>Expent  cost</t>
        </is>
      </c>
      <c r="C107" s="276" t="n">
        <v>45498</v>
      </c>
      <c r="D107" s="276" t="n"/>
      <c r="E107" s="276" t="n"/>
      <c r="F107" s="276" t="n">
        <v>45498</v>
      </c>
      <c r="G107" s="235" t="inlineStr">
        <is>
          <t>PR2425-02669</t>
        </is>
      </c>
      <c r="H107" s="5" t="inlineStr">
        <is>
          <t>PO2425-02637</t>
        </is>
      </c>
      <c r="I107" s="290">
        <f>IF(RawDataGenPO[[#This Row],[PO No.]]="","",RawDataGenPO[[#This Row],[DMY Create PR]]+7)</f>
        <v/>
      </c>
      <c r="J107" s="290" t="n"/>
      <c r="K107" s="20">
        <f>IF(RawDataGenPO[[#This Row],[PO No.]]="","",10)</f>
        <v/>
      </c>
      <c r="L107" s="189" t="inlineStr">
        <is>
          <t>SFST81000050</t>
        </is>
      </c>
      <c r="M107" s="7" t="inlineStr">
        <is>
          <t>Electrical system in PD area</t>
        </is>
      </c>
      <c r="N107" s="7" t="inlineStr">
        <is>
          <t>Electrical jobs</t>
        </is>
      </c>
      <c r="O107" s="11" t="n">
        <v>11</v>
      </c>
      <c r="P107" s="10" t="inlineStr">
        <is>
          <t>Din rail terminal FJ2.5N, insert cable 2.5 sqmm 101A, gray</t>
        </is>
      </c>
      <c r="Q107" s="277" t="n">
        <v>2</v>
      </c>
      <c r="R107" s="5" t="inlineStr">
        <is>
          <t>pcs.</t>
        </is>
      </c>
      <c r="S107" s="284">
        <f>RawDataGenPO[[#This Row],[Total price]]/RawDataGenPO[[#This Row],[Qty'']]</f>
        <v/>
      </c>
      <c r="T107" s="285" t="n">
        <v>260</v>
      </c>
      <c r="U107" s="291" t="inlineStr">
        <is>
          <t>Puneet Approval</t>
        </is>
      </c>
      <c r="V107" s="7" t="inlineStr">
        <is>
          <t>V1000276 - SN. ELECTRIC AND SUPPLY CO., LTD.</t>
        </is>
      </c>
      <c r="W107" s="5" t="inlineStr">
        <is>
          <t>Recive bill and GRN already</t>
        </is>
      </c>
      <c r="X107" s="5" t="n"/>
      <c r="Y107" s="3" t="n">
        <v>45513</v>
      </c>
      <c r="Z107" s="3" t="n"/>
      <c r="AA107" s="17">
        <f>IF(RawDataGenPO[[#This Row],[Date Gen PO]]="","",RawDataGenPO[[#This Row],[Date recive bill]]-RawDataGenPO[[#This Row],[Date Gen PO]])</f>
        <v/>
      </c>
      <c r="AB107" s="16">
        <f>IF(RawDataGenPO[[#This Row],[GRN-PO date]]&gt;RawDataGenPO[[#This Row],[Lead time delivery (day)]],"over deliverry","Ontime")</f>
        <v/>
      </c>
      <c r="AC107" s="168" t="n"/>
    </row>
    <row r="108" customFormat="1" s="125">
      <c r="A108" s="5">
        <f>ROW()-ROW(RawDataGenPO[[#Headers],[No.]])</f>
        <v/>
      </c>
      <c r="B108" s="7" t="inlineStr">
        <is>
          <t>Expent  cost</t>
        </is>
      </c>
      <c r="C108" s="276" t="n">
        <v>45498</v>
      </c>
      <c r="D108" s="276" t="n"/>
      <c r="E108" s="276" t="n"/>
      <c r="F108" s="276" t="n">
        <v>45498</v>
      </c>
      <c r="G108" s="235" t="inlineStr">
        <is>
          <t>PR2425-02669</t>
        </is>
      </c>
      <c r="H108" s="5" t="inlineStr">
        <is>
          <t>PO2425-02637</t>
        </is>
      </c>
      <c r="I108" s="290">
        <f>IF(RawDataGenPO[[#This Row],[PO No.]]="","",RawDataGenPO[[#This Row],[DMY Create PR]]+7)</f>
        <v/>
      </c>
      <c r="J108" s="290" t="n"/>
      <c r="K108" s="20">
        <f>IF(RawDataGenPO[[#This Row],[PO No.]]="","",10)</f>
        <v/>
      </c>
      <c r="L108" s="189" t="inlineStr">
        <is>
          <t>SFST81000050</t>
        </is>
      </c>
      <c r="M108" s="7" t="inlineStr">
        <is>
          <t>Electrical system in PD area</t>
        </is>
      </c>
      <c r="N108" s="7" t="inlineStr">
        <is>
          <t>Electrical jobs</t>
        </is>
      </c>
      <c r="O108" s="11" t="n">
        <v>12</v>
      </c>
      <c r="P108" s="10" t="inlineStr">
        <is>
          <t>Pilot lamp LED 22mm 220 Vac (green)</t>
        </is>
      </c>
      <c r="Q108" s="277" t="n">
        <v>10</v>
      </c>
      <c r="R108" s="5" t="inlineStr">
        <is>
          <t>pcs.</t>
        </is>
      </c>
      <c r="S108" s="284">
        <f>RawDataGenPO[[#This Row],[Total price]]/RawDataGenPO[[#This Row],[Qty'']]</f>
        <v/>
      </c>
      <c r="T108" s="285" t="n">
        <v>390</v>
      </c>
      <c r="U108" s="291" t="inlineStr">
        <is>
          <t>Puneet Approval</t>
        </is>
      </c>
      <c r="V108" s="7" t="inlineStr">
        <is>
          <t>V1000276 - SN. ELECTRIC AND SUPPLY CO., LTD.</t>
        </is>
      </c>
      <c r="W108" s="5" t="inlineStr">
        <is>
          <t>Recive bill and GRN already</t>
        </is>
      </c>
      <c r="X108" s="5" t="n"/>
      <c r="Y108" s="3" t="n">
        <v>45513</v>
      </c>
      <c r="Z108" s="3" t="n"/>
      <c r="AA108" s="17">
        <f>IF(RawDataGenPO[[#This Row],[Date Gen PO]]="","",RawDataGenPO[[#This Row],[Date recive bill]]-RawDataGenPO[[#This Row],[Date Gen PO]])</f>
        <v/>
      </c>
      <c r="AB108" s="16">
        <f>IF(RawDataGenPO[[#This Row],[GRN-PO date]]&gt;RawDataGenPO[[#This Row],[Lead time delivery (day)]],"over deliverry","Ontime")</f>
        <v/>
      </c>
      <c r="AC108" s="168" t="n"/>
    </row>
    <row r="109" customFormat="1" s="125">
      <c r="A109" s="5">
        <f>ROW()-ROW(RawDataGenPO[[#Headers],[No.]])</f>
        <v/>
      </c>
      <c r="B109" s="7" t="inlineStr">
        <is>
          <t>Expent  cost</t>
        </is>
      </c>
      <c r="C109" s="276" t="n">
        <v>45498</v>
      </c>
      <c r="D109" s="276" t="n"/>
      <c r="E109" s="276" t="n"/>
      <c r="F109" s="276" t="n">
        <v>45498</v>
      </c>
      <c r="G109" s="235" t="inlineStr">
        <is>
          <t>PR2425-02669</t>
        </is>
      </c>
      <c r="H109" s="5" t="inlineStr">
        <is>
          <t>PO2425-02637</t>
        </is>
      </c>
      <c r="I109" s="290">
        <f>IF(RawDataGenPO[[#This Row],[PO No.]]="","",RawDataGenPO[[#This Row],[DMY Create PR]]+7)</f>
        <v/>
      </c>
      <c r="J109" s="290" t="n"/>
      <c r="K109" s="20">
        <f>IF(RawDataGenPO[[#This Row],[PO No.]]="","",10)</f>
        <v/>
      </c>
      <c r="L109" s="189" t="inlineStr">
        <is>
          <t>SFST81000050</t>
        </is>
      </c>
      <c r="M109" s="7" t="inlineStr">
        <is>
          <t>Electrical system in PD area</t>
        </is>
      </c>
      <c r="N109" s="7" t="inlineStr">
        <is>
          <t>Electrical jobs</t>
        </is>
      </c>
      <c r="O109" s="11" t="n">
        <v>13</v>
      </c>
      <c r="P109" s="10" t="inlineStr">
        <is>
          <t>ASW220 IDEC Selector Switch 22mm 2 position</t>
        </is>
      </c>
      <c r="Q109" s="277" t="n">
        <v>6</v>
      </c>
      <c r="R109" s="5" t="inlineStr">
        <is>
          <t>pcs.</t>
        </is>
      </c>
      <c r="S109" s="284">
        <f>RawDataGenPO[[#This Row],[Total price]]/RawDataGenPO[[#This Row],[Qty'']]</f>
        <v/>
      </c>
      <c r="T109" s="285" t="n">
        <v>2100</v>
      </c>
      <c r="U109" s="291" t="inlineStr">
        <is>
          <t>Puneet Approval</t>
        </is>
      </c>
      <c r="V109" s="7" t="inlineStr">
        <is>
          <t>V1000276 - SN. ELECTRIC AND SUPPLY CO., LTD.</t>
        </is>
      </c>
      <c r="W109" s="5" t="inlineStr">
        <is>
          <t>Recive bill and GRN already</t>
        </is>
      </c>
      <c r="X109" s="5" t="n"/>
      <c r="Y109" s="3" t="n">
        <v>45513</v>
      </c>
      <c r="Z109" s="3" t="n"/>
      <c r="AA109" s="17">
        <f>IF(RawDataGenPO[[#This Row],[Date Gen PO]]="","",RawDataGenPO[[#This Row],[Date recive bill]]-RawDataGenPO[[#This Row],[Date Gen PO]])</f>
        <v/>
      </c>
      <c r="AB109" s="16">
        <f>IF(RawDataGenPO[[#This Row],[GRN-PO date]]&gt;RawDataGenPO[[#This Row],[Lead time delivery (day)]],"over deliverry","Ontime")</f>
        <v/>
      </c>
      <c r="AC109" s="168" t="n"/>
    </row>
    <row r="110" customFormat="1" s="125">
      <c r="A110" s="5">
        <f>ROW()-ROW(RawDataGenPO[[#Headers],[No.]])</f>
        <v/>
      </c>
      <c r="B110" s="7" t="inlineStr">
        <is>
          <t>Expent  cost</t>
        </is>
      </c>
      <c r="C110" s="276" t="n">
        <v>45498</v>
      </c>
      <c r="D110" s="276" t="n"/>
      <c r="E110" s="276" t="n"/>
      <c r="F110" s="276" t="n">
        <v>45498</v>
      </c>
      <c r="G110" s="235" t="inlineStr">
        <is>
          <t>PR2425-02669</t>
        </is>
      </c>
      <c r="H110" s="5" t="inlineStr">
        <is>
          <t>PO2425-02637</t>
        </is>
      </c>
      <c r="I110" s="290">
        <f>IF(RawDataGenPO[[#This Row],[PO No.]]="","",RawDataGenPO[[#This Row],[DMY Create PR]]+7)</f>
        <v/>
      </c>
      <c r="J110" s="290" t="n"/>
      <c r="K110" s="20">
        <f>IF(RawDataGenPO[[#This Row],[PO No.]]="","",10)</f>
        <v/>
      </c>
      <c r="L110" s="189" t="inlineStr">
        <is>
          <t>SFST81000050</t>
        </is>
      </c>
      <c r="M110" s="7" t="inlineStr">
        <is>
          <t>Electrical system in PD area</t>
        </is>
      </c>
      <c r="N110" s="7" t="inlineStr">
        <is>
          <t>Electrical jobs</t>
        </is>
      </c>
      <c r="O110" s="11" t="n">
        <v>14</v>
      </c>
      <c r="P110" s="10" t="inlineStr">
        <is>
          <t>Wire Duct rails, size Hight 40 mm, Width 30 mm, Length 2 M.</t>
        </is>
      </c>
      <c r="Q110" s="277" t="n">
        <v>5</v>
      </c>
      <c r="R110" s="5" t="inlineStr">
        <is>
          <t>pcs.</t>
        </is>
      </c>
      <c r="S110" s="284">
        <f>RawDataGenPO[[#This Row],[Total price]]/RawDataGenPO[[#This Row],[Qty'']]</f>
        <v/>
      </c>
      <c r="T110" s="285" t="n">
        <v>480</v>
      </c>
      <c r="U110" s="291" t="inlineStr">
        <is>
          <t>Puneet Approval</t>
        </is>
      </c>
      <c r="V110" s="7" t="inlineStr">
        <is>
          <t>V1000276 - SN. ELECTRIC AND SUPPLY CO., LTD.</t>
        </is>
      </c>
      <c r="W110" s="5" t="inlineStr">
        <is>
          <t>Recive bill and GRN already</t>
        </is>
      </c>
      <c r="X110" s="5" t="n"/>
      <c r="Y110" s="3" t="n">
        <v>45513</v>
      </c>
      <c r="Z110" s="3" t="n"/>
      <c r="AA110" s="17">
        <f>IF(RawDataGenPO[[#This Row],[Date Gen PO]]="","",RawDataGenPO[[#This Row],[Date recive bill]]-RawDataGenPO[[#This Row],[Date Gen PO]])</f>
        <v/>
      </c>
      <c r="AB110" s="16">
        <f>IF(RawDataGenPO[[#This Row],[GRN-PO date]]&gt;RawDataGenPO[[#This Row],[Lead time delivery (day)]],"over deliverry","Ontime")</f>
        <v/>
      </c>
      <c r="AC110" s="168" t="n"/>
    </row>
    <row r="111" ht="30" customFormat="1" customHeight="1" s="125">
      <c r="A111" s="5">
        <f>ROW()-ROW(RawDataGenPO[[#Headers],[No.]])</f>
        <v/>
      </c>
      <c r="B111" s="7" t="inlineStr">
        <is>
          <t>Expent  cost</t>
        </is>
      </c>
      <c r="C111" s="276" t="n">
        <v>45498</v>
      </c>
      <c r="D111" s="276" t="n"/>
      <c r="E111" s="276" t="n"/>
      <c r="F111" s="276" t="n">
        <v>45498</v>
      </c>
      <c r="G111" s="5" t="inlineStr">
        <is>
          <t>PR2425-02271</t>
        </is>
      </c>
      <c r="H111" s="5" t="inlineStr">
        <is>
          <t>PO2425-02670</t>
        </is>
      </c>
      <c r="I111" s="286">
        <f>IF(RawDataGenPO[[#This Row],[PO No.]]="","",RawDataGenPO[[#This Row],[DMY Create PR]]+7)</f>
        <v/>
      </c>
      <c r="J111" s="286" t="n"/>
      <c r="K111" s="77">
        <f>IF(RawDataGenPO[[#This Row],[PO No.]]="","",10)</f>
        <v/>
      </c>
      <c r="L111" s="5" t="inlineStr">
        <is>
          <t>SFST81000050</t>
        </is>
      </c>
      <c r="M111" s="7" t="inlineStr">
        <is>
          <t>PD Machine</t>
        </is>
      </c>
      <c r="N111" s="7" t="inlineStr">
        <is>
          <t>Transport Conveyor1</t>
        </is>
      </c>
      <c r="O111" s="11" t="n">
        <v>1</v>
      </c>
      <c r="P111" s="10" t="inlineStr">
        <is>
          <t>EATON) Double Push button Start-Stop M22-DDL-GR-X1/X0/K11/LED-W</t>
        </is>
      </c>
      <c r="Q111" s="277" t="n">
        <v>2</v>
      </c>
      <c r="R111" s="5" t="inlineStr">
        <is>
          <t>PC</t>
        </is>
      </c>
      <c r="S111" s="284">
        <f>RawDataGenPO[[#This Row],[Total price]]/RawDataGenPO[[#This Row],[Qty'']]</f>
        <v/>
      </c>
      <c r="T111" s="285" t="n">
        <v>1242</v>
      </c>
      <c r="U111" s="161" t="inlineStr">
        <is>
          <t>Puneet Approval</t>
        </is>
      </c>
      <c r="V111" s="7" t="inlineStr">
        <is>
          <t>V1000481 - JW Tech Co., Ltd.</t>
        </is>
      </c>
      <c r="W111" s="5" t="inlineStr">
        <is>
          <t>Recive bill and GRN already</t>
        </is>
      </c>
      <c r="X111" s="5" t="inlineStr">
        <is>
          <t>GRN2425-0002872</t>
        </is>
      </c>
      <c r="Y111" s="3" t="n">
        <v>45510</v>
      </c>
      <c r="Z111" s="3" t="n"/>
      <c r="AA111" s="17">
        <f>IF(RawDataGenPO[[#This Row],[Date Gen PO]]="","",RawDataGenPO[[#This Row],[Date recive bill]]-RawDataGenPO[[#This Row],[Date Gen PO]])</f>
        <v/>
      </c>
      <c r="AB111" s="16">
        <f>IF(RawDataGenPO[[#This Row],[GRN-PO date]]&gt;RawDataGenPO[[#This Row],[Lead time delivery (day)]],"over deliverry","Ontime")</f>
        <v/>
      </c>
      <c r="AC111" s="168" t="n"/>
    </row>
    <row r="112" ht="15" customFormat="1" customHeight="1" s="125">
      <c r="A112" s="5">
        <f>ROW()-ROW(RawDataGenPO[[#Headers],[No.]])</f>
        <v/>
      </c>
      <c r="B112" s="7" t="inlineStr">
        <is>
          <t>Expent  cost</t>
        </is>
      </c>
      <c r="C112" s="276" t="n">
        <v>45498</v>
      </c>
      <c r="D112" s="276" t="n"/>
      <c r="E112" s="276" t="n"/>
      <c r="F112" s="276" t="n">
        <v>45498</v>
      </c>
      <c r="G112" s="5" t="inlineStr">
        <is>
          <t>PR2425-02271</t>
        </is>
      </c>
      <c r="H112" s="5" t="inlineStr">
        <is>
          <t>PO2425-02670</t>
        </is>
      </c>
      <c r="I112" s="286">
        <f>IF(RawDataGenPO[[#This Row],[PO No.]]="","",RawDataGenPO[[#This Row],[DMY Create PR]]+7)</f>
        <v/>
      </c>
      <c r="J112" s="286" t="n"/>
      <c r="K112" s="77">
        <f>IF(RawDataGenPO[[#This Row],[PO No.]]="","",10)</f>
        <v/>
      </c>
      <c r="L112" s="5" t="inlineStr">
        <is>
          <t>SFST81000050</t>
        </is>
      </c>
      <c r="M112" s="7" t="inlineStr">
        <is>
          <t>PD Machine</t>
        </is>
      </c>
      <c r="N112" s="7" t="inlineStr">
        <is>
          <t>Transport Conveyor1</t>
        </is>
      </c>
      <c r="O112" s="11" t="n">
        <v>2</v>
      </c>
      <c r="P112" s="10" t="inlineStr">
        <is>
          <t>Schneider" Electric Harmony RXM Industrial Relays 24VDC</t>
        </is>
      </c>
      <c r="Q112" s="277" t="n">
        <v>4</v>
      </c>
      <c r="R112" s="5" t="inlineStr">
        <is>
          <t>PC</t>
        </is>
      </c>
      <c r="S112" s="284">
        <f>RawDataGenPO[[#This Row],[Total price]]/RawDataGenPO[[#This Row],[Qty'']]</f>
        <v/>
      </c>
      <c r="T112" s="285" t="n">
        <v>434</v>
      </c>
      <c r="U112" s="161" t="inlineStr">
        <is>
          <t>Puneet Approval</t>
        </is>
      </c>
      <c r="V112" s="7" t="inlineStr">
        <is>
          <t>V1000481 - JW Tech Co., Ltd.</t>
        </is>
      </c>
      <c r="W112" s="5" t="inlineStr">
        <is>
          <t>Recive bill and GRN already</t>
        </is>
      </c>
      <c r="X112" s="5" t="inlineStr">
        <is>
          <t>GRN2425-0002872</t>
        </is>
      </c>
      <c r="Y112" s="3" t="n">
        <v>45510</v>
      </c>
      <c r="Z112" s="3" t="n"/>
      <c r="AA112" s="17">
        <f>IF(RawDataGenPO[[#This Row],[Date Gen PO]]="","",RawDataGenPO[[#This Row],[Date recive bill]]-RawDataGenPO[[#This Row],[Date Gen PO]])</f>
        <v/>
      </c>
      <c r="AB112" s="16">
        <f>IF(RawDataGenPO[[#This Row],[GRN-PO date]]&gt;RawDataGenPO[[#This Row],[Lead time delivery (day)]],"over deliverry","Ontime")</f>
        <v/>
      </c>
      <c r="AC112" s="257" t="n"/>
    </row>
    <row r="113" ht="15" customFormat="1" customHeight="1" s="125">
      <c r="A113" s="5">
        <f>ROW()-ROW(RawDataGenPO[[#Headers],[No.]])</f>
        <v/>
      </c>
      <c r="B113" s="7" t="inlineStr">
        <is>
          <t>Expent  cost</t>
        </is>
      </c>
      <c r="C113" s="276" t="n">
        <v>45498</v>
      </c>
      <c r="D113" s="276" t="n"/>
      <c r="E113" s="276" t="n"/>
      <c r="F113" s="276" t="n">
        <v>45498</v>
      </c>
      <c r="G113" s="5" t="inlineStr">
        <is>
          <t>PR2425-02271</t>
        </is>
      </c>
      <c r="H113" s="5" t="inlineStr">
        <is>
          <t>PO2425-02670</t>
        </is>
      </c>
      <c r="I113" s="286">
        <f>IF(RawDataGenPO[[#This Row],[PO No.]]="","",RawDataGenPO[[#This Row],[DMY Create PR]]+7)</f>
        <v/>
      </c>
      <c r="J113" s="286" t="n"/>
      <c r="K113" s="77">
        <f>IF(RawDataGenPO[[#This Row],[PO No.]]="","",10)</f>
        <v/>
      </c>
      <c r="L113" s="5" t="inlineStr">
        <is>
          <t>SFST81000050</t>
        </is>
      </c>
      <c r="M113" s="7" t="inlineStr">
        <is>
          <t>PD Machine</t>
        </is>
      </c>
      <c r="N113" s="7" t="inlineStr">
        <is>
          <t>Transport Conveyor1</t>
        </is>
      </c>
      <c r="O113" s="11" t="n">
        <v>3</v>
      </c>
      <c r="P113" s="10" t="inlineStr">
        <is>
          <t>OMRON" TIMER 24VDC H3CR-A8</t>
        </is>
      </c>
      <c r="Q113" s="277" t="n">
        <v>2</v>
      </c>
      <c r="R113" s="5" t="inlineStr">
        <is>
          <t>PC</t>
        </is>
      </c>
      <c r="S113" s="284">
        <f>RawDataGenPO[[#This Row],[Total price]]/RawDataGenPO[[#This Row],[Qty'']]</f>
        <v/>
      </c>
      <c r="T113" s="285" t="n">
        <v>2160</v>
      </c>
      <c r="U113" s="161" t="inlineStr">
        <is>
          <t>Puneet Approval</t>
        </is>
      </c>
      <c r="V113" s="7" t="inlineStr">
        <is>
          <t>V1000481 - JW Tech Co., Ltd.</t>
        </is>
      </c>
      <c r="W113" s="5" t="inlineStr">
        <is>
          <t>Recive bill and GRN already</t>
        </is>
      </c>
      <c r="X113" s="5" t="inlineStr">
        <is>
          <t>GRN2425-0002872</t>
        </is>
      </c>
      <c r="Y113" s="3" t="n">
        <v>45510</v>
      </c>
      <c r="Z113" s="3" t="n"/>
      <c r="AA113" s="17">
        <f>IF(RawDataGenPO[[#This Row],[Date Gen PO]]="","",RawDataGenPO[[#This Row],[Date recive bill]]-RawDataGenPO[[#This Row],[Date Gen PO]])</f>
        <v/>
      </c>
      <c r="AB113" s="16">
        <f>IF(RawDataGenPO[[#This Row],[GRN-PO date]]&gt;RawDataGenPO[[#This Row],[Lead time delivery (day)]],"over deliverry","Ontime")</f>
        <v/>
      </c>
      <c r="AC113" s="257" t="n"/>
    </row>
    <row r="114" ht="15" customFormat="1" customHeight="1" s="125">
      <c r="A114" s="5">
        <f>ROW()-ROW(RawDataGenPO[[#Headers],[No.]])</f>
        <v/>
      </c>
      <c r="B114" s="7" t="inlineStr">
        <is>
          <t>Expent  cost</t>
        </is>
      </c>
      <c r="C114" s="276" t="n">
        <v>45498</v>
      </c>
      <c r="D114" s="276" t="n"/>
      <c r="E114" s="276" t="n"/>
      <c r="F114" s="276" t="n">
        <v>45498</v>
      </c>
      <c r="G114" s="5" t="inlineStr">
        <is>
          <t>PR2425-02271</t>
        </is>
      </c>
      <c r="H114" s="5" t="inlineStr">
        <is>
          <t>PO2425-02670</t>
        </is>
      </c>
      <c r="I114" s="286">
        <f>IF(RawDataGenPO[[#This Row],[PO No.]]="","",RawDataGenPO[[#This Row],[DMY Create PR]]+7)</f>
        <v/>
      </c>
      <c r="J114" s="286" t="n"/>
      <c r="K114" s="77">
        <f>IF(RawDataGenPO[[#This Row],[PO No.]]="","",10)</f>
        <v/>
      </c>
      <c r="L114" s="5" t="inlineStr">
        <is>
          <t>SFST81000050</t>
        </is>
      </c>
      <c r="M114" s="7" t="inlineStr">
        <is>
          <t>PD Machine</t>
        </is>
      </c>
      <c r="N114" s="7" t="inlineStr">
        <is>
          <t>Transport Conveyor1</t>
        </is>
      </c>
      <c r="O114" s="11" t="n">
        <v>4</v>
      </c>
      <c r="P114" s="10" t="inlineStr">
        <is>
          <t>OMRON" Socket Terminal 8-Pin for use with 8-pin timer</t>
        </is>
      </c>
      <c r="Q114" s="277" t="n">
        <v>2</v>
      </c>
      <c r="R114" s="5" t="inlineStr">
        <is>
          <t>PC</t>
        </is>
      </c>
      <c r="S114" s="284">
        <f>RawDataGenPO[[#This Row],[Total price]]/RawDataGenPO[[#This Row],[Qty'']]</f>
        <v/>
      </c>
      <c r="T114" s="285" t="n">
        <v>130</v>
      </c>
      <c r="U114" s="161" t="inlineStr">
        <is>
          <t>Puneet Approval</t>
        </is>
      </c>
      <c r="V114" s="7" t="inlineStr">
        <is>
          <t>V1000481 - JW Tech Co., Ltd.</t>
        </is>
      </c>
      <c r="W114" s="5" t="inlineStr">
        <is>
          <t>Recive bill and GRN already</t>
        </is>
      </c>
      <c r="X114" s="5" t="inlineStr">
        <is>
          <t>GRN2425-0002872</t>
        </is>
      </c>
      <c r="Y114" s="3" t="n">
        <v>45510</v>
      </c>
      <c r="Z114" s="3" t="n"/>
      <c r="AA114" s="17">
        <f>IF(RawDataGenPO[[#This Row],[Date Gen PO]]="","",RawDataGenPO[[#This Row],[Date recive bill]]-RawDataGenPO[[#This Row],[Date Gen PO]])</f>
        <v/>
      </c>
      <c r="AB114" s="16">
        <f>IF(RawDataGenPO[[#This Row],[GRN-PO date]]&gt;RawDataGenPO[[#This Row],[Lead time delivery (day)]],"over deliverry","Ontime")</f>
        <v/>
      </c>
      <c r="AC114" s="257" t="n"/>
    </row>
    <row r="115" ht="15" customFormat="1" customHeight="1" s="231">
      <c r="A115" s="5">
        <f>ROW()-ROW(RawDataGenPO[[#Headers],[No.]])</f>
        <v/>
      </c>
      <c r="B115" s="7" t="inlineStr">
        <is>
          <t>Expent  cost</t>
        </is>
      </c>
      <c r="C115" s="276" t="n">
        <v>45498</v>
      </c>
      <c r="D115" s="275" t="n"/>
      <c r="E115" s="275" t="n"/>
      <c r="F115" s="276" t="n">
        <v>45498</v>
      </c>
      <c r="G115" s="181" t="inlineStr">
        <is>
          <t>PR2425-02272</t>
        </is>
      </c>
      <c r="H115" s="5" t="inlineStr">
        <is>
          <t>PO2425-02672</t>
        </is>
      </c>
      <c r="I115" s="290">
        <f>IF(RawDataGenPO[[#This Row],[PO No.]]="","",RawDataGenPO[[#This Row],[DMY Create PR]]+7)</f>
        <v/>
      </c>
      <c r="J115" s="290" t="n"/>
      <c r="K115" s="20" t="n">
        <v>27</v>
      </c>
      <c r="L115" s="5" t="inlineStr">
        <is>
          <t>SFST81000050</t>
        </is>
      </c>
      <c r="M115" s="7" t="inlineStr">
        <is>
          <t>Stationnary admin jobs</t>
        </is>
      </c>
      <c r="N115" s="7" t="inlineStr">
        <is>
          <t>Stationnary admin jobs</t>
        </is>
      </c>
      <c r="O115" s="11" t="n">
        <v>1</v>
      </c>
      <c r="P115" s="10" t="inlineStr">
        <is>
          <t>BAIPO" Signature Book F4 (document signing book), assorted colors, size 26.5x37 cm</t>
        </is>
      </c>
      <c r="Q115" s="277" t="n">
        <v>4</v>
      </c>
      <c r="R115" s="5" t="inlineStr">
        <is>
          <t>PC</t>
        </is>
      </c>
      <c r="S115" s="284">
        <f>RawDataGenPO[[#This Row],[Total price]]/RawDataGenPO[[#This Row],[Qty'']]</f>
        <v/>
      </c>
      <c r="T115" s="285" t="n">
        <v>660</v>
      </c>
      <c r="U115" s="161" t="inlineStr">
        <is>
          <t>Puneet Approval</t>
        </is>
      </c>
      <c r="V115" s="7" t="inlineStr">
        <is>
          <t>V1000045 - OFFICE WORK CO., LTD.</t>
        </is>
      </c>
      <c r="W115" s="5" t="inlineStr">
        <is>
          <t>Recive bill and GRN already</t>
        </is>
      </c>
      <c r="X115" s="5" t="n"/>
      <c r="Y115" s="3" t="n">
        <v>45532</v>
      </c>
      <c r="Z115" s="3" t="n"/>
      <c r="AA115" s="17">
        <f>IF(RawDataGenPO[[#This Row],[Date Gen PO]]="","",RawDataGenPO[[#This Row],[Date recive bill]]-RawDataGenPO[[#This Row],[Date Gen PO]])</f>
        <v/>
      </c>
      <c r="AB115" s="16">
        <f>IF(RawDataGenPO[[#This Row],[GRN-PO date]]&gt;RawDataGenPO[[#This Row],[Lead time delivery (day)]],"over deliverry","Ontime")</f>
        <v/>
      </c>
      <c r="AC115" s="168" t="n"/>
    </row>
    <row r="116" customFormat="1" s="125">
      <c r="A116" s="5">
        <f>ROW()-ROW(RawDataGenPO[[#Headers],[No.]])</f>
        <v/>
      </c>
      <c r="B116" s="7" t="inlineStr">
        <is>
          <t>Expent  cost</t>
        </is>
      </c>
      <c r="C116" s="276" t="n">
        <v>45498</v>
      </c>
      <c r="D116" s="276" t="n"/>
      <c r="E116" s="276" t="n"/>
      <c r="F116" s="276" t="n">
        <v>45498</v>
      </c>
      <c r="G116" s="239" t="inlineStr">
        <is>
          <t>PR2425-02272</t>
        </is>
      </c>
      <c r="H116" s="5" t="inlineStr">
        <is>
          <t>PO2425-02672</t>
        </is>
      </c>
      <c r="I116" s="290">
        <f>IF(RawDataGenPO[[#This Row],[PO No.]]="","",RawDataGenPO[[#This Row],[DMY Create PR]]+7)</f>
        <v/>
      </c>
      <c r="J116" s="290" t="n"/>
      <c r="K116" s="20" t="n">
        <v>30</v>
      </c>
      <c r="L116" s="5" t="inlineStr">
        <is>
          <t>SFST81000050</t>
        </is>
      </c>
      <c r="M116" s="7" t="inlineStr">
        <is>
          <t>Stationnary admin jobs</t>
        </is>
      </c>
      <c r="N116" s="7" t="inlineStr">
        <is>
          <t>Stationnary admin jobs</t>
        </is>
      </c>
      <c r="O116" s="11" t="n">
        <v>2</v>
      </c>
      <c r="P116" s="10" t="inlineStr">
        <is>
          <t>BAIPO" Signature Book F4 (document signing book), assorted colors, size 26.5x37 cm</t>
        </is>
      </c>
      <c r="Q116" s="277" t="n">
        <v>4</v>
      </c>
      <c r="R116" s="5" t="inlineStr">
        <is>
          <t>pcs.</t>
        </is>
      </c>
      <c r="S116" s="284">
        <f>RawDataGenPO[[#This Row],[Total price]]/RawDataGenPO[[#This Row],[Qty'']]</f>
        <v/>
      </c>
      <c r="T116" s="285" t="n">
        <v>660</v>
      </c>
      <c r="U116" s="291" t="inlineStr">
        <is>
          <t>Puneet Approval</t>
        </is>
      </c>
      <c r="V116" s="7" t="inlineStr">
        <is>
          <t>V1000045 - OFFICE WORK CO., LTD.</t>
        </is>
      </c>
      <c r="W116" s="5" t="inlineStr">
        <is>
          <t>Recive bill and GRN already</t>
        </is>
      </c>
      <c r="X116" s="5" t="n"/>
      <c r="Y116" s="3" t="n">
        <v>45532</v>
      </c>
      <c r="Z116" s="3" t="n"/>
      <c r="AA116" s="17">
        <f>IF(RawDataGenPO[[#This Row],[Date Gen PO]]="","",RawDataGenPO[[#This Row],[Date recive bill]]-RawDataGenPO[[#This Row],[Date Gen PO]])</f>
        <v/>
      </c>
      <c r="AB116" s="16">
        <f>IF(RawDataGenPO[[#This Row],[GRN-PO date]]&gt;RawDataGenPO[[#This Row],[Lead time delivery (day)]],"over deliverry","Ontime")</f>
        <v/>
      </c>
      <c r="AC116" s="168" t="n"/>
    </row>
    <row r="117" ht="30" customFormat="1" customHeight="1" s="125">
      <c r="A117" s="5">
        <f>ROW()-ROW(RawDataGenPO[[#Headers],[No.]])</f>
        <v/>
      </c>
      <c r="B117" s="7" t="inlineStr">
        <is>
          <t>Expent  cost</t>
        </is>
      </c>
      <c r="C117" s="276" t="n">
        <v>45498</v>
      </c>
      <c r="D117" s="276" t="n"/>
      <c r="E117" s="276" t="n"/>
      <c r="F117" s="276" t="n">
        <v>45498</v>
      </c>
      <c r="G117" s="181" t="inlineStr">
        <is>
          <t>PR2425-02273</t>
        </is>
      </c>
      <c r="H117" s="5" t="inlineStr">
        <is>
          <t>PO2425-02673</t>
        </is>
      </c>
      <c r="I117" s="290">
        <f>IF(RawDataGenPO[[#This Row],[PO No.]]="","",RawDataGenPO[[#This Row],[DMY Create PR]]+7)</f>
        <v/>
      </c>
      <c r="J117" s="290" t="n"/>
      <c r="K117" s="20">
        <f>IF(RawDataGenPO[[#This Row],[PO No.]]="","",10)</f>
        <v/>
      </c>
      <c r="L117" s="5" t="inlineStr">
        <is>
          <t>SFST81000050</t>
        </is>
      </c>
      <c r="M117" s="7" t="inlineStr">
        <is>
          <t>PD Machine</t>
        </is>
      </c>
      <c r="N117" s="7" t="inlineStr">
        <is>
          <t>Can Opener No.2</t>
        </is>
      </c>
      <c r="O117" s="11" t="n">
        <v>1</v>
      </c>
      <c r="P117" s="191" t="inlineStr">
        <is>
          <t>Turning work, PE1000 workpiece according to the drawing
-Dia 180 x 143.5 mm.</t>
        </is>
      </c>
      <c r="Q117" s="277" t="n">
        <v>1</v>
      </c>
      <c r="R117" s="5" t="inlineStr">
        <is>
          <t>PC</t>
        </is>
      </c>
      <c r="S117" s="284">
        <f>RawDataGenPO[[#This Row],[Total price]]/RawDataGenPO[[#This Row],[Qty'']]</f>
        <v/>
      </c>
      <c r="T117" s="297" t="n">
        <v>2450</v>
      </c>
      <c r="U117" s="161" t="n"/>
      <c r="V117" s="7" t="inlineStr">
        <is>
          <t>V1000536 - Wongchan Engineering CO., LTD.</t>
        </is>
      </c>
      <c r="W117" s="5" t="inlineStr">
        <is>
          <t>Recive bill and GRN already</t>
        </is>
      </c>
      <c r="X117" s="5" t="n"/>
      <c r="Y117" s="3" t="n">
        <v>45513</v>
      </c>
      <c r="Z117" s="3" t="n"/>
      <c r="AA117" s="17">
        <f>IF(RawDataGenPO[[#This Row],[Date Gen PO]]="","",RawDataGenPO[[#This Row],[Date recive bill]]-RawDataGenPO[[#This Row],[Date Gen PO]])</f>
        <v/>
      </c>
      <c r="AB117" s="16">
        <f>IF(RawDataGenPO[[#This Row],[GRN-PO date]]&gt;RawDataGenPO[[#This Row],[Lead time delivery (day)]],"over deliverry","Ontime")</f>
        <v/>
      </c>
      <c r="AC117" s="168" t="n"/>
    </row>
    <row r="118" ht="30" customFormat="1" customHeight="1" s="125">
      <c r="A118" s="5">
        <f>ROW()-ROW(RawDataGenPO[[#Headers],[No.]])</f>
        <v/>
      </c>
      <c r="B118" s="7" t="inlineStr">
        <is>
          <t>Expent  cost</t>
        </is>
      </c>
      <c r="C118" s="276" t="n">
        <v>45498</v>
      </c>
      <c r="D118" s="276" t="n"/>
      <c r="E118" s="276" t="n"/>
      <c r="F118" s="276" t="n">
        <v>45498</v>
      </c>
      <c r="G118" s="181" t="inlineStr">
        <is>
          <t>PR2425-02273</t>
        </is>
      </c>
      <c r="H118" s="5" t="inlineStr">
        <is>
          <t>PO2425-02673</t>
        </is>
      </c>
      <c r="I118" s="290">
        <f>IF(RawDataGenPO[[#This Row],[PO No.]]="","",RawDataGenPO[[#This Row],[DMY Create PR]]+7)</f>
        <v/>
      </c>
      <c r="J118" s="290" t="n"/>
      <c r="K118" s="20">
        <f>IF(RawDataGenPO[[#This Row],[PO No.]]="","",10)</f>
        <v/>
      </c>
      <c r="L118" s="5" t="inlineStr">
        <is>
          <t>SFST81000050</t>
        </is>
      </c>
      <c r="M118" s="7" t="inlineStr">
        <is>
          <t>PD Machine</t>
        </is>
      </c>
      <c r="N118" s="7" t="inlineStr">
        <is>
          <t>Can Opener No.2</t>
        </is>
      </c>
      <c r="O118" s="11" t="n">
        <v>2</v>
      </c>
      <c r="P118" s="191" t="inlineStr">
        <is>
          <t>Turning work, PE1000 workpiece according to the drawing
-Dia 180 x 147.5 mm.</t>
        </is>
      </c>
      <c r="Q118" s="277" t="n">
        <v>1</v>
      </c>
      <c r="R118" s="5" t="inlineStr">
        <is>
          <t>PC</t>
        </is>
      </c>
      <c r="S118" s="284">
        <f>RawDataGenPO[[#This Row],[Total price]]/RawDataGenPO[[#This Row],[Qty'']]</f>
        <v/>
      </c>
      <c r="T118" s="297" t="n">
        <v>2450</v>
      </c>
      <c r="U118" s="161" t="n"/>
      <c r="V118" s="7" t="inlineStr">
        <is>
          <t>V1000536 - Wongchan Engineering CO., LTD.</t>
        </is>
      </c>
      <c r="W118" s="5" t="inlineStr">
        <is>
          <t>Recive bill and GRN already</t>
        </is>
      </c>
      <c r="X118" s="5" t="n"/>
      <c r="Y118" s="3" t="n">
        <v>45513</v>
      </c>
      <c r="Z118" s="3" t="n"/>
      <c r="AA118" s="17">
        <f>IF(RawDataGenPO[[#This Row],[Date Gen PO]]="","",RawDataGenPO[[#This Row],[Date recive bill]]-RawDataGenPO[[#This Row],[Date Gen PO]])</f>
        <v/>
      </c>
      <c r="AB118" s="16">
        <f>IF(RawDataGenPO[[#This Row],[GRN-PO date]]&gt;RawDataGenPO[[#This Row],[Lead time delivery (day)]],"over deliverry","Ontime")</f>
        <v/>
      </c>
      <c r="AC118" s="168" t="n"/>
    </row>
    <row r="119" ht="30" customFormat="1" customHeight="1" s="125">
      <c r="A119" s="5">
        <f>ROW()-ROW(RawDataGenPO[[#Headers],[No.]])</f>
        <v/>
      </c>
      <c r="B119" s="7" t="inlineStr">
        <is>
          <t>Expent  cost</t>
        </is>
      </c>
      <c r="C119" s="276" t="n">
        <v>45498</v>
      </c>
      <c r="D119" s="276" t="n"/>
      <c r="E119" s="276" t="n"/>
      <c r="F119" s="276" t="n">
        <v>45498</v>
      </c>
      <c r="G119" s="239" t="inlineStr">
        <is>
          <t>PR2425-02273</t>
        </is>
      </c>
      <c r="H119" s="5" t="inlineStr">
        <is>
          <t xml:space="preserve">PO2425-02673 </t>
        </is>
      </c>
      <c r="I119" s="290">
        <f>IF(RawDataGenPO[[#This Row],[PO No.]]="","",RawDataGenPO[[#This Row],[DMY Create PR]]+7)</f>
        <v/>
      </c>
      <c r="J119" s="290" t="n"/>
      <c r="K119" s="20">
        <f>IF(RawDataGenPO[[#This Row],[PO No.]]="","",10)</f>
        <v/>
      </c>
      <c r="L119" s="5" t="inlineStr">
        <is>
          <t>SFST81000050</t>
        </is>
      </c>
      <c r="M119" s="7" t="inlineStr">
        <is>
          <t>PD Machine</t>
        </is>
      </c>
      <c r="N119" s="7" t="inlineStr">
        <is>
          <t>Can Opener No.2</t>
        </is>
      </c>
      <c r="O119" s="11" t="n">
        <v>3</v>
      </c>
      <c r="P119" s="191" t="inlineStr">
        <is>
          <t>Turning work, PE1000 workpiece according to the drawing
-Dia 180 x 143.5 mm.</t>
        </is>
      </c>
      <c r="Q119" s="277" t="n">
        <v>1</v>
      </c>
      <c r="R119" s="5" t="inlineStr">
        <is>
          <t>pcs.</t>
        </is>
      </c>
      <c r="S119" s="284">
        <f>RawDataGenPO[[#This Row],[Total price]]/RawDataGenPO[[#This Row],[Qty'']]</f>
        <v/>
      </c>
      <c r="T119" s="297" t="n">
        <v>2450</v>
      </c>
      <c r="U119" s="161" t="inlineStr">
        <is>
          <t>Puneet Approval</t>
        </is>
      </c>
      <c r="V119" s="7" t="inlineStr">
        <is>
          <t>V1000536 - Wongchan Engineering CO., LTD.</t>
        </is>
      </c>
      <c r="W119" s="5" t="inlineStr">
        <is>
          <t>Recive bill and GRN already</t>
        </is>
      </c>
      <c r="X119" s="5" t="n"/>
      <c r="Y119" s="3" t="n">
        <v>45513</v>
      </c>
      <c r="Z119" s="3" t="n"/>
      <c r="AA119" s="17">
        <f>IF(RawDataGenPO[[#This Row],[Date Gen PO]]="","",RawDataGenPO[[#This Row],[Date recive bill]]-RawDataGenPO[[#This Row],[Date Gen PO]])</f>
        <v/>
      </c>
      <c r="AB119" s="16">
        <f>IF(RawDataGenPO[[#This Row],[GRN-PO date]]&gt;RawDataGenPO[[#This Row],[Lead time delivery (day)]],"over deliverry","Ontime")</f>
        <v/>
      </c>
      <c r="AC119" s="168" t="n"/>
    </row>
    <row r="120" ht="30" customFormat="1" customHeight="1" s="125">
      <c r="A120" s="5">
        <f>ROW()-ROW(RawDataGenPO[[#Headers],[No.]])</f>
        <v/>
      </c>
      <c r="B120" s="7" t="inlineStr">
        <is>
          <t>Expent  cost</t>
        </is>
      </c>
      <c r="C120" s="276" t="n">
        <v>45498</v>
      </c>
      <c r="D120" s="276" t="n"/>
      <c r="E120" s="276" t="n"/>
      <c r="F120" s="276" t="n">
        <v>45498</v>
      </c>
      <c r="G120" s="239" t="inlineStr">
        <is>
          <t>PR2425-02273</t>
        </is>
      </c>
      <c r="H120" s="5" t="inlineStr">
        <is>
          <t xml:space="preserve">PO2425-02673 </t>
        </is>
      </c>
      <c r="I120" s="290">
        <f>IF(RawDataGenPO[[#This Row],[PO No.]]="","",RawDataGenPO[[#This Row],[DMY Create PR]]+7)</f>
        <v/>
      </c>
      <c r="J120" s="290" t="n"/>
      <c r="K120" s="20">
        <f>IF(RawDataGenPO[[#This Row],[PO No.]]="","",10)</f>
        <v/>
      </c>
      <c r="L120" s="5" t="inlineStr">
        <is>
          <t>SFST81000050</t>
        </is>
      </c>
      <c r="M120" s="7" t="inlineStr">
        <is>
          <t>PD Machine</t>
        </is>
      </c>
      <c r="N120" s="7" t="inlineStr">
        <is>
          <t>Can Opener No.2</t>
        </is>
      </c>
      <c r="O120" s="11" t="n">
        <v>4</v>
      </c>
      <c r="P120" s="191" t="inlineStr">
        <is>
          <t>Turning work, PE1000 workpiece according to the drawing
-Dia 180 x 147.5 mm.</t>
        </is>
      </c>
      <c r="Q120" s="277" t="n">
        <v>1</v>
      </c>
      <c r="R120" s="5" t="inlineStr">
        <is>
          <t>pcs.</t>
        </is>
      </c>
      <c r="S120" s="284">
        <f>RawDataGenPO[[#This Row],[Total price]]/RawDataGenPO[[#This Row],[Qty'']]</f>
        <v/>
      </c>
      <c r="T120" s="297" t="n">
        <v>2450</v>
      </c>
      <c r="U120" s="291" t="inlineStr">
        <is>
          <t>Puneet Approval</t>
        </is>
      </c>
      <c r="V120" s="7" t="inlineStr">
        <is>
          <t>V1000536 - Wongchan Engineering CO., LTD.</t>
        </is>
      </c>
      <c r="W120" s="5" t="inlineStr">
        <is>
          <t>Recive bill and GRN already</t>
        </is>
      </c>
      <c r="X120" s="5" t="n"/>
      <c r="Y120" s="3" t="n">
        <v>45513</v>
      </c>
      <c r="Z120" s="3" t="n"/>
      <c r="AA120" s="17">
        <f>IF(RawDataGenPO[[#This Row],[Date Gen PO]]="","",RawDataGenPO[[#This Row],[Date recive bill]]-RawDataGenPO[[#This Row],[Date Gen PO]])</f>
        <v/>
      </c>
      <c r="AB120" s="16">
        <f>IF(RawDataGenPO[[#This Row],[GRN-PO date]]&gt;RawDataGenPO[[#This Row],[Lead time delivery (day)]],"over deliverry","Ontime")</f>
        <v/>
      </c>
      <c r="AC120" s="168" t="n"/>
    </row>
    <row r="121" ht="15" customFormat="1" customHeight="1" s="125">
      <c r="A121" s="5">
        <f>ROW()-ROW(RawDataGenPO[[#Headers],[No.]])</f>
        <v/>
      </c>
      <c r="B121" s="7" t="inlineStr">
        <is>
          <t>Expent  cost</t>
        </is>
      </c>
      <c r="C121" s="276" t="n">
        <v>45503</v>
      </c>
      <c r="D121" s="276" t="n"/>
      <c r="E121" s="276" t="n"/>
      <c r="F121" s="276" t="n">
        <v>45503</v>
      </c>
      <c r="G121" s="181" t="inlineStr">
        <is>
          <t>PR2425-02378</t>
        </is>
      </c>
      <c r="H121" s="5" t="inlineStr">
        <is>
          <t>PO2425-02674</t>
        </is>
      </c>
      <c r="I121" s="290">
        <f>IF(RawDataGenPO[[#This Row],[PO No.]]="","",RawDataGenPO[[#This Row],[DMY Create PR]]+7)</f>
        <v/>
      </c>
      <c r="J121" s="290" t="n"/>
      <c r="K121" s="20" t="n">
        <v>30</v>
      </c>
      <c r="L121" s="5" t="inlineStr">
        <is>
          <t>SFST81000050</t>
        </is>
      </c>
      <c r="M121" s="7" t="inlineStr">
        <is>
          <t>PPE Equipment</t>
        </is>
      </c>
      <c r="N121" s="7" t="inlineStr">
        <is>
          <t>PPE and other equipment</t>
        </is>
      </c>
      <c r="O121" s="11" t="n">
        <v>1</v>
      </c>
      <c r="P121" s="191" t="inlineStr">
        <is>
          <t>UK SAFETY" model OXFORD safety shoes, Composite toe, Kevlar sole</t>
        </is>
      </c>
      <c r="Q121" s="277" t="n">
        <v>1</v>
      </c>
      <c r="R121" s="5" t="inlineStr">
        <is>
          <t>Pcs.</t>
        </is>
      </c>
      <c r="S121" s="284">
        <f>RawDataGenPO[[#This Row],[Total price]]/RawDataGenPO[[#This Row],[Qty'']]</f>
        <v/>
      </c>
      <c r="T121" s="297" t="n">
        <v>750</v>
      </c>
      <c r="U121" s="161" t="inlineStr">
        <is>
          <t>Puneet Approval</t>
        </is>
      </c>
      <c r="V121" s="7" t="inlineStr">
        <is>
          <t>V1000556 - Team Safety Sales Co., Ltd.</t>
        </is>
      </c>
      <c r="W121" s="5" t="inlineStr">
        <is>
          <t>Recive bill and GRN already</t>
        </is>
      </c>
      <c r="X121" s="5" t="n"/>
      <c r="Y121" s="3" t="n">
        <v>45537</v>
      </c>
      <c r="Z121" s="3" t="n"/>
      <c r="AA121" s="17">
        <f>IF(RawDataGenPO[[#This Row],[Date Gen PO]]="","",RawDataGenPO[[#This Row],[Date recive bill]]-RawDataGenPO[[#This Row],[Date Gen PO]])</f>
        <v/>
      </c>
      <c r="AB121" s="16">
        <f>IF(RawDataGenPO[[#This Row],[GRN-PO date]]&gt;RawDataGenPO[[#This Row],[Lead time delivery (day)]],"over deliverry","Ontime")</f>
        <v/>
      </c>
      <c r="AC121" s="168" t="n"/>
    </row>
    <row r="122" ht="15" customFormat="1" customHeight="1" s="125">
      <c r="A122" s="5">
        <f>ROW()-ROW(RawDataGenPO[[#Headers],[No.]])</f>
        <v/>
      </c>
      <c r="B122" s="7" t="inlineStr">
        <is>
          <t>Expent  cost</t>
        </is>
      </c>
      <c r="C122" s="276" t="n">
        <v>45503</v>
      </c>
      <c r="D122" s="276" t="n"/>
      <c r="E122" s="276" t="n"/>
      <c r="F122" s="276" t="n">
        <v>45503</v>
      </c>
      <c r="G122" s="181" t="inlineStr">
        <is>
          <t>PR2425-02378</t>
        </is>
      </c>
      <c r="H122" s="5" t="inlineStr">
        <is>
          <t>PO2425-02674</t>
        </is>
      </c>
      <c r="I122" s="290">
        <f>IF(RawDataGenPO[[#This Row],[PO No.]]="","",RawDataGenPO[[#This Row],[DMY Create PR]]+7)</f>
        <v/>
      </c>
      <c r="J122" s="290" t="n"/>
      <c r="K122" s="20" t="n">
        <v>30</v>
      </c>
      <c r="L122" s="5" t="inlineStr">
        <is>
          <t>SFST81000050</t>
        </is>
      </c>
      <c r="M122" s="7" t="inlineStr">
        <is>
          <t>PPE Equipment</t>
        </is>
      </c>
      <c r="N122" s="7" t="inlineStr">
        <is>
          <t>PPE and other equipment</t>
        </is>
      </c>
      <c r="O122" s="11" t="n">
        <v>2</v>
      </c>
      <c r="P122" s="191" t="inlineStr">
        <is>
          <t>Replacement helmet chin strap BSH011</t>
        </is>
      </c>
      <c r="Q122" s="277" t="n">
        <v>1</v>
      </c>
      <c r="R122" s="5" t="inlineStr">
        <is>
          <t>Pcs.</t>
        </is>
      </c>
      <c r="S122" s="284">
        <f>RawDataGenPO[[#This Row],[Total price]]/RawDataGenPO[[#This Row],[Qty'']]</f>
        <v/>
      </c>
      <c r="T122" s="297" t="n">
        <v>70</v>
      </c>
      <c r="U122" s="161" t="inlineStr">
        <is>
          <t>Puneet Approval</t>
        </is>
      </c>
      <c r="V122" s="7" t="inlineStr">
        <is>
          <t>V1000556 - Team Safety Sales Co., Ltd.</t>
        </is>
      </c>
      <c r="W122" s="5" t="inlineStr">
        <is>
          <t>Recive bill and GRN already</t>
        </is>
      </c>
      <c r="X122" s="5" t="n"/>
      <c r="Y122" s="3" t="n">
        <v>45537</v>
      </c>
      <c r="Z122" s="3" t="n"/>
      <c r="AA122" s="17">
        <f>IF(RawDataGenPO[[#This Row],[Date Gen PO]]="","",RawDataGenPO[[#This Row],[Date recive bill]]-RawDataGenPO[[#This Row],[Date Gen PO]])</f>
        <v/>
      </c>
      <c r="AB122" s="16">
        <f>IF(RawDataGenPO[[#This Row],[GRN-PO date]]&gt;RawDataGenPO[[#This Row],[Lead time delivery (day)]],"over deliverry","Ontime")</f>
        <v/>
      </c>
      <c r="AC122" s="168" t="n"/>
    </row>
    <row r="123" ht="30" customFormat="1" customHeight="1" s="125">
      <c r="A123" s="5">
        <f>ROW()-ROW(RawDataGenPO[[#Headers],[No.]])</f>
        <v/>
      </c>
      <c r="B123" s="7" t="inlineStr">
        <is>
          <t>Expent  cost</t>
        </is>
      </c>
      <c r="C123" s="276" t="n">
        <v>45503</v>
      </c>
      <c r="D123" s="276" t="n"/>
      <c r="E123" s="276" t="n"/>
      <c r="F123" s="276" t="n">
        <v>45503</v>
      </c>
      <c r="G123" s="181" t="inlineStr">
        <is>
          <t>PR2425-02378</t>
        </is>
      </c>
      <c r="H123" s="5" t="inlineStr">
        <is>
          <t>PO2425-02674</t>
        </is>
      </c>
      <c r="I123" s="290">
        <f>IF(RawDataGenPO[[#This Row],[PO No.]]="","",RawDataGenPO[[#This Row],[DMY Create PR]]+7)</f>
        <v/>
      </c>
      <c r="J123" s="290" t="n"/>
      <c r="K123" s="20" t="n">
        <v>30</v>
      </c>
      <c r="L123" s="5" t="inlineStr">
        <is>
          <t>SFST81000050</t>
        </is>
      </c>
      <c r="M123" s="7" t="inlineStr">
        <is>
          <t>PPE Equipment</t>
        </is>
      </c>
      <c r="N123" s="7" t="inlineStr">
        <is>
          <t>PPE and other equipment</t>
        </is>
      </c>
      <c r="O123" s="11" t="n">
        <v>3</v>
      </c>
      <c r="P123" s="191" t="inlineStr">
        <is>
          <t>RANGER SAFETY" safety helmet, TIS standard
4-point adjustable nylon suspension (all colors), ventilated, TIS 368-2562</t>
        </is>
      </c>
      <c r="Q123" s="277" t="n">
        <v>1</v>
      </c>
      <c r="R123" s="5" t="inlineStr">
        <is>
          <t>Pcs.</t>
        </is>
      </c>
      <c r="S123" s="284">
        <f>RawDataGenPO[[#This Row],[Total price]]/RawDataGenPO[[#This Row],[Qty'']]</f>
        <v/>
      </c>
      <c r="T123" s="297" t="n">
        <v>150</v>
      </c>
      <c r="U123" s="161" t="inlineStr">
        <is>
          <t>Puneet Approval</t>
        </is>
      </c>
      <c r="V123" s="7" t="inlineStr">
        <is>
          <t>V1000556 - Team Safety Sales Co., Ltd.</t>
        </is>
      </c>
      <c r="W123" s="5" t="inlineStr">
        <is>
          <t>Recive bill and GRN already</t>
        </is>
      </c>
      <c r="X123" s="5" t="n"/>
      <c r="Y123" s="3" t="n">
        <v>45537</v>
      </c>
      <c r="Z123" s="3" t="n"/>
      <c r="AA123" s="17">
        <f>IF(RawDataGenPO[[#This Row],[Date Gen PO]]="","",RawDataGenPO[[#This Row],[Date recive bill]]-RawDataGenPO[[#This Row],[Date Gen PO]])</f>
        <v/>
      </c>
      <c r="AB123" s="16">
        <f>IF(RawDataGenPO[[#This Row],[GRN-PO date]]&gt;RawDataGenPO[[#This Row],[Lead time delivery (day)]],"over deliverry","Ontime")</f>
        <v/>
      </c>
      <c r="AC123" s="168" t="n"/>
    </row>
    <row r="124" ht="45" customFormat="1" customHeight="1" s="125">
      <c r="A124" s="5">
        <f>ROW()-ROW(RawDataGenPO[[#Headers],[No.]])</f>
        <v/>
      </c>
      <c r="B124" s="7" t="inlineStr">
        <is>
          <t>Expent  cost</t>
        </is>
      </c>
      <c r="C124" s="276" t="n">
        <v>45503</v>
      </c>
      <c r="D124" s="276" t="n"/>
      <c r="E124" s="276" t="n"/>
      <c r="F124" s="276" t="n">
        <v>45503</v>
      </c>
      <c r="G124" s="181" t="inlineStr">
        <is>
          <t>PR2425-02378</t>
        </is>
      </c>
      <c r="H124" s="5" t="inlineStr">
        <is>
          <t>PO2425-02674</t>
        </is>
      </c>
      <c r="I124" s="290">
        <f>IF(RawDataGenPO[[#This Row],[PO No.]]="","",RawDataGenPO[[#This Row],[DMY Create PR]]+7)</f>
        <v/>
      </c>
      <c r="J124" s="290" t="n"/>
      <c r="K124" s="20" t="n">
        <v>30</v>
      </c>
      <c r="L124" s="5" t="inlineStr">
        <is>
          <t>SFST81000050</t>
        </is>
      </c>
      <c r="M124" s="7" t="inlineStr">
        <is>
          <t>PPE Equipment</t>
        </is>
      </c>
      <c r="N124" s="7" t="inlineStr">
        <is>
          <t>PPE and other equipment</t>
        </is>
      </c>
      <c r="O124" s="11" t="n">
        <v>1</v>
      </c>
      <c r="P124" s="10" t="inlineStr">
        <is>
          <t>UK SAFETY" model OXFORD safety shoes
Composite toe, Kevlar sole</t>
        </is>
      </c>
      <c r="Q124" s="277" t="n">
        <v>4</v>
      </c>
      <c r="R124" s="5" t="inlineStr">
        <is>
          <t>pcs.</t>
        </is>
      </c>
      <c r="S124" s="284">
        <f>RawDataGenPO[[#This Row],[Total price]]/RawDataGenPO[[#This Row],[Qty'']]</f>
        <v/>
      </c>
      <c r="T124" s="285" t="n">
        <v>3000</v>
      </c>
      <c r="U124" s="161" t="inlineStr">
        <is>
          <t>Puneet Approval</t>
        </is>
      </c>
      <c r="V124" s="7" t="inlineStr">
        <is>
          <t>V1000556 - Team Safety Sales Co., Ltd.</t>
        </is>
      </c>
      <c r="W124" s="5" t="inlineStr">
        <is>
          <t>Recive bill and GRN already</t>
        </is>
      </c>
      <c r="X124" s="5" t="n"/>
      <c r="Y124" s="3" t="n">
        <v>45537</v>
      </c>
      <c r="Z124" s="3" t="n"/>
      <c r="AA124" s="17">
        <f>IF(RawDataGenPO[[#This Row],[Date Gen PO]]="","",RawDataGenPO[[#This Row],[Date recive bill]]-RawDataGenPO[[#This Row],[Date Gen PO]])</f>
        <v/>
      </c>
      <c r="AB124" s="16">
        <f>IF(RawDataGenPO[[#This Row],[GRN-PO date]]&gt;RawDataGenPO[[#This Row],[Lead time delivery (day)]],"over deliverry","Ontime")</f>
        <v/>
      </c>
      <c r="AC124" s="168" t="n"/>
    </row>
    <row r="125" ht="15" customFormat="1" customHeight="1" s="125">
      <c r="A125" s="5">
        <f>ROW()-ROW(RawDataGenPO[[#Headers],[No.]])</f>
        <v/>
      </c>
      <c r="B125" s="7" t="inlineStr">
        <is>
          <t>Expent  cost</t>
        </is>
      </c>
      <c r="C125" s="276" t="n">
        <v>45503</v>
      </c>
      <c r="D125" s="276" t="n"/>
      <c r="E125" s="276" t="n"/>
      <c r="F125" s="276" t="n">
        <v>45503</v>
      </c>
      <c r="G125" s="181" t="inlineStr">
        <is>
          <t>PR2425-02378</t>
        </is>
      </c>
      <c r="H125" s="5" t="inlineStr">
        <is>
          <t>PO2425-02674</t>
        </is>
      </c>
      <c r="I125" s="290">
        <f>IF(RawDataGenPO[[#This Row],[PO No.]]="","",RawDataGenPO[[#This Row],[DMY Create PR]]+7)</f>
        <v/>
      </c>
      <c r="J125" s="290" t="n"/>
      <c r="K125" s="20" t="n">
        <v>30</v>
      </c>
      <c r="L125" s="5" t="inlineStr">
        <is>
          <t>SFST81000050</t>
        </is>
      </c>
      <c r="M125" s="7" t="inlineStr">
        <is>
          <t>PPE Equipment</t>
        </is>
      </c>
      <c r="N125" s="7" t="inlineStr">
        <is>
          <t>PPE and other equipment</t>
        </is>
      </c>
      <c r="O125" s="11" t="n">
        <v>2</v>
      </c>
      <c r="P125" s="10" t="inlineStr">
        <is>
          <t>Replacement helmet chin strap BSH011</t>
        </is>
      </c>
      <c r="Q125" s="277" t="n">
        <v>3</v>
      </c>
      <c r="R125" s="5" t="inlineStr">
        <is>
          <t>pcs.</t>
        </is>
      </c>
      <c r="S125" s="284">
        <f>RawDataGenPO[[#This Row],[Total price]]/RawDataGenPO[[#This Row],[Qty'']]</f>
        <v/>
      </c>
      <c r="T125" s="285" t="n">
        <v>210</v>
      </c>
      <c r="U125" s="161" t="inlineStr">
        <is>
          <t>Puneet Approval</t>
        </is>
      </c>
      <c r="V125" s="7" t="inlineStr">
        <is>
          <t>V1000556 - Team Safety Sales Co., Ltd.</t>
        </is>
      </c>
      <c r="W125" s="5" t="inlineStr">
        <is>
          <t>Recive bill and GRN already</t>
        </is>
      </c>
      <c r="X125" s="5" t="n"/>
      <c r="Y125" s="3" t="n">
        <v>45537</v>
      </c>
      <c r="Z125" s="3" t="n"/>
      <c r="AA125" s="17">
        <f>IF(RawDataGenPO[[#This Row],[Date Gen PO]]="","",RawDataGenPO[[#This Row],[Date recive bill]]-RawDataGenPO[[#This Row],[Date Gen PO]])</f>
        <v/>
      </c>
      <c r="AB125" s="16">
        <f>IF(RawDataGenPO[[#This Row],[GRN-PO date]]&gt;RawDataGenPO[[#This Row],[Lead time delivery (day)]],"over deliverry","Ontime")</f>
        <v/>
      </c>
      <c r="AC125" s="22" t="n"/>
    </row>
    <row r="126" ht="30" customFormat="1" customHeight="1" s="125">
      <c r="A126" s="5">
        <f>ROW()-ROW(RawDataGenPO[[#Headers],[No.]])</f>
        <v/>
      </c>
      <c r="B126" s="7" t="inlineStr">
        <is>
          <t>Expent  cost</t>
        </is>
      </c>
      <c r="C126" s="276" t="n">
        <v>45503</v>
      </c>
      <c r="D126" s="276" t="n"/>
      <c r="E126" s="276" t="n"/>
      <c r="F126" s="276" t="n">
        <v>45503</v>
      </c>
      <c r="G126" s="181" t="inlineStr">
        <is>
          <t>PR2425-02378</t>
        </is>
      </c>
      <c r="H126" s="5" t="inlineStr">
        <is>
          <t>PO2425-02674</t>
        </is>
      </c>
      <c r="I126" s="290">
        <f>IF(RawDataGenPO[[#This Row],[PO No.]]="","",RawDataGenPO[[#This Row],[DMY Create PR]]+7)</f>
        <v/>
      </c>
      <c r="J126" s="290" t="n"/>
      <c r="K126" s="20" t="n">
        <v>30</v>
      </c>
      <c r="L126" s="5" t="inlineStr">
        <is>
          <t>SFST81000050</t>
        </is>
      </c>
      <c r="M126" s="7" t="inlineStr">
        <is>
          <t>PPE Equipment</t>
        </is>
      </c>
      <c r="N126" s="7" t="inlineStr">
        <is>
          <t>PPE and other equipment</t>
        </is>
      </c>
      <c r="O126" s="11" t="n">
        <v>3</v>
      </c>
      <c r="P126" s="10" t="inlineStr">
        <is>
          <t>RANGER SAFETY" safety helmet, TIS standard
4-point adjustable nylon suspension (all colors), ventilated, TIS 368-2562</t>
        </is>
      </c>
      <c r="Q126" s="277" t="n">
        <v>5</v>
      </c>
      <c r="R126" s="5" t="inlineStr">
        <is>
          <t>pcs.</t>
        </is>
      </c>
      <c r="S126" s="284">
        <f>RawDataGenPO[[#This Row],[Total price]]/RawDataGenPO[[#This Row],[Qty'']]</f>
        <v/>
      </c>
      <c r="T126" s="285" t="n">
        <v>750</v>
      </c>
      <c r="U126" s="161" t="inlineStr">
        <is>
          <t>Puneet Approval</t>
        </is>
      </c>
      <c r="V126" s="7" t="inlineStr">
        <is>
          <t>V1000556 - Team Safety Sales Co., Ltd.</t>
        </is>
      </c>
      <c r="W126" s="5" t="inlineStr">
        <is>
          <t>Recive bill and GRN already</t>
        </is>
      </c>
      <c r="X126" s="5" t="n"/>
      <c r="Y126" s="3" t="n">
        <v>45537</v>
      </c>
      <c r="Z126" s="3" t="n"/>
      <c r="AA126" s="17">
        <f>IF(RawDataGenPO[[#This Row],[Date Gen PO]]="","",RawDataGenPO[[#This Row],[Date recive bill]]-RawDataGenPO[[#This Row],[Date Gen PO]])</f>
        <v/>
      </c>
      <c r="AB126" s="16">
        <f>IF(RawDataGenPO[[#This Row],[GRN-PO date]]&gt;RawDataGenPO[[#This Row],[Lead time delivery (day)]],"over deliverry","Ontime")</f>
        <v/>
      </c>
      <c r="AC126" s="22" t="n"/>
    </row>
    <row r="127" ht="15" customFormat="1" customHeight="1" s="125">
      <c r="A127" s="5">
        <f>ROW()-ROW(RawDataGenPO[[#Headers],[No.]])</f>
        <v/>
      </c>
      <c r="B127" s="7" t="inlineStr">
        <is>
          <t>Expent  cost</t>
        </is>
      </c>
      <c r="C127" s="276" t="n">
        <v>45498</v>
      </c>
      <c r="D127" s="276" t="n"/>
      <c r="E127" s="276" t="n"/>
      <c r="F127" s="276" t="n">
        <v>45498</v>
      </c>
      <c r="G127" s="181" t="inlineStr">
        <is>
          <t>PR2425-02267</t>
        </is>
      </c>
      <c r="H127" s="5" t="inlineStr">
        <is>
          <t>PO2425-02730</t>
        </is>
      </c>
      <c r="I127" s="290">
        <f>IF(RawDataGenPO[[#This Row],[PO No.]]="","",RawDataGenPO[[#This Row],[DMY Create PR]]+7)</f>
        <v/>
      </c>
      <c r="J127" s="290" t="n"/>
      <c r="K127" s="20" t="n">
        <v>30</v>
      </c>
      <c r="L127" s="5" t="inlineStr">
        <is>
          <t>SFST34000065</t>
        </is>
      </c>
      <c r="M127" s="7" t="inlineStr">
        <is>
          <t>Consumable part for MN</t>
        </is>
      </c>
      <c r="N127" s="7" t="inlineStr">
        <is>
          <t>Cooling system jobs</t>
        </is>
      </c>
      <c r="O127" s="11" t="n">
        <v>1</v>
      </c>
      <c r="P127" s="10" t="inlineStr">
        <is>
          <t>WEIGUANG" Axial Fan 4E-315-V-S</t>
        </is>
      </c>
      <c r="Q127" s="277" t="n">
        <v>15</v>
      </c>
      <c r="R127" s="5" t="inlineStr">
        <is>
          <t>PC</t>
        </is>
      </c>
      <c r="S127" s="284">
        <f>RawDataGenPO[[#This Row],[Total price]]/RawDataGenPO[[#This Row],[Qty'']]</f>
        <v/>
      </c>
      <c r="T127" s="297" t="n">
        <v>51000</v>
      </c>
      <c r="U127" s="161" t="inlineStr">
        <is>
          <t>Puneet Approval</t>
        </is>
      </c>
      <c r="V127" s="7" t="inlineStr">
        <is>
          <t>V1000310 - BOONBAWORN ENGINEERING CO., LTD</t>
        </is>
      </c>
      <c r="W127" s="5" t="inlineStr">
        <is>
          <t>Recive bill and GRN already</t>
        </is>
      </c>
      <c r="X127" s="5" t="n"/>
      <c r="Y127" s="3" t="n">
        <v>45518</v>
      </c>
      <c r="Z127" s="3" t="n"/>
      <c r="AA127" s="17">
        <f>IF(RawDataGenPO[[#This Row],[Date Gen PO]]="","",RawDataGenPO[[#This Row],[Date recive bill]]-RawDataGenPO[[#This Row],[Date Gen PO]])</f>
        <v/>
      </c>
      <c r="AB127" s="16">
        <f>IF(RawDataGenPO[[#This Row],[GRN-PO date]]&gt;RawDataGenPO[[#This Row],[Lead time delivery (day)]],"over deliverry","Ontime")</f>
        <v/>
      </c>
      <c r="AC127" s="22" t="n"/>
    </row>
    <row r="128" ht="15" customFormat="1" customHeight="1" s="125">
      <c r="A128" s="5">
        <f>ROW()-ROW(RawDataGenPO[[#Headers],[No.]])</f>
        <v/>
      </c>
      <c r="B128" s="7" t="inlineStr">
        <is>
          <t>Expent  cost</t>
        </is>
      </c>
      <c r="C128" s="276" t="n">
        <v>45498</v>
      </c>
      <c r="D128" s="276" t="n"/>
      <c r="E128" s="276" t="n"/>
      <c r="F128" s="276" t="n">
        <v>45498</v>
      </c>
      <c r="G128" s="181" t="inlineStr">
        <is>
          <t>PR2425-02024</t>
        </is>
      </c>
      <c r="H128" s="5" t="inlineStr">
        <is>
          <t>PO2425-02731</t>
        </is>
      </c>
      <c r="I128" s="290">
        <f>IF(RawDataGenPO[[#This Row],[PO No.]]="","",RawDataGenPO[[#This Row],[DMY Create PR]]+7)</f>
        <v/>
      </c>
      <c r="J128" s="290" t="n"/>
      <c r="K128" s="20" t="n">
        <v>30</v>
      </c>
      <c r="L128" s="5" t="inlineStr">
        <is>
          <t>SFST34000136</t>
        </is>
      </c>
      <c r="M128" s="7" t="inlineStr">
        <is>
          <t>Consumable part for MN</t>
        </is>
      </c>
      <c r="N128" s="7" t="inlineStr">
        <is>
          <t>Consumable part</t>
        </is>
      </c>
      <c r="O128" s="11" t="n">
        <v>1</v>
      </c>
      <c r="P128" s="10" t="inlineStr">
        <is>
          <t>argon gas 1.5 Q</t>
        </is>
      </c>
      <c r="Q128" s="277" t="n">
        <v>3</v>
      </c>
      <c r="R128" s="5" t="inlineStr">
        <is>
          <t>Drm.</t>
        </is>
      </c>
      <c r="S128" s="284">
        <f>RawDataGenPO[[#This Row],[Total price]]/RawDataGenPO[[#This Row],[Qty'']]</f>
        <v/>
      </c>
      <c r="T128" s="297" t="n">
        <v>350</v>
      </c>
      <c r="U128" s="161" t="inlineStr">
        <is>
          <t>Puneet Approval</t>
        </is>
      </c>
      <c r="V128" s="7" t="inlineStr">
        <is>
          <t>V1000475 - Klong Karn Kha Trading</t>
        </is>
      </c>
      <c r="W128" s="5" t="inlineStr">
        <is>
          <t>Recive bill and GRN already</t>
        </is>
      </c>
      <c r="X128" s="5" t="n"/>
      <c r="Y128" s="3" t="n">
        <v>45518</v>
      </c>
      <c r="Z128" s="3" t="n"/>
      <c r="AA128" s="17">
        <f>IF(RawDataGenPO[[#This Row],[Date Gen PO]]="","",RawDataGenPO[[#This Row],[Date recive bill]]-RawDataGenPO[[#This Row],[Date Gen PO]])</f>
        <v/>
      </c>
      <c r="AB128" s="16">
        <f>IF(RawDataGenPO[[#This Row],[GRN-PO date]]&gt;RawDataGenPO[[#This Row],[Lead time delivery (day)]],"over deliverry","Ontime")</f>
        <v/>
      </c>
      <c r="AC128" s="22" t="n"/>
    </row>
    <row r="129" ht="15" customFormat="1" customHeight="1" s="125">
      <c r="A129" s="5">
        <f>ROW()-ROW(RawDataGenPO[[#Headers],[No.]])</f>
        <v/>
      </c>
      <c r="B129" s="7" t="inlineStr">
        <is>
          <t>Expent  cost</t>
        </is>
      </c>
      <c r="C129" s="276" t="n">
        <v>45498</v>
      </c>
      <c r="D129" s="276" t="n"/>
      <c r="E129" s="276" t="n"/>
      <c r="F129" s="276" t="n">
        <v>45498</v>
      </c>
      <c r="G129" s="181" t="inlineStr">
        <is>
          <t>PR2425-02024</t>
        </is>
      </c>
      <c r="H129" s="5" t="inlineStr">
        <is>
          <t>PO2425-02731</t>
        </is>
      </c>
      <c r="I129" s="290">
        <f>IF(RawDataGenPO[[#This Row],[PO No.]]="","",RawDataGenPO[[#This Row],[DMY Create PR]]+7)</f>
        <v/>
      </c>
      <c r="J129" s="290" t="n"/>
      <c r="K129" s="20" t="n">
        <v>30</v>
      </c>
      <c r="L129" s="5" t="inlineStr">
        <is>
          <t>SFST34000137</t>
        </is>
      </c>
      <c r="M129" s="7" t="inlineStr">
        <is>
          <t>Consumable part for MN</t>
        </is>
      </c>
      <c r="N129" s="7" t="inlineStr">
        <is>
          <t>Consumable part</t>
        </is>
      </c>
      <c r="O129" s="11" t="n">
        <v>2</v>
      </c>
      <c r="P129" s="10" t="inlineStr">
        <is>
          <t>argon gas 6 Q</t>
        </is>
      </c>
      <c r="Q129" s="277" t="n">
        <v>1</v>
      </c>
      <c r="R129" s="5" t="inlineStr">
        <is>
          <t>Drm.</t>
        </is>
      </c>
      <c r="S129" s="284">
        <f>RawDataGenPO[[#This Row],[Total price]]/RawDataGenPO[[#This Row],[Qty'']]</f>
        <v/>
      </c>
      <c r="T129" s="297" t="n">
        <v>900</v>
      </c>
      <c r="U129" s="161" t="inlineStr">
        <is>
          <t>Puneet Approval</t>
        </is>
      </c>
      <c r="V129" s="7" t="inlineStr">
        <is>
          <t>V1000475 - Klong Karn Kha Trading</t>
        </is>
      </c>
      <c r="W129" s="5" t="inlineStr">
        <is>
          <t>Recive bill and GRN already</t>
        </is>
      </c>
      <c r="X129" s="5" t="n"/>
      <c r="Y129" s="3" t="n">
        <v>45518</v>
      </c>
      <c r="Z129" s="3" t="n"/>
      <c r="AA129" s="17">
        <f>IF(RawDataGenPO[[#This Row],[Date Gen PO]]="","",RawDataGenPO[[#This Row],[Date recive bill]]-RawDataGenPO[[#This Row],[Date Gen PO]])</f>
        <v/>
      </c>
      <c r="AB129" s="16">
        <f>IF(RawDataGenPO[[#This Row],[GRN-PO date]]&gt;RawDataGenPO[[#This Row],[Lead time delivery (day)]],"over deliverry","Ontime")</f>
        <v/>
      </c>
      <c r="AC129" s="22" t="n"/>
    </row>
    <row r="130" ht="15" customFormat="1" customHeight="1" s="125">
      <c r="A130" s="5">
        <f>ROW()-ROW(RawDataGenPO[[#Headers],[No.]])</f>
        <v/>
      </c>
      <c r="B130" s="7" t="inlineStr">
        <is>
          <t>Expent  cost</t>
        </is>
      </c>
      <c r="C130" s="276" t="n">
        <v>45498</v>
      </c>
      <c r="D130" s="276" t="n"/>
      <c r="E130" s="276" t="n"/>
      <c r="F130" s="276" t="n">
        <v>45498</v>
      </c>
      <c r="G130" s="181" t="inlineStr">
        <is>
          <t>PR2425-01992</t>
        </is>
      </c>
      <c r="H130" s="5" t="inlineStr">
        <is>
          <t>PO2425-02732</t>
        </is>
      </c>
      <c r="I130" s="290">
        <f>IF(RawDataGenPO[[#This Row],[PO No.]]="","",RawDataGenPO[[#This Row],[DMY Create PR]]+7)</f>
        <v/>
      </c>
      <c r="J130" s="290" t="n"/>
      <c r="K130" s="20" t="n">
        <v>30</v>
      </c>
      <c r="L130" s="5" t="inlineStr">
        <is>
          <t>SFST81000050</t>
        </is>
      </c>
      <c r="M130" s="7" t="inlineStr">
        <is>
          <t>Consumable part for MN</t>
        </is>
      </c>
      <c r="N130" s="7" t="inlineStr">
        <is>
          <t>Consumable part</t>
        </is>
      </c>
      <c r="O130" s="11" t="n">
        <v>1</v>
      </c>
      <c r="P130" s="10" t="inlineStr">
        <is>
          <t>DETERGENT TAB (CLEANER TAB) (degreasing) 100 tablets / pail</t>
        </is>
      </c>
      <c r="Q130" s="277" t="n">
        <v>1</v>
      </c>
      <c r="R130" s="5" t="inlineStr">
        <is>
          <t>PC</t>
        </is>
      </c>
      <c r="S130" s="284">
        <f>RawDataGenPO[[#This Row],[Total price]]/RawDataGenPO[[#This Row],[Qty'']]</f>
        <v/>
      </c>
      <c r="T130" s="297" t="n">
        <v>4700</v>
      </c>
      <c r="U130" s="161" t="inlineStr">
        <is>
          <t>Puneet Approval</t>
        </is>
      </c>
      <c r="V130" s="7" t="inlineStr">
        <is>
          <t>V1000460 - FIX EVOLUTION CO., LTD.</t>
        </is>
      </c>
      <c r="W130" s="5" t="inlineStr">
        <is>
          <t>Recive bill and GRN already</t>
        </is>
      </c>
      <c r="X130" s="5" t="n"/>
      <c r="Y130" s="3" t="n">
        <v>45519</v>
      </c>
      <c r="Z130" s="3" t="n"/>
      <c r="AA130" s="17">
        <f>IF(RawDataGenPO[[#This Row],[Date Gen PO]]="","",RawDataGenPO[[#This Row],[Date recive bill]]-RawDataGenPO[[#This Row],[Date Gen PO]])</f>
        <v/>
      </c>
      <c r="AB130" s="16">
        <f>IF(RawDataGenPO[[#This Row],[GRN-PO date]]&gt;RawDataGenPO[[#This Row],[Lead time delivery (day)]],"over deliverry","Ontime")</f>
        <v/>
      </c>
      <c r="AC130" s="22" t="n"/>
    </row>
    <row r="131" ht="15" customFormat="1" customHeight="1" s="125">
      <c r="A131" s="5">
        <f>ROW()-ROW(RawDataGenPO[[#Headers],[No.]])</f>
        <v/>
      </c>
      <c r="B131" s="7" t="inlineStr">
        <is>
          <t>Expent  cost</t>
        </is>
      </c>
      <c r="C131" s="276" t="n">
        <v>45498</v>
      </c>
      <c r="D131" s="276" t="n"/>
      <c r="E131" s="276" t="n"/>
      <c r="F131" s="276" t="n">
        <v>45498</v>
      </c>
      <c r="G131" s="181" t="inlineStr">
        <is>
          <t>PR2425-01992</t>
        </is>
      </c>
      <c r="H131" s="5" t="inlineStr">
        <is>
          <t>PO2425-02732</t>
        </is>
      </c>
      <c r="I131" s="290">
        <f>IF(RawDataGenPO[[#This Row],[PO No.]]="","",RawDataGenPO[[#This Row],[DMY Create PR]]+7)</f>
        <v/>
      </c>
      <c r="J131" s="290" t="n"/>
      <c r="K131" s="20" t="n">
        <v>30</v>
      </c>
      <c r="L131" s="5" t="inlineStr">
        <is>
          <t>SFST81000050</t>
        </is>
      </c>
      <c r="M131" s="7" t="inlineStr">
        <is>
          <t>Consumable part for MN</t>
        </is>
      </c>
      <c r="N131" s="7" t="inlineStr">
        <is>
          <t>Consumable part</t>
        </is>
      </c>
      <c r="O131" s="11" t="n">
        <v>2</v>
      </c>
      <c r="P131" s="10" t="inlineStr">
        <is>
          <t>CARE-TAB (CARE CONTROL) coating and limescale protection (150 tablets/pail)</t>
        </is>
      </c>
      <c r="Q131" s="277" t="n">
        <v>1</v>
      </c>
      <c r="R131" s="5" t="inlineStr">
        <is>
          <t>PC</t>
        </is>
      </c>
      <c r="S131" s="284">
        <f>RawDataGenPO[[#This Row],[Total price]]/RawDataGenPO[[#This Row],[Qty'']]</f>
        <v/>
      </c>
      <c r="T131" s="285" t="n">
        <v>5500</v>
      </c>
      <c r="U131" s="161" t="inlineStr">
        <is>
          <t>Puneet Approval</t>
        </is>
      </c>
      <c r="V131" s="7" t="inlineStr">
        <is>
          <t>V1000460 - FIX EVOLUTION CO., LTD.</t>
        </is>
      </c>
      <c r="W131" s="5" t="inlineStr">
        <is>
          <t>Recive bill and GRN already</t>
        </is>
      </c>
      <c r="X131" s="5" t="n"/>
      <c r="Y131" s="3" t="n">
        <v>45519</v>
      </c>
      <c r="Z131" s="3" t="n"/>
      <c r="AA131" s="17">
        <f>IF(RawDataGenPO[[#This Row],[Date Gen PO]]="","",RawDataGenPO[[#This Row],[Date recive bill]]-RawDataGenPO[[#This Row],[Date Gen PO]])</f>
        <v/>
      </c>
      <c r="AB131" s="16">
        <f>IF(RawDataGenPO[[#This Row],[GRN-PO date]]&gt;RawDataGenPO[[#This Row],[Lead time delivery (day)]],"over deliverry","Ontime")</f>
        <v/>
      </c>
      <c r="AC131" s="22" t="n"/>
    </row>
    <row r="132" ht="15" customFormat="1" customHeight="1" s="125">
      <c r="A132" s="5">
        <f>ROW()-ROW(RawDataGenPO[[#Headers],[No.]])</f>
        <v/>
      </c>
      <c r="B132" s="7" t="inlineStr">
        <is>
          <t>Expent  cost</t>
        </is>
      </c>
      <c r="C132" s="276" t="n">
        <v>45498</v>
      </c>
      <c r="D132" s="276" t="n"/>
      <c r="E132" s="276" t="n"/>
      <c r="F132" s="276" t="n">
        <v>45498</v>
      </c>
      <c r="G132" s="181" t="inlineStr">
        <is>
          <t>PR2425-01992</t>
        </is>
      </c>
      <c r="H132" s="5" t="inlineStr">
        <is>
          <t>PO2425-02732</t>
        </is>
      </c>
      <c r="I132" s="290">
        <f>IF(RawDataGenPO[[#This Row],[PO No.]]="","",RawDataGenPO[[#This Row],[DMY Create PR]]+7)</f>
        <v/>
      </c>
      <c r="J132" s="290" t="n"/>
      <c r="K132" s="20" t="n">
        <v>30</v>
      </c>
      <c r="L132" s="5" t="inlineStr">
        <is>
          <t>SFST81000050</t>
        </is>
      </c>
      <c r="M132" s="7" t="inlineStr">
        <is>
          <t>Consumable part for MN</t>
        </is>
      </c>
      <c r="N132" s="7" t="inlineStr">
        <is>
          <t>Consumable part</t>
        </is>
      </c>
      <c r="O132" s="11" t="n">
        <v>3</v>
      </c>
      <c r="P132" s="10" t="inlineStr">
        <is>
          <t>ACTIVE GREEN degreaser for ICombi Pro and ICombi Classic</t>
        </is>
      </c>
      <c r="Q132" s="277" t="n">
        <v>1</v>
      </c>
      <c r="R132" s="5" t="inlineStr">
        <is>
          <t>PC</t>
        </is>
      </c>
      <c r="S132" s="284">
        <f>RawDataGenPO[[#This Row],[Total price]]/RawDataGenPO[[#This Row],[Qty'']]</f>
        <v/>
      </c>
      <c r="T132" s="285" t="n">
        <v>6000</v>
      </c>
      <c r="U132" s="161" t="inlineStr">
        <is>
          <t>Puneet Approval</t>
        </is>
      </c>
      <c r="V132" s="7" t="inlineStr">
        <is>
          <t>V1000460 - FIX EVOLUTION CO., LTD.</t>
        </is>
      </c>
      <c r="W132" s="5" t="inlineStr">
        <is>
          <t>Recive bill and GRN already</t>
        </is>
      </c>
      <c r="X132" s="5" t="n"/>
      <c r="Y132" s="3" t="n">
        <v>45519</v>
      </c>
      <c r="Z132" s="3" t="n"/>
      <c r="AA132" s="17">
        <f>IF(RawDataGenPO[[#This Row],[Date Gen PO]]="","",RawDataGenPO[[#This Row],[Date recive bill]]-RawDataGenPO[[#This Row],[Date Gen PO]])</f>
        <v/>
      </c>
      <c r="AB132" s="16">
        <f>IF(RawDataGenPO[[#This Row],[GRN-PO date]]&gt;RawDataGenPO[[#This Row],[Lead time delivery (day)]],"over deliverry","Ontime")</f>
        <v/>
      </c>
      <c r="AC132" s="22" t="n"/>
    </row>
    <row r="133" ht="15" customFormat="1" customHeight="1" s="125">
      <c r="A133" s="5">
        <f>ROW()-ROW(RawDataGenPO[[#Headers],[No.]])</f>
        <v/>
      </c>
      <c r="B133" s="7" t="inlineStr">
        <is>
          <t>Expent  cost</t>
        </is>
      </c>
      <c r="C133" s="276" t="n">
        <v>45498</v>
      </c>
      <c r="D133" s="276" t="n"/>
      <c r="E133" s="276" t="n"/>
      <c r="F133" s="276" t="n">
        <v>45498</v>
      </c>
      <c r="G133" s="181" t="inlineStr">
        <is>
          <t>PR2425-02001</t>
        </is>
      </c>
      <c r="H133" s="5" t="inlineStr">
        <is>
          <t>PO2425-02733</t>
        </is>
      </c>
      <c r="I133" s="290">
        <f>IF(RawDataGenPO[[#This Row],[PO No.]]="","",RawDataGenPO[[#This Row],[DMY Create PR]]+7)</f>
        <v/>
      </c>
      <c r="J133" s="290" t="n"/>
      <c r="K133" s="20" t="n">
        <v>30</v>
      </c>
      <c r="L133" s="5" t="inlineStr">
        <is>
          <t>SFST81000050</t>
        </is>
      </c>
      <c r="M133" s="7" t="inlineStr">
        <is>
          <t>Consumable part for MN</t>
        </is>
      </c>
      <c r="N133" s="7" t="inlineStr">
        <is>
          <t>Consumable part</t>
        </is>
      </c>
      <c r="O133" s="11" t="n">
        <v>1</v>
      </c>
      <c r="P133" s="10" t="inlineStr">
        <is>
          <t>DPD no.1 "Lovibond" 511052BT 500 Tablets (1 Box / 500 Pcs)</t>
        </is>
      </c>
      <c r="Q133" s="277" t="n">
        <v>2</v>
      </c>
      <c r="R133" s="5" t="inlineStr">
        <is>
          <t>Box</t>
        </is>
      </c>
      <c r="S133" s="284">
        <f>RawDataGenPO[[#This Row],[Total price]]/RawDataGenPO[[#This Row],[Qty'']]</f>
        <v/>
      </c>
      <c r="T133" s="285" t="n">
        <v>2500</v>
      </c>
      <c r="U133" s="161" t="inlineStr">
        <is>
          <t>Puneet Approval</t>
        </is>
      </c>
      <c r="V133" s="7" t="inlineStr">
        <is>
          <t>V1000210 - U.P. MARKETING GENERAL SUPPLY CO., LTD.</t>
        </is>
      </c>
      <c r="W133" s="5" t="inlineStr">
        <is>
          <t>Recive bill and GRN already</t>
        </is>
      </c>
      <c r="X133" s="5" t="n"/>
      <c r="Y133" s="3" t="n">
        <v>45523</v>
      </c>
      <c r="Z133" s="3" t="n"/>
      <c r="AA133" s="17">
        <f>IF(RawDataGenPO[[#This Row],[Date Gen PO]]="","",RawDataGenPO[[#This Row],[Date recive bill]]-RawDataGenPO[[#This Row],[Date Gen PO]])</f>
        <v/>
      </c>
      <c r="AB133" s="16">
        <f>IF(RawDataGenPO[[#This Row],[GRN-PO date]]&gt;RawDataGenPO[[#This Row],[Lead time delivery (day)]],"over deliverry","Ontime")</f>
        <v/>
      </c>
      <c r="AC133" s="22" t="n"/>
    </row>
    <row r="134" ht="15" customFormat="1" customHeight="1" s="125">
      <c r="A134" s="5">
        <f>ROW()-ROW(RawDataGenPO[[#Headers],[No.]])</f>
        <v/>
      </c>
      <c r="B134" s="7" t="inlineStr">
        <is>
          <t>Expent  cost</t>
        </is>
      </c>
      <c r="C134" s="276" t="n">
        <v>45498</v>
      </c>
      <c r="D134" s="276" t="n"/>
      <c r="E134" s="276" t="n"/>
      <c r="F134" s="276" t="n">
        <v>45498</v>
      </c>
      <c r="G134" s="181" t="inlineStr">
        <is>
          <t>PR2425-02003</t>
        </is>
      </c>
      <c r="H134" s="5" t="inlineStr">
        <is>
          <t>PO2425-02734</t>
        </is>
      </c>
      <c r="I134" s="290">
        <f>IF(RawDataGenPO[[#This Row],[PO No.]]="","",RawDataGenPO[[#This Row],[DMY Create PR]]+7)</f>
        <v/>
      </c>
      <c r="J134" s="290" t="n"/>
      <c r="K134" s="20">
        <f>IF(RawDataGenPO[[#This Row],[PO No.]]="","",10)</f>
        <v/>
      </c>
      <c r="L134" s="5" t="inlineStr">
        <is>
          <t>SFST81000050</t>
        </is>
      </c>
      <c r="M134" s="7" t="inlineStr">
        <is>
          <t>PD Machine</t>
        </is>
      </c>
      <c r="N134" s="7" t="inlineStr">
        <is>
          <t>Transport Conveyor2</t>
        </is>
      </c>
      <c r="O134" s="11" t="n">
        <v>1</v>
      </c>
      <c r="P134" s="10" t="inlineStr">
        <is>
          <t>Danfoss", Inverter FC51; 3P, 380VAC, 0.37KW</t>
        </is>
      </c>
      <c r="Q134" s="277" t="n">
        <v>1</v>
      </c>
      <c r="R134" s="5" t="inlineStr">
        <is>
          <t>PC</t>
        </is>
      </c>
      <c r="S134" s="284">
        <f>RawDataGenPO[[#This Row],[Total price]]/RawDataGenPO[[#This Row],[Qty'']]</f>
        <v/>
      </c>
      <c r="T134" s="285" t="n">
        <v>6890</v>
      </c>
      <c r="U134" s="161" t="inlineStr">
        <is>
          <t>Puneet Approval</t>
        </is>
      </c>
      <c r="V134" s="7" t="inlineStr">
        <is>
          <t>V1000481 - JW Tech Co., Ltd.</t>
        </is>
      </c>
      <c r="W134" s="5" t="inlineStr">
        <is>
          <t>Recive bill and GRN already</t>
        </is>
      </c>
      <c r="X134" s="5" t="n"/>
      <c r="Y134" s="3" t="n">
        <v>45513</v>
      </c>
      <c r="Z134" s="3" t="n"/>
      <c r="AA134" s="17">
        <f>IF(RawDataGenPO[[#This Row],[Date Gen PO]]="","",RawDataGenPO[[#This Row],[Date recive bill]]-RawDataGenPO[[#This Row],[Date Gen PO]])</f>
        <v/>
      </c>
      <c r="AB134" s="16">
        <f>IF(RawDataGenPO[[#This Row],[GRN-PO date]]&gt;RawDataGenPO[[#This Row],[Lead time delivery (day)]],"over deliverry","Ontime")</f>
        <v/>
      </c>
      <c r="AC134" s="22" t="n"/>
    </row>
    <row r="135" ht="15" customFormat="1" customHeight="1" s="125">
      <c r="A135" s="5">
        <f>ROW()-ROW(RawDataGenPO[[#Headers],[No.]])</f>
        <v/>
      </c>
      <c r="B135" s="7" t="inlineStr">
        <is>
          <t>Expent  cost</t>
        </is>
      </c>
      <c r="C135" s="276" t="n">
        <v>45498</v>
      </c>
      <c r="D135" s="276" t="n"/>
      <c r="E135" s="276" t="n"/>
      <c r="F135" s="276" t="n">
        <v>45498</v>
      </c>
      <c r="G135" s="181" t="inlineStr">
        <is>
          <t>PR2425-02003</t>
        </is>
      </c>
      <c r="H135" s="5" t="inlineStr">
        <is>
          <t>PO2425-02734</t>
        </is>
      </c>
      <c r="I135" s="290">
        <f>IF(RawDataGenPO[[#This Row],[PO No.]]="","",RawDataGenPO[[#This Row],[DMY Create PR]]+7)</f>
        <v/>
      </c>
      <c r="J135" s="290" t="n"/>
      <c r="K135" s="20">
        <f>IF(RawDataGenPO[[#This Row],[PO No.]]="","",10)</f>
        <v/>
      </c>
      <c r="L135" s="5" t="inlineStr">
        <is>
          <t>SFST81000050</t>
        </is>
      </c>
      <c r="M135" s="7" t="inlineStr">
        <is>
          <t>PD Machine</t>
        </is>
      </c>
      <c r="N135" s="7" t="inlineStr">
        <is>
          <t>Transport Conveyor2</t>
        </is>
      </c>
      <c r="O135" s="11" t="n">
        <v>2</v>
      </c>
      <c r="P135" s="10" t="inlineStr">
        <is>
          <t>LCP12 (Keypad for FC51)</t>
        </is>
      </c>
      <c r="Q135" s="277" t="n">
        <v>1</v>
      </c>
      <c r="R135" s="5" t="inlineStr">
        <is>
          <t>PC</t>
        </is>
      </c>
      <c r="S135" s="284">
        <f>RawDataGenPO[[#This Row],[Total price]]/RawDataGenPO[[#This Row],[Qty'']]</f>
        <v/>
      </c>
      <c r="T135" s="285" t="n">
        <v>920</v>
      </c>
      <c r="U135" s="161" t="inlineStr">
        <is>
          <t>Puneet Approval</t>
        </is>
      </c>
      <c r="V135" s="7" t="inlineStr">
        <is>
          <t>V1000481 - JW Tech Co., Ltd.</t>
        </is>
      </c>
      <c r="W135" s="5" t="inlineStr">
        <is>
          <t>Recive bill and GRN already</t>
        </is>
      </c>
      <c r="X135" s="5" t="n"/>
      <c r="Y135" s="3" t="n">
        <v>45513</v>
      </c>
      <c r="Z135" s="3" t="n"/>
      <c r="AA135" s="17">
        <f>IF(RawDataGenPO[[#This Row],[Date Gen PO]]="","",RawDataGenPO[[#This Row],[Date recive bill]]-RawDataGenPO[[#This Row],[Date Gen PO]])</f>
        <v/>
      </c>
      <c r="AB135" s="16">
        <f>IF(RawDataGenPO[[#This Row],[GRN-PO date]]&gt;RawDataGenPO[[#This Row],[Lead time delivery (day)]],"over deliverry","Ontime")</f>
        <v/>
      </c>
      <c r="AC135" s="168" t="n"/>
    </row>
    <row r="136" ht="15" customFormat="1" customHeight="1" s="125">
      <c r="A136" s="5">
        <f>ROW()-ROW(RawDataGenPO[[#Headers],[No.]])</f>
        <v/>
      </c>
      <c r="B136" s="7" t="inlineStr">
        <is>
          <t>Expent  cost</t>
        </is>
      </c>
      <c r="C136" s="276" t="n">
        <v>45498</v>
      </c>
      <c r="D136" s="276" t="n"/>
      <c r="E136" s="276" t="n"/>
      <c r="F136" s="276" t="n">
        <v>45498</v>
      </c>
      <c r="G136" s="181" t="inlineStr">
        <is>
          <t>PR2425-01994</t>
        </is>
      </c>
      <c r="H136" s="5" t="inlineStr">
        <is>
          <t>PO2425-02735</t>
        </is>
      </c>
      <c r="I136" s="290">
        <f>IF(RawDataGenPO[[#This Row],[PO No.]]="","",RawDataGenPO[[#This Row],[DMY Create PR]]+7)</f>
        <v/>
      </c>
      <c r="J136" s="290" t="n"/>
      <c r="K136" s="20" t="n">
        <v>30</v>
      </c>
      <c r="L136" s="5" t="inlineStr">
        <is>
          <t>SFST81000050</t>
        </is>
      </c>
      <c r="M136" s="7" t="inlineStr">
        <is>
          <t>Consumable part for MN</t>
        </is>
      </c>
      <c r="N136" s="7" t="inlineStr">
        <is>
          <t>PPE and other equipment</t>
        </is>
      </c>
      <c r="O136" s="11" t="n">
        <v>1</v>
      </c>
      <c r="P136" s="10" t="inlineStr">
        <is>
          <t>Plastic spare parts box 83 24.7*36*15 cm with 4-legged stand</t>
        </is>
      </c>
      <c r="Q136" s="277" t="n">
        <v>24</v>
      </c>
      <c r="R136" s="5" t="inlineStr">
        <is>
          <t>PC</t>
        </is>
      </c>
      <c r="S136" s="284">
        <f>RawDataGenPO[[#This Row],[Total price]]/RawDataGenPO[[#This Row],[Qty'']]</f>
        <v/>
      </c>
      <c r="T136" s="285" t="n">
        <v>3600</v>
      </c>
      <c r="U136" s="161" t="inlineStr">
        <is>
          <t>Puneet Approval</t>
        </is>
      </c>
      <c r="V136" s="7" t="inlineStr">
        <is>
          <t>V1000259 - JJP SUPPLY CO., LTD</t>
        </is>
      </c>
      <c r="W136" s="5" t="inlineStr">
        <is>
          <t>Recive bill and GRN already</t>
        </is>
      </c>
      <c r="X136" s="5" t="n"/>
      <c r="Y136" s="3" t="n">
        <v>45524</v>
      </c>
      <c r="Z136" s="3" t="n"/>
      <c r="AA136" s="17">
        <f>IF(RawDataGenPO[[#This Row],[Date Gen PO]]="","",RawDataGenPO[[#This Row],[Date recive bill]]-RawDataGenPO[[#This Row],[Date Gen PO]])</f>
        <v/>
      </c>
      <c r="AB136" s="16">
        <f>IF(RawDataGenPO[[#This Row],[GRN-PO date]]&gt;RawDataGenPO[[#This Row],[Lead time delivery (day)]],"over deliverry","Ontime")</f>
        <v/>
      </c>
      <c r="AC136" s="168" t="n"/>
    </row>
    <row r="137" ht="15" customFormat="1" customHeight="1" s="125">
      <c r="A137" s="5">
        <f>ROW()-ROW(RawDataGenPO[[#Headers],[No.]])</f>
        <v/>
      </c>
      <c r="B137" s="7" t="inlineStr">
        <is>
          <t>Expent  cost</t>
        </is>
      </c>
      <c r="C137" s="276" t="n">
        <v>45498</v>
      </c>
      <c r="D137" s="276" t="n"/>
      <c r="E137" s="276" t="n"/>
      <c r="F137" s="276" t="n">
        <v>45498</v>
      </c>
      <c r="G137" s="181" t="inlineStr">
        <is>
          <t>PR2425-01994</t>
        </is>
      </c>
      <c r="H137" s="5" t="inlineStr">
        <is>
          <t>PO2425-02735</t>
        </is>
      </c>
      <c r="I137" s="290">
        <f>IF(RawDataGenPO[[#This Row],[PO No.]]="","",RawDataGenPO[[#This Row],[DMY Create PR]]+7)</f>
        <v/>
      </c>
      <c r="J137" s="290" t="n"/>
      <c r="K137" s="20" t="n">
        <v>30</v>
      </c>
      <c r="L137" s="5" t="inlineStr">
        <is>
          <t>SFST81000050</t>
        </is>
      </c>
      <c r="M137" s="7" t="inlineStr">
        <is>
          <t>Consumable part for MN</t>
        </is>
      </c>
      <c r="N137" s="7" t="inlineStr">
        <is>
          <t>PPE and other equipment</t>
        </is>
      </c>
      <c r="O137" s="11" t="n">
        <v>2</v>
      </c>
      <c r="P137" s="10" t="inlineStr">
        <is>
          <t>Plastic spare parts box B4 30*43*16.5 cm with 4-legged stand</t>
        </is>
      </c>
      <c r="Q137" s="277" t="n">
        <v>24</v>
      </c>
      <c r="R137" s="5" t="inlineStr">
        <is>
          <t>PC</t>
        </is>
      </c>
      <c r="S137" s="284">
        <f>RawDataGenPO[[#This Row],[Total price]]/RawDataGenPO[[#This Row],[Qty'']]</f>
        <v/>
      </c>
      <c r="T137" s="285" t="n">
        <v>4860</v>
      </c>
      <c r="U137" s="161" t="inlineStr">
        <is>
          <t>Puneet Approval</t>
        </is>
      </c>
      <c r="V137" s="7" t="inlineStr">
        <is>
          <t>V1000259 - JJP SUPPLY CO., LTD</t>
        </is>
      </c>
      <c r="W137" s="5" t="inlineStr">
        <is>
          <t>Recive bill and GRN already</t>
        </is>
      </c>
      <c r="X137" s="5" t="n"/>
      <c r="Y137" s="3" t="n">
        <v>45524</v>
      </c>
      <c r="Z137" s="3" t="n"/>
      <c r="AA137" s="17">
        <f>IF(RawDataGenPO[[#This Row],[Date Gen PO]]="","",RawDataGenPO[[#This Row],[Date recive bill]]-RawDataGenPO[[#This Row],[Date Gen PO]])</f>
        <v/>
      </c>
      <c r="AB137" s="16">
        <f>IF(RawDataGenPO[[#This Row],[GRN-PO date]]&gt;RawDataGenPO[[#This Row],[Lead time delivery (day)]],"over deliverry","Ontime")</f>
        <v/>
      </c>
      <c r="AC137" s="22" t="n"/>
    </row>
    <row r="138" ht="15" customFormat="1" customHeight="1" s="125">
      <c r="A138" s="5">
        <f>ROW()-ROW(RawDataGenPO[[#Headers],[No.]])</f>
        <v/>
      </c>
      <c r="B138" s="7" t="inlineStr">
        <is>
          <t>Expent  cost</t>
        </is>
      </c>
      <c r="C138" s="276" t="n">
        <v>45498</v>
      </c>
      <c r="D138" s="276" t="n"/>
      <c r="E138" s="276" t="n"/>
      <c r="F138" s="276" t="n">
        <v>45498</v>
      </c>
      <c r="G138" s="181" t="inlineStr">
        <is>
          <t>PR2425-01994</t>
        </is>
      </c>
      <c r="H138" s="5" t="inlineStr">
        <is>
          <t>PO2425-02735</t>
        </is>
      </c>
      <c r="I138" s="290">
        <f>IF(RawDataGenPO[[#This Row],[PO No.]]="","",RawDataGenPO[[#This Row],[DMY Create PR]]+7)</f>
        <v/>
      </c>
      <c r="J138" s="290" t="n"/>
      <c r="K138" s="20" t="n">
        <v>30</v>
      </c>
      <c r="L138" s="5" t="inlineStr">
        <is>
          <t>SFST81000050</t>
        </is>
      </c>
      <c r="M138" s="7" t="inlineStr">
        <is>
          <t>Consumable part for MN</t>
        </is>
      </c>
      <c r="N138" s="7" t="inlineStr">
        <is>
          <t>PPE and other equipment</t>
        </is>
      </c>
      <c r="O138" s="11" t="n">
        <v>3</v>
      </c>
      <c r="P138" s="10" t="inlineStr">
        <is>
          <t>Plastic spare parts box B5 35*50*18 cm with 4-legged stand</t>
        </is>
      </c>
      <c r="Q138" s="277" t="n">
        <v>24</v>
      </c>
      <c r="R138" s="5" t="inlineStr">
        <is>
          <t>PC</t>
        </is>
      </c>
      <c r="S138" s="284">
        <f>RawDataGenPO[[#This Row],[Total price]]/RawDataGenPO[[#This Row],[Qty'']]</f>
        <v/>
      </c>
      <c r="T138" s="285" t="n">
        <v>6240</v>
      </c>
      <c r="U138" s="161" t="inlineStr">
        <is>
          <t>Puneet Approval</t>
        </is>
      </c>
      <c r="V138" s="7" t="inlineStr">
        <is>
          <t>V1000259 - JJP SUPPLY CO., LTD</t>
        </is>
      </c>
      <c r="W138" s="5" t="inlineStr">
        <is>
          <t>Recive bill and GRN already</t>
        </is>
      </c>
      <c r="X138" s="5" t="n"/>
      <c r="Y138" s="3" t="n">
        <v>45524</v>
      </c>
      <c r="Z138" s="3" t="n"/>
      <c r="AA138" s="17">
        <f>IF(RawDataGenPO[[#This Row],[Date Gen PO]]="","",RawDataGenPO[[#This Row],[Date recive bill]]-RawDataGenPO[[#This Row],[Date Gen PO]])</f>
        <v/>
      </c>
      <c r="AB138" s="16">
        <f>IF(RawDataGenPO[[#This Row],[GRN-PO date]]&gt;RawDataGenPO[[#This Row],[Lead time delivery (day)]],"over deliverry","Ontime")</f>
        <v/>
      </c>
      <c r="AC138" s="22" t="n"/>
    </row>
    <row r="139" ht="15" customFormat="1" customHeight="1" s="125">
      <c r="A139" s="5">
        <f>ROW()-ROW(RawDataGenPO[[#Headers],[No.]])</f>
        <v/>
      </c>
      <c r="B139" s="7" t="inlineStr">
        <is>
          <t>Expent  cost</t>
        </is>
      </c>
      <c r="C139" s="276" t="n">
        <v>45498</v>
      </c>
      <c r="D139" s="276" t="n"/>
      <c r="E139" s="276" t="n"/>
      <c r="F139" s="276" t="n">
        <v>45498</v>
      </c>
      <c r="G139" s="5" t="inlineStr">
        <is>
          <t>PR2425-01838</t>
        </is>
      </c>
      <c r="H139" s="5" t="inlineStr">
        <is>
          <t>PO2425-02736</t>
        </is>
      </c>
      <c r="I139" s="290">
        <f>IF(RawDataGenPO[[#This Row],[PO No.]]="","",RawDataGenPO[[#This Row],[DMY Create PR]]+7)</f>
        <v/>
      </c>
      <c r="J139" s="290" t="n"/>
      <c r="K139" s="20" t="n">
        <v>30</v>
      </c>
      <c r="L139" s="5" t="inlineStr">
        <is>
          <t>SFST34000104</t>
        </is>
      </c>
      <c r="M139" s="7" t="inlineStr">
        <is>
          <t>Consumable part for MN</t>
        </is>
      </c>
      <c r="N139" s="7" t="inlineStr">
        <is>
          <t>Consumable part</t>
        </is>
      </c>
      <c r="O139" s="11" t="n">
        <v>1</v>
      </c>
      <c r="P139" s="10" t="inlineStr">
        <is>
          <t>Stainless steel SUS304 U-bolt, size 1/2" (inside diameter 22 mm)</t>
        </is>
      </c>
      <c r="Q139" s="277" t="n">
        <v>4</v>
      </c>
      <c r="R139" s="5" t="inlineStr">
        <is>
          <t>PC</t>
        </is>
      </c>
      <c r="S139" s="284">
        <f>RawDataGenPO[[#This Row],[Total price]]/RawDataGenPO[[#This Row],[Qty'']]</f>
        <v/>
      </c>
      <c r="T139" s="285" t="n">
        <v>80</v>
      </c>
      <c r="U139" s="161" t="inlineStr">
        <is>
          <t>Puneet Approval</t>
        </is>
      </c>
      <c r="V139" s="7" t="inlineStr">
        <is>
          <t>V1000306 - Inter Supply (1992) Co., Ltd.</t>
        </is>
      </c>
      <c r="W139" s="5" t="inlineStr">
        <is>
          <t>Recive bill and GRN already</t>
        </is>
      </c>
      <c r="X139" s="5" t="n"/>
      <c r="Y139" s="3" t="n">
        <v>45518</v>
      </c>
      <c r="Z139" s="3" t="n"/>
      <c r="AA139" s="17">
        <f>IF(RawDataGenPO[[#This Row],[Date Gen PO]]="","",RawDataGenPO[[#This Row],[Date recive bill]]-RawDataGenPO[[#This Row],[Date Gen PO]])</f>
        <v/>
      </c>
      <c r="AB139" s="16">
        <f>IF(RawDataGenPO[[#This Row],[GRN-PO date]]&gt;RawDataGenPO[[#This Row],[Lead time delivery (day)]],"over deliverry","Ontime")</f>
        <v/>
      </c>
      <c r="AC139" s="22" t="n"/>
    </row>
    <row r="140" ht="15" customFormat="1" customHeight="1" s="125">
      <c r="A140" s="5">
        <f>ROW()-ROW(RawDataGenPO[[#Headers],[No.]])</f>
        <v/>
      </c>
      <c r="B140" s="7" t="inlineStr">
        <is>
          <t>Expent  cost</t>
        </is>
      </c>
      <c r="C140" s="276" t="n">
        <v>45498</v>
      </c>
      <c r="D140" s="276" t="n"/>
      <c r="E140" s="276" t="n"/>
      <c r="F140" s="276" t="n">
        <v>45498</v>
      </c>
      <c r="G140" s="5" t="inlineStr">
        <is>
          <t>PR2425-01838</t>
        </is>
      </c>
      <c r="H140" s="5" t="inlineStr">
        <is>
          <t>PO2425-02736</t>
        </is>
      </c>
      <c r="I140" s="290">
        <f>IF(RawDataGenPO[[#This Row],[PO No.]]="","",RawDataGenPO[[#This Row],[DMY Create PR]]+7)</f>
        <v/>
      </c>
      <c r="J140" s="290" t="n"/>
      <c r="K140" s="20" t="n">
        <v>30</v>
      </c>
      <c r="L140" s="5" t="inlineStr">
        <is>
          <t>SFST34000105</t>
        </is>
      </c>
      <c r="M140" s="7" t="inlineStr">
        <is>
          <t>Consumable part for MN</t>
        </is>
      </c>
      <c r="N140" s="7" t="inlineStr">
        <is>
          <t>Consumable part</t>
        </is>
      </c>
      <c r="O140" s="11" t="n">
        <v>2</v>
      </c>
      <c r="P140" s="10" t="inlineStr">
        <is>
          <t>Stainless steel SUS304 U-bolt, size 3/4" (inside diameter 28 mm)</t>
        </is>
      </c>
      <c r="Q140" s="277" t="n">
        <v>4</v>
      </c>
      <c r="R140" s="5" t="inlineStr">
        <is>
          <t>PC</t>
        </is>
      </c>
      <c r="S140" s="284">
        <f>RawDataGenPO[[#This Row],[Total price]]/RawDataGenPO[[#This Row],[Qty'']]</f>
        <v/>
      </c>
      <c r="T140" s="285" t="n">
        <v>80</v>
      </c>
      <c r="U140" s="161" t="inlineStr">
        <is>
          <t>Puneet Approval</t>
        </is>
      </c>
      <c r="V140" s="7" t="inlineStr">
        <is>
          <t>V1000306 - Inter Supply (1992) Co., Ltd.</t>
        </is>
      </c>
      <c r="W140" s="5" t="inlineStr">
        <is>
          <t>Recive bill and GRN already</t>
        </is>
      </c>
      <c r="X140" s="5" t="n"/>
      <c r="Y140" s="3" t="n">
        <v>45518</v>
      </c>
      <c r="Z140" s="3" t="n"/>
      <c r="AA140" s="17">
        <f>IF(RawDataGenPO[[#This Row],[Date Gen PO]]="","",RawDataGenPO[[#This Row],[Date recive bill]]-RawDataGenPO[[#This Row],[Date Gen PO]])</f>
        <v/>
      </c>
      <c r="AB140" s="16">
        <f>IF(RawDataGenPO[[#This Row],[GRN-PO date]]&gt;RawDataGenPO[[#This Row],[Lead time delivery (day)]],"over deliverry","Ontime")</f>
        <v/>
      </c>
      <c r="AC140" s="168" t="n"/>
    </row>
    <row r="141" ht="15" customFormat="1" customHeight="1" s="125">
      <c r="A141" s="5">
        <f>ROW()-ROW(RawDataGenPO[[#Headers],[No.]])</f>
        <v/>
      </c>
      <c r="B141" s="7" t="inlineStr">
        <is>
          <t>Expent  cost</t>
        </is>
      </c>
      <c r="C141" s="276" t="n">
        <v>45498</v>
      </c>
      <c r="D141" s="276" t="n"/>
      <c r="E141" s="276" t="n"/>
      <c r="F141" s="276" t="n">
        <v>45498</v>
      </c>
      <c r="G141" s="5" t="inlineStr">
        <is>
          <t>PR2425-01838</t>
        </is>
      </c>
      <c r="H141" s="5" t="inlineStr">
        <is>
          <t>PO2425-02736</t>
        </is>
      </c>
      <c r="I141" s="290">
        <f>IF(RawDataGenPO[[#This Row],[PO No.]]="","",RawDataGenPO[[#This Row],[DMY Create PR]]+7)</f>
        <v/>
      </c>
      <c r="J141" s="290" t="n"/>
      <c r="K141" s="20" t="n">
        <v>30</v>
      </c>
      <c r="L141" s="5" t="inlineStr">
        <is>
          <t>SFST34000106</t>
        </is>
      </c>
      <c r="M141" s="7" t="inlineStr">
        <is>
          <t>Consumable part for MN</t>
        </is>
      </c>
      <c r="N141" s="7" t="inlineStr">
        <is>
          <t>Consumable part</t>
        </is>
      </c>
      <c r="O141" s="11" t="n">
        <v>3</v>
      </c>
      <c r="P141" s="10" t="inlineStr">
        <is>
          <t>Stainless steel SUS304 U-bolt, size 1" (inside diameter 34 mm)</t>
        </is>
      </c>
      <c r="Q141" s="277" t="n">
        <v>4</v>
      </c>
      <c r="R141" s="5" t="inlineStr">
        <is>
          <t>PC</t>
        </is>
      </c>
      <c r="S141" s="284">
        <f>RawDataGenPO[[#This Row],[Total price]]/RawDataGenPO[[#This Row],[Qty'']]</f>
        <v/>
      </c>
      <c r="T141" s="285" t="n">
        <v>112</v>
      </c>
      <c r="U141" s="161" t="inlineStr">
        <is>
          <t>Puneet Approval</t>
        </is>
      </c>
      <c r="V141" s="7" t="inlineStr">
        <is>
          <t>V1000306 - Inter Supply (1992) Co., Ltd.</t>
        </is>
      </c>
      <c r="W141" s="5" t="inlineStr">
        <is>
          <t>Recive bill and GRN already</t>
        </is>
      </c>
      <c r="X141" s="5" t="n"/>
      <c r="Y141" s="3" t="n">
        <v>45518</v>
      </c>
      <c r="Z141" s="3" t="n"/>
      <c r="AA141" s="17">
        <f>IF(RawDataGenPO[[#This Row],[Date Gen PO]]="","",RawDataGenPO[[#This Row],[Date recive bill]]-RawDataGenPO[[#This Row],[Date Gen PO]])</f>
        <v/>
      </c>
      <c r="AB141" s="16">
        <f>IF(RawDataGenPO[[#This Row],[GRN-PO date]]&gt;RawDataGenPO[[#This Row],[Lead time delivery (day)]],"over deliverry","Ontime")</f>
        <v/>
      </c>
      <c r="AC141" s="22" t="n"/>
    </row>
    <row r="142" ht="15" customFormat="1" customHeight="1" s="125">
      <c r="A142" s="5">
        <f>ROW()-ROW(RawDataGenPO[[#Headers],[No.]])</f>
        <v/>
      </c>
      <c r="B142" s="7" t="inlineStr">
        <is>
          <t>Expent  cost</t>
        </is>
      </c>
      <c r="C142" s="276" t="n">
        <v>45498</v>
      </c>
      <c r="D142" s="276" t="n"/>
      <c r="E142" s="276" t="n"/>
      <c r="F142" s="276" t="n">
        <v>45498</v>
      </c>
      <c r="G142" s="5" t="inlineStr">
        <is>
          <t>PR2425-01838</t>
        </is>
      </c>
      <c r="H142" s="5" t="inlineStr">
        <is>
          <t>PO2425-02736</t>
        </is>
      </c>
      <c r="I142" s="290">
        <f>IF(RawDataGenPO[[#This Row],[PO No.]]="","",RawDataGenPO[[#This Row],[DMY Create PR]]+7)</f>
        <v/>
      </c>
      <c r="J142" s="290" t="n"/>
      <c r="K142" s="20" t="n">
        <v>30</v>
      </c>
      <c r="L142" s="5" t="inlineStr">
        <is>
          <t>SFST34000107</t>
        </is>
      </c>
      <c r="M142" s="7" t="inlineStr">
        <is>
          <t>Consumable part for MN</t>
        </is>
      </c>
      <c r="N142" s="7" t="inlineStr">
        <is>
          <t>Consumable part</t>
        </is>
      </c>
      <c r="O142" s="11" t="n">
        <v>4</v>
      </c>
      <c r="P142" s="10" t="inlineStr">
        <is>
          <t>Stainless steel SUS304 U-bolt, size 1-1/4" (inside diameter 43 mm)</t>
        </is>
      </c>
      <c r="Q142" s="277" t="n">
        <v>8</v>
      </c>
      <c r="R142" s="5" t="inlineStr">
        <is>
          <t>PC</t>
        </is>
      </c>
      <c r="S142" s="284">
        <f>RawDataGenPO[[#This Row],[Total price]]/RawDataGenPO[[#This Row],[Qty'']]</f>
        <v/>
      </c>
      <c r="T142" s="285" t="n">
        <v>280</v>
      </c>
      <c r="U142" s="161" t="inlineStr">
        <is>
          <t>Puneet Approval</t>
        </is>
      </c>
      <c r="V142" s="256" t="inlineStr">
        <is>
          <t>V1000306 - Inter Supply (1992) Co., Ltd.</t>
        </is>
      </c>
      <c r="W142" s="5" t="inlineStr">
        <is>
          <t>Recive bill and GRN already</t>
        </is>
      </c>
      <c r="X142" s="5" t="n"/>
      <c r="Y142" s="3" t="n">
        <v>45518</v>
      </c>
      <c r="Z142" s="3" t="n"/>
      <c r="AA142" s="17">
        <f>IF(RawDataGenPO[[#This Row],[Date Gen PO]]="","",RawDataGenPO[[#This Row],[Date recive bill]]-RawDataGenPO[[#This Row],[Date Gen PO]])</f>
        <v/>
      </c>
      <c r="AB142" s="16">
        <f>IF(RawDataGenPO[[#This Row],[GRN-PO date]]&gt;RawDataGenPO[[#This Row],[Lead time delivery (day)]],"over deliverry","Ontime")</f>
        <v/>
      </c>
      <c r="AC142" s="168" t="n"/>
    </row>
    <row r="143" ht="15" customHeight="1">
      <c r="A143" s="5">
        <f>ROW()-ROW(RawDataGenPO[[#Headers],[No.]])</f>
        <v/>
      </c>
      <c r="B143" s="7" t="inlineStr">
        <is>
          <t>Expent  cost</t>
        </is>
      </c>
      <c r="C143" s="276" t="n">
        <v>45498</v>
      </c>
      <c r="F143" s="276" t="n">
        <v>45498</v>
      </c>
      <c r="G143" s="5" t="inlineStr">
        <is>
          <t>PR2425-01838</t>
        </is>
      </c>
      <c r="H143" s="5" t="inlineStr">
        <is>
          <t>PO2425-02736</t>
        </is>
      </c>
      <c r="I143" s="290">
        <f>IF(RawDataGenPO[[#This Row],[PO No.]]="","",RawDataGenPO[[#This Row],[DMY Create PR]]+7)</f>
        <v/>
      </c>
      <c r="J143" s="290" t="n"/>
      <c r="K143" s="20" t="n">
        <v>30</v>
      </c>
      <c r="L143" s="5" t="inlineStr">
        <is>
          <t>SFST34000108</t>
        </is>
      </c>
      <c r="M143" s="7" t="inlineStr">
        <is>
          <t>Consumable part for MN</t>
        </is>
      </c>
      <c r="N143" s="7" t="inlineStr">
        <is>
          <t>Consumable part</t>
        </is>
      </c>
      <c r="O143" s="11" t="n">
        <v>5</v>
      </c>
      <c r="P143" s="10" t="inlineStr">
        <is>
          <t>Stainless steel SUS304 U-bolt (Steel U-BOLT) size unspecified</t>
        </is>
      </c>
      <c r="Q143" s="277" t="n">
        <v>2</v>
      </c>
      <c r="R143" s="5" t="inlineStr">
        <is>
          <t>PC</t>
        </is>
      </c>
      <c r="S143" s="284">
        <f>RawDataGenPO[[#This Row],[Total price]]/RawDataGenPO[[#This Row],[Qty'']]</f>
        <v/>
      </c>
      <c r="T143" s="285" t="n">
        <v>80</v>
      </c>
      <c r="U143" s="161" t="inlineStr">
        <is>
          <t>Puneet Approval</t>
        </is>
      </c>
      <c r="V143" s="7" t="inlineStr">
        <is>
          <t>V1000306 - Inter Supply (1992) Co., Ltd.</t>
        </is>
      </c>
      <c r="W143" s="5" t="inlineStr">
        <is>
          <t>Recive bill and GRN already</t>
        </is>
      </c>
      <c r="Y143" s="3" t="n">
        <v>45518</v>
      </c>
      <c r="AA143" s="17">
        <f>IF(RawDataGenPO[[#This Row],[Date Gen PO]]="","",RawDataGenPO[[#This Row],[Date recive bill]]-RawDataGenPO[[#This Row],[Date Gen PO]])</f>
        <v/>
      </c>
      <c r="AB143" s="16">
        <f>IF(RawDataGenPO[[#This Row],[GRN-PO date]]&gt;RawDataGenPO[[#This Row],[Lead time delivery (day)]],"over deliverry","Ontime")</f>
        <v/>
      </c>
      <c r="AC143" s="22" t="n"/>
    </row>
    <row r="144" ht="15" customFormat="1" customHeight="1" s="125">
      <c r="A144" s="5">
        <f>ROW()-ROW(RawDataGenPO[[#Headers],[No.]])</f>
        <v/>
      </c>
      <c r="B144" s="7" t="inlineStr">
        <is>
          <t>Expent  cost</t>
        </is>
      </c>
      <c r="C144" s="276" t="n">
        <v>45498</v>
      </c>
      <c r="D144" s="276" t="n"/>
      <c r="E144" s="276" t="n"/>
      <c r="F144" s="276" t="n">
        <v>45498</v>
      </c>
      <c r="G144" s="5" t="inlineStr">
        <is>
          <t>PR2425-01838</t>
        </is>
      </c>
      <c r="H144" s="5" t="inlineStr">
        <is>
          <t>PO2425-02736</t>
        </is>
      </c>
      <c r="I144" s="290">
        <f>IF(RawDataGenPO[[#This Row],[PO No.]]="","",RawDataGenPO[[#This Row],[DMY Create PR]]+7)</f>
        <v/>
      </c>
      <c r="J144" s="290" t="n"/>
      <c r="K144" s="20" t="n">
        <v>30</v>
      </c>
      <c r="L144" s="5" t="inlineStr">
        <is>
          <t>SFST34000109</t>
        </is>
      </c>
      <c r="M144" s="7" t="inlineStr">
        <is>
          <t>Consumable part for MN</t>
        </is>
      </c>
      <c r="N144" s="7" t="inlineStr">
        <is>
          <t>Consumable part</t>
        </is>
      </c>
      <c r="O144" s="11" t="n">
        <v>6</v>
      </c>
      <c r="P144" s="10" t="inlineStr">
        <is>
          <t>Stainless steel SUS304 U-bolt, size 2" (inside diameter 62 mm)</t>
        </is>
      </c>
      <c r="Q144" s="277" t="n">
        <v>2</v>
      </c>
      <c r="R144" s="5" t="inlineStr">
        <is>
          <t>PC</t>
        </is>
      </c>
      <c r="S144" s="284">
        <f>RawDataGenPO[[#This Row],[Total price]]/RawDataGenPO[[#This Row],[Qty'']]</f>
        <v/>
      </c>
      <c r="T144" s="285" t="n">
        <v>80</v>
      </c>
      <c r="U144" s="161" t="inlineStr">
        <is>
          <t>Puneet Approval</t>
        </is>
      </c>
      <c r="V144" s="256" t="inlineStr">
        <is>
          <t>V1000306 - Inter Supply (1992) Co., Ltd.</t>
        </is>
      </c>
      <c r="W144" s="5" t="inlineStr">
        <is>
          <t>Recive bill and GRN already</t>
        </is>
      </c>
      <c r="X144" s="5" t="n"/>
      <c r="Y144" s="3" t="n">
        <v>45518</v>
      </c>
      <c r="Z144" s="3" t="n"/>
      <c r="AA144" s="17">
        <f>IF(RawDataGenPO[[#This Row],[Date Gen PO]]="","",RawDataGenPO[[#This Row],[Date recive bill]]-RawDataGenPO[[#This Row],[Date Gen PO]])</f>
        <v/>
      </c>
      <c r="AB144" s="16">
        <f>IF(RawDataGenPO[[#This Row],[GRN-PO date]]&gt;RawDataGenPO[[#This Row],[Lead time delivery (day)]],"over deliverry","Ontime")</f>
        <v/>
      </c>
      <c r="AC144" s="22" t="n"/>
    </row>
    <row r="145" ht="15" customHeight="1">
      <c r="A145" s="5">
        <f>ROW()-ROW(RawDataGenPO[[#Headers],[No.]])</f>
        <v/>
      </c>
      <c r="B145" s="7" t="inlineStr">
        <is>
          <t>Expent  cost</t>
        </is>
      </c>
      <c r="C145" s="276" t="n">
        <v>45498</v>
      </c>
      <c r="F145" s="276" t="n">
        <v>45498</v>
      </c>
      <c r="G145" s="5" t="inlineStr">
        <is>
          <t>PR2425-01838</t>
        </is>
      </c>
      <c r="H145" s="5" t="inlineStr">
        <is>
          <t>PO2425-02736</t>
        </is>
      </c>
      <c r="I145" s="290">
        <f>IF(RawDataGenPO[[#This Row],[PO No.]]="","",RawDataGenPO[[#This Row],[DMY Create PR]]+7)</f>
        <v/>
      </c>
      <c r="J145" s="290" t="n"/>
      <c r="K145" s="20" t="n">
        <v>30</v>
      </c>
      <c r="L145" s="5" t="inlineStr">
        <is>
          <t>SFST34000110</t>
        </is>
      </c>
      <c r="M145" s="7" t="inlineStr">
        <is>
          <t>Consumable part for MN</t>
        </is>
      </c>
      <c r="N145" s="7" t="inlineStr">
        <is>
          <t>Consumable part</t>
        </is>
      </c>
      <c r="O145" s="11" t="n">
        <v>7</v>
      </c>
      <c r="P145" s="10" t="inlineStr">
        <is>
          <t>Stainless steel SUS304 U-bolt, size 2-1/2" (inside diameter 80 mm)</t>
        </is>
      </c>
      <c r="Q145" s="277" t="n">
        <v>2</v>
      </c>
      <c r="R145" s="5" t="inlineStr">
        <is>
          <t>PC</t>
        </is>
      </c>
      <c r="S145" s="284">
        <f>RawDataGenPO[[#This Row],[Total price]]/RawDataGenPO[[#This Row],[Qty'']]</f>
        <v/>
      </c>
      <c r="T145" s="285" t="n">
        <v>110</v>
      </c>
      <c r="U145" s="161" t="inlineStr">
        <is>
          <t>Puneet Approval</t>
        </is>
      </c>
      <c r="V145" s="7" t="inlineStr">
        <is>
          <t>V1000306 - Inter Supply (1992) Co., Ltd.</t>
        </is>
      </c>
      <c r="W145" s="5" t="inlineStr">
        <is>
          <t>Recive bill and GRN already</t>
        </is>
      </c>
      <c r="Y145" s="3" t="n">
        <v>45518</v>
      </c>
      <c r="AA145" s="17">
        <f>IF(RawDataGenPO[[#This Row],[Date Gen PO]]="","",RawDataGenPO[[#This Row],[Date recive bill]]-RawDataGenPO[[#This Row],[Date Gen PO]])</f>
        <v/>
      </c>
      <c r="AB145" s="16">
        <f>IF(RawDataGenPO[[#This Row],[GRN-PO date]]&gt;RawDataGenPO[[#This Row],[Lead time delivery (day)]],"over deliverry","Ontime")</f>
        <v/>
      </c>
      <c r="AC145" s="22" t="n"/>
    </row>
    <row r="146" ht="15" customFormat="1" customHeight="1" s="125">
      <c r="A146" s="5">
        <f>ROW()-ROW(RawDataGenPO[[#Headers],[No.]])</f>
        <v/>
      </c>
      <c r="B146" s="7" t="inlineStr">
        <is>
          <t>Expent  cost</t>
        </is>
      </c>
      <c r="C146" s="276" t="n">
        <v>45498</v>
      </c>
      <c r="D146" s="276" t="n"/>
      <c r="E146" s="276" t="n"/>
      <c r="F146" s="276" t="n">
        <v>45498</v>
      </c>
      <c r="G146" s="181" t="inlineStr">
        <is>
          <t xml:space="preserve">PR2425-01997 </t>
        </is>
      </c>
      <c r="H146" s="5" t="inlineStr">
        <is>
          <t>PO2425-02739</t>
        </is>
      </c>
      <c r="I146" s="290">
        <f>IF(RawDataGenPO[[#This Row],[PO No.]]="","",RawDataGenPO[[#This Row],[DMY Create PR]]+7)</f>
        <v/>
      </c>
      <c r="J146" s="290" t="n"/>
      <c r="K146" s="20" t="n">
        <v>30</v>
      </c>
      <c r="L146" s="5" t="inlineStr">
        <is>
          <t>SFST81000050</t>
        </is>
      </c>
      <c r="M146" s="7" t="inlineStr">
        <is>
          <t>Tool and Equipment  Engineering</t>
        </is>
      </c>
      <c r="N146" s="7" t="inlineStr">
        <is>
          <t>PPE and other equipment</t>
        </is>
      </c>
      <c r="O146" s="11" t="n">
        <v>1</v>
      </c>
      <c r="P146" s="10" t="inlineStr">
        <is>
          <t>TOTAL" model TDLI20602 cordless impact drill set 20V, size 60 mm</t>
        </is>
      </c>
      <c r="Q146" s="277" t="n">
        <v>1</v>
      </c>
      <c r="R146" s="5" t="inlineStr">
        <is>
          <t>PC</t>
        </is>
      </c>
      <c r="S146" s="284">
        <f>RawDataGenPO[[#This Row],[Total price]]/RawDataGenPO[[#This Row],[Qty'']]</f>
        <v/>
      </c>
      <c r="T146" s="297" t="n">
        <v>2706.54</v>
      </c>
      <c r="U146" s="161" t="inlineStr">
        <is>
          <t>Puneet Approval</t>
        </is>
      </c>
      <c r="V146" s="7" t="inlineStr">
        <is>
          <t>KRUEANG MUE RUNG REUNG CO., LTD.</t>
        </is>
      </c>
      <c r="W146" s="5" t="inlineStr">
        <is>
          <t>Recive bill and GRN already</t>
        </is>
      </c>
      <c r="X146" s="5" t="n"/>
      <c r="Y146" s="3" t="n">
        <v>45537</v>
      </c>
      <c r="Z146" s="3" t="n"/>
      <c r="AA146" s="17">
        <f>IF(RawDataGenPO[[#This Row],[Date Gen PO]]="","",RawDataGenPO[[#This Row],[Date recive bill]]-RawDataGenPO[[#This Row],[Date Gen PO]])</f>
        <v/>
      </c>
      <c r="AB146" s="16">
        <f>IF(RawDataGenPO[[#This Row],[GRN-PO date]]&gt;RawDataGenPO[[#This Row],[Lead time delivery (day)]],"over deliverry","Ontime")</f>
        <v/>
      </c>
      <c r="AC146" s="168" t="n"/>
    </row>
    <row r="147" ht="15" customFormat="1" customHeight="1" s="125">
      <c r="A147" s="5">
        <f>ROW()-ROW(RawDataGenPO[[#Headers],[No.]])</f>
        <v/>
      </c>
      <c r="B147" s="7" t="inlineStr">
        <is>
          <t>Expent  cost</t>
        </is>
      </c>
      <c r="C147" s="276" t="n">
        <v>45498</v>
      </c>
      <c r="D147" s="276" t="n"/>
      <c r="E147" s="276" t="n"/>
      <c r="F147" s="276" t="n">
        <v>45498</v>
      </c>
      <c r="G147" s="181" t="inlineStr">
        <is>
          <t>PR2425-02000</t>
        </is>
      </c>
      <c r="H147" s="5" t="inlineStr">
        <is>
          <t>PO2425-02740</t>
        </is>
      </c>
      <c r="I147" s="290">
        <f>IF(RawDataGenPO[[#This Row],[PO No.]]="","",RawDataGenPO[[#This Row],[DMY Create PR]]+7)</f>
        <v/>
      </c>
      <c r="J147" s="290" t="n"/>
      <c r="K147" s="20" t="n">
        <v>30</v>
      </c>
      <c r="L147" s="5" t="inlineStr">
        <is>
          <t>SFST34000092</t>
        </is>
      </c>
      <c r="M147" s="7" t="inlineStr">
        <is>
          <t>Consumable part for MN</t>
        </is>
      </c>
      <c r="N147" s="7" t="inlineStr">
        <is>
          <t>Consumable part</t>
        </is>
      </c>
      <c r="O147" s="11" t="n">
        <v>1</v>
      </c>
      <c r="P147" s="10" t="inlineStr">
        <is>
          <t>SCG thread seal tape 12 mm x 0.1 mm x 10 m, SCG Elephant brand pipe tape</t>
        </is>
      </c>
      <c r="Q147" s="277" t="n">
        <v>2</v>
      </c>
      <c r="R147" s="5" t="inlineStr">
        <is>
          <t>Box</t>
        </is>
      </c>
      <c r="S147" s="284">
        <f>RawDataGenPO[[#This Row],[Total price]]/RawDataGenPO[[#This Row],[Qty'']]</f>
        <v/>
      </c>
      <c r="T147" s="297" t="n">
        <v>550</v>
      </c>
      <c r="U147" s="161" t="inlineStr">
        <is>
          <t>Puneet Approval</t>
        </is>
      </c>
      <c r="V147" s="7" t="inlineStr">
        <is>
          <t>V1000259 - JJP SUPPLY CO., LTD</t>
        </is>
      </c>
      <c r="W147" s="5" t="inlineStr">
        <is>
          <t>Recive bill and GRN already</t>
        </is>
      </c>
      <c r="X147" s="5" t="n"/>
      <c r="Y147" s="3" t="n">
        <v>45524</v>
      </c>
      <c r="Z147" s="3" t="n"/>
      <c r="AA147" s="17">
        <f>IF(RawDataGenPO[[#This Row],[Date Gen PO]]="","",RawDataGenPO[[#This Row],[Date recive bill]]-RawDataGenPO[[#This Row],[Date Gen PO]])</f>
        <v/>
      </c>
      <c r="AB147" s="16">
        <f>IF(RawDataGenPO[[#This Row],[GRN-PO date]]&gt;RawDataGenPO[[#This Row],[Lead time delivery (day)]],"over deliverry","Ontime")</f>
        <v/>
      </c>
      <c r="AC147" s="22" t="n"/>
    </row>
    <row r="148" ht="15" customFormat="1" customHeight="1" s="125">
      <c r="A148" s="5">
        <f>ROW()-ROW(RawDataGenPO[[#Headers],[No.]])</f>
        <v/>
      </c>
      <c r="B148" s="7" t="inlineStr">
        <is>
          <t>Expent  cost</t>
        </is>
      </c>
      <c r="C148" s="276" t="n">
        <v>45498</v>
      </c>
      <c r="D148" s="276" t="n"/>
      <c r="E148" s="276" t="n"/>
      <c r="F148" s="276" t="n">
        <v>45498</v>
      </c>
      <c r="G148" s="181" t="inlineStr">
        <is>
          <t>PR2425-02002</t>
        </is>
      </c>
      <c r="H148" s="5" t="inlineStr">
        <is>
          <t>PO2425-02741</t>
        </is>
      </c>
      <c r="I148" s="290">
        <f>IF(RawDataGenPO[[#This Row],[PO No.]]="","",RawDataGenPO[[#This Row],[DMY Create PR]]+7)</f>
        <v/>
      </c>
      <c r="J148" s="290" t="n"/>
      <c r="K148" s="20">
        <f>IF(RawDataGenPO[[#This Row],[PO No.]]="","",10)</f>
        <v/>
      </c>
      <c r="L148" s="5" t="inlineStr">
        <is>
          <t>SFST81000050</t>
        </is>
      </c>
      <c r="M148" s="7" t="inlineStr">
        <is>
          <t>Consumable part for MN</t>
        </is>
      </c>
      <c r="N148" s="7" t="inlineStr">
        <is>
          <t>Consumable part</t>
        </is>
      </c>
      <c r="O148" s="11" t="n">
        <v>1</v>
      </c>
      <c r="P148" s="10" t="inlineStr">
        <is>
          <t>ARF-25C" Argon pressure gauge, brass.</t>
        </is>
      </c>
      <c r="Q148" s="277" t="n">
        <v>1</v>
      </c>
      <c r="R148" s="5" t="inlineStr">
        <is>
          <t>PC</t>
        </is>
      </c>
      <c r="S148" s="284">
        <f>RawDataGenPO[[#This Row],[Total price]]/RawDataGenPO[[#This Row],[Qty'']]</f>
        <v/>
      </c>
      <c r="T148" s="297" t="n">
        <v>2100</v>
      </c>
      <c r="U148" s="161" t="inlineStr">
        <is>
          <t>Puneet Approval</t>
        </is>
      </c>
      <c r="V148" s="7" t="inlineStr">
        <is>
          <t>V1000271 - 395 Shop Limited Partnership</t>
        </is>
      </c>
      <c r="W148" s="5" t="inlineStr">
        <is>
          <t>Recive bill and GRN already</t>
        </is>
      </c>
      <c r="X148" s="5" t="n"/>
      <c r="Y148" s="3" t="n">
        <v>45514</v>
      </c>
      <c r="Z148" s="3" t="n"/>
      <c r="AA148" s="17">
        <f>IF(RawDataGenPO[[#This Row],[Date Gen PO]]="","",RawDataGenPO[[#This Row],[Date recive bill]]-RawDataGenPO[[#This Row],[Date Gen PO]])</f>
        <v/>
      </c>
      <c r="AB148" s="16">
        <f>IF(RawDataGenPO[[#This Row],[GRN-PO date]]&gt;RawDataGenPO[[#This Row],[Lead time delivery (day)]],"over deliverry","Ontime")</f>
        <v/>
      </c>
      <c r="AC148" s="22" t="n"/>
    </row>
    <row r="149" ht="15" customFormat="1" customHeight="1" s="125">
      <c r="A149" s="5">
        <f>ROW()-ROW(RawDataGenPO[[#Headers],[No.]])</f>
        <v/>
      </c>
      <c r="B149" s="7" t="inlineStr">
        <is>
          <t>Expent  cost</t>
        </is>
      </c>
      <c r="C149" s="276" t="n">
        <v>45498</v>
      </c>
      <c r="D149" s="276" t="n"/>
      <c r="E149" s="276" t="n"/>
      <c r="F149" s="276" t="n">
        <v>45498</v>
      </c>
      <c r="G149" s="181" t="inlineStr">
        <is>
          <t>PR2425-01996</t>
        </is>
      </c>
      <c r="H149" s="5" t="inlineStr">
        <is>
          <t xml:space="preserve">PO2425-02777 </t>
        </is>
      </c>
      <c r="I149" s="290">
        <f>IF(RawDataGenPO[[#This Row],[PO No.]]="","",RawDataGenPO[[#This Row],[DMY Create PR]]+7)</f>
        <v/>
      </c>
      <c r="J149" s="290" t="n"/>
      <c r="K149" s="20" t="n">
        <v>60</v>
      </c>
      <c r="L149" s="5" t="inlineStr">
        <is>
          <t>SFST81000050</t>
        </is>
      </c>
      <c r="M149" s="7" t="inlineStr">
        <is>
          <t>Electrical system out  PD area</t>
        </is>
      </c>
      <c r="N149" s="7" t="inlineStr">
        <is>
          <t>Electrical jobs</t>
        </is>
      </c>
      <c r="O149" s="11" t="n">
        <v>1</v>
      </c>
      <c r="P149" s="10" t="inlineStr">
        <is>
          <t>Magnetig Switch SNS CS1-F</t>
        </is>
      </c>
      <c r="Q149" s="277" t="n">
        <v>2</v>
      </c>
      <c r="R149" s="5" t="inlineStr">
        <is>
          <t>PC</t>
        </is>
      </c>
      <c r="S149" s="284">
        <f>RawDataGenPO[[#This Row],[Total price]]/RawDataGenPO[[#This Row],[Qty'']]</f>
        <v/>
      </c>
      <c r="T149" s="297" t="n">
        <v>368</v>
      </c>
      <c r="U149" s="161" t="inlineStr">
        <is>
          <t>Puneet Approval</t>
        </is>
      </c>
      <c r="V149" s="7" t="inlineStr">
        <is>
          <t>V1000617 - PNEUMA ENGINEERING CO., LTD.</t>
        </is>
      </c>
      <c r="W149" s="5" t="inlineStr">
        <is>
          <t>Recive bill and GRN already</t>
        </is>
      </c>
      <c r="X149" s="5" t="n"/>
      <c r="Y149" s="3" t="n">
        <v>45558</v>
      </c>
      <c r="Z149" s="3" t="n"/>
      <c r="AA149" s="17">
        <f>IF(RawDataGenPO[[#This Row],[Date Gen PO]]="","",RawDataGenPO[[#This Row],[Date recive bill]]-RawDataGenPO[[#This Row],[Date Gen PO]])</f>
        <v/>
      </c>
      <c r="AB149" s="16">
        <f>IF(RawDataGenPO[[#This Row],[GRN-PO date]]&gt;RawDataGenPO[[#This Row],[Lead time delivery (day)]],"over deliverry","Ontime")</f>
        <v/>
      </c>
      <c r="AC149" s="22" t="n"/>
    </row>
    <row r="150" ht="15" customFormat="1" customHeight="1" s="125">
      <c r="A150" s="5">
        <f>ROW()-ROW(RawDataGenPO[[#Headers],[No.]])</f>
        <v/>
      </c>
      <c r="B150" s="7" t="inlineStr">
        <is>
          <t>Expent  cost</t>
        </is>
      </c>
      <c r="C150" s="276" t="n">
        <v>45498</v>
      </c>
      <c r="D150" s="276" t="n"/>
      <c r="E150" s="276" t="n"/>
      <c r="F150" s="276" t="n">
        <v>45498</v>
      </c>
      <c r="G150" s="181" t="inlineStr">
        <is>
          <t>PR2425-01997</t>
        </is>
      </c>
      <c r="H150" s="5" t="inlineStr">
        <is>
          <t xml:space="preserve">PO2425-02777 </t>
        </is>
      </c>
      <c r="I150" s="290">
        <f>IF(RawDataGenPO[[#This Row],[PO No.]]="","",RawDataGenPO[[#This Row],[DMY Create PR]]+7)</f>
        <v/>
      </c>
      <c r="J150" s="290" t="n"/>
      <c r="K150" s="20" t="n">
        <v>60</v>
      </c>
      <c r="L150" s="5" t="inlineStr">
        <is>
          <t>SFST81000050</t>
        </is>
      </c>
      <c r="M150" s="7" t="inlineStr">
        <is>
          <t>Electrical system out  PD area</t>
        </is>
      </c>
      <c r="N150" s="7" t="inlineStr">
        <is>
          <t>Electrical jobs</t>
        </is>
      </c>
      <c r="O150" s="11" t="n">
        <v>1</v>
      </c>
      <c r="P150" s="10" t="inlineStr">
        <is>
          <t>Magnetig Switch SNS CS1-U</t>
        </is>
      </c>
      <c r="Q150" s="298" t="n">
        <v>2</v>
      </c>
      <c r="R150" s="5" t="inlineStr">
        <is>
          <t>PC</t>
        </is>
      </c>
      <c r="S150" s="284">
        <f>RawDataGenPO[[#This Row],[Total price]]/RawDataGenPO[[#This Row],[Qty'']]</f>
        <v/>
      </c>
      <c r="T150" s="297" t="n">
        <v>368</v>
      </c>
      <c r="U150" s="161" t="inlineStr">
        <is>
          <t>Puneet Approval</t>
        </is>
      </c>
      <c r="V150" s="7" t="inlineStr">
        <is>
          <t>V1000617 - PNEUMA ENGINEERING CO., LTD.</t>
        </is>
      </c>
      <c r="W150" s="5" t="inlineStr">
        <is>
          <t>Recive bill and GRN already</t>
        </is>
      </c>
      <c r="X150" s="5" t="n"/>
      <c r="Y150" s="3" t="n">
        <v>45559</v>
      </c>
      <c r="Z150" s="3" t="n"/>
      <c r="AA150" s="17">
        <f>IF(RawDataGenPO[[#This Row],[Date Gen PO]]="","",RawDataGenPO[[#This Row],[Date recive bill]]-RawDataGenPO[[#This Row],[Date Gen PO]])</f>
        <v/>
      </c>
      <c r="AB150" s="16">
        <f>IF(RawDataGenPO[[#This Row],[GRN-PO date]]&gt;RawDataGenPO[[#This Row],[Lead time delivery (day)]],"over deliverry","Ontime")</f>
        <v/>
      </c>
      <c r="AC150" s="168" t="n"/>
    </row>
    <row r="151" ht="15" customFormat="1" customHeight="1" s="125">
      <c r="A151" s="5">
        <f>ROW()-ROW(RawDataGenPO[[#Headers],[No.]])</f>
        <v/>
      </c>
      <c r="B151" s="7" t="inlineStr">
        <is>
          <t>Expent  cost</t>
        </is>
      </c>
      <c r="C151" s="276" t="n">
        <v>45498</v>
      </c>
      <c r="D151" s="276" t="n"/>
      <c r="E151" s="276" t="n"/>
      <c r="F151" s="276" t="n">
        <v>45498</v>
      </c>
      <c r="G151" s="181" t="inlineStr">
        <is>
          <t>PR2425-01998</t>
        </is>
      </c>
      <c r="H151" s="5" t="inlineStr">
        <is>
          <t xml:space="preserve">PO2425-02777 </t>
        </is>
      </c>
      <c r="I151" s="290">
        <f>IF(RawDataGenPO[[#This Row],[PO No.]]="","",RawDataGenPO[[#This Row],[DMY Create PR]]+7)</f>
        <v/>
      </c>
      <c r="J151" s="290" t="n"/>
      <c r="K151" s="20" t="n">
        <v>60</v>
      </c>
      <c r="L151" s="5" t="inlineStr">
        <is>
          <t>SFST81000050</t>
        </is>
      </c>
      <c r="M151" s="7" t="inlineStr">
        <is>
          <t>Electrical system out  PD area</t>
        </is>
      </c>
      <c r="N151" s="7" t="inlineStr">
        <is>
          <t>Electrical jobs</t>
        </is>
      </c>
      <c r="O151" s="11" t="n">
        <v>1</v>
      </c>
      <c r="P151" s="10" t="inlineStr">
        <is>
          <t>Magnetig Switch Bracket F-SU32H</t>
        </is>
      </c>
      <c r="Q151" s="298" t="n">
        <v>2</v>
      </c>
      <c r="R151" s="5" t="inlineStr">
        <is>
          <t>PC</t>
        </is>
      </c>
      <c r="S151" s="284">
        <f>RawDataGenPO[[#This Row],[Total price]]/RawDataGenPO[[#This Row],[Qty'']]</f>
        <v/>
      </c>
      <c r="T151" s="297" t="n">
        <v>186</v>
      </c>
      <c r="U151" s="161" t="inlineStr">
        <is>
          <t>Puneet Approval</t>
        </is>
      </c>
      <c r="V151" s="7" t="inlineStr">
        <is>
          <t>V1000617 - PNEUMA ENGINEERING CO., LTD.</t>
        </is>
      </c>
      <c r="W151" s="5" t="inlineStr">
        <is>
          <t>Recive bill and GRN already</t>
        </is>
      </c>
      <c r="X151" s="5" t="n"/>
      <c r="Y151" s="3" t="n">
        <v>45560</v>
      </c>
      <c r="Z151" s="3" t="n"/>
      <c r="AA151" s="17">
        <f>IF(RawDataGenPO[[#This Row],[Date Gen PO]]="","",RawDataGenPO[[#This Row],[Date recive bill]]-RawDataGenPO[[#This Row],[Date Gen PO]])</f>
        <v/>
      </c>
      <c r="AB151" s="16">
        <f>IF(RawDataGenPO[[#This Row],[GRN-PO date]]&gt;RawDataGenPO[[#This Row],[Lead time delivery (day)]],"over deliverry","Ontime")</f>
        <v/>
      </c>
      <c r="AC151" s="22" t="n"/>
    </row>
    <row r="152" ht="15" customFormat="1" customHeight="1" s="125">
      <c r="A152" s="5">
        <f>ROW()-ROW(RawDataGenPO[[#Headers],[No.]])</f>
        <v/>
      </c>
      <c r="B152" s="7" t="inlineStr">
        <is>
          <t>Expent  cost</t>
        </is>
      </c>
      <c r="C152" s="276" t="n">
        <v>45498</v>
      </c>
      <c r="D152" s="276" t="n"/>
      <c r="E152" s="276" t="n"/>
      <c r="F152" s="276" t="n">
        <v>45498</v>
      </c>
      <c r="G152" s="181" t="inlineStr">
        <is>
          <t>PR2425-01999</t>
        </is>
      </c>
      <c r="H152" s="5" t="inlineStr">
        <is>
          <t xml:space="preserve">PO2425-02777 </t>
        </is>
      </c>
      <c r="I152" s="290">
        <f>IF(RawDataGenPO[[#This Row],[PO No.]]="","",RawDataGenPO[[#This Row],[DMY Create PR]]+7)</f>
        <v/>
      </c>
      <c r="J152" s="290" t="n"/>
      <c r="K152" s="20" t="n">
        <v>60</v>
      </c>
      <c r="L152" s="5" t="inlineStr">
        <is>
          <t>SFST81000050</t>
        </is>
      </c>
      <c r="M152" s="7" t="inlineStr">
        <is>
          <t>Electrical system out  PD area</t>
        </is>
      </c>
      <c r="N152" s="7" t="inlineStr">
        <is>
          <t>Electrical jobs</t>
        </is>
      </c>
      <c r="O152" s="11" t="n">
        <v>1</v>
      </c>
      <c r="P152" s="10" t="inlineStr">
        <is>
          <t>Magnetig Switch Bracket F-SU40H</t>
        </is>
      </c>
      <c r="Q152" s="298" t="n">
        <v>2</v>
      </c>
      <c r="R152" s="5" t="inlineStr">
        <is>
          <t>PC</t>
        </is>
      </c>
      <c r="S152" s="284">
        <f>RawDataGenPO[[#This Row],[Total price]]/RawDataGenPO[[#This Row],[Qty'']]</f>
        <v/>
      </c>
      <c r="T152" s="297" t="n">
        <v>186</v>
      </c>
      <c r="U152" s="161" t="inlineStr">
        <is>
          <t>Puneet Approval</t>
        </is>
      </c>
      <c r="V152" s="7" t="inlineStr">
        <is>
          <t>V1000617 - PNEUMA ENGINEERING CO., LTD.</t>
        </is>
      </c>
      <c r="W152" s="5" t="inlineStr">
        <is>
          <t>Recive bill and GRN already</t>
        </is>
      </c>
      <c r="X152" s="5" t="n"/>
      <c r="Y152" s="3" t="n">
        <v>45561</v>
      </c>
      <c r="Z152" s="3" t="n"/>
      <c r="AA152" s="17">
        <f>IF(RawDataGenPO[[#This Row],[Date Gen PO]]="","",RawDataGenPO[[#This Row],[Date recive bill]]-RawDataGenPO[[#This Row],[Date Gen PO]])</f>
        <v/>
      </c>
      <c r="AB152" s="16">
        <f>IF(RawDataGenPO[[#This Row],[GRN-PO date]]&gt;RawDataGenPO[[#This Row],[Lead time delivery (day)]],"over deliverry","Ontime")</f>
        <v/>
      </c>
      <c r="AC152" s="22" t="n"/>
    </row>
    <row r="153" ht="75" customFormat="1" customHeight="1" s="125">
      <c r="A153" s="5">
        <f>ROW()-ROW(RawDataGenPO[[#Headers],[No.]])</f>
        <v/>
      </c>
      <c r="B153" s="7" t="inlineStr">
        <is>
          <t>Expent  cost</t>
        </is>
      </c>
      <c r="C153" s="276" t="n">
        <v>45503</v>
      </c>
      <c r="D153" s="276" t="n"/>
      <c r="E153" s="276" t="n"/>
      <c r="F153" s="276" t="n">
        <v>45503</v>
      </c>
      <c r="G153" s="181" t="inlineStr">
        <is>
          <t>PR2425-02377</t>
        </is>
      </c>
      <c r="H153" s="5" t="inlineStr">
        <is>
          <t>PO2425-02836</t>
        </is>
      </c>
      <c r="I153" s="290">
        <f>IF(RawDataGenPO[[#This Row],[PO No.]]="","",RawDataGenPO[[#This Row],[DMY Create PR]]+7)</f>
        <v/>
      </c>
      <c r="J153" s="290" t="n"/>
      <c r="K153" s="20" t="n">
        <v>60</v>
      </c>
      <c r="L153" s="5" t="inlineStr">
        <is>
          <t>SFST81000050</t>
        </is>
      </c>
      <c r="M153" s="7" t="inlineStr">
        <is>
          <t>Safety equipment</t>
        </is>
      </c>
      <c r="N153" s="7" t="inlineStr">
        <is>
          <t>Safety equipment</t>
        </is>
      </c>
      <c r="O153" s="11" t="n">
        <v>1</v>
      </c>
      <c r="P153" s="10" t="inlineStr">
        <is>
          <t>Yellow floor-standing sign, size 21x30x60 cm
- with die-cut sticker text per design
- visible on 2 sides, foldable
- sign "Under Repair"
- 3 languages (Thai, English, Burmese)</t>
        </is>
      </c>
      <c r="Q153" s="298" t="n">
        <v>4</v>
      </c>
      <c r="R153" s="5" t="inlineStr">
        <is>
          <t>Pcs.</t>
        </is>
      </c>
      <c r="S153" s="284">
        <f>RawDataGenPO[[#This Row],[Total price]]/RawDataGenPO[[#This Row],[Qty'']]</f>
        <v/>
      </c>
      <c r="T153" s="297" t="n">
        <v>1700</v>
      </c>
      <c r="U153" s="161" t="n"/>
      <c r="V153" s="7" t="inlineStr">
        <is>
          <t>V1000618 - ST PRODUCTS AND SERVICE COMPANY LIMITED</t>
        </is>
      </c>
      <c r="W153" s="5" t="inlineStr">
        <is>
          <t>Recive bill and GRN already</t>
        </is>
      </c>
      <c r="X153" s="5" t="n"/>
      <c r="Y153" s="3" t="n">
        <v>45546</v>
      </c>
      <c r="Z153" s="3" t="n"/>
      <c r="AA153" s="17">
        <f>IF(RawDataGenPO[[#This Row],[Date Gen PO]]="","",RawDataGenPO[[#This Row],[Date recive bill]]-RawDataGenPO[[#This Row],[Date Gen PO]])</f>
        <v/>
      </c>
      <c r="AB153" s="16">
        <f>IF(RawDataGenPO[[#This Row],[GRN-PO date]]&gt;RawDataGenPO[[#This Row],[Lead time delivery (day)]],"over deliverry","Ontime")</f>
        <v/>
      </c>
      <c r="AC153" s="22" t="n"/>
    </row>
    <row r="154" ht="75" customFormat="1" customHeight="1" s="125">
      <c r="A154" s="5">
        <f>ROW()-ROW(RawDataGenPO[[#Headers],[No.]])</f>
        <v/>
      </c>
      <c r="B154" s="7" t="inlineStr">
        <is>
          <t>Expent  cost</t>
        </is>
      </c>
      <c r="C154" s="276" t="n">
        <v>45503</v>
      </c>
      <c r="D154" s="276" t="n"/>
      <c r="E154" s="276" t="n"/>
      <c r="F154" s="276" t="n">
        <v>45503</v>
      </c>
      <c r="G154" s="239" t="inlineStr">
        <is>
          <t>PR2425-02377</t>
        </is>
      </c>
      <c r="H154" s="5" t="inlineStr">
        <is>
          <t xml:space="preserve">PO2425-02836 </t>
        </is>
      </c>
      <c r="I154" s="290">
        <f>IF(RawDataGenPO[[#This Row],[PO No.]]="","",RawDataGenPO[[#This Row],[DMY Create PR]]+7)</f>
        <v/>
      </c>
      <c r="J154" s="290" t="n"/>
      <c r="K154" s="20" t="n">
        <v>60</v>
      </c>
      <c r="L154" s="26" t="inlineStr">
        <is>
          <t>SFST81000050</t>
        </is>
      </c>
      <c r="M154" s="7" t="inlineStr">
        <is>
          <t>Safety equipment</t>
        </is>
      </c>
      <c r="N154" s="7" t="inlineStr">
        <is>
          <t>Safety equipment</t>
        </is>
      </c>
      <c r="O154" s="11" t="n">
        <v>2</v>
      </c>
      <c r="P154" s="10" t="inlineStr">
        <is>
          <t>Yellow floor-standing sign, size 21x30x60 cm
- with die-cut sticker text per design
- visible on 2 sides, foldable
- sign "Under Repair"
- 3 languages (Thai, English, Burmese)</t>
        </is>
      </c>
      <c r="Q154" s="298" t="n">
        <v>4</v>
      </c>
      <c r="R154" s="5" t="inlineStr">
        <is>
          <t>pcs.</t>
        </is>
      </c>
      <c r="S154" s="284">
        <f>RawDataGenPO[[#This Row],[Total price]]/RawDataGenPO[[#This Row],[Qty'']]</f>
        <v/>
      </c>
      <c r="T154" s="297" t="n">
        <v>1700</v>
      </c>
      <c r="U154" s="161" t="inlineStr">
        <is>
          <t>Puneet Approval</t>
        </is>
      </c>
      <c r="V154" s="7" t="inlineStr">
        <is>
          <t>V1000618 - ST PRODUCTS AND SERVICE COMPANY LIMITED</t>
        </is>
      </c>
      <c r="W154" s="5" t="inlineStr">
        <is>
          <t>Recive bill and GRN already</t>
        </is>
      </c>
      <c r="X154" s="5" t="n"/>
      <c r="Y154" s="3" t="n">
        <v>45546</v>
      </c>
      <c r="Z154" s="3" t="n"/>
      <c r="AA154" s="17">
        <f>IF(RawDataGenPO[[#This Row],[Date Gen PO]]="","",RawDataGenPO[[#This Row],[Date recive bill]]-RawDataGenPO[[#This Row],[Date Gen PO]])</f>
        <v/>
      </c>
      <c r="AB154" s="16">
        <f>IF(RawDataGenPO[[#This Row],[GRN-PO date]]&gt;RawDataGenPO[[#This Row],[Lead time delivery (day)]],"over deliverry","Ontime")</f>
        <v/>
      </c>
      <c r="AC154" s="22" t="n"/>
    </row>
    <row r="155" customFormat="1" s="125">
      <c r="A155" s="5">
        <f>ROW()-ROW(RawDataGenPO[[#Headers],[No.]])</f>
        <v/>
      </c>
      <c r="B155" s="7" t="inlineStr">
        <is>
          <t>Expent  cost</t>
        </is>
      </c>
      <c r="C155" s="276" t="n">
        <v>45503</v>
      </c>
      <c r="D155" s="276" t="n"/>
      <c r="E155" s="276" t="n"/>
      <c r="F155" s="276" t="n">
        <v>45503</v>
      </c>
      <c r="G155" s="239" t="inlineStr">
        <is>
          <t>PR2425-02377</t>
        </is>
      </c>
      <c r="H155" s="200" t="inlineStr">
        <is>
          <t xml:space="preserve">PO2425-02836 </t>
        </is>
      </c>
      <c r="I155" s="290">
        <f>IF(RawDataGenPO[[#This Row],[PO No.]]="","",RawDataGenPO[[#This Row],[DMY Create PR]]+7)</f>
        <v/>
      </c>
      <c r="J155" s="290" t="n"/>
      <c r="K155" s="20" t="n">
        <v>60</v>
      </c>
      <c r="L155" s="5" t="inlineStr">
        <is>
          <t>SFST81000050</t>
        </is>
      </c>
      <c r="M155" s="7" t="inlineStr">
        <is>
          <t>Safety equipment</t>
        </is>
      </c>
      <c r="N155" s="7" t="inlineStr">
        <is>
          <t>Safety equipment</t>
        </is>
      </c>
      <c r="O155" s="251" t="n">
        <v>3</v>
      </c>
      <c r="P155" s="10" t="inlineStr">
        <is>
          <t>Delivery charge</t>
        </is>
      </c>
      <c r="Q155" s="298" t="n">
        <v>1</v>
      </c>
      <c r="R155" s="5" t="inlineStr">
        <is>
          <t>pcs.</t>
        </is>
      </c>
      <c r="S155" s="284">
        <f>RawDataGenPO[[#This Row],[Total price]]/RawDataGenPO[[#This Row],[Qty'']]</f>
        <v/>
      </c>
      <c r="T155" s="297" t="n">
        <v>150</v>
      </c>
      <c r="U155" s="161" t="inlineStr">
        <is>
          <t>Puneet Approval</t>
        </is>
      </c>
      <c r="V155" s="7" t="inlineStr">
        <is>
          <t>V1000618 - ST PRODUCTS AND SERVICE COMPANY LIMITED</t>
        </is>
      </c>
      <c r="W155" s="5" t="inlineStr">
        <is>
          <t>Recive bill and GRN already</t>
        </is>
      </c>
      <c r="X155" s="5" t="n"/>
      <c r="Y155" s="3" t="n">
        <v>45546</v>
      </c>
      <c r="Z155" s="3" t="n"/>
      <c r="AA155" s="17">
        <f>IF(RawDataGenPO[[#This Row],[Date Gen PO]]="","",RawDataGenPO[[#This Row],[Date recive bill]]-RawDataGenPO[[#This Row],[Date Gen PO]])</f>
        <v/>
      </c>
      <c r="AB155" s="16">
        <f>IF(RawDataGenPO[[#This Row],[GRN-PO date]]&gt;RawDataGenPO[[#This Row],[Lead time delivery (day)]],"over deliverry","Ontime")</f>
        <v/>
      </c>
      <c r="AC155" s="22" t="n"/>
    </row>
    <row r="156" customFormat="1" s="125">
      <c r="A156" s="5">
        <f>ROW()-ROW(RawDataGenPO[[#Headers],[No.]])</f>
        <v/>
      </c>
      <c r="B156" s="7" t="inlineStr">
        <is>
          <t>CAPEX  (Unbudget)</t>
        </is>
      </c>
      <c r="C156" s="276" t="n">
        <v>45509</v>
      </c>
      <c r="D156" s="276" t="n"/>
      <c r="E156" s="276" t="n"/>
      <c r="F156" s="276" t="n">
        <v>45509</v>
      </c>
      <c r="G156" s="239" t="inlineStr">
        <is>
          <t xml:space="preserve">PR2425-02459 </t>
        </is>
      </c>
      <c r="H156" s="200" t="inlineStr">
        <is>
          <t>PO2425-02857</t>
        </is>
      </c>
      <c r="I156" s="290">
        <f>IF(RawDataGenPO[[#This Row],[PO No.]]="","",RawDataGenPO[[#This Row],[DMY Create PR]]+7)</f>
        <v/>
      </c>
      <c r="J156" s="290" t="n"/>
      <c r="K156" s="20" t="n">
        <v>30</v>
      </c>
      <c r="L156" s="5" t="inlineStr">
        <is>
          <t>SFST82000016</t>
        </is>
      </c>
      <c r="M156" s="7" t="inlineStr">
        <is>
          <t>Annual cost</t>
        </is>
      </c>
      <c r="N156" s="248" t="inlineStr">
        <is>
          <t>Safety  annual jobs</t>
        </is>
      </c>
      <c r="O156" s="251" t="n">
        <v>1</v>
      </c>
      <c r="P156" s="10" t="inlineStr">
        <is>
          <t>Install and improvement water pump Ref. Project No. EN24-019</t>
        </is>
      </c>
      <c r="Q156" s="298" t="n">
        <v>1</v>
      </c>
      <c r="R156" s="5" t="inlineStr">
        <is>
          <t>JOB.</t>
        </is>
      </c>
      <c r="S156" s="284">
        <f>RawDataGenPO[[#This Row],[Total price]]/RawDataGenPO[[#This Row],[Qty'']]</f>
        <v/>
      </c>
      <c r="T156" s="297" t="n">
        <v>531000</v>
      </c>
      <c r="U156" s="161" t="inlineStr">
        <is>
          <t>Puneet Approval</t>
        </is>
      </c>
      <c r="V156" s="7" t="inlineStr">
        <is>
          <t xml:space="preserve"> V1000117 - NPN ENGINEERING SOLUTION SUPPLY CO., LTD.</t>
        </is>
      </c>
      <c r="W156" s="5" t="inlineStr">
        <is>
          <t>Recive bill and GRN already</t>
        </is>
      </c>
      <c r="X156" s="5" t="n"/>
      <c r="Y156" s="3" t="n">
        <v>45615</v>
      </c>
      <c r="Z156" s="3" t="n"/>
      <c r="AA156" s="17">
        <f>IF(RawDataGenPO[[#This Row],[Date Gen PO]]="","",RawDataGenPO[[#This Row],[Date recive bill]]-RawDataGenPO[[#This Row],[Date Gen PO]])</f>
        <v/>
      </c>
      <c r="AB156" s="16">
        <f>IF(RawDataGenPO[[#This Row],[GRN-PO date]]&gt;RawDataGenPO[[#This Row],[Lead time delivery (day)]],"over deliverry","Ontime")</f>
        <v/>
      </c>
      <c r="AC156" s="22" t="n"/>
    </row>
    <row r="157" ht="90" customFormat="1" customHeight="1" s="125">
      <c r="A157" s="5">
        <f>ROW()-ROW(RawDataGenPO[[#Headers],[No.]])</f>
        <v/>
      </c>
      <c r="B157" s="7" t="inlineStr">
        <is>
          <t>Expent  cost</t>
        </is>
      </c>
      <c r="C157" s="275" t="n">
        <v>45511</v>
      </c>
      <c r="D157" s="276" t="n"/>
      <c r="E157" s="276" t="n"/>
      <c r="F157" s="275" t="n">
        <v>45511</v>
      </c>
      <c r="G157" s="239" t="inlineStr">
        <is>
          <t>PR2425-02507</t>
        </is>
      </c>
      <c r="H157" s="200" t="inlineStr">
        <is>
          <t>PO2425-02858</t>
        </is>
      </c>
      <c r="I157" s="290">
        <f>IF(RawDataGenPO[[#This Row],[PO No.]]="","",RawDataGenPO[[#This Row],[DMY Create PR]]+7)</f>
        <v/>
      </c>
      <c r="J157" s="290" t="n"/>
      <c r="K157" s="20" t="n">
        <v>20</v>
      </c>
      <c r="L157" s="5" t="inlineStr">
        <is>
          <t>S+K165+I164:J1+I164:J209</t>
        </is>
      </c>
      <c r="M157" s="7" t="inlineStr">
        <is>
          <t>Annual cost</t>
        </is>
      </c>
      <c r="N157" s="248" t="inlineStr">
        <is>
          <t>Safety  annual jobs</t>
        </is>
      </c>
      <c r="O157" s="169" t="n">
        <v>1</v>
      </c>
      <c r="P157" s="33" t="inlineStr">
        <is>
          <t>Workplace environmental monitoring fee for year 2024
- chemical storage room
- noise level in work area
- heat level
- light intensity
- quantity of contaminants in air discharged from the stack</t>
        </is>
      </c>
      <c r="Q157" s="298" t="n">
        <v>1</v>
      </c>
      <c r="R157" s="5" t="inlineStr">
        <is>
          <t>JOB</t>
        </is>
      </c>
      <c r="S157" s="284">
        <f>RawDataGenPO[[#This Row],[Total price]]/RawDataGenPO[[#This Row],[Qty'']]</f>
        <v/>
      </c>
      <c r="T157" s="297" t="n">
        <v>25000</v>
      </c>
      <c r="U157" s="161" t="inlineStr">
        <is>
          <t>Puneet Approval</t>
        </is>
      </c>
      <c r="V157" s="7" t="inlineStr">
        <is>
          <t>C.E.M TECHNOLOGY (THAILAND) CO.,LTD.</t>
        </is>
      </c>
      <c r="W157" s="5" t="inlineStr">
        <is>
          <t>Recive bill and GRN already</t>
        </is>
      </c>
      <c r="X157" s="5" t="n"/>
      <c r="Y157" s="3" t="n">
        <v>45537</v>
      </c>
      <c r="Z157" s="3" t="n"/>
      <c r="AA157" s="17">
        <f>IF(RawDataGenPO[[#This Row],[Date Gen PO]]="","",RawDataGenPO[[#This Row],[Date recive bill]]-RawDataGenPO[[#This Row],[Date Gen PO]])</f>
        <v/>
      </c>
      <c r="AB157" s="16">
        <f>IF(RawDataGenPO[[#This Row],[GRN-PO date]]&gt;RawDataGenPO[[#This Row],[Lead time delivery (day)]],"over deliverry","Ontime")</f>
        <v/>
      </c>
      <c r="AC157" s="255" t="n"/>
    </row>
    <row r="158" ht="90" customFormat="1" customHeight="1" s="125">
      <c r="A158" s="5">
        <f>ROW()-ROW(RawDataGenPO[[#Headers],[No.]])</f>
        <v/>
      </c>
      <c r="B158" s="7" t="inlineStr">
        <is>
          <t>Expent  cost</t>
        </is>
      </c>
      <c r="C158" s="275" t="n">
        <v>45511</v>
      </c>
      <c r="D158" s="276" t="n"/>
      <c r="E158" s="276" t="n"/>
      <c r="F158" s="275" t="n">
        <v>45511</v>
      </c>
      <c r="G158" s="239" t="inlineStr">
        <is>
          <t>PR2425-02507</t>
        </is>
      </c>
      <c r="H158" s="200" t="inlineStr">
        <is>
          <t>PO2425-02858</t>
        </is>
      </c>
      <c r="I158" s="290">
        <f>IF(RawDataGenPO[[#This Row],[PO No.]]="","",RawDataGenPO[[#This Row],[DMY Create PR]]+7)</f>
        <v/>
      </c>
      <c r="J158" s="290" t="n"/>
      <c r="K158" s="20" t="n">
        <v>20</v>
      </c>
      <c r="L158" s="5" t="inlineStr">
        <is>
          <t>SFST81000064</t>
        </is>
      </c>
      <c r="M158" s="7" t="inlineStr">
        <is>
          <t>Annual cost</t>
        </is>
      </c>
      <c r="N158" s="248" t="inlineStr">
        <is>
          <t>Safety  annual jobs</t>
        </is>
      </c>
      <c r="O158" s="251" t="n">
        <v>1</v>
      </c>
      <c r="P158" s="10" t="inlineStr">
        <is>
          <t>Workplace environmental monitoring fee for year 2024
- chemical storage room
- noise level in work area
- heat level
- light intensity
- quantity of contaminants in air discharged from the stack</t>
        </is>
      </c>
      <c r="Q158" s="298" t="n">
        <v>1</v>
      </c>
      <c r="R158" s="5" t="inlineStr">
        <is>
          <t>JOB.</t>
        </is>
      </c>
      <c r="S158" s="284">
        <f>RawDataGenPO[[#This Row],[Total price]]/RawDataGenPO[[#This Row],[Qty'']]</f>
        <v/>
      </c>
      <c r="T158" s="297" t="n">
        <v>2500</v>
      </c>
      <c r="U158" s="161" t="inlineStr">
        <is>
          <t>Puneet Approval</t>
        </is>
      </c>
      <c r="V158" s="7" t="inlineStr">
        <is>
          <t>V1000623 - C.E.M TECHNOLOGY (THAILAND) CO.,LTD.</t>
        </is>
      </c>
      <c r="W158" s="5" t="inlineStr">
        <is>
          <t>Recive bill and GRN already</t>
        </is>
      </c>
      <c r="X158" s="5" t="n"/>
      <c r="Y158" s="3" t="n">
        <v>45537</v>
      </c>
      <c r="Z158" s="3" t="n"/>
      <c r="AA158" s="17">
        <f>IF(RawDataGenPO[[#This Row],[Date Gen PO]]="","",RawDataGenPO[[#This Row],[Date recive bill]]-RawDataGenPO[[#This Row],[Date Gen PO]])</f>
        <v/>
      </c>
      <c r="AB158" s="16">
        <f>IF(RawDataGenPO[[#This Row],[GRN-PO date]]&gt;RawDataGenPO[[#This Row],[Lead time delivery (day)]],"over deliverry","Ontime")</f>
        <v/>
      </c>
      <c r="AC158" s="168" t="n"/>
    </row>
    <row r="159" ht="30" customFormat="1" customHeight="1" s="125">
      <c r="A159" s="5">
        <f>ROW()-ROW(RawDataGenPO[[#Headers],[No.]])</f>
        <v/>
      </c>
      <c r="B159" s="7" t="inlineStr">
        <is>
          <t>CAPEX  (Budget)</t>
        </is>
      </c>
      <c r="C159" s="276" t="n">
        <v>45503</v>
      </c>
      <c r="D159" s="276" t="n"/>
      <c r="E159" s="276" t="n"/>
      <c r="F159" s="276" t="n">
        <v>45503</v>
      </c>
      <c r="G159" s="181" t="inlineStr">
        <is>
          <t>PR2425-02375</t>
        </is>
      </c>
      <c r="H159" s="200" t="inlineStr">
        <is>
          <t>PO2425-02865</t>
        </is>
      </c>
      <c r="I159" s="290">
        <f>IF(RawDataGenPO[[#This Row],[PO No.]]="","",RawDataGenPO[[#This Row],[DMY Create PR]]+7)</f>
        <v/>
      </c>
      <c r="J159" s="290" t="n"/>
      <c r="K159" s="20" t="n">
        <v>35</v>
      </c>
      <c r="L159" s="5" t="inlineStr">
        <is>
          <t>SFST82000007</t>
        </is>
      </c>
      <c r="M159" s="7" t="inlineStr">
        <is>
          <t>Annual cost</t>
        </is>
      </c>
      <c r="N159" s="248" t="inlineStr">
        <is>
          <t>Safety equipment</t>
        </is>
      </c>
      <c r="O159" s="251" t="n">
        <v>1</v>
      </c>
      <c r="P159" s="10" t="inlineStr">
        <is>
          <t>"SATURN" fire extinguisher, clean agent type
10 lb</t>
        </is>
      </c>
      <c r="Q159" s="298" t="n">
        <v>1</v>
      </c>
      <c r="R159" s="5" t="inlineStr">
        <is>
          <t>Pcs.</t>
        </is>
      </c>
      <c r="S159" s="284">
        <f>RawDataGenPO[[#This Row],[Total price]]/RawDataGenPO[[#This Row],[Qty'']]</f>
        <v/>
      </c>
      <c r="T159" s="297" t="n">
        <v>3500</v>
      </c>
      <c r="U159" s="161" t="n"/>
      <c r="V159" s="7" t="inlineStr">
        <is>
          <t>V1000620 - SIAMBEST STEEL WORKS CO., LTD.</t>
        </is>
      </c>
      <c r="W159" s="5" t="inlineStr">
        <is>
          <t>Recive bill and GRN already</t>
        </is>
      </c>
      <c r="X159" s="5" t="n"/>
      <c r="Y159" s="3" t="n">
        <v>45541</v>
      </c>
      <c r="Z159" s="3" t="n"/>
      <c r="AA159" s="17">
        <f>IF(RawDataGenPO[[#This Row],[Date Gen PO]]="","",RawDataGenPO[[#This Row],[Date recive bill]]-RawDataGenPO[[#This Row],[Date Gen PO]])</f>
        <v/>
      </c>
      <c r="AB159" s="16">
        <f>IF(RawDataGenPO[[#This Row],[GRN-PO date]]&gt;RawDataGenPO[[#This Row],[Lead time delivery (day)]],"over deliverry","Ontime")</f>
        <v/>
      </c>
      <c r="AC159" s="22" t="n"/>
    </row>
    <row r="160" ht="30" customFormat="1" customHeight="1" s="125">
      <c r="A160" s="5">
        <f>ROW()-ROW(RawDataGenPO[[#Headers],[No.]])</f>
        <v/>
      </c>
      <c r="B160" s="7" t="inlineStr">
        <is>
          <t>CAPEX  (Budget)</t>
        </is>
      </c>
      <c r="C160" s="276" t="n">
        <v>45503</v>
      </c>
      <c r="D160" s="276" t="n"/>
      <c r="E160" s="276" t="n"/>
      <c r="F160" s="276" t="n">
        <v>45503</v>
      </c>
      <c r="G160" s="181" t="inlineStr">
        <is>
          <t>PR2425-02375</t>
        </is>
      </c>
      <c r="H160" s="200" t="inlineStr">
        <is>
          <t>PO2425-02865</t>
        </is>
      </c>
      <c r="I160" s="290">
        <f>IF(RawDataGenPO[[#This Row],[PO No.]]="","",RawDataGenPO[[#This Row],[DMY Create PR]]+7)</f>
        <v/>
      </c>
      <c r="J160" s="290" t="n"/>
      <c r="K160" s="20" t="n">
        <v>35</v>
      </c>
      <c r="L160" s="5" t="inlineStr">
        <is>
          <t>SFST82000007</t>
        </is>
      </c>
      <c r="M160" s="7" t="inlineStr">
        <is>
          <t>Annual cost</t>
        </is>
      </c>
      <c r="N160" s="248" t="inlineStr">
        <is>
          <t>Safety equipment</t>
        </is>
      </c>
      <c r="O160" s="251" t="n">
        <v>2</v>
      </c>
      <c r="P160" s="10" t="inlineStr">
        <is>
          <t>"SATURN" fire extinguisher, clean agent type
10 lb</t>
        </is>
      </c>
      <c r="Q160" s="298" t="n">
        <v>1</v>
      </c>
      <c r="R160" s="5" t="inlineStr">
        <is>
          <t>Pcs.</t>
        </is>
      </c>
      <c r="S160" s="284">
        <f>RawDataGenPO[[#This Row],[Total price]]/RawDataGenPO[[#This Row],[Qty'']]</f>
        <v/>
      </c>
      <c r="T160" s="297" t="n">
        <v>3500</v>
      </c>
      <c r="U160" s="161" t="n"/>
      <c r="V160" s="7" t="inlineStr">
        <is>
          <t>V1000620 - SIAMBEST STEEL WORKS CO., LTD.</t>
        </is>
      </c>
      <c r="W160" s="5" t="inlineStr">
        <is>
          <t>Recive bill and GRN already</t>
        </is>
      </c>
      <c r="X160" s="5" t="n"/>
      <c r="Y160" s="3" t="n">
        <v>45541</v>
      </c>
      <c r="Z160" s="3" t="n"/>
      <c r="AA160" s="17">
        <f>IF(RawDataGenPO[[#This Row],[Date Gen PO]]="","",RawDataGenPO[[#This Row],[Date recive bill]]-RawDataGenPO[[#This Row],[Date Gen PO]])</f>
        <v/>
      </c>
      <c r="AB160" s="16">
        <f>IF(RawDataGenPO[[#This Row],[GRN-PO date]]&gt;RawDataGenPO[[#This Row],[Lead time delivery (day)]],"over deliverry","Ontime")</f>
        <v/>
      </c>
      <c r="AC160" s="22" t="n"/>
    </row>
    <row r="161" ht="30" customFormat="1" customHeight="1" s="125">
      <c r="A161" s="5">
        <f>ROW()-ROW(RawDataGenPO[[#Headers],[No.]])</f>
        <v/>
      </c>
      <c r="B161" s="7" t="inlineStr">
        <is>
          <t>CAPEX  (Budget)</t>
        </is>
      </c>
      <c r="C161" s="276" t="n">
        <v>45503</v>
      </c>
      <c r="D161" s="276" t="n"/>
      <c r="E161" s="276" t="n"/>
      <c r="F161" s="276" t="n">
        <v>45503</v>
      </c>
      <c r="G161" s="181" t="inlineStr">
        <is>
          <t>PR2425-02375</t>
        </is>
      </c>
      <c r="H161" s="200" t="inlineStr">
        <is>
          <t>PO2425-02865</t>
        </is>
      </c>
      <c r="I161" s="290">
        <f>IF(RawDataGenPO[[#This Row],[PO No.]]="","",RawDataGenPO[[#This Row],[DMY Create PR]]+7)</f>
        <v/>
      </c>
      <c r="J161" s="290" t="n"/>
      <c r="K161" s="20" t="n">
        <v>35</v>
      </c>
      <c r="L161" s="5" t="inlineStr">
        <is>
          <t>SFST82000007</t>
        </is>
      </c>
      <c r="M161" s="7" t="inlineStr">
        <is>
          <t>Annual cost</t>
        </is>
      </c>
      <c r="N161" s="248" t="inlineStr">
        <is>
          <t>Safety equipment</t>
        </is>
      </c>
      <c r="O161" s="251" t="n">
        <v>3</v>
      </c>
      <c r="P161" s="10" t="inlineStr">
        <is>
          <t>"SATURN" fire extinguisher, dry chemical powder type
15 lb, model 4A10B</t>
        </is>
      </c>
      <c r="Q161" s="298" t="n">
        <v>1</v>
      </c>
      <c r="R161" s="5" t="inlineStr">
        <is>
          <t>Pcs.</t>
        </is>
      </c>
      <c r="S161" s="284">
        <f>RawDataGenPO[[#This Row],[Total price]]/RawDataGenPO[[#This Row],[Qty'']]</f>
        <v/>
      </c>
      <c r="T161" s="297" t="n">
        <v>1000</v>
      </c>
      <c r="U161" s="161" t="n"/>
      <c r="V161" s="7" t="inlineStr">
        <is>
          <t>V1000620 - SIAMBEST STEEL WORKS CO., LTD.</t>
        </is>
      </c>
      <c r="W161" s="5" t="inlineStr">
        <is>
          <t>Recive bill and GRN already</t>
        </is>
      </c>
      <c r="X161" s="5" t="n"/>
      <c r="Y161" s="3" t="n">
        <v>45541</v>
      </c>
      <c r="Z161" s="3" t="n"/>
      <c r="AA161" s="17">
        <f>IF(RawDataGenPO[[#This Row],[Date Gen PO]]="","",RawDataGenPO[[#This Row],[Date recive bill]]-RawDataGenPO[[#This Row],[Date Gen PO]])</f>
        <v/>
      </c>
      <c r="AB161" s="16">
        <f>IF(RawDataGenPO[[#This Row],[GRN-PO date]]&gt;RawDataGenPO[[#This Row],[Lead time delivery (day)]],"over deliverry","Ontime")</f>
        <v/>
      </c>
      <c r="AC161" s="22" t="n"/>
    </row>
    <row r="162" ht="30" customFormat="1" customHeight="1" s="125">
      <c r="A162" s="5">
        <f>ROW()-ROW(RawDataGenPO[[#Headers],[No.]])</f>
        <v/>
      </c>
      <c r="B162" s="7" t="inlineStr">
        <is>
          <t>CAPEX  (Budget)</t>
        </is>
      </c>
      <c r="C162" s="276" t="n">
        <v>45503</v>
      </c>
      <c r="D162" s="276" t="n"/>
      <c r="E162" s="276" t="n"/>
      <c r="F162" s="276" t="n">
        <v>45503</v>
      </c>
      <c r="G162" s="181" t="inlineStr">
        <is>
          <t>PR2425-02375</t>
        </is>
      </c>
      <c r="H162" s="200" t="inlineStr">
        <is>
          <t>PO2425-02865</t>
        </is>
      </c>
      <c r="I162" s="290">
        <f>IF(RawDataGenPO[[#This Row],[PO No.]]="","",RawDataGenPO[[#This Row],[DMY Create PR]]+7)</f>
        <v/>
      </c>
      <c r="J162" s="290" t="n"/>
      <c r="K162" s="20" t="n">
        <v>35</v>
      </c>
      <c r="L162" s="5" t="inlineStr">
        <is>
          <t>SFST82000007</t>
        </is>
      </c>
      <c r="M162" s="7" t="inlineStr">
        <is>
          <t>Annual cost</t>
        </is>
      </c>
      <c r="N162" s="248" t="inlineStr">
        <is>
          <t>Safety equipment</t>
        </is>
      </c>
      <c r="O162" s="11" t="n">
        <v>4</v>
      </c>
      <c r="P162" s="10" t="inlineStr">
        <is>
          <t>"SATURN" fire extinguisher, dry chemical powder type
15 lb, model 4A10B</t>
        </is>
      </c>
      <c r="Q162" s="298" t="n">
        <v>1</v>
      </c>
      <c r="R162" s="5" t="inlineStr">
        <is>
          <t>Pcs.</t>
        </is>
      </c>
      <c r="S162" s="284">
        <f>RawDataGenPO[[#This Row],[Total price]]/RawDataGenPO[[#This Row],[Qty'']]</f>
        <v/>
      </c>
      <c r="T162" s="297" t="n">
        <v>1000</v>
      </c>
      <c r="U162" s="161" t="n"/>
      <c r="V162" s="7" t="inlineStr">
        <is>
          <t>V1000620 - SIAMBEST STEEL WORKS CO., LTD.</t>
        </is>
      </c>
      <c r="W162" s="5" t="inlineStr">
        <is>
          <t>Recive bill and GRN already</t>
        </is>
      </c>
      <c r="X162" s="5" t="n"/>
      <c r="Y162" s="3" t="n">
        <v>45541</v>
      </c>
      <c r="Z162" s="3" t="n"/>
      <c r="AA162" s="17">
        <f>IF(RawDataGenPO[[#This Row],[Date Gen PO]]="","",RawDataGenPO[[#This Row],[Date recive bill]]-RawDataGenPO[[#This Row],[Date Gen PO]])</f>
        <v/>
      </c>
      <c r="AB162" s="16">
        <f>IF(RawDataGenPO[[#This Row],[GRN-PO date]]&gt;RawDataGenPO[[#This Row],[Lead time delivery (day)]],"over deliverry","Ontime")</f>
        <v/>
      </c>
      <c r="AC162" s="22" t="n"/>
    </row>
    <row r="163" ht="30" customFormat="1" customHeight="1" s="125">
      <c r="A163" s="5">
        <f>ROW()-ROW(RawDataGenPO[[#Headers],[No.]])</f>
        <v/>
      </c>
      <c r="B163" s="7" t="inlineStr">
        <is>
          <t>CAPEX  (Budget)</t>
        </is>
      </c>
      <c r="C163" s="276" t="n">
        <v>45503</v>
      </c>
      <c r="D163" s="276" t="n"/>
      <c r="E163" s="276" t="n"/>
      <c r="F163" s="276" t="n">
        <v>45503</v>
      </c>
      <c r="G163" s="239" t="inlineStr">
        <is>
          <t xml:space="preserve">PR2425-02375  </t>
        </is>
      </c>
      <c r="H163" s="200" t="inlineStr">
        <is>
          <t>PO2425-02865</t>
        </is>
      </c>
      <c r="I163" s="290">
        <f>IF(RawDataGenPO[[#This Row],[PO No.]]="","",RawDataGenPO[[#This Row],[DMY Create PR]]+7)</f>
        <v/>
      </c>
      <c r="J163" s="290" t="n"/>
      <c r="K163" s="20" t="n">
        <v>35</v>
      </c>
      <c r="L163" s="5" t="inlineStr">
        <is>
          <t>SFST82000007</t>
        </is>
      </c>
      <c r="M163" s="7" t="inlineStr">
        <is>
          <t>Annual cost</t>
        </is>
      </c>
      <c r="N163" s="248" t="inlineStr">
        <is>
          <t>Safety equipment</t>
        </is>
      </c>
      <c r="O163" s="251" t="n">
        <v>5</v>
      </c>
      <c r="P163" s="10" t="inlineStr">
        <is>
          <t>"SATURN" fire extinguisher, clean agent type
10 lb</t>
        </is>
      </c>
      <c r="Q163" s="298" t="n">
        <v>1</v>
      </c>
      <c r="R163" s="5" t="inlineStr">
        <is>
          <t>pcs.</t>
        </is>
      </c>
      <c r="S163" s="284">
        <f>RawDataGenPO[[#This Row],[Total price]]/RawDataGenPO[[#This Row],[Qty'']]</f>
        <v/>
      </c>
      <c r="T163" s="297" t="n">
        <v>3500</v>
      </c>
      <c r="U163" s="161" t="inlineStr">
        <is>
          <t>Puneet Approval</t>
        </is>
      </c>
      <c r="V163" s="7" t="inlineStr">
        <is>
          <t xml:space="preserve"> V1000620 - SIAMBEST STEEL WORKS CO., LTD.</t>
        </is>
      </c>
      <c r="W163" s="5" t="inlineStr">
        <is>
          <t>Recive bill and GRN already</t>
        </is>
      </c>
      <c r="X163" s="5" t="n"/>
      <c r="Y163" s="3" t="n">
        <v>45541</v>
      </c>
      <c r="Z163" s="3" t="n"/>
      <c r="AA163" s="17">
        <f>IF(RawDataGenPO[[#This Row],[Date Gen PO]]="","",RawDataGenPO[[#This Row],[Date recive bill]]-RawDataGenPO[[#This Row],[Date Gen PO]])</f>
        <v/>
      </c>
      <c r="AB163" s="16">
        <f>IF(RawDataGenPO[[#This Row],[GRN-PO date]]&gt;RawDataGenPO[[#This Row],[Lead time delivery (day)]],"over deliverry","Ontime")</f>
        <v/>
      </c>
      <c r="AC163" s="22" t="n"/>
    </row>
    <row r="164" ht="30" customFormat="1" customHeight="1" s="125">
      <c r="A164" s="5">
        <f>ROW()-ROW(RawDataGenPO[[#Headers],[No.]])</f>
        <v/>
      </c>
      <c r="B164" s="7" t="inlineStr">
        <is>
          <t>CAPEX  (Budget)</t>
        </is>
      </c>
      <c r="C164" s="276" t="n">
        <v>45503</v>
      </c>
      <c r="D164" s="276" t="n"/>
      <c r="E164" s="276" t="n"/>
      <c r="F164" s="276" t="n">
        <v>45503</v>
      </c>
      <c r="G164" s="239" t="inlineStr">
        <is>
          <t xml:space="preserve">PR2425-02375  </t>
        </is>
      </c>
      <c r="H164" s="200" t="inlineStr">
        <is>
          <t>PO2425-02865</t>
        </is>
      </c>
      <c r="I164" s="290">
        <f>IF(RawDataGenPO[[#This Row],[PO No.]]="","",RawDataGenPO[[#This Row],[DMY Create PR]]+7)</f>
        <v/>
      </c>
      <c r="J164" s="290" t="n"/>
      <c r="K164" s="20" t="n">
        <v>35</v>
      </c>
      <c r="L164" s="5" t="inlineStr">
        <is>
          <t>SFST82000007</t>
        </is>
      </c>
      <c r="M164" s="7" t="inlineStr">
        <is>
          <t>Annual cost</t>
        </is>
      </c>
      <c r="N164" s="248" t="inlineStr">
        <is>
          <t>Safety equipment</t>
        </is>
      </c>
      <c r="O164" s="251" t="n">
        <v>6</v>
      </c>
      <c r="P164" s="10" t="inlineStr">
        <is>
          <t>"SATURN" fire extinguisher, clean agent type
10 lb</t>
        </is>
      </c>
      <c r="Q164" s="277" t="n">
        <v>1</v>
      </c>
      <c r="R164" s="5" t="inlineStr">
        <is>
          <t>pcs.</t>
        </is>
      </c>
      <c r="S164" s="284">
        <f>RawDataGenPO[[#This Row],[Total price]]/RawDataGenPO[[#This Row],[Qty'']]</f>
        <v/>
      </c>
      <c r="T164" s="285" t="n">
        <v>3500</v>
      </c>
      <c r="U164" s="161" t="inlineStr">
        <is>
          <t>Puneet Approval</t>
        </is>
      </c>
      <c r="V164" s="7" t="inlineStr">
        <is>
          <t xml:space="preserve"> V1000620 - SIAMBEST STEEL WORKS CO., LTD.</t>
        </is>
      </c>
      <c r="W164" s="5" t="inlineStr">
        <is>
          <t>Recive bill and GRN already</t>
        </is>
      </c>
      <c r="X164" s="5" t="n"/>
      <c r="Y164" s="3" t="n">
        <v>45541</v>
      </c>
      <c r="Z164" s="3" t="n"/>
      <c r="AA164" s="17">
        <f>IF(RawDataGenPO[[#This Row],[Date Gen PO]]="","",RawDataGenPO[[#This Row],[Date recive bill]]-RawDataGenPO[[#This Row],[Date Gen PO]])</f>
        <v/>
      </c>
      <c r="AB164" s="16">
        <f>IF(RawDataGenPO[[#This Row],[GRN-PO date]]&gt;RawDataGenPO[[#This Row],[Lead time delivery (day)]],"over deliverry","Ontime")</f>
        <v/>
      </c>
      <c r="AC164" s="22" t="n"/>
    </row>
    <row r="165" ht="30" customFormat="1" customHeight="1" s="125">
      <c r="A165" s="5">
        <f>ROW()-ROW(RawDataGenPO[[#Headers],[No.]])</f>
        <v/>
      </c>
      <c r="B165" s="7" t="inlineStr">
        <is>
          <t>CAPEX  (Budget)</t>
        </is>
      </c>
      <c r="C165" s="276" t="n">
        <v>45503</v>
      </c>
      <c r="D165" s="276" t="n"/>
      <c r="E165" s="276" t="n"/>
      <c r="F165" s="276" t="n">
        <v>45503</v>
      </c>
      <c r="G165" s="239" t="inlineStr">
        <is>
          <t xml:space="preserve">PR2425-02375  </t>
        </is>
      </c>
      <c r="H165" s="200" t="inlineStr">
        <is>
          <t>PO2425-02865</t>
        </is>
      </c>
      <c r="I165" s="290">
        <f>IF(RawDataGenPO[[#This Row],[PO No.]]="","",RawDataGenPO[[#This Row],[DMY Create PR]]+7)</f>
        <v/>
      </c>
      <c r="J165" s="290" t="n"/>
      <c r="K165" s="20" t="n">
        <v>35</v>
      </c>
      <c r="L165" s="5" t="inlineStr">
        <is>
          <t>SFST82000007</t>
        </is>
      </c>
      <c r="M165" s="7" t="inlineStr">
        <is>
          <t>Annual cost</t>
        </is>
      </c>
      <c r="N165" s="248" t="inlineStr">
        <is>
          <t>Safety equipment</t>
        </is>
      </c>
      <c r="O165" s="251" t="n">
        <v>7</v>
      </c>
      <c r="P165" s="10" t="inlineStr">
        <is>
          <t>"SATURN" fire extinguisher, dry chemical powder type
15 lb, model 4A10B</t>
        </is>
      </c>
      <c r="Q165" s="277" t="n">
        <v>1</v>
      </c>
      <c r="R165" s="5" t="inlineStr">
        <is>
          <t>pcs.</t>
        </is>
      </c>
      <c r="S165" s="284">
        <f>RawDataGenPO[[#This Row],[Total price]]/RawDataGenPO[[#This Row],[Qty'']]</f>
        <v/>
      </c>
      <c r="T165" s="285" t="n">
        <v>1000</v>
      </c>
      <c r="U165" s="161" t="inlineStr">
        <is>
          <t>Puneet Approval</t>
        </is>
      </c>
      <c r="V165" s="7" t="inlineStr">
        <is>
          <t xml:space="preserve"> V1000620 - SIAMBEST STEEL WORKS CO., LTD.</t>
        </is>
      </c>
      <c r="W165" s="5" t="inlineStr">
        <is>
          <t>Recive bill and GRN already</t>
        </is>
      </c>
      <c r="X165" s="5" t="n"/>
      <c r="Y165" s="3" t="n">
        <v>45541</v>
      </c>
      <c r="Z165" s="3" t="n"/>
      <c r="AA165" s="17">
        <f>IF(RawDataGenPO[[#This Row],[Date Gen PO]]="","",RawDataGenPO[[#This Row],[Date recive bill]]-RawDataGenPO[[#This Row],[Date Gen PO]])</f>
        <v/>
      </c>
      <c r="AB165" s="16">
        <f>IF(RawDataGenPO[[#This Row],[GRN-PO date]]&gt;RawDataGenPO[[#This Row],[Lead time delivery (day)]],"over deliverry","Ontime")</f>
        <v/>
      </c>
      <c r="AC165" s="22" t="n"/>
    </row>
    <row r="166" ht="30" customFormat="1" customHeight="1" s="125">
      <c r="A166" s="5">
        <f>ROW()-ROW(RawDataGenPO[[#Headers],[No.]])</f>
        <v/>
      </c>
      <c r="B166" s="7" t="inlineStr">
        <is>
          <t>CAPEX  (Budget)</t>
        </is>
      </c>
      <c r="C166" s="276" t="n">
        <v>45503</v>
      </c>
      <c r="D166" s="276" t="n"/>
      <c r="E166" s="276" t="n"/>
      <c r="F166" s="276" t="n">
        <v>45503</v>
      </c>
      <c r="G166" s="239" t="inlineStr">
        <is>
          <t xml:space="preserve">PR2425-02375  </t>
        </is>
      </c>
      <c r="H166" s="200" t="inlineStr">
        <is>
          <t>PO2425-02865</t>
        </is>
      </c>
      <c r="I166" s="290">
        <f>IF(RawDataGenPO[[#This Row],[PO No.]]="","",RawDataGenPO[[#This Row],[DMY Create PR]]+7)</f>
        <v/>
      </c>
      <c r="J166" s="290" t="n"/>
      <c r="K166" s="20" t="n">
        <v>60</v>
      </c>
      <c r="L166" s="5" t="inlineStr">
        <is>
          <t>SFST82000007</t>
        </is>
      </c>
      <c r="M166" s="7" t="inlineStr">
        <is>
          <t>Annual cost</t>
        </is>
      </c>
      <c r="N166" s="248" t="inlineStr">
        <is>
          <t>Safety equipment</t>
        </is>
      </c>
      <c r="O166" s="251" t="n">
        <v>8</v>
      </c>
      <c r="P166" s="191" t="inlineStr">
        <is>
          <t>"SATURN" fire extinguisher, dry chemical powder type
15 lb, model 4A10B</t>
        </is>
      </c>
      <c r="Q166" s="277" t="n">
        <v>1</v>
      </c>
      <c r="R166" s="5" t="inlineStr">
        <is>
          <t>pcs.</t>
        </is>
      </c>
      <c r="S166" s="284">
        <f>RawDataGenPO[[#This Row],[Total price]]/RawDataGenPO[[#This Row],[Qty'']]</f>
        <v/>
      </c>
      <c r="T166" s="285" t="n">
        <v>1000</v>
      </c>
      <c r="U166" s="161" t="inlineStr">
        <is>
          <t>Puneet Approval</t>
        </is>
      </c>
      <c r="V166" s="7" t="inlineStr">
        <is>
          <t xml:space="preserve"> V1000620 - SIAMBEST STEEL WORKS CO., LTD.</t>
        </is>
      </c>
      <c r="W166" s="5" t="inlineStr">
        <is>
          <t>Recive bill and GRN already</t>
        </is>
      </c>
      <c r="X166" s="5" t="n"/>
      <c r="Y166" s="3" t="n">
        <v>45541</v>
      </c>
      <c r="Z166" s="3" t="n"/>
      <c r="AA166" s="17">
        <f>IF(RawDataGenPO[[#This Row],[Date Gen PO]]="","",RawDataGenPO[[#This Row],[Date recive bill]]-RawDataGenPO[[#This Row],[Date Gen PO]])</f>
        <v/>
      </c>
      <c r="AB166" s="16">
        <f>IF(RawDataGenPO[[#This Row],[GRN-PO date]]&gt;RawDataGenPO[[#This Row],[Lead time delivery (day)]],"over deliverry","Ontime")</f>
        <v/>
      </c>
      <c r="AC166" s="168" t="n"/>
    </row>
    <row r="167" ht="30" customFormat="1" customHeight="1" s="125">
      <c r="A167" s="5">
        <f>ROW()-ROW(RawDataGenPO[[#Headers],[No.]])</f>
        <v/>
      </c>
      <c r="B167" s="7" t="inlineStr">
        <is>
          <t>CAPEX  (Budget)</t>
        </is>
      </c>
      <c r="C167" s="276" t="n">
        <v>45503</v>
      </c>
      <c r="D167" s="276" t="n"/>
      <c r="E167" s="276" t="n"/>
      <c r="F167" s="276" t="n">
        <v>45503</v>
      </c>
      <c r="G167" s="181" t="inlineStr">
        <is>
          <t>PR2425-02376</t>
        </is>
      </c>
      <c r="H167" s="200" t="inlineStr">
        <is>
          <t>PO2425-02912</t>
        </is>
      </c>
      <c r="I167" s="290">
        <f>IF(RawDataGenPO[[#This Row],[PO No.]]="","",RawDataGenPO[[#This Row],[DMY Create PR]]+7)</f>
        <v/>
      </c>
      <c r="J167" s="290" t="n"/>
      <c r="K167" s="20" t="n">
        <v>60</v>
      </c>
      <c r="L167" s="5" t="inlineStr">
        <is>
          <t>SFST82000007</t>
        </is>
      </c>
      <c r="M167" s="7" t="inlineStr">
        <is>
          <t>Annual cost</t>
        </is>
      </c>
      <c r="N167" s="248" t="inlineStr">
        <is>
          <t>Safety equipment</t>
        </is>
      </c>
      <c r="O167" s="251" t="n">
        <v>1</v>
      </c>
      <c r="P167" s="191" t="inlineStr">
        <is>
          <t>OKURA ventilation fan model OKUD-OK-20BW10
size 20", hose length 10 m</t>
        </is>
      </c>
      <c r="Q167" s="277" t="n">
        <v>1</v>
      </c>
      <c r="R167" s="5" t="inlineStr">
        <is>
          <t>Pcs.</t>
        </is>
      </c>
      <c r="S167" s="284">
        <f>RawDataGenPO[[#This Row],[Total price]]/RawDataGenPO[[#This Row],[Qty'']]</f>
        <v/>
      </c>
      <c r="T167" s="285" t="n">
        <v>19750</v>
      </c>
      <c r="U167" s="161" t="n"/>
      <c r="V167" s="7" t="inlineStr">
        <is>
          <t>V1000621 - Thai Phattanasin Machine Tools Ltd., Part.</t>
        </is>
      </c>
      <c r="W167" s="5" t="inlineStr">
        <is>
          <t>Recive bill and GRN already</t>
        </is>
      </c>
      <c r="X167" s="5" t="n"/>
      <c r="Y167" s="3" t="n">
        <v>45546</v>
      </c>
      <c r="Z167" s="3" t="n"/>
      <c r="AA167" s="17">
        <f>IF(RawDataGenPO[[#This Row],[Date Gen PO]]="","",RawDataGenPO[[#This Row],[Date recive bill]]-RawDataGenPO[[#This Row],[Date Gen PO]])</f>
        <v/>
      </c>
      <c r="AB167" s="16">
        <f>IF(RawDataGenPO[[#This Row],[GRN-PO date]]&gt;RawDataGenPO[[#This Row],[Lead time delivery (day)]],"over deliverry","Ontime")</f>
        <v/>
      </c>
      <c r="AC167" s="168" t="n"/>
    </row>
    <row r="168" ht="30" customFormat="1" customHeight="1" s="125">
      <c r="A168" s="5">
        <f>ROW()-ROW(RawDataGenPO[[#Headers],[No.]])</f>
        <v/>
      </c>
      <c r="B168" s="7" t="inlineStr">
        <is>
          <t>CAPEX  (Budget)</t>
        </is>
      </c>
      <c r="C168" s="276" t="n">
        <v>45503</v>
      </c>
      <c r="D168" s="276" t="n"/>
      <c r="E168" s="276" t="n"/>
      <c r="F168" s="276" t="n">
        <v>45503</v>
      </c>
      <c r="G168" s="239" t="inlineStr">
        <is>
          <t>PR2425-02376</t>
        </is>
      </c>
      <c r="H168" s="200" t="inlineStr">
        <is>
          <t>PO2425-02912</t>
        </is>
      </c>
      <c r="I168" s="290">
        <f>IF(RawDataGenPO[[#This Row],[PO No.]]="","",RawDataGenPO[[#This Row],[DMY Create PR]]+7)</f>
        <v/>
      </c>
      <c r="J168" s="290" t="n"/>
      <c r="K168" s="20" t="n">
        <v>60</v>
      </c>
      <c r="L168" s="5" t="inlineStr">
        <is>
          <t>SFST82000007</t>
        </is>
      </c>
      <c r="M168" s="7" t="inlineStr">
        <is>
          <t>Annual cost</t>
        </is>
      </c>
      <c r="N168" s="248" t="inlineStr">
        <is>
          <t>Safety equipment</t>
        </is>
      </c>
      <c r="O168" s="251" t="n">
        <v>2</v>
      </c>
      <c r="P168" s="191" t="inlineStr">
        <is>
          <t>OKURA ventilation fan model OKUD-OK-20BW10
size 20", hose length 10 m</t>
        </is>
      </c>
      <c r="Q168" s="277" t="n">
        <v>1</v>
      </c>
      <c r="R168" s="5" t="inlineStr">
        <is>
          <t>pcs.</t>
        </is>
      </c>
      <c r="S168" s="284">
        <f>RawDataGenPO[[#This Row],[Total price]]/RawDataGenPO[[#This Row],[Qty'']]</f>
        <v/>
      </c>
      <c r="T168" s="285" t="n">
        <v>19750</v>
      </c>
      <c r="U168" s="161" t="inlineStr">
        <is>
          <t>Puneet Approval</t>
        </is>
      </c>
      <c r="V168" s="7" t="inlineStr">
        <is>
          <t>1000621 - Thai Phattanasin Machine Tools Ltd., Part.</t>
        </is>
      </c>
      <c r="W168" s="5" t="inlineStr">
        <is>
          <t>Recive bill and GRN already</t>
        </is>
      </c>
      <c r="X168" s="5" t="n"/>
      <c r="Y168" s="3" t="n">
        <v>45546</v>
      </c>
      <c r="Z168" s="3" t="n"/>
      <c r="AA168" s="17">
        <f>IF(RawDataGenPO[[#This Row],[Date Gen PO]]="","",RawDataGenPO[[#This Row],[Date recive bill]]-RawDataGenPO[[#This Row],[Date Gen PO]])</f>
        <v/>
      </c>
      <c r="AB168" s="16">
        <f>IF(RawDataGenPO[[#This Row],[GRN-PO date]]&gt;RawDataGenPO[[#This Row],[Lead time delivery (day)]],"over deliverry","Ontime")</f>
        <v/>
      </c>
      <c r="AC168" s="168" t="n"/>
    </row>
    <row r="169" ht="30" customFormat="1" customHeight="1" s="125">
      <c r="A169" s="5">
        <f>ROW()-ROW(RawDataGenPO[[#Headers],[No.]])</f>
        <v/>
      </c>
      <c r="B169" s="7" t="inlineStr">
        <is>
          <t>Expent  cost</t>
        </is>
      </c>
      <c r="C169" s="275" t="n">
        <v>45518</v>
      </c>
      <c r="D169" s="276" t="n"/>
      <c r="E169" s="276" t="n"/>
      <c r="F169" s="275" t="n">
        <v>45518</v>
      </c>
      <c r="G169" s="181" t="inlineStr">
        <is>
          <t>PR2425-02668</t>
        </is>
      </c>
      <c r="H169" s="200" t="inlineStr">
        <is>
          <t>PO2425-02960</t>
        </is>
      </c>
      <c r="I169" s="290">
        <f>IF(RawDataGenPO[[#This Row],[PO No.]]="","",RawDataGenPO[[#This Row],[DMY Create PR]]+7)</f>
        <v/>
      </c>
      <c r="J169" s="290" t="n"/>
      <c r="K169" s="20" t="n">
        <v>60</v>
      </c>
      <c r="L169" s="5" t="inlineStr">
        <is>
          <t>SFST81000064</t>
        </is>
      </c>
      <c r="M169" s="7" t="inlineStr">
        <is>
          <t>Annual cost</t>
        </is>
      </c>
      <c r="N169" s="248" t="inlineStr">
        <is>
          <t>Inspect cost</t>
        </is>
      </c>
      <c r="O169" s="251" t="n">
        <v>1</v>
      </c>
      <c r="P169" s="191" t="inlineStr">
        <is>
          <t>Wastewater analysis fee
August 2024</t>
        </is>
      </c>
      <c r="Q169" s="277" t="n">
        <v>1</v>
      </c>
      <c r="R169" s="7" t="inlineStr">
        <is>
          <t>JOB.</t>
        </is>
      </c>
      <c r="S169" s="299">
        <f>RawDataGenPO[[#This Row],[Total price]]/RawDataGenPO[[#This Row],[Qty'']]</f>
        <v/>
      </c>
      <c r="T169" s="300" t="n">
        <v>5250</v>
      </c>
      <c r="U169" s="161" t="inlineStr">
        <is>
          <t>Puneet Approval</t>
        </is>
      </c>
      <c r="V169" s="33" t="inlineStr">
        <is>
          <t>V1000124 - S.P.J. SCIENTIFIC CO., LTD.</t>
        </is>
      </c>
      <c r="W169" s="5" t="inlineStr">
        <is>
          <t>Recive bill and GRN already</t>
        </is>
      </c>
      <c r="X169" s="5" t="n"/>
      <c r="Y169" s="3" t="n">
        <v>45548</v>
      </c>
      <c r="Z169" s="3" t="n"/>
      <c r="AA169" s="17">
        <f>IF(RawDataGenPO[[#This Row],[Date Gen PO]]="","",RawDataGenPO[[#This Row],[Date recive bill]]-RawDataGenPO[[#This Row],[Date Gen PO]])</f>
        <v/>
      </c>
      <c r="AB169" s="16">
        <f>IF(RawDataGenPO[[#This Row],[GRN-PO date]]&gt;RawDataGenPO[[#This Row],[Lead time delivery (day)]],"over deliverry","Ontime")</f>
        <v/>
      </c>
      <c r="AC169" s="168" t="n"/>
    </row>
    <row r="170" customFormat="1" s="125">
      <c r="A170" s="5">
        <f>ROW()-ROW(RawDataGenPO[[#Headers],[No.]])</f>
        <v/>
      </c>
      <c r="B170" s="7" t="inlineStr">
        <is>
          <t>Expent  cost</t>
        </is>
      </c>
      <c r="C170" s="275" t="n">
        <v>45514</v>
      </c>
      <c r="D170" s="276" t="n"/>
      <c r="E170" s="276" t="n"/>
      <c r="F170" s="275" t="n">
        <v>45514</v>
      </c>
      <c r="G170" s="239" t="inlineStr">
        <is>
          <t>PR2425-02592</t>
        </is>
      </c>
      <c r="H170" s="252" t="inlineStr">
        <is>
          <t>PO2425-02961</t>
        </is>
      </c>
      <c r="I170" s="290">
        <f>IF(RawDataGenPO[[#This Row],[PO No.]]="","",RawDataGenPO[[#This Row],[DMY Create PR]]+7)</f>
        <v/>
      </c>
      <c r="J170" s="290" t="n"/>
      <c r="K170" s="20" t="n">
        <v>20</v>
      </c>
      <c r="L170" s="5" t="inlineStr">
        <is>
          <t>SFST81000048</t>
        </is>
      </c>
      <c r="M170" s="7" t="inlineStr">
        <is>
          <t>Utility Jobs  (Boiler-Air compress-Transformer-LPG)</t>
        </is>
      </c>
      <c r="N170" s="248" t="inlineStr">
        <is>
          <t>Air Compressor No.2</t>
        </is>
      </c>
      <c r="O170" s="251" t="n">
        <v>2</v>
      </c>
      <c r="P170" s="10" t="inlineStr">
        <is>
          <t>Air Filter MOBO EA37 ( 50 HP)</t>
        </is>
      </c>
      <c r="Q170" s="277" t="n">
        <v>1</v>
      </c>
      <c r="R170" s="5" t="inlineStr">
        <is>
          <t>JOB.</t>
        </is>
      </c>
      <c r="S170" s="284">
        <f>RawDataGenPO[[#This Row],[Total price]]/RawDataGenPO[[#This Row],[Qty'']]</f>
        <v/>
      </c>
      <c r="T170" s="285" t="n">
        <v>2900</v>
      </c>
      <c r="U170" s="161" t="inlineStr">
        <is>
          <t>Puneet Approval</t>
        </is>
      </c>
      <c r="V170" s="7" t="inlineStr">
        <is>
          <t>V1000477 - Wata Air Compressor Co., Ltd.</t>
        </is>
      </c>
      <c r="W170" s="5" t="inlineStr">
        <is>
          <t>Recive bill and GRN already</t>
        </is>
      </c>
      <c r="X170" s="5" t="n"/>
      <c r="Y170" s="3" t="n">
        <v>45537</v>
      </c>
      <c r="Z170" s="3" t="n"/>
      <c r="AA170" s="17">
        <f>IF(RawDataGenPO[[#This Row],[Date Gen PO]]="","",RawDataGenPO[[#This Row],[Date recive bill]]-RawDataGenPO[[#This Row],[Date Gen PO]])</f>
        <v/>
      </c>
      <c r="AB170" s="16">
        <f>IF(RawDataGenPO[[#This Row],[GRN-PO date]]&gt;RawDataGenPO[[#This Row],[Lead time delivery (day)]],"over deliverry","Ontime")</f>
        <v/>
      </c>
      <c r="AC170" s="168" t="n"/>
    </row>
    <row r="171" customFormat="1" s="125">
      <c r="A171" s="5">
        <f>ROW()-ROW(RawDataGenPO[[#Headers],[No.]])</f>
        <v/>
      </c>
      <c r="B171" s="7" t="inlineStr">
        <is>
          <t>Expent  cost</t>
        </is>
      </c>
      <c r="C171" s="275" t="n">
        <v>45514</v>
      </c>
      <c r="D171" s="276" t="n"/>
      <c r="E171" s="276" t="n"/>
      <c r="F171" s="275" t="n">
        <v>45514</v>
      </c>
      <c r="G171" s="239" t="inlineStr">
        <is>
          <t>PR2425-02592</t>
        </is>
      </c>
      <c r="H171" s="252" t="inlineStr">
        <is>
          <t>PO2425-02961</t>
        </is>
      </c>
      <c r="I171" s="290">
        <f>IF(RawDataGenPO[[#This Row],[PO No.]]="","",RawDataGenPO[[#This Row],[DMY Create PR]]+7)</f>
        <v/>
      </c>
      <c r="J171" s="290" t="n"/>
      <c r="K171" s="20" t="n">
        <v>20</v>
      </c>
      <c r="L171" s="5" t="inlineStr">
        <is>
          <t>SFST81000048</t>
        </is>
      </c>
      <c r="M171" s="7" t="inlineStr">
        <is>
          <t>Utility Jobs  (Boiler-Air compress-Transformer-LPG)</t>
        </is>
      </c>
      <c r="N171" s="248" t="inlineStr">
        <is>
          <t>Air Compressor No.2</t>
        </is>
      </c>
      <c r="O171" s="251" t="n">
        <v>3</v>
      </c>
      <c r="P171" s="10" t="inlineStr">
        <is>
          <t>Oil Filter</t>
        </is>
      </c>
      <c r="Q171" s="277" t="n">
        <v>1</v>
      </c>
      <c r="R171" s="5" t="inlineStr">
        <is>
          <t>JOB.</t>
        </is>
      </c>
      <c r="S171" s="284">
        <f>RawDataGenPO[[#This Row],[Total price]]/RawDataGenPO[[#This Row],[Qty'']]</f>
        <v/>
      </c>
      <c r="T171" s="285" t="n">
        <v>2600</v>
      </c>
      <c r="U171" s="161" t="inlineStr">
        <is>
          <t>Puneet Approval</t>
        </is>
      </c>
      <c r="V171" s="7" t="inlineStr">
        <is>
          <t>V1000477 - Wata Air Compressor Co., Ltd.</t>
        </is>
      </c>
      <c r="W171" s="5" t="inlineStr">
        <is>
          <t>Recive bill and GRN already</t>
        </is>
      </c>
      <c r="X171" s="5" t="n"/>
      <c r="Y171" s="3" t="n">
        <v>45537</v>
      </c>
      <c r="Z171" s="3" t="n"/>
      <c r="AA171" s="17">
        <f>IF(RawDataGenPO[[#This Row],[Date Gen PO]]="","",RawDataGenPO[[#This Row],[Date recive bill]]-RawDataGenPO[[#This Row],[Date Gen PO]])</f>
        <v/>
      </c>
      <c r="AB171" s="16">
        <f>IF(RawDataGenPO[[#This Row],[GRN-PO date]]&gt;RawDataGenPO[[#This Row],[Lead time delivery (day)]],"over deliverry","Ontime")</f>
        <v/>
      </c>
      <c r="AC171" s="168" t="n"/>
    </row>
    <row r="172" customFormat="1" s="125">
      <c r="A172" s="5">
        <f>ROW()-ROW(RawDataGenPO[[#Headers],[No.]])</f>
        <v/>
      </c>
      <c r="B172" s="7" t="inlineStr">
        <is>
          <t>Expent  cost</t>
        </is>
      </c>
      <c r="C172" s="275" t="n">
        <v>45514</v>
      </c>
      <c r="D172" s="276" t="n"/>
      <c r="E172" s="276" t="n"/>
      <c r="F172" s="275" t="n">
        <v>45514</v>
      </c>
      <c r="G172" s="239" t="inlineStr">
        <is>
          <t>PR2425-02592</t>
        </is>
      </c>
      <c r="H172" s="252" t="inlineStr">
        <is>
          <t>PO2425-02961</t>
        </is>
      </c>
      <c r="I172" s="290">
        <f>IF(RawDataGenPO[[#This Row],[PO No.]]="","",RawDataGenPO[[#This Row],[DMY Create PR]]+7)</f>
        <v/>
      </c>
      <c r="J172" s="290" t="n"/>
      <c r="K172" s="20" t="n">
        <v>20</v>
      </c>
      <c r="L172" s="5" t="inlineStr">
        <is>
          <t>SFST81000048</t>
        </is>
      </c>
      <c r="M172" s="7" t="inlineStr">
        <is>
          <t>Utility Jobs  (Boiler-Air compress-Transformer-LPG)</t>
        </is>
      </c>
      <c r="N172" s="248" t="inlineStr">
        <is>
          <t>Air Compressor No.2</t>
        </is>
      </c>
      <c r="O172" s="251" t="n">
        <v>4</v>
      </c>
      <c r="P172" s="10" t="inlineStr">
        <is>
          <t>Oil Filter</t>
        </is>
      </c>
      <c r="Q172" s="277" t="n">
        <v>1</v>
      </c>
      <c r="R172" s="5" t="inlineStr">
        <is>
          <t>JOB.</t>
        </is>
      </c>
      <c r="S172" s="284">
        <f>RawDataGenPO[[#This Row],[Total price]]/RawDataGenPO[[#This Row],[Qty'']]</f>
        <v/>
      </c>
      <c r="T172" s="285" t="n">
        <v>10000</v>
      </c>
      <c r="U172" s="161" t="inlineStr">
        <is>
          <t>Puneet Approval</t>
        </is>
      </c>
      <c r="V172" s="7" t="inlineStr">
        <is>
          <t>V1000477 - Wata Air Compressor Co., Ltd.</t>
        </is>
      </c>
      <c r="W172" s="5" t="inlineStr">
        <is>
          <t>Recive bill and GRN already</t>
        </is>
      </c>
      <c r="X172" s="5" t="n"/>
      <c r="Y172" s="3" t="n">
        <v>45537</v>
      </c>
      <c r="Z172" s="3" t="n"/>
      <c r="AA172" s="17">
        <f>IF(RawDataGenPO[[#This Row],[Date Gen PO]]="","",RawDataGenPO[[#This Row],[Date recive bill]]-RawDataGenPO[[#This Row],[Date Gen PO]])</f>
        <v/>
      </c>
      <c r="AB172" s="16">
        <f>IF(RawDataGenPO[[#This Row],[GRN-PO date]]&gt;RawDataGenPO[[#This Row],[Lead time delivery (day)]],"over deliverry","Ontime")</f>
        <v/>
      </c>
      <c r="AC172" s="168" t="n"/>
    </row>
    <row r="173" ht="37.5" customFormat="1" customHeight="1" s="125">
      <c r="A173" s="5">
        <f>ROW()-ROW(RawDataGenPO[[#Headers],[No.]])</f>
        <v/>
      </c>
      <c r="B173" s="7" t="inlineStr">
        <is>
          <t>Expent  cost</t>
        </is>
      </c>
      <c r="C173" s="301" t="n">
        <v>45514</v>
      </c>
      <c r="D173" s="276" t="n"/>
      <c r="E173" s="281" t="n"/>
      <c r="F173" s="301" t="n">
        <v>45514</v>
      </c>
      <c r="G173" s="239" t="inlineStr">
        <is>
          <t>PR2425-02592</t>
        </is>
      </c>
      <c r="H173" s="252" t="inlineStr">
        <is>
          <t>PO2425-02961</t>
        </is>
      </c>
      <c r="I173" s="290">
        <f>IF(RawDataGenPO[[#This Row],[PO No.]]="","",RawDataGenPO[[#This Row],[DMY Create PR]]+7)</f>
        <v/>
      </c>
      <c r="J173" s="290" t="n"/>
      <c r="K173" s="20" t="n">
        <v>20</v>
      </c>
      <c r="L173" s="5" t="inlineStr">
        <is>
          <t>SFST81000048</t>
        </is>
      </c>
      <c r="M173" s="7" t="inlineStr">
        <is>
          <t>Utility Jobs  (Boiler-Air compress-Transformer-LPG)</t>
        </is>
      </c>
      <c r="N173" s="248" t="inlineStr">
        <is>
          <t>Air Compressor No.2</t>
        </is>
      </c>
      <c r="O173" s="251" t="n">
        <v>5</v>
      </c>
      <c r="P173" s="10" t="inlineStr">
        <is>
          <t>Lubricant S 32 (20 L.)</t>
        </is>
      </c>
      <c r="Q173" s="277" t="n">
        <v>2</v>
      </c>
      <c r="R173" s="5" t="inlineStr">
        <is>
          <t>JOB.</t>
        </is>
      </c>
      <c r="S173" s="284">
        <f>RawDataGenPO[[#This Row],[Total price]]/RawDataGenPO[[#This Row],[Qty'']]</f>
        <v/>
      </c>
      <c r="T173" s="285" t="n">
        <v>4200</v>
      </c>
      <c r="U173" s="161" t="inlineStr">
        <is>
          <t>Puneet Approval</t>
        </is>
      </c>
      <c r="V173" s="7" t="inlineStr">
        <is>
          <t>V1000477 - Wata Air Compressor Co., Ltd.</t>
        </is>
      </c>
      <c r="W173" s="5" t="inlineStr">
        <is>
          <t>Recive bill and GRN already</t>
        </is>
      </c>
      <c r="X173" s="5" t="n"/>
      <c r="Y173" s="3" t="n">
        <v>45537</v>
      </c>
      <c r="Z173" s="3" t="n"/>
      <c r="AA173" s="17">
        <f>IF(RawDataGenPO[[#This Row],[Date Gen PO]]="","",RawDataGenPO[[#This Row],[Date recive bill]]-RawDataGenPO[[#This Row],[Date Gen PO]])</f>
        <v/>
      </c>
      <c r="AB173" s="16">
        <f>IF(RawDataGenPO[[#This Row],[GRN-PO date]]&gt;RawDataGenPO[[#This Row],[Lead time delivery (day)]],"over deliverry","Ontime")</f>
        <v/>
      </c>
      <c r="AC173" s="22" t="n"/>
    </row>
    <row r="174" customFormat="1" s="125">
      <c r="A174" s="5">
        <f>ROW()-ROW(RawDataGenPO[[#Headers],[No.]])</f>
        <v/>
      </c>
      <c r="B174" s="7" t="inlineStr">
        <is>
          <t>Expent  cost</t>
        </is>
      </c>
      <c r="C174" s="281" t="n">
        <v>45514</v>
      </c>
      <c r="D174" s="276" t="n"/>
      <c r="E174" s="281" t="n"/>
      <c r="F174" s="281" t="n">
        <v>45514</v>
      </c>
      <c r="G174" s="239" t="inlineStr">
        <is>
          <t>PR2425-02592</t>
        </is>
      </c>
      <c r="H174" s="200" t="inlineStr">
        <is>
          <t xml:space="preserve">PO2425-02961 </t>
        </is>
      </c>
      <c r="I174" s="290">
        <f>IF(RawDataGenPO[[#This Row],[PO No.]]="","",RawDataGenPO[[#This Row],[DMY Create PR]]+7)</f>
        <v/>
      </c>
      <c r="J174" s="290" t="n"/>
      <c r="K174" s="20" t="n">
        <v>20</v>
      </c>
      <c r="L174" s="5" t="inlineStr">
        <is>
          <t>SFST81000048</t>
        </is>
      </c>
      <c r="M174" s="7" t="inlineStr">
        <is>
          <t>Utility Jobs  (Boiler-Air compress-Transformer-LPG)</t>
        </is>
      </c>
      <c r="N174" s="248" t="inlineStr">
        <is>
          <t>Air Compressor No.2</t>
        </is>
      </c>
      <c r="O174" s="251" t="n">
        <v>6</v>
      </c>
      <c r="P174" s="10" t="inlineStr">
        <is>
          <t>Air Filter</t>
        </is>
      </c>
      <c r="Q174" s="302" t="n">
        <v>1</v>
      </c>
      <c r="R174" s="5" t="inlineStr">
        <is>
          <t>JOB</t>
        </is>
      </c>
      <c r="S174" s="284">
        <f>RawDataGenPO[[#This Row],[Total price]]/RawDataGenPO[[#This Row],[Qty'']]</f>
        <v/>
      </c>
      <c r="T174" s="303" t="n">
        <v>2900</v>
      </c>
      <c r="U174" s="291" t="inlineStr">
        <is>
          <t>Puneet Approval</t>
        </is>
      </c>
      <c r="V174" s="7" t="inlineStr">
        <is>
          <t>V1000477 - Wata Air Compressor Co., Ltd.</t>
        </is>
      </c>
      <c r="W174" s="5" t="inlineStr">
        <is>
          <t>Recive bill and GRN already</t>
        </is>
      </c>
      <c r="X174" s="5" t="n"/>
      <c r="Y174" s="3" t="n">
        <v>45537</v>
      </c>
      <c r="Z174" s="3" t="n"/>
      <c r="AA174" s="17">
        <f>IF(RawDataGenPO[[#This Row],[Date Gen PO]]="","",RawDataGenPO[[#This Row],[Date recive bill]]-RawDataGenPO[[#This Row],[Date Gen PO]])</f>
        <v/>
      </c>
      <c r="AB174" s="16">
        <f>IF(RawDataGenPO[[#This Row],[GRN-PO date]]&gt;RawDataGenPO[[#This Row],[Lead time delivery (day)]],"over deliverry","Ontime")</f>
        <v/>
      </c>
      <c r="AC174" s="22" t="n"/>
    </row>
    <row r="175" customFormat="1" s="125">
      <c r="A175" s="5">
        <f>ROW()-ROW(RawDataGenPO[[#Headers],[No.]])</f>
        <v/>
      </c>
      <c r="B175" s="7" t="inlineStr">
        <is>
          <t>Expent  cost</t>
        </is>
      </c>
      <c r="C175" s="281" t="n">
        <v>45514</v>
      </c>
      <c r="D175" s="276" t="n"/>
      <c r="E175" s="281" t="n"/>
      <c r="F175" s="281" t="n">
        <v>45514</v>
      </c>
      <c r="G175" s="239" t="inlineStr">
        <is>
          <t>PR2425-02592</t>
        </is>
      </c>
      <c r="H175" s="200" t="inlineStr">
        <is>
          <t xml:space="preserve">PO2425-02961 </t>
        </is>
      </c>
      <c r="I175" s="290">
        <f>IF(RawDataGenPO[[#This Row],[PO No.]]="","",RawDataGenPO[[#This Row],[DMY Create PR]]+7)</f>
        <v/>
      </c>
      <c r="J175" s="290" t="n"/>
      <c r="K175" s="20" t="n">
        <v>20</v>
      </c>
      <c r="L175" s="5" t="inlineStr">
        <is>
          <t>SFST81000048</t>
        </is>
      </c>
      <c r="M175" s="7" t="inlineStr">
        <is>
          <t>Utility Jobs  (Boiler-Air compress-Transformer-LPG)</t>
        </is>
      </c>
      <c r="N175" s="248" t="inlineStr">
        <is>
          <t>Air Compressor No.2</t>
        </is>
      </c>
      <c r="O175" s="251" t="n">
        <v>7</v>
      </c>
      <c r="P175" s="10" t="inlineStr">
        <is>
          <t>Oil Filter</t>
        </is>
      </c>
      <c r="Q175" s="302" t="n">
        <v>1</v>
      </c>
      <c r="R175" s="5" t="inlineStr">
        <is>
          <t>JOB</t>
        </is>
      </c>
      <c r="S175" s="284">
        <f>RawDataGenPO[[#This Row],[Total price]]/RawDataGenPO[[#This Row],[Qty'']]</f>
        <v/>
      </c>
      <c r="T175" s="303" t="n">
        <v>2600</v>
      </c>
      <c r="U175" s="291" t="inlineStr">
        <is>
          <t>Puneet Approval</t>
        </is>
      </c>
      <c r="V175" s="7" t="inlineStr">
        <is>
          <t>V1000477 - Wata Air Compressor Co., Ltd.</t>
        </is>
      </c>
      <c r="W175" s="5" t="inlineStr">
        <is>
          <t>Recive bill and GRN already</t>
        </is>
      </c>
      <c r="X175" s="5" t="n"/>
      <c r="Y175" s="3" t="n">
        <v>45537</v>
      </c>
      <c r="Z175" s="3" t="n"/>
      <c r="AA175" s="17">
        <f>IF(RawDataGenPO[[#This Row],[Date Gen PO]]="","",RawDataGenPO[[#This Row],[Date recive bill]]-RawDataGenPO[[#This Row],[Date Gen PO]])</f>
        <v/>
      </c>
      <c r="AB175" s="16">
        <f>IF(RawDataGenPO[[#This Row],[GRN-PO date]]&gt;RawDataGenPO[[#This Row],[Lead time delivery (day)]],"over deliverry","Ontime")</f>
        <v/>
      </c>
      <c r="AC175" s="22" t="n"/>
    </row>
    <row r="176" customFormat="1" s="125">
      <c r="A176" s="5">
        <f>ROW()-ROW(RawDataGenPO[[#Headers],[No.]])</f>
        <v/>
      </c>
      <c r="B176" s="7" t="inlineStr">
        <is>
          <t>Expent  cost</t>
        </is>
      </c>
      <c r="C176" s="281" t="n">
        <v>45514</v>
      </c>
      <c r="D176" s="276" t="n"/>
      <c r="E176" s="281" t="n"/>
      <c r="F176" s="281" t="n">
        <v>45514</v>
      </c>
      <c r="G176" s="239" t="inlineStr">
        <is>
          <t>PR2425-02592</t>
        </is>
      </c>
      <c r="H176" s="200" t="inlineStr">
        <is>
          <t xml:space="preserve">PO2425-02961 </t>
        </is>
      </c>
      <c r="I176" s="290">
        <f>IF(RawDataGenPO[[#This Row],[PO No.]]="","",RawDataGenPO[[#This Row],[DMY Create PR]]+7)</f>
        <v/>
      </c>
      <c r="J176" s="290" t="n"/>
      <c r="K176" s="20" t="n">
        <v>20</v>
      </c>
      <c r="L176" s="5" t="inlineStr">
        <is>
          <t>SFST81000048</t>
        </is>
      </c>
      <c r="M176" s="7" t="inlineStr">
        <is>
          <t>Utility Jobs  (Boiler-Air compress-Transformer-LPG)</t>
        </is>
      </c>
      <c r="N176" s="248" t="inlineStr">
        <is>
          <t>Air Compressor No.2</t>
        </is>
      </c>
      <c r="O176" s="251" t="n">
        <v>8</v>
      </c>
      <c r="P176" s="10" t="inlineStr">
        <is>
          <t>Sparater</t>
        </is>
      </c>
      <c r="Q176" s="302" t="n">
        <v>1</v>
      </c>
      <c r="R176" s="5" t="inlineStr">
        <is>
          <t>JOB</t>
        </is>
      </c>
      <c r="S176" s="284">
        <f>RawDataGenPO[[#This Row],[Total price]]/RawDataGenPO[[#This Row],[Qty'']]</f>
        <v/>
      </c>
      <c r="T176" s="303" t="n">
        <v>10000</v>
      </c>
      <c r="U176" s="291" t="inlineStr">
        <is>
          <t>Puneet Approval</t>
        </is>
      </c>
      <c r="V176" s="7" t="inlineStr">
        <is>
          <t>V1000477 - Wata Air Compressor Co., Ltd.</t>
        </is>
      </c>
      <c r="W176" s="5" t="inlineStr">
        <is>
          <t>Recive bill and GRN already</t>
        </is>
      </c>
      <c r="X176" s="5" t="n"/>
      <c r="Y176" s="3" t="n">
        <v>45537</v>
      </c>
      <c r="Z176" s="3" t="n"/>
      <c r="AA176" s="17">
        <f>IF(RawDataGenPO[[#This Row],[Date Gen PO]]="","",RawDataGenPO[[#This Row],[Date recive bill]]-RawDataGenPO[[#This Row],[Date Gen PO]])</f>
        <v/>
      </c>
      <c r="AB176" s="16">
        <f>IF(RawDataGenPO[[#This Row],[GRN-PO date]]&gt;RawDataGenPO[[#This Row],[Lead time delivery (day)]],"over deliverry","Ontime")</f>
        <v/>
      </c>
      <c r="AC176" s="22" t="n"/>
    </row>
    <row r="177" customFormat="1" s="125">
      <c r="A177" s="5">
        <f>ROW()-ROW(RawDataGenPO[[#Headers],[No.]])</f>
        <v/>
      </c>
      <c r="B177" s="7" t="inlineStr">
        <is>
          <t>Expent  cost</t>
        </is>
      </c>
      <c r="C177" s="281" t="n">
        <v>45514</v>
      </c>
      <c r="D177" s="276" t="n"/>
      <c r="E177" s="281" t="n"/>
      <c r="F177" s="281" t="n">
        <v>45514</v>
      </c>
      <c r="G177" s="239" t="inlineStr">
        <is>
          <t>PR2425-02592</t>
        </is>
      </c>
      <c r="H177" s="200" t="inlineStr">
        <is>
          <t xml:space="preserve">PO2425-02961 </t>
        </is>
      </c>
      <c r="I177" s="290">
        <f>IF(RawDataGenPO[[#This Row],[PO No.]]="","",RawDataGenPO[[#This Row],[DMY Create PR]]+7)</f>
        <v/>
      </c>
      <c r="J177" s="290" t="n"/>
      <c r="K177" s="20" t="n">
        <v>20</v>
      </c>
      <c r="L177" s="5" t="inlineStr">
        <is>
          <t>SFST81000048</t>
        </is>
      </c>
      <c r="M177" s="7" t="inlineStr">
        <is>
          <t>Utility Jobs  (Boiler-Air compress-Transformer-LPG)</t>
        </is>
      </c>
      <c r="N177" s="248" t="inlineStr">
        <is>
          <t>Air Compressor No.2</t>
        </is>
      </c>
      <c r="O177" s="251" t="n">
        <v>9</v>
      </c>
      <c r="P177" s="10" t="inlineStr">
        <is>
          <t>Lubricant S 32 (20 L.)</t>
        </is>
      </c>
      <c r="Q177" s="302" t="n">
        <v>2</v>
      </c>
      <c r="R177" s="5" t="inlineStr">
        <is>
          <t>JOB</t>
        </is>
      </c>
      <c r="S177" s="284">
        <f>RawDataGenPO[[#This Row],[Total price]]/RawDataGenPO[[#This Row],[Qty'']]</f>
        <v/>
      </c>
      <c r="T177" s="303" t="n">
        <v>8400</v>
      </c>
      <c r="U177" s="291" t="inlineStr">
        <is>
          <t>Puneet Approval</t>
        </is>
      </c>
      <c r="V177" s="7" t="inlineStr">
        <is>
          <t>V1000477 - Wata Air Compressor Co., Ltd.</t>
        </is>
      </c>
      <c r="W177" s="5" t="inlineStr">
        <is>
          <t>Recive bill and GRN already</t>
        </is>
      </c>
      <c r="X177" s="5" t="n"/>
      <c r="Y177" s="3" t="n">
        <v>45537</v>
      </c>
      <c r="Z177" s="3" t="n"/>
      <c r="AA177" s="17">
        <f>IF(RawDataGenPO[[#This Row],[Date Gen PO]]="","",RawDataGenPO[[#This Row],[Date recive bill]]-RawDataGenPO[[#This Row],[Date Gen PO]])</f>
        <v/>
      </c>
      <c r="AB177" s="16">
        <f>IF(RawDataGenPO[[#This Row],[GRN-PO date]]&gt;RawDataGenPO[[#This Row],[Lead time delivery (day)]],"over deliverry","Ontime")</f>
        <v/>
      </c>
      <c r="AC177" s="22" t="n"/>
    </row>
    <row r="178" ht="41.25" customFormat="1" customHeight="1" s="125">
      <c r="A178" s="5">
        <f>ROW()-ROW(RawDataGenPO[[#Headers],[No.]])</f>
        <v/>
      </c>
      <c r="B178" s="7" t="inlineStr">
        <is>
          <t>Expent  cost</t>
        </is>
      </c>
      <c r="C178" s="281" t="n">
        <v>45514</v>
      </c>
      <c r="D178" s="276" t="n"/>
      <c r="E178" s="281" t="n"/>
      <c r="F178" s="281" t="n">
        <v>45514</v>
      </c>
      <c r="G178" s="239" t="inlineStr">
        <is>
          <t>PR2425-02594</t>
        </is>
      </c>
      <c r="H178" s="200" t="inlineStr">
        <is>
          <t>PO2425-02962</t>
        </is>
      </c>
      <c r="I178" s="290">
        <f>IF(RawDataGenPO[[#This Row],[PO No.]]="","",RawDataGenPO[[#This Row],[DMY Create PR]]+7)</f>
        <v/>
      </c>
      <c r="J178" s="290" t="n"/>
      <c r="K178" s="20" t="n">
        <v>20</v>
      </c>
      <c r="L178" s="5" t="inlineStr">
        <is>
          <t>SFST81000048</t>
        </is>
      </c>
      <c r="M178" s="7" t="inlineStr">
        <is>
          <t>Utility Jobs  (Boiler-Air compress-Transformer-LPG)</t>
        </is>
      </c>
      <c r="N178" s="248" t="inlineStr">
        <is>
          <t>Air Compressor No.1</t>
        </is>
      </c>
      <c r="O178" s="251" t="n">
        <v>1</v>
      </c>
      <c r="P178" s="10" t="inlineStr">
        <is>
          <t>Air Filter For Compressor MOBO SA 8 ( 10 HP)</t>
        </is>
      </c>
      <c r="Q178" s="302" t="n">
        <v>1</v>
      </c>
      <c r="R178" s="5" t="inlineStr">
        <is>
          <t>JOB</t>
        </is>
      </c>
      <c r="S178" s="284">
        <f>RawDataGenPO[[#This Row],[Total price]]/RawDataGenPO[[#This Row],[Qty'']]</f>
        <v/>
      </c>
      <c r="T178" s="296" t="n">
        <v>2120</v>
      </c>
      <c r="U178" s="291" t="inlineStr">
        <is>
          <t>Puneet Approval</t>
        </is>
      </c>
      <c r="V178" s="7" t="inlineStr">
        <is>
          <t>V1000477 - Wata Air Compressor Co., Ltd.</t>
        </is>
      </c>
      <c r="W178" s="5" t="inlineStr">
        <is>
          <t>Recive bill and GRN already</t>
        </is>
      </c>
      <c r="X178" s="5" t="n"/>
      <c r="Y178" s="3" t="n">
        <v>45537</v>
      </c>
      <c r="Z178" s="3" t="n"/>
      <c r="AA178" s="17">
        <f>IF(RawDataGenPO[[#This Row],[Date Gen PO]]="","",RawDataGenPO[[#This Row],[Date recive bill]]-RawDataGenPO[[#This Row],[Date Gen PO]])</f>
        <v/>
      </c>
      <c r="AB178" s="16">
        <f>IF(RawDataGenPO[[#This Row],[GRN-PO date]]&gt;RawDataGenPO[[#This Row],[Lead time delivery (day)]],"over deliverry","Ontime")</f>
        <v/>
      </c>
      <c r="AC178" s="22" t="n"/>
    </row>
    <row r="179" customFormat="1" s="125">
      <c r="A179" s="5">
        <f>ROW()-ROW(RawDataGenPO[[#Headers],[No.]])</f>
        <v/>
      </c>
      <c r="B179" s="7" t="inlineStr">
        <is>
          <t>Expent  cost</t>
        </is>
      </c>
      <c r="C179" s="281" t="n">
        <v>45514</v>
      </c>
      <c r="D179" s="276" t="n"/>
      <c r="E179" s="281" t="n"/>
      <c r="F179" s="281" t="n">
        <v>45514</v>
      </c>
      <c r="G179" s="235" t="inlineStr">
        <is>
          <t>PR2425-02594</t>
        </is>
      </c>
      <c r="H179" s="5" t="inlineStr">
        <is>
          <t>PO2425-02962</t>
        </is>
      </c>
      <c r="I179" s="290">
        <f>IF(RawDataGenPO[[#This Row],[PO No.]]="","",RawDataGenPO[[#This Row],[DMY Create PR]]+7)</f>
        <v/>
      </c>
      <c r="J179" s="290" t="n"/>
      <c r="K179" s="20" t="n">
        <v>20</v>
      </c>
      <c r="L179" s="246" t="inlineStr">
        <is>
          <t>SFST81000048</t>
        </is>
      </c>
      <c r="M179" s="7" t="inlineStr">
        <is>
          <t>Utility Jobs  (Boiler-Air compress-Transformer-LPG)</t>
        </is>
      </c>
      <c r="N179" s="248" t="inlineStr">
        <is>
          <t>Air Compressor No.1</t>
        </is>
      </c>
      <c r="O179" s="11" t="n">
        <v>2</v>
      </c>
      <c r="P179" s="247" t="inlineStr">
        <is>
          <t>Oil Filter</t>
        </is>
      </c>
      <c r="Q179" s="302" t="n">
        <v>1</v>
      </c>
      <c r="R179" s="5" t="inlineStr">
        <is>
          <t>JOB</t>
        </is>
      </c>
      <c r="S179" s="284">
        <f>RawDataGenPO[[#This Row],[Total price]]/RawDataGenPO[[#This Row],[Qty'']]</f>
        <v/>
      </c>
      <c r="T179" s="296" t="n">
        <v>1200</v>
      </c>
      <c r="U179" s="291" t="inlineStr">
        <is>
          <t>Puneet Approval</t>
        </is>
      </c>
      <c r="V179" s="7" t="inlineStr">
        <is>
          <t>V1000477 - Wata Air Compressor Co., Ltd.</t>
        </is>
      </c>
      <c r="W179" s="5" t="inlineStr">
        <is>
          <t>Recive bill and GRN already</t>
        </is>
      </c>
      <c r="X179" s="5" t="n"/>
      <c r="Y179" s="3" t="n">
        <v>45537</v>
      </c>
      <c r="Z179" s="3" t="n"/>
      <c r="AA179" s="17">
        <f>IF(RawDataGenPO[[#This Row],[Date Gen PO]]="","",RawDataGenPO[[#This Row],[Date recive bill]]-RawDataGenPO[[#This Row],[Date Gen PO]])</f>
        <v/>
      </c>
      <c r="AB179" s="16">
        <f>IF(RawDataGenPO[[#This Row],[GRN-PO date]]&gt;RawDataGenPO[[#This Row],[Lead time delivery (day)]],"over deliverry","Ontime")</f>
        <v/>
      </c>
      <c r="AC179" s="22" t="n"/>
    </row>
    <row r="180" customFormat="1" s="125">
      <c r="A180" s="5">
        <f>ROW()-ROW(RawDataGenPO[[#Headers],[No.]])</f>
        <v/>
      </c>
      <c r="B180" s="7" t="inlineStr">
        <is>
          <t>Expent  cost</t>
        </is>
      </c>
      <c r="C180" s="281" t="n">
        <v>45514</v>
      </c>
      <c r="D180" s="276" t="n"/>
      <c r="E180" s="281" t="n"/>
      <c r="F180" s="281" t="n">
        <v>45514</v>
      </c>
      <c r="G180" s="235" t="inlineStr">
        <is>
          <t>PR2425-02594</t>
        </is>
      </c>
      <c r="H180" s="5" t="inlineStr">
        <is>
          <t>PO2425-02962</t>
        </is>
      </c>
      <c r="I180" s="290">
        <f>IF(RawDataGenPO[[#This Row],[PO No.]]="","",RawDataGenPO[[#This Row],[DMY Create PR]]+7)</f>
        <v/>
      </c>
      <c r="J180" s="290" t="n"/>
      <c r="K180" s="20" t="n">
        <v>20</v>
      </c>
      <c r="L180" s="5" t="inlineStr">
        <is>
          <t>SFST81000048</t>
        </is>
      </c>
      <c r="M180" s="7" t="inlineStr">
        <is>
          <t>Utility Jobs  (Boiler-Air compress-Transformer-LPG)</t>
        </is>
      </c>
      <c r="N180" s="248" t="inlineStr">
        <is>
          <t>Air Compressor No.1</t>
        </is>
      </c>
      <c r="O180" s="11" t="n">
        <v>3</v>
      </c>
      <c r="P180" s="247" t="inlineStr">
        <is>
          <t>Sparater</t>
        </is>
      </c>
      <c r="Q180" s="302" t="n">
        <v>1</v>
      </c>
      <c r="R180" s="5" t="inlineStr">
        <is>
          <t>JOB</t>
        </is>
      </c>
      <c r="S180" s="284">
        <f>RawDataGenPO[[#This Row],[Total price]]/RawDataGenPO[[#This Row],[Qty'']]</f>
        <v/>
      </c>
      <c r="T180" s="296" t="n">
        <v>7200</v>
      </c>
      <c r="U180" s="291" t="inlineStr">
        <is>
          <t>Puneet Approval</t>
        </is>
      </c>
      <c r="V180" s="7" t="inlineStr">
        <is>
          <t>V1000477 - Wata Air Compressor Co., Ltd.</t>
        </is>
      </c>
      <c r="W180" s="5" t="inlineStr">
        <is>
          <t>Recive bill and GRN already</t>
        </is>
      </c>
      <c r="X180" s="5" t="n"/>
      <c r="Y180" s="3" t="n">
        <v>45537</v>
      </c>
      <c r="Z180" s="3" t="n"/>
      <c r="AA180" s="17">
        <f>IF(RawDataGenPO[[#This Row],[Date Gen PO]]="","",RawDataGenPO[[#This Row],[Date recive bill]]-RawDataGenPO[[#This Row],[Date Gen PO]])</f>
        <v/>
      </c>
      <c r="AB180" s="16">
        <f>IF(RawDataGenPO[[#This Row],[GRN-PO date]]&gt;RawDataGenPO[[#This Row],[Lead time delivery (day)]],"over deliverry","Ontime")</f>
        <v/>
      </c>
      <c r="AC180" s="22" t="n"/>
    </row>
    <row r="181" customFormat="1" s="125">
      <c r="A181" s="5">
        <f>ROW()-ROW(RawDataGenPO[[#Headers],[No.]])</f>
        <v/>
      </c>
      <c r="B181" s="7" t="inlineStr">
        <is>
          <t>Expent  cost</t>
        </is>
      </c>
      <c r="C181" s="281" t="n">
        <v>45514</v>
      </c>
      <c r="D181" s="276" t="n"/>
      <c r="E181" s="281" t="n"/>
      <c r="F181" s="281" t="n">
        <v>45514</v>
      </c>
      <c r="G181" s="235" t="inlineStr">
        <is>
          <t>PR2425-02594</t>
        </is>
      </c>
      <c r="H181" s="5" t="inlineStr">
        <is>
          <t>PO2425-02962</t>
        </is>
      </c>
      <c r="I181" s="290">
        <f>IF(RawDataGenPO[[#This Row],[PO No.]]="","",RawDataGenPO[[#This Row],[DMY Create PR]]+7)</f>
        <v/>
      </c>
      <c r="J181" s="290" t="n"/>
      <c r="K181" s="20" t="n">
        <v>20</v>
      </c>
      <c r="L181" s="5" t="inlineStr">
        <is>
          <t>SFST81000048</t>
        </is>
      </c>
      <c r="M181" s="7" t="inlineStr">
        <is>
          <t>Utility Jobs  (Boiler-Air compress-Transformer-LPG)</t>
        </is>
      </c>
      <c r="N181" s="248" t="inlineStr">
        <is>
          <t>Air Compressor No.1</t>
        </is>
      </c>
      <c r="O181" s="11" t="n">
        <v>4</v>
      </c>
      <c r="P181" s="247" t="inlineStr">
        <is>
          <t>Lubricant S 32 (20 L.)</t>
        </is>
      </c>
      <c r="Q181" s="302" t="n">
        <v>1</v>
      </c>
      <c r="R181" s="5" t="inlineStr">
        <is>
          <t>JOB</t>
        </is>
      </c>
      <c r="S181" s="284">
        <f>RawDataGenPO[[#This Row],[Total price]]/RawDataGenPO[[#This Row],[Qty'']]</f>
        <v/>
      </c>
      <c r="T181" s="296" t="n">
        <v>4200</v>
      </c>
      <c r="U181" s="291" t="inlineStr">
        <is>
          <t>Puneet Approval</t>
        </is>
      </c>
      <c r="V181" s="7" t="inlineStr">
        <is>
          <t>V1000477 - Wata Air Compressor Co., Ltd.</t>
        </is>
      </c>
      <c r="W181" s="5" t="inlineStr">
        <is>
          <t>Recive bill and GRN already</t>
        </is>
      </c>
      <c r="X181" s="5" t="n"/>
      <c r="Y181" s="3" t="n">
        <v>45537</v>
      </c>
      <c r="Z181" s="3" t="n"/>
      <c r="AA181" s="17">
        <f>IF(RawDataGenPO[[#This Row],[Date Gen PO]]="","",RawDataGenPO[[#This Row],[Date recive bill]]-RawDataGenPO[[#This Row],[Date Gen PO]])</f>
        <v/>
      </c>
      <c r="AB181" s="16">
        <f>IF(RawDataGenPO[[#This Row],[GRN-PO date]]&gt;RawDataGenPO[[#This Row],[Lead time delivery (day)]],"over deliverry","Ontime")</f>
        <v/>
      </c>
      <c r="AC181" s="22" t="n"/>
    </row>
    <row r="182" customFormat="1" s="125">
      <c r="A182" s="5">
        <f>ROW()-ROW(RawDataGenPO[[#Headers],[No.]])</f>
        <v/>
      </c>
      <c r="B182" s="7" t="inlineStr">
        <is>
          <t>Expent  cost</t>
        </is>
      </c>
      <c r="C182" s="301" t="n">
        <v>45514</v>
      </c>
      <c r="D182" s="276" t="n"/>
      <c r="E182" s="281" t="n"/>
      <c r="F182" s="301" t="n">
        <v>45514</v>
      </c>
      <c r="G182" s="235" t="inlineStr">
        <is>
          <t>PR2425-02594</t>
        </is>
      </c>
      <c r="H182" s="11" t="inlineStr">
        <is>
          <t>PO2425-02962</t>
        </is>
      </c>
      <c r="I182" s="290">
        <f>IF(RawDataGenPO[[#This Row],[PO No.]]="","",RawDataGenPO[[#This Row],[DMY Create PR]]+7)</f>
        <v/>
      </c>
      <c r="J182" s="290" t="n"/>
      <c r="K182" s="20" t="n">
        <v>20</v>
      </c>
      <c r="L182" s="5" t="inlineStr">
        <is>
          <t>SFST81000048</t>
        </is>
      </c>
      <c r="M182" s="7" t="inlineStr">
        <is>
          <t>Utility Jobs  (Boiler-Air compress-Transformer-LPG)</t>
        </is>
      </c>
      <c r="N182" s="248" t="inlineStr">
        <is>
          <t>Air Compressor No.1</t>
        </is>
      </c>
      <c r="O182" s="11" t="n">
        <v>5</v>
      </c>
      <c r="P182" s="247" t="inlineStr">
        <is>
          <t>Air Filter For Compressor MOBO SA 8 ( 10 HP)</t>
        </is>
      </c>
      <c r="Q182" s="277" t="n">
        <v>1</v>
      </c>
      <c r="R182" s="5" t="inlineStr">
        <is>
          <t>JOB.</t>
        </is>
      </c>
      <c r="S182" s="284">
        <f>RawDataGenPO[[#This Row],[Total price]]/RawDataGenPO[[#This Row],[Qty'']]</f>
        <v/>
      </c>
      <c r="T182" s="285" t="n">
        <v>2120</v>
      </c>
      <c r="U182" s="161" t="inlineStr">
        <is>
          <t>Puneet Approval</t>
        </is>
      </c>
      <c r="V182" s="7" t="inlineStr">
        <is>
          <t>V1000477 - Wata Air Compressor Co., Ltd.</t>
        </is>
      </c>
      <c r="W182" s="5" t="inlineStr">
        <is>
          <t>Recive bill and GRN already</t>
        </is>
      </c>
      <c r="X182" s="5" t="n"/>
      <c r="Y182" s="3" t="n">
        <v>45537</v>
      </c>
      <c r="Z182" s="3" t="n"/>
      <c r="AA182" s="17">
        <f>IF(RawDataGenPO[[#This Row],[Date Gen PO]]="","",RawDataGenPO[[#This Row],[Date recive bill]]-RawDataGenPO[[#This Row],[Date Gen PO]])</f>
        <v/>
      </c>
      <c r="AB182" s="16">
        <f>IF(RawDataGenPO[[#This Row],[GRN-PO date]]&gt;RawDataGenPO[[#This Row],[Lead time delivery (day)]],"over deliverry","Ontime")</f>
        <v/>
      </c>
      <c r="AC182" s="22" t="n"/>
    </row>
    <row r="183" customFormat="1" s="125">
      <c r="A183" s="5">
        <f>ROW()-ROW(RawDataGenPO[[#Headers],[No.]])</f>
        <v/>
      </c>
      <c r="B183" s="7" t="inlineStr">
        <is>
          <t>Expent  cost</t>
        </is>
      </c>
      <c r="C183" s="301" t="n">
        <v>45514</v>
      </c>
      <c r="D183" s="276" t="n"/>
      <c r="E183" s="281" t="n"/>
      <c r="F183" s="301" t="n">
        <v>45514</v>
      </c>
      <c r="G183" s="235" t="inlineStr">
        <is>
          <t>PR2425-02594</t>
        </is>
      </c>
      <c r="H183" s="11" t="inlineStr">
        <is>
          <t>PO2425-02962</t>
        </is>
      </c>
      <c r="I183" s="290">
        <f>IF(RawDataGenPO[[#This Row],[PO No.]]="","",RawDataGenPO[[#This Row],[DMY Create PR]]+7)</f>
        <v/>
      </c>
      <c r="J183" s="290" t="n"/>
      <c r="K183" s="20" t="n">
        <v>20</v>
      </c>
      <c r="L183" s="5" t="inlineStr">
        <is>
          <t>SFST81000048</t>
        </is>
      </c>
      <c r="M183" s="7" t="inlineStr">
        <is>
          <t>Utility Jobs  (Boiler-Air compress-Transformer-LPG)</t>
        </is>
      </c>
      <c r="N183" s="248" t="inlineStr">
        <is>
          <t>Air Compressor No.1</t>
        </is>
      </c>
      <c r="O183" s="11" t="n">
        <v>6</v>
      </c>
      <c r="P183" s="247" t="inlineStr">
        <is>
          <t>Oil Filter</t>
        </is>
      </c>
      <c r="Q183" s="277" t="n">
        <v>1</v>
      </c>
      <c r="R183" s="5" t="inlineStr">
        <is>
          <t>JOB.</t>
        </is>
      </c>
      <c r="S183" s="284">
        <f>RawDataGenPO[[#This Row],[Total price]]/RawDataGenPO[[#This Row],[Qty'']]</f>
        <v/>
      </c>
      <c r="T183" s="285" t="n">
        <v>1200</v>
      </c>
      <c r="U183" s="161" t="inlineStr">
        <is>
          <t>Puneet Approval</t>
        </is>
      </c>
      <c r="V183" s="7" t="inlineStr">
        <is>
          <t>V1000477 - Wata Air Compressor Co., Ltd.</t>
        </is>
      </c>
      <c r="W183" s="5" t="inlineStr">
        <is>
          <t>Recive bill and GRN already</t>
        </is>
      </c>
      <c r="X183" s="5" t="n"/>
      <c r="Y183" s="3" t="n">
        <v>45537</v>
      </c>
      <c r="Z183" s="3" t="n"/>
      <c r="AA183" s="17">
        <f>IF(RawDataGenPO[[#This Row],[Date Gen PO]]="","",RawDataGenPO[[#This Row],[Date recive bill]]-RawDataGenPO[[#This Row],[Date Gen PO]])</f>
        <v/>
      </c>
      <c r="AB183" s="16">
        <f>IF(RawDataGenPO[[#This Row],[GRN-PO date]]&gt;RawDataGenPO[[#This Row],[Lead time delivery (day)]],"over deliverry","Ontime")</f>
        <v/>
      </c>
      <c r="AC183" s="22" t="n"/>
    </row>
    <row r="184" customFormat="1" s="125">
      <c r="A184" s="5">
        <f>ROW()-ROW(RawDataGenPO[[#Headers],[No.]])</f>
        <v/>
      </c>
      <c r="B184" s="7" t="inlineStr">
        <is>
          <t>Expent  cost</t>
        </is>
      </c>
      <c r="C184" s="301" t="n">
        <v>45514</v>
      </c>
      <c r="D184" s="276" t="n"/>
      <c r="E184" s="281" t="n"/>
      <c r="F184" s="301" t="n">
        <v>45514</v>
      </c>
      <c r="G184" s="235" t="inlineStr">
        <is>
          <t>PR2425-02594</t>
        </is>
      </c>
      <c r="H184" s="11" t="inlineStr">
        <is>
          <t>PO2425-02962</t>
        </is>
      </c>
      <c r="I184" s="290">
        <f>IF(RawDataGenPO[[#This Row],[PO No.]]="","",RawDataGenPO[[#This Row],[DMY Create PR]]+7)</f>
        <v/>
      </c>
      <c r="J184" s="290" t="n"/>
      <c r="K184" s="20" t="n">
        <v>20</v>
      </c>
      <c r="L184" s="5" t="inlineStr">
        <is>
          <t>SFST81000048</t>
        </is>
      </c>
      <c r="M184" s="7" t="inlineStr">
        <is>
          <t>Utility Jobs  (Boiler-Air compress-Transformer-LPG)</t>
        </is>
      </c>
      <c r="N184" s="248" t="inlineStr">
        <is>
          <t>Air Compressor No.1</t>
        </is>
      </c>
      <c r="O184" s="11" t="n">
        <v>7</v>
      </c>
      <c r="P184" s="247" t="inlineStr">
        <is>
          <t>Sparater</t>
        </is>
      </c>
      <c r="Q184" s="277" t="n">
        <v>1</v>
      </c>
      <c r="R184" s="5" t="inlineStr">
        <is>
          <t>JOB.</t>
        </is>
      </c>
      <c r="S184" s="284">
        <f>RawDataGenPO[[#This Row],[Total price]]/RawDataGenPO[[#This Row],[Qty'']]</f>
        <v/>
      </c>
      <c r="T184" s="285" t="n">
        <v>7200</v>
      </c>
      <c r="U184" s="161" t="inlineStr">
        <is>
          <t>Puneet Approval</t>
        </is>
      </c>
      <c r="V184" s="7" t="inlineStr">
        <is>
          <t>V1000477 - Wata Air Compressor Co., Ltd.</t>
        </is>
      </c>
      <c r="W184" s="5" t="inlineStr">
        <is>
          <t>Recive bill and GRN already</t>
        </is>
      </c>
      <c r="X184" s="5" t="n"/>
      <c r="Y184" s="3" t="n">
        <v>45537</v>
      </c>
      <c r="Z184" s="3" t="n"/>
      <c r="AA184" s="17">
        <f>IF(RawDataGenPO[[#This Row],[Date Gen PO]]="","",RawDataGenPO[[#This Row],[Date recive bill]]-RawDataGenPO[[#This Row],[Date Gen PO]])</f>
        <v/>
      </c>
      <c r="AB184" s="16">
        <f>IF(RawDataGenPO[[#This Row],[GRN-PO date]]&gt;RawDataGenPO[[#This Row],[Lead time delivery (day)]],"over deliverry","Ontime")</f>
        <v/>
      </c>
      <c r="AC184" s="22" t="n"/>
    </row>
    <row r="185" customFormat="1" s="125">
      <c r="A185" s="5">
        <f>ROW()-ROW(RawDataGenPO[[#Headers],[No.]])</f>
        <v/>
      </c>
      <c r="B185" s="7" t="inlineStr">
        <is>
          <t>Expent  cost</t>
        </is>
      </c>
      <c r="C185" s="301" t="n">
        <v>45514</v>
      </c>
      <c r="D185" s="276" t="n"/>
      <c r="E185" s="281" t="n"/>
      <c r="F185" s="301" t="n">
        <v>45514</v>
      </c>
      <c r="G185" s="235" t="inlineStr">
        <is>
          <t>PR2425-02594</t>
        </is>
      </c>
      <c r="H185" s="11" t="inlineStr">
        <is>
          <t>PO2425-02962</t>
        </is>
      </c>
      <c r="I185" s="290">
        <f>IF(RawDataGenPO[[#This Row],[PO No.]]="","",RawDataGenPO[[#This Row],[DMY Create PR]]+7)</f>
        <v/>
      </c>
      <c r="J185" s="290" t="n"/>
      <c r="K185" s="20" t="n">
        <v>20</v>
      </c>
      <c r="L185" s="5" t="inlineStr">
        <is>
          <t>SFST81000048</t>
        </is>
      </c>
      <c r="M185" s="7" t="inlineStr">
        <is>
          <t>Utility Jobs  (Boiler-Air compress-Transformer-LPG)</t>
        </is>
      </c>
      <c r="N185" s="248" t="inlineStr">
        <is>
          <t>Air Compressor No.1</t>
        </is>
      </c>
      <c r="O185" s="11" t="n">
        <v>8</v>
      </c>
      <c r="P185" s="247" t="inlineStr">
        <is>
          <t>Lubricant S 32 (20 L.)</t>
        </is>
      </c>
      <c r="Q185" s="277" t="n">
        <v>1</v>
      </c>
      <c r="R185" s="5" t="inlineStr">
        <is>
          <t>JOB.</t>
        </is>
      </c>
      <c r="S185" s="284">
        <f>RawDataGenPO[[#This Row],[Total price]]/RawDataGenPO[[#This Row],[Qty'']]</f>
        <v/>
      </c>
      <c r="T185" s="285" t="n">
        <v>4200</v>
      </c>
      <c r="U185" s="161" t="inlineStr">
        <is>
          <t>Puneet Approval</t>
        </is>
      </c>
      <c r="V185" s="7" t="inlineStr">
        <is>
          <t>V1000477 - Wata Air Compressor Co., Ltd.</t>
        </is>
      </c>
      <c r="W185" s="5" t="inlineStr">
        <is>
          <t>Recive bill and GRN already</t>
        </is>
      </c>
      <c r="X185" s="5" t="n"/>
      <c r="Y185" s="3" t="n">
        <v>45537</v>
      </c>
      <c r="Z185" s="3" t="n"/>
      <c r="AA185" s="17">
        <f>IF(RawDataGenPO[[#This Row],[Date Gen PO]]="","",RawDataGenPO[[#This Row],[Date recive bill]]-RawDataGenPO[[#This Row],[Date Gen PO]])</f>
        <v/>
      </c>
      <c r="AB185" s="16">
        <f>IF(RawDataGenPO[[#This Row],[GRN-PO date]]&gt;RawDataGenPO[[#This Row],[Lead time delivery (day)]],"over deliverry","Ontime")</f>
        <v/>
      </c>
      <c r="AC185" s="22" t="n"/>
    </row>
    <row r="186" customFormat="1" s="125">
      <c r="A186" s="5">
        <f>ROW()-ROW(RawDataGenPO[[#Headers],[No.]])</f>
        <v/>
      </c>
      <c r="B186" s="7" t="inlineStr">
        <is>
          <t>Expent  cost</t>
        </is>
      </c>
      <c r="C186" s="281" t="n">
        <v>45498</v>
      </c>
      <c r="D186" s="276" t="n"/>
      <c r="E186" s="281" t="n"/>
      <c r="F186" s="281" t="n">
        <v>45498</v>
      </c>
      <c r="G186" s="235" t="inlineStr">
        <is>
          <t>PR2425-02605</t>
        </is>
      </c>
      <c r="H186" s="5" t="inlineStr">
        <is>
          <t>PO2425-02963</t>
        </is>
      </c>
      <c r="I186" s="290">
        <f>IF(RawDataGenPO[[#This Row],[PO No.]]="","",RawDataGenPO[[#This Row],[DMY Create PR]]+7)</f>
        <v/>
      </c>
      <c r="J186" s="290" t="n"/>
      <c r="K186" s="20" t="n">
        <v>30</v>
      </c>
      <c r="L186" s="189" t="inlineStr">
        <is>
          <t>SFST34000130</t>
        </is>
      </c>
      <c r="M186" s="243" t="inlineStr">
        <is>
          <t>Consumable part for MN</t>
        </is>
      </c>
      <c r="N186" s="243" t="inlineStr">
        <is>
          <t>Consumable part</t>
        </is>
      </c>
      <c r="O186" s="11" t="n">
        <v>1</v>
      </c>
      <c r="P186" s="247" t="inlineStr">
        <is>
          <t>Set of stainless steel 304 hex bolt and nut M6x25</t>
        </is>
      </c>
      <c r="Q186" s="196" t="n">
        <v>20</v>
      </c>
      <c r="R186" s="5" t="inlineStr">
        <is>
          <t>pcs.</t>
        </is>
      </c>
      <c r="S186" s="284">
        <f>RawDataGenPO[[#This Row],[Total price]]/RawDataGenPO[[#This Row],[Qty'']]</f>
        <v/>
      </c>
      <c r="T186" s="304" t="n">
        <v>160</v>
      </c>
      <c r="U186" s="161" t="inlineStr">
        <is>
          <t>Puneet Approval</t>
        </is>
      </c>
      <c r="V186" s="7" t="inlineStr">
        <is>
          <t>V1000289 - Kitticharoen Supply Co., Ltd</t>
        </is>
      </c>
      <c r="W186" s="5" t="inlineStr">
        <is>
          <t>Recive bill and GRN already</t>
        </is>
      </c>
      <c r="X186" s="5" t="n"/>
      <c r="Y186" s="3" t="n">
        <v>45532</v>
      </c>
      <c r="Z186" s="3" t="n"/>
      <c r="AA186" s="17">
        <f>IF(RawDataGenPO[[#This Row],[Date Gen PO]]="","",RawDataGenPO[[#This Row],[Date recive bill]]-RawDataGenPO[[#This Row],[Date Gen PO]])</f>
        <v/>
      </c>
      <c r="AB186" s="16">
        <f>IF(RawDataGenPO[[#This Row],[GRN-PO date]]&gt;RawDataGenPO[[#This Row],[Lead time delivery (day)]],"over deliverry","Ontime")</f>
        <v/>
      </c>
      <c r="AC186" s="22" t="n"/>
    </row>
    <row r="187" customFormat="1" s="236">
      <c r="A187" s="5">
        <f>ROW()-ROW(RawDataGenPO[[#Headers],[No.]])</f>
        <v/>
      </c>
      <c r="B187" s="7" t="inlineStr">
        <is>
          <t>Expent  cost</t>
        </is>
      </c>
      <c r="C187" s="281" t="n">
        <v>45498</v>
      </c>
      <c r="D187" s="276" t="n"/>
      <c r="E187" s="281" t="n"/>
      <c r="F187" s="281" t="n">
        <v>45498</v>
      </c>
      <c r="G187" s="235" t="inlineStr">
        <is>
          <t>PR2425-02605</t>
        </is>
      </c>
      <c r="H187" s="5" t="inlineStr">
        <is>
          <t>PO2425-02963</t>
        </is>
      </c>
      <c r="I187" s="290">
        <f>IF(RawDataGenPO[[#This Row],[PO No.]]="","",RawDataGenPO[[#This Row],[DMY Create PR]]+7)</f>
        <v/>
      </c>
      <c r="J187" s="290" t="n"/>
      <c r="K187" s="20" t="n">
        <v>30</v>
      </c>
      <c r="L187" s="189" t="inlineStr">
        <is>
          <t>SFST34000131</t>
        </is>
      </c>
      <c r="M187" s="243" t="inlineStr">
        <is>
          <t>Consumable part for MN</t>
        </is>
      </c>
      <c r="N187" s="243" t="inlineStr">
        <is>
          <t>Consumable part</t>
        </is>
      </c>
      <c r="O187" s="11" t="n">
        <v>2</v>
      </c>
      <c r="P187" s="10" t="inlineStr">
        <is>
          <t>Set of stainless steel 304 hex bolt and nut M6x35</t>
        </is>
      </c>
      <c r="Q187" s="202" t="n">
        <v>20</v>
      </c>
      <c r="R187" s="246" t="inlineStr">
        <is>
          <t>pcs.</t>
        </is>
      </c>
      <c r="S187" s="284">
        <f>RawDataGenPO[[#This Row],[Total price]]/RawDataGenPO[[#This Row],[Qty'']]</f>
        <v/>
      </c>
      <c r="T187" s="305" t="n">
        <v>180</v>
      </c>
      <c r="U187" s="161" t="inlineStr">
        <is>
          <t>Puneet Approval</t>
        </is>
      </c>
      <c r="V187" s="7" t="inlineStr">
        <is>
          <t>V1000289 - Kitticharoen Supply Co., Ltd</t>
        </is>
      </c>
      <c r="W187" s="5" t="inlineStr">
        <is>
          <t>Recive bill and GRN already</t>
        </is>
      </c>
      <c r="X187" s="5" t="n"/>
      <c r="Y187" s="3" t="n">
        <v>45532</v>
      </c>
      <c r="Z187" s="3" t="n"/>
      <c r="AA187" s="17">
        <f>IF(RawDataGenPO[[#This Row],[Date Gen PO]]="","",RawDataGenPO[[#This Row],[Date recive bill]]-RawDataGenPO[[#This Row],[Date Gen PO]])</f>
        <v/>
      </c>
      <c r="AB187" s="16">
        <f>IF(RawDataGenPO[[#This Row],[GRN-PO date]]&gt;RawDataGenPO[[#This Row],[Lead time delivery (day)]],"over deliverry","Ontime")</f>
        <v/>
      </c>
      <c r="AC187" s="22" t="n"/>
    </row>
    <row r="188" customFormat="1" s="236">
      <c r="A188" s="5">
        <f>ROW()-ROW(RawDataGenPO[[#Headers],[No.]])</f>
        <v/>
      </c>
      <c r="B188" s="7" t="inlineStr">
        <is>
          <t>Expent  cost</t>
        </is>
      </c>
      <c r="C188" s="281" t="n">
        <v>45498</v>
      </c>
      <c r="D188" s="276" t="n"/>
      <c r="E188" s="281" t="n"/>
      <c r="F188" s="281" t="n">
        <v>45498</v>
      </c>
      <c r="G188" s="235" t="inlineStr">
        <is>
          <t>PR2425-02605</t>
        </is>
      </c>
      <c r="H188" s="5" t="inlineStr">
        <is>
          <t>PO2425-02963</t>
        </is>
      </c>
      <c r="I188" s="290">
        <f>IF(RawDataGenPO[[#This Row],[PO No.]]="","",RawDataGenPO[[#This Row],[DMY Create PR]]+7)</f>
        <v/>
      </c>
      <c r="J188" s="290" t="n"/>
      <c r="K188" s="20" t="n">
        <v>30</v>
      </c>
      <c r="L188" s="189" t="inlineStr">
        <is>
          <t>SFST34000132</t>
        </is>
      </c>
      <c r="M188" s="243" t="inlineStr">
        <is>
          <t>Consumable part for MN</t>
        </is>
      </c>
      <c r="N188" s="243" t="inlineStr">
        <is>
          <t>Consumable part</t>
        </is>
      </c>
      <c r="O188" s="11" t="n">
        <v>3</v>
      </c>
      <c r="P188" s="10" t="inlineStr">
        <is>
          <t>Set of stainless steel 304 hex bolt and nut M8x25</t>
        </is>
      </c>
      <c r="Q188" s="202" t="n">
        <v>20</v>
      </c>
      <c r="R188" s="5" t="inlineStr">
        <is>
          <t>pcs.</t>
        </is>
      </c>
      <c r="S188" s="284">
        <f>RawDataGenPO[[#This Row],[Total price]]/RawDataGenPO[[#This Row],[Qty'']]</f>
        <v/>
      </c>
      <c r="T188" s="304" t="n">
        <v>220</v>
      </c>
      <c r="U188" s="161" t="inlineStr">
        <is>
          <t>Puneet Approval</t>
        </is>
      </c>
      <c r="V188" s="7" t="inlineStr">
        <is>
          <t>V1000289 - Kitticharoen Supply Co., Ltd</t>
        </is>
      </c>
      <c r="W188" s="5" t="inlineStr">
        <is>
          <t>Recive bill and GRN already</t>
        </is>
      </c>
      <c r="X188" s="5" t="n"/>
      <c r="Y188" s="3" t="n">
        <v>45532</v>
      </c>
      <c r="Z188" s="3" t="n"/>
      <c r="AA188" s="17">
        <f>IF(RawDataGenPO[[#This Row],[Date Gen PO]]="","",RawDataGenPO[[#This Row],[Date recive bill]]-RawDataGenPO[[#This Row],[Date Gen PO]])</f>
        <v/>
      </c>
      <c r="AB188" s="16">
        <f>IF(RawDataGenPO[[#This Row],[GRN-PO date]]&gt;RawDataGenPO[[#This Row],[Lead time delivery (day)]],"over deliverry","Ontime")</f>
        <v/>
      </c>
      <c r="AC188" s="22" t="n"/>
    </row>
    <row r="189" customFormat="1" s="125">
      <c r="A189" s="5">
        <f>ROW()-ROW(RawDataGenPO[[#Headers],[No.]])</f>
        <v/>
      </c>
      <c r="B189" s="7" t="inlineStr">
        <is>
          <t>Expent  cost</t>
        </is>
      </c>
      <c r="C189" s="281" t="n">
        <v>45498</v>
      </c>
      <c r="D189" s="276" t="n"/>
      <c r="E189" s="281" t="n"/>
      <c r="F189" s="281" t="n">
        <v>45498</v>
      </c>
      <c r="G189" s="235" t="inlineStr">
        <is>
          <t>PR2425-02605</t>
        </is>
      </c>
      <c r="H189" s="5" t="inlineStr">
        <is>
          <t>PO2425-02963</t>
        </is>
      </c>
      <c r="I189" s="290">
        <f>IF(RawDataGenPO[[#This Row],[PO No.]]="","",RawDataGenPO[[#This Row],[DMY Create PR]]+7)</f>
        <v/>
      </c>
      <c r="J189" s="290" t="n"/>
      <c r="K189" s="20" t="n">
        <v>30</v>
      </c>
      <c r="L189" s="189" t="inlineStr">
        <is>
          <t>SFST34000133</t>
        </is>
      </c>
      <c r="M189" s="243" t="inlineStr">
        <is>
          <t>Consumable part for MN</t>
        </is>
      </c>
      <c r="N189" s="243" t="inlineStr">
        <is>
          <t>Consumable part</t>
        </is>
      </c>
      <c r="O189" s="11" t="n">
        <v>4</v>
      </c>
      <c r="P189" s="10" t="inlineStr">
        <is>
          <t>Set of stainless steel 304 hex bolt and nut M8x35</t>
        </is>
      </c>
      <c r="Q189" s="202" t="n">
        <v>20</v>
      </c>
      <c r="R189" s="5" t="inlineStr">
        <is>
          <t>pcs.</t>
        </is>
      </c>
      <c r="S189" s="284">
        <f>RawDataGenPO[[#This Row],[Total price]]/RawDataGenPO[[#This Row],[Qty'']]</f>
        <v/>
      </c>
      <c r="T189" s="304" t="n">
        <v>240</v>
      </c>
      <c r="U189" s="161" t="inlineStr">
        <is>
          <t>Puneet Approval</t>
        </is>
      </c>
      <c r="V189" s="7" t="inlineStr">
        <is>
          <t>V1000289 - Kitticharoen Supply Co., Ltd</t>
        </is>
      </c>
      <c r="W189" s="5" t="inlineStr">
        <is>
          <t>Recive bill and GRN already</t>
        </is>
      </c>
      <c r="X189" s="5" t="n"/>
      <c r="Y189" s="3" t="n">
        <v>45532</v>
      </c>
      <c r="Z189" s="3" t="n"/>
      <c r="AA189" s="17">
        <f>IF(RawDataGenPO[[#This Row],[Date Gen PO]]="","",RawDataGenPO[[#This Row],[Date recive bill]]-RawDataGenPO[[#This Row],[Date Gen PO]])</f>
        <v/>
      </c>
      <c r="AB189" s="16">
        <f>IF(RawDataGenPO[[#This Row],[GRN-PO date]]&gt;RawDataGenPO[[#This Row],[Lead time delivery (day)]],"over deliverry","Ontime")</f>
        <v/>
      </c>
      <c r="AC189" s="22" t="n"/>
    </row>
    <row r="190" customFormat="1" s="236">
      <c r="A190" s="5">
        <f>ROW()-ROW(RawDataGenPO[[#Headers],[No.]])</f>
        <v/>
      </c>
      <c r="B190" s="7" t="inlineStr">
        <is>
          <t>Expent  cost</t>
        </is>
      </c>
      <c r="C190" s="281" t="n">
        <v>45498</v>
      </c>
      <c r="D190" s="276" t="n"/>
      <c r="E190" s="281" t="n"/>
      <c r="F190" s="281" t="n">
        <v>45498</v>
      </c>
      <c r="G190" s="235" t="inlineStr">
        <is>
          <t>PR2425-02605</t>
        </is>
      </c>
      <c r="H190" s="5" t="inlineStr">
        <is>
          <t>PO2425-02963</t>
        </is>
      </c>
      <c r="I190" s="290">
        <f>IF(RawDataGenPO[[#This Row],[PO No.]]="","",RawDataGenPO[[#This Row],[DMY Create PR]]+7)</f>
        <v/>
      </c>
      <c r="J190" s="290" t="n"/>
      <c r="K190" s="20" t="n">
        <v>30</v>
      </c>
      <c r="L190" s="189" t="inlineStr">
        <is>
          <t>SFST34000134</t>
        </is>
      </c>
      <c r="M190" s="243" t="inlineStr">
        <is>
          <t>Consumable part for MN</t>
        </is>
      </c>
      <c r="N190" s="243" t="inlineStr">
        <is>
          <t>Consumable part</t>
        </is>
      </c>
      <c r="O190" s="11" t="n">
        <v>5</v>
      </c>
      <c r="P190" s="10" t="inlineStr">
        <is>
          <t>High-strength black hex bolt M16x80 fully threaded</t>
        </is>
      </c>
      <c r="Q190" s="202" t="n">
        <v>15</v>
      </c>
      <c r="R190" s="5" t="inlineStr">
        <is>
          <t>pcs.</t>
        </is>
      </c>
      <c r="S190" s="284">
        <f>RawDataGenPO[[#This Row],[Total price]]/RawDataGenPO[[#This Row],[Qty'']]</f>
        <v/>
      </c>
      <c r="T190" s="304" t="n">
        <v>450</v>
      </c>
      <c r="U190" s="161" t="inlineStr">
        <is>
          <t>Puneet Approval</t>
        </is>
      </c>
      <c r="V190" s="7" t="inlineStr">
        <is>
          <t>V1000289 - Kitticharoen Supply Co., Ltd</t>
        </is>
      </c>
      <c r="W190" s="5" t="inlineStr">
        <is>
          <t>Recive bill and GRN already</t>
        </is>
      </c>
      <c r="X190" s="5" t="n"/>
      <c r="Y190" s="3" t="n">
        <v>45532</v>
      </c>
      <c r="Z190" s="3" t="n"/>
      <c r="AA190" s="17">
        <f>IF(RawDataGenPO[[#This Row],[Date Gen PO]]="","",RawDataGenPO[[#This Row],[Date recive bill]]-RawDataGenPO[[#This Row],[Date Gen PO]])</f>
        <v/>
      </c>
      <c r="AB190" s="16">
        <f>IF(RawDataGenPO[[#This Row],[GRN-PO date]]&gt;RawDataGenPO[[#This Row],[Lead time delivery (day)]],"over deliverry","Ontime")</f>
        <v/>
      </c>
      <c r="AC190" s="22" t="n"/>
    </row>
    <row r="191" customFormat="1" s="125">
      <c r="A191" s="5">
        <f>ROW()-ROW(RawDataGenPO[[#Headers],[No.]])</f>
        <v/>
      </c>
      <c r="B191" s="7" t="inlineStr">
        <is>
          <t>Expent  cost</t>
        </is>
      </c>
      <c r="C191" s="281" t="n">
        <v>45498</v>
      </c>
      <c r="D191" s="276" t="n"/>
      <c r="E191" s="281" t="n"/>
      <c r="F191" s="281" t="n">
        <v>45498</v>
      </c>
      <c r="G191" s="235" t="inlineStr">
        <is>
          <t>PR2425-02605</t>
        </is>
      </c>
      <c r="H191" s="5" t="inlineStr">
        <is>
          <t>PO2425-02963</t>
        </is>
      </c>
      <c r="I191" s="290">
        <f>IF(RawDataGenPO[[#This Row],[PO No.]]="","",RawDataGenPO[[#This Row],[DMY Create PR]]+7)</f>
        <v/>
      </c>
      <c r="J191" s="290" t="n"/>
      <c r="K191" s="20" t="n">
        <v>30</v>
      </c>
      <c r="L191" s="189" t="inlineStr">
        <is>
          <t>SFST34000135</t>
        </is>
      </c>
      <c r="M191" s="243" t="inlineStr">
        <is>
          <t>Consumable part for MN</t>
        </is>
      </c>
      <c r="N191" s="243" t="inlineStr">
        <is>
          <t>Consumable part</t>
        </is>
      </c>
      <c r="O191" s="11" t="n">
        <v>6</v>
      </c>
      <c r="P191" s="10" t="inlineStr">
        <is>
          <t>ECLIPSE steel cutting saw blade 14 teeth (1x14 inch)</t>
        </is>
      </c>
      <c r="Q191" s="202" t="n">
        <v>10</v>
      </c>
      <c r="R191" s="5" t="inlineStr">
        <is>
          <t>pcs.</t>
        </is>
      </c>
      <c r="S191" s="284">
        <f>RawDataGenPO[[#This Row],[Total price]]/RawDataGenPO[[#This Row],[Qty'']]</f>
        <v/>
      </c>
      <c r="T191" s="304" t="n">
        <v>2000</v>
      </c>
      <c r="U191" s="161" t="inlineStr">
        <is>
          <t>Puneet Approval</t>
        </is>
      </c>
      <c r="V191" s="7" t="inlineStr">
        <is>
          <t>V1000289 - Kitticharoen Supply Co., Ltd</t>
        </is>
      </c>
      <c r="W191" s="5" t="inlineStr">
        <is>
          <t>Recive bill and GRN already</t>
        </is>
      </c>
      <c r="X191" s="5" t="n"/>
      <c r="Y191" s="3" t="n">
        <v>45532</v>
      </c>
      <c r="Z191" s="3" t="n"/>
      <c r="AA191" s="17">
        <f>IF(RawDataGenPO[[#This Row],[Date Gen PO]]="","",RawDataGenPO[[#This Row],[Date recive bill]]-RawDataGenPO[[#This Row],[Date Gen PO]])</f>
        <v/>
      </c>
      <c r="AB191" s="16">
        <f>IF(RawDataGenPO[[#This Row],[GRN-PO date]]&gt;RawDataGenPO[[#This Row],[Lead time delivery (day)]],"over deliverry","Ontime")</f>
        <v/>
      </c>
      <c r="AC191" s="22" t="n"/>
    </row>
    <row r="192" ht="15" customFormat="1" customHeight="1" s="125">
      <c r="A192" s="5">
        <f>ROW()-ROW(RawDataGenPO[[#Headers],[No.]])</f>
        <v/>
      </c>
      <c r="B192" s="7" t="inlineStr">
        <is>
          <t>Expent  cost</t>
        </is>
      </c>
      <c r="C192" s="301" t="n">
        <v>45514</v>
      </c>
      <c r="D192" s="276" t="n"/>
      <c r="E192" s="281" t="n"/>
      <c r="F192" s="301" t="n">
        <v>45514</v>
      </c>
      <c r="G192" s="5" t="inlineStr">
        <is>
          <t>PR2425-02605</t>
        </is>
      </c>
      <c r="H192" s="5" t="inlineStr">
        <is>
          <t>PO2425-02963</t>
        </is>
      </c>
      <c r="I192" s="290">
        <f>IF(RawDataGenPO[[#This Row],[PO No.]]="","",RawDataGenPO[[#This Row],[DMY Create PR]]+7)</f>
        <v/>
      </c>
      <c r="J192" s="290" t="n"/>
      <c r="K192" s="20" t="n">
        <v>20</v>
      </c>
      <c r="L192" s="196" t="inlineStr">
        <is>
          <t>SFST34000130</t>
        </is>
      </c>
      <c r="M192" s="243" t="inlineStr">
        <is>
          <t>Consumable part for MN</t>
        </is>
      </c>
      <c r="N192" s="243" t="inlineStr">
        <is>
          <t>Consumable part</t>
        </is>
      </c>
      <c r="O192" s="11" t="n">
        <v>7</v>
      </c>
      <c r="P192" s="201" t="inlineStr">
        <is>
          <t>Set of stainless steel 304 hex bolt and nut M6x25</t>
        </is>
      </c>
      <c r="Q192" s="202" t="n">
        <v>20</v>
      </c>
      <c r="R192" s="5" t="inlineStr">
        <is>
          <t>PCS.</t>
        </is>
      </c>
      <c r="S192" s="284">
        <f>RawDataGenPO[[#This Row],[Total price]]/RawDataGenPO[[#This Row],[Qty'']]</f>
        <v/>
      </c>
      <c r="T192" s="242" t="n">
        <v>160</v>
      </c>
      <c r="U192" s="161" t="inlineStr">
        <is>
          <t>Puneet Approval</t>
        </is>
      </c>
      <c r="V192" s="7" t="inlineStr">
        <is>
          <t>V1000289 - Kitticharoen Supply Co., Ltd</t>
        </is>
      </c>
      <c r="W192" s="5" t="inlineStr">
        <is>
          <t>Recive bill and GRN already</t>
        </is>
      </c>
      <c r="X192" s="5" t="n"/>
      <c r="Y192" s="3" t="n">
        <v>45532</v>
      </c>
      <c r="Z192" s="3" t="n"/>
      <c r="AA192" s="17">
        <f>IF(RawDataGenPO[[#This Row],[Date Gen PO]]="","",RawDataGenPO[[#This Row],[Date recive bill]]-RawDataGenPO[[#This Row],[Date Gen PO]])</f>
        <v/>
      </c>
      <c r="AB192" s="16">
        <f>IF(RawDataGenPO[[#This Row],[GRN-PO date]]&gt;RawDataGenPO[[#This Row],[Lead time delivery (day)]],"over deliverry","Ontime")</f>
        <v/>
      </c>
      <c r="AC192" s="22" t="n"/>
    </row>
    <row r="193" ht="15" customFormat="1" customHeight="1" s="125">
      <c r="A193" s="5">
        <f>ROW()-ROW(RawDataGenPO[[#Headers],[No.]])</f>
        <v/>
      </c>
      <c r="B193" s="7" t="inlineStr">
        <is>
          <t>Expent  cost</t>
        </is>
      </c>
      <c r="C193" s="301" t="n">
        <v>45514</v>
      </c>
      <c r="D193" s="276" t="n"/>
      <c r="E193" s="281" t="n"/>
      <c r="F193" s="301" t="n">
        <v>45514</v>
      </c>
      <c r="G193" s="5" t="inlineStr">
        <is>
          <t>PR2425-02605</t>
        </is>
      </c>
      <c r="H193" s="5" t="inlineStr">
        <is>
          <t>PO2425-02963</t>
        </is>
      </c>
      <c r="I193" s="290">
        <f>IF(RawDataGenPO[[#This Row],[PO No.]]="","",RawDataGenPO[[#This Row],[DMY Create PR]]+7)</f>
        <v/>
      </c>
      <c r="J193" s="290" t="n"/>
      <c r="K193" s="20" t="n">
        <v>20</v>
      </c>
      <c r="L193" s="196" t="inlineStr">
        <is>
          <t>SFST34000131</t>
        </is>
      </c>
      <c r="M193" s="243" t="inlineStr">
        <is>
          <t>Consumable part for MN</t>
        </is>
      </c>
      <c r="N193" s="243" t="inlineStr">
        <is>
          <t>Consumable part</t>
        </is>
      </c>
      <c r="O193" s="11" t="n">
        <v>8</v>
      </c>
      <c r="P193" s="201" t="inlineStr">
        <is>
          <t>Set of stainless steel 304 hex bolt and nut M6x35</t>
        </is>
      </c>
      <c r="Q193" s="202" t="n">
        <v>20</v>
      </c>
      <c r="R193" s="5" t="inlineStr">
        <is>
          <t>PCS.</t>
        </is>
      </c>
      <c r="S193" s="284">
        <f>RawDataGenPO[[#This Row],[Total price]]/RawDataGenPO[[#This Row],[Qty'']]</f>
        <v/>
      </c>
      <c r="T193" s="242" t="n">
        <v>180</v>
      </c>
      <c r="U193" s="161" t="inlineStr">
        <is>
          <t>Puneet Approval</t>
        </is>
      </c>
      <c r="V193" s="7" t="inlineStr">
        <is>
          <t>V1000289 - Kitticharoen Supply Co., Ltd</t>
        </is>
      </c>
      <c r="W193" s="5" t="inlineStr">
        <is>
          <t>Recive bill and GRN already</t>
        </is>
      </c>
      <c r="X193" s="5" t="n"/>
      <c r="Y193" s="3" t="n">
        <v>45532</v>
      </c>
      <c r="Z193" s="3" t="n"/>
      <c r="AA193" s="17">
        <f>IF(RawDataGenPO[[#This Row],[Date Gen PO]]="","",RawDataGenPO[[#This Row],[Date recive bill]]-RawDataGenPO[[#This Row],[Date Gen PO]])</f>
        <v/>
      </c>
      <c r="AB193" s="16">
        <f>IF(RawDataGenPO[[#This Row],[GRN-PO date]]&gt;RawDataGenPO[[#This Row],[Lead time delivery (day)]],"over deliverry","Ontime")</f>
        <v/>
      </c>
      <c r="AC193" s="22" t="n"/>
    </row>
    <row r="194" ht="15" customFormat="1" customHeight="1" s="125">
      <c r="A194" s="5">
        <f>ROW()-ROW(RawDataGenPO[[#Headers],[No.]])</f>
        <v/>
      </c>
      <c r="B194" s="7" t="inlineStr">
        <is>
          <t>Expent  cost</t>
        </is>
      </c>
      <c r="C194" s="301" t="n">
        <v>45514</v>
      </c>
      <c r="D194" s="276" t="n"/>
      <c r="E194" s="281" t="n"/>
      <c r="F194" s="301" t="n">
        <v>45514</v>
      </c>
      <c r="G194" s="5" t="inlineStr">
        <is>
          <t>PR2425-02605</t>
        </is>
      </c>
      <c r="H194" s="5" t="inlineStr">
        <is>
          <t>PO2425-02963</t>
        </is>
      </c>
      <c r="I194" s="290">
        <f>IF(RawDataGenPO[[#This Row],[PO No.]]="","",RawDataGenPO[[#This Row],[DMY Create PR]]+7)</f>
        <v/>
      </c>
      <c r="J194" s="290" t="n"/>
      <c r="K194" s="20" t="n">
        <v>20</v>
      </c>
      <c r="L194" s="196" t="inlineStr">
        <is>
          <t>SFST34000132</t>
        </is>
      </c>
      <c r="M194" s="243" t="inlineStr">
        <is>
          <t>Consumable part for MN</t>
        </is>
      </c>
      <c r="N194" s="243" t="inlineStr">
        <is>
          <t>Consumable part</t>
        </is>
      </c>
      <c r="O194" s="11" t="n">
        <v>9</v>
      </c>
      <c r="P194" s="201" t="inlineStr">
        <is>
          <t>Set of stainless steel 304 hex bolt and nut M8x25</t>
        </is>
      </c>
      <c r="Q194" s="202" t="n">
        <v>20</v>
      </c>
      <c r="R194" s="5" t="inlineStr">
        <is>
          <t>PCS.</t>
        </is>
      </c>
      <c r="S194" s="284">
        <f>RawDataGenPO[[#This Row],[Total price]]/RawDataGenPO[[#This Row],[Qty'']]</f>
        <v/>
      </c>
      <c r="T194" s="242" t="n">
        <v>220</v>
      </c>
      <c r="U194" s="161" t="inlineStr">
        <is>
          <t>Puneet Approval</t>
        </is>
      </c>
      <c r="V194" s="7" t="inlineStr">
        <is>
          <t>V1000289 - Kitticharoen Supply Co., Ltd</t>
        </is>
      </c>
      <c r="W194" s="5" t="inlineStr">
        <is>
          <t>Recive bill and GRN already</t>
        </is>
      </c>
      <c r="X194" s="5" t="n"/>
      <c r="Y194" s="3" t="n">
        <v>45532</v>
      </c>
      <c r="Z194" s="3" t="n"/>
      <c r="AA194" s="17">
        <f>IF(RawDataGenPO[[#This Row],[Date Gen PO]]="","",RawDataGenPO[[#This Row],[Date recive bill]]-RawDataGenPO[[#This Row],[Date Gen PO]])</f>
        <v/>
      </c>
      <c r="AB194" s="16">
        <f>IF(RawDataGenPO[[#This Row],[GRN-PO date]]&gt;RawDataGenPO[[#This Row],[Lead time delivery (day)]],"over deliverry","Ontime")</f>
        <v/>
      </c>
      <c r="AC194" s="22" t="n"/>
    </row>
    <row r="195" ht="15" customFormat="1" customHeight="1" s="125">
      <c r="A195" s="5">
        <f>ROW()-ROW(RawDataGenPO[[#Headers],[No.]])</f>
        <v/>
      </c>
      <c r="B195" s="7" t="inlineStr">
        <is>
          <t>Expent  cost</t>
        </is>
      </c>
      <c r="C195" s="301" t="n">
        <v>45514</v>
      </c>
      <c r="D195" s="276" t="n"/>
      <c r="E195" s="281" t="n"/>
      <c r="F195" s="301" t="n">
        <v>45514</v>
      </c>
      <c r="G195" s="5" t="inlineStr">
        <is>
          <t>PR2425-02605</t>
        </is>
      </c>
      <c r="H195" s="5" t="inlineStr">
        <is>
          <t>PO2425-02963</t>
        </is>
      </c>
      <c r="I195" s="290">
        <f>IF(RawDataGenPO[[#This Row],[PO No.]]="","",RawDataGenPO[[#This Row],[DMY Create PR]]+7)</f>
        <v/>
      </c>
      <c r="J195" s="290" t="n"/>
      <c r="K195" s="20" t="n">
        <v>20</v>
      </c>
      <c r="L195" s="196" t="inlineStr">
        <is>
          <t>SFST34000133</t>
        </is>
      </c>
      <c r="M195" s="243" t="inlineStr">
        <is>
          <t>Consumable part for MN</t>
        </is>
      </c>
      <c r="N195" s="243" t="inlineStr">
        <is>
          <t>Consumable part</t>
        </is>
      </c>
      <c r="O195" s="11" t="n">
        <v>10</v>
      </c>
      <c r="P195" s="244" t="inlineStr">
        <is>
          <t>Set of stainless steel 304 hex bolt and nut M8x35</t>
        </is>
      </c>
      <c r="Q195" s="202" t="n">
        <v>20</v>
      </c>
      <c r="R195" s="5" t="inlineStr">
        <is>
          <t>PCS.</t>
        </is>
      </c>
      <c r="S195" s="284">
        <f>RawDataGenPO[[#This Row],[Total price]]/RawDataGenPO[[#This Row],[Qty'']]</f>
        <v/>
      </c>
      <c r="T195" s="242" t="n">
        <v>240</v>
      </c>
      <c r="U195" s="161" t="inlineStr">
        <is>
          <t>Puneet Approval</t>
        </is>
      </c>
      <c r="V195" s="7" t="inlineStr">
        <is>
          <t>V1000289 - Kitticharoen Supply Co., Ltd</t>
        </is>
      </c>
      <c r="W195" s="5" t="inlineStr">
        <is>
          <t>Recive bill and GRN already</t>
        </is>
      </c>
      <c r="X195" s="5" t="n"/>
      <c r="Y195" s="3" t="n">
        <v>45532</v>
      </c>
      <c r="Z195" s="3" t="n"/>
      <c r="AA195" s="17">
        <f>IF(RawDataGenPO[[#This Row],[Date Gen PO]]="","",RawDataGenPO[[#This Row],[Date recive bill]]-RawDataGenPO[[#This Row],[Date Gen PO]])</f>
        <v/>
      </c>
      <c r="AB195" s="16">
        <f>IF(RawDataGenPO[[#This Row],[GRN-PO date]]&gt;RawDataGenPO[[#This Row],[Lead time delivery (day)]],"over deliverry","Ontime")</f>
        <v/>
      </c>
      <c r="AC195" s="22" t="n"/>
    </row>
    <row r="196" ht="15" customFormat="1" customHeight="1" s="125">
      <c r="A196" s="5">
        <f>ROW()-ROW(RawDataGenPO[[#Headers],[No.]])</f>
        <v/>
      </c>
      <c r="B196" s="7" t="inlineStr">
        <is>
          <t>Expent  cost</t>
        </is>
      </c>
      <c r="C196" s="301" t="n">
        <v>45514</v>
      </c>
      <c r="D196" s="276" t="n"/>
      <c r="E196" s="281" t="n"/>
      <c r="F196" s="301" t="n">
        <v>45514</v>
      </c>
      <c r="G196" s="5" t="inlineStr">
        <is>
          <t>PR2425-02605</t>
        </is>
      </c>
      <c r="H196" s="5" t="inlineStr">
        <is>
          <t>PO2425-02963</t>
        </is>
      </c>
      <c r="I196" s="290">
        <f>IF(RawDataGenPO[[#This Row],[PO No.]]="","",RawDataGenPO[[#This Row],[DMY Create PR]]+7)</f>
        <v/>
      </c>
      <c r="J196" s="290" t="n"/>
      <c r="K196" s="20" t="n">
        <v>20</v>
      </c>
      <c r="L196" s="196" t="inlineStr">
        <is>
          <t>SFST34000134</t>
        </is>
      </c>
      <c r="M196" s="243" t="inlineStr">
        <is>
          <t>Consumable part for MN</t>
        </is>
      </c>
      <c r="N196" s="243" t="inlineStr">
        <is>
          <t>Consumable part</t>
        </is>
      </c>
      <c r="O196" s="11" t="n">
        <v>11</v>
      </c>
      <c r="P196" s="201" t="inlineStr">
        <is>
          <t>High-strength black hex bolt M16x80 fully threaded</t>
        </is>
      </c>
      <c r="Q196" s="196" t="n">
        <v>15</v>
      </c>
      <c r="R196" s="5" t="inlineStr">
        <is>
          <t>PCS.</t>
        </is>
      </c>
      <c r="S196" s="284">
        <f>RawDataGenPO[[#This Row],[Total price]]/RawDataGenPO[[#This Row],[Qty'']]</f>
        <v/>
      </c>
      <c r="T196" s="242" t="n">
        <v>450</v>
      </c>
      <c r="U196" s="161" t="inlineStr">
        <is>
          <t>Puneet Approval</t>
        </is>
      </c>
      <c r="V196" s="7" t="inlineStr">
        <is>
          <t>V1000289 - Kitticharoen Supply Co., Ltd</t>
        </is>
      </c>
      <c r="W196" s="5" t="inlineStr">
        <is>
          <t>Recive bill and GRN already</t>
        </is>
      </c>
      <c r="X196" s="5" t="n"/>
      <c r="Y196" s="3" t="n">
        <v>45532</v>
      </c>
      <c r="Z196" s="3" t="n"/>
      <c r="AA196" s="17">
        <f>IF(RawDataGenPO[[#This Row],[Date Gen PO]]="","",RawDataGenPO[[#This Row],[Date recive bill]]-RawDataGenPO[[#This Row],[Date Gen PO]])</f>
        <v/>
      </c>
      <c r="AB196" s="16">
        <f>IF(RawDataGenPO[[#This Row],[GRN-PO date]]&gt;RawDataGenPO[[#This Row],[Lead time delivery (day)]],"over deliverry","Ontime")</f>
        <v/>
      </c>
      <c r="AC196" s="22" t="n"/>
    </row>
    <row r="197" ht="15" customFormat="1" customHeight="1" s="125">
      <c r="A197" s="5">
        <f>ROW()-ROW(RawDataGenPO[[#Headers],[No.]])</f>
        <v/>
      </c>
      <c r="B197" s="7" t="inlineStr">
        <is>
          <t>Expent  cost</t>
        </is>
      </c>
      <c r="C197" s="301" t="n">
        <v>45514</v>
      </c>
      <c r="D197" s="276" t="n"/>
      <c r="E197" s="281" t="n"/>
      <c r="F197" s="301" t="n">
        <v>45514</v>
      </c>
      <c r="G197" s="181" t="inlineStr">
        <is>
          <t>PR2425-02605</t>
        </is>
      </c>
      <c r="H197" s="5" t="inlineStr">
        <is>
          <t>PO2425-02963</t>
        </is>
      </c>
      <c r="I197" s="290">
        <f>IF(RawDataGenPO[[#This Row],[PO No.]]="","",RawDataGenPO[[#This Row],[DMY Create PR]]+7)</f>
        <v/>
      </c>
      <c r="J197" s="290" t="n"/>
      <c r="K197" s="20" t="n">
        <v>20</v>
      </c>
      <c r="L197" s="196" t="inlineStr">
        <is>
          <t>SFST34000135</t>
        </is>
      </c>
      <c r="M197" s="243" t="inlineStr">
        <is>
          <t>Consumable part for MN</t>
        </is>
      </c>
      <c r="N197" s="243" t="inlineStr">
        <is>
          <t>Consumable part</t>
        </is>
      </c>
      <c r="O197" s="11" t="n">
        <v>12</v>
      </c>
      <c r="P197" s="201" t="inlineStr">
        <is>
          <t>ECLIPSE steel cutting saw blade 14 teeth (1x14 inch)</t>
        </is>
      </c>
      <c r="Q197" s="196" t="n">
        <v>10</v>
      </c>
      <c r="R197" s="5" t="inlineStr">
        <is>
          <t>PCS.</t>
        </is>
      </c>
      <c r="S197" s="284">
        <f>RawDataGenPO[[#This Row],[Total price]]/RawDataGenPO[[#This Row],[Qty'']]</f>
        <v/>
      </c>
      <c r="T197" s="242" t="n">
        <v>2000</v>
      </c>
      <c r="U197" s="161" t="inlineStr">
        <is>
          <t>Puneet Approval</t>
        </is>
      </c>
      <c r="V197" s="7" t="inlineStr">
        <is>
          <t>V1000289 - Kitticharoen Supply Co., Ltd</t>
        </is>
      </c>
      <c r="W197" s="5" t="inlineStr">
        <is>
          <t>Recive bill and GRN already</t>
        </is>
      </c>
      <c r="X197" s="5" t="n"/>
      <c r="Y197" s="3" t="n">
        <v>45532</v>
      </c>
      <c r="Z197" s="3" t="n"/>
      <c r="AA197" s="17">
        <f>IF(RawDataGenPO[[#This Row],[Date Gen PO]]="","",RawDataGenPO[[#This Row],[Date recive bill]]-RawDataGenPO[[#This Row],[Date Gen PO]])</f>
        <v/>
      </c>
      <c r="AB197" s="16">
        <f>IF(RawDataGenPO[[#This Row],[GRN-PO date]]&gt;RawDataGenPO[[#This Row],[Lead time delivery (day)]],"over deliverry","Ontime")</f>
        <v/>
      </c>
      <c r="AC197" s="22" t="n"/>
    </row>
    <row r="198" ht="30" customFormat="1" customHeight="1" s="125">
      <c r="A198" s="5">
        <f>ROW()-ROW(RawDataGenPO[[#Headers],[No.]])</f>
        <v/>
      </c>
      <c r="B198" s="7" t="inlineStr">
        <is>
          <t>Expent  cost</t>
        </is>
      </c>
      <c r="C198" s="301" t="n">
        <v>45514</v>
      </c>
      <c r="D198" s="276" t="n"/>
      <c r="E198" s="281" t="n"/>
      <c r="F198" s="301" t="n">
        <v>45514</v>
      </c>
      <c r="G198" s="239" t="inlineStr">
        <is>
          <t>PR2425-02591</t>
        </is>
      </c>
      <c r="H198" s="11" t="inlineStr">
        <is>
          <t>PO2425-02964</t>
        </is>
      </c>
      <c r="I198" s="290">
        <f>IF(RawDataGenPO[[#This Row],[PO No.]]="","",RawDataGenPO[[#This Row],[DMY Create PR]]+7)</f>
        <v/>
      </c>
      <c r="J198" s="290" t="n"/>
      <c r="K198" s="20" t="n">
        <v>40</v>
      </c>
      <c r="L198" s="5" t="inlineStr">
        <is>
          <t>SFST81000050</t>
        </is>
      </c>
      <c r="M198" s="243" t="inlineStr">
        <is>
          <t>Consumable part for MN</t>
        </is>
      </c>
      <c r="N198" s="243" t="inlineStr">
        <is>
          <t>Consumable part</t>
        </is>
      </c>
      <c r="O198" s="11" t="n">
        <v>1</v>
      </c>
      <c r="P198" s="10" t="inlineStr">
        <is>
          <t>CPU heatsink thermal silicone paste
30 g, grey, model HY510</t>
        </is>
      </c>
      <c r="Q198" s="277" t="n">
        <v>6</v>
      </c>
      <c r="R198" s="5" t="inlineStr">
        <is>
          <t>pcs.</t>
        </is>
      </c>
      <c r="S198" s="284">
        <f>RawDataGenPO[[#This Row],[Total price]]/RawDataGenPO[[#This Row],[Qty'']]</f>
        <v/>
      </c>
      <c r="T198" s="242" t="n">
        <v>330</v>
      </c>
      <c r="U198" s="161" t="inlineStr">
        <is>
          <t>Puneet Approval</t>
        </is>
      </c>
      <c r="V198" s="7" t="inlineStr">
        <is>
          <t>V1000259 - JJP SUPPLY CO., LTD</t>
        </is>
      </c>
      <c r="W198" s="5" t="inlineStr">
        <is>
          <t>Recive bill and GRN already</t>
        </is>
      </c>
      <c r="X198" s="5" t="n"/>
      <c r="Y198" s="3" t="n">
        <v>45559</v>
      </c>
      <c r="Z198" s="3" t="n"/>
      <c r="AA198" s="17">
        <f>IF(RawDataGenPO[[#This Row],[Date Gen PO]]="","",RawDataGenPO[[#This Row],[Date recive bill]]-RawDataGenPO[[#This Row],[Date Gen PO]])</f>
        <v/>
      </c>
      <c r="AB198" s="16">
        <f>IF(RawDataGenPO[[#This Row],[GRN-PO date]]&gt;RawDataGenPO[[#This Row],[Lead time delivery (day)]],"over deliverry","Ontime")</f>
        <v/>
      </c>
      <c r="AC198" s="22" t="n"/>
    </row>
    <row r="199" customFormat="1" s="125">
      <c r="A199" s="5">
        <f>ROW()-ROW(RawDataGenPO[[#Headers],[No.]])</f>
        <v/>
      </c>
      <c r="B199" s="7" t="inlineStr">
        <is>
          <t>Expent  cost</t>
        </is>
      </c>
      <c r="C199" s="301" t="n">
        <v>45514</v>
      </c>
      <c r="D199" s="276" t="n"/>
      <c r="E199" s="281" t="n"/>
      <c r="F199" s="301" t="n">
        <v>45514</v>
      </c>
      <c r="G199" s="239" t="inlineStr">
        <is>
          <t>PR2425-02591</t>
        </is>
      </c>
      <c r="H199" s="11" t="inlineStr">
        <is>
          <t>PO2425-02964</t>
        </is>
      </c>
      <c r="I199" s="290">
        <f>IF(RawDataGenPO[[#This Row],[PO No.]]="","",RawDataGenPO[[#This Row],[DMY Create PR]]+7)</f>
        <v/>
      </c>
      <c r="J199" s="290" t="n"/>
      <c r="K199" s="20" t="n">
        <v>40</v>
      </c>
      <c r="L199" s="5" t="inlineStr">
        <is>
          <t>SFST81000050</t>
        </is>
      </c>
      <c r="M199" s="243" t="inlineStr">
        <is>
          <t>Consumable part for MN</t>
        </is>
      </c>
      <c r="N199" s="243" t="inlineStr">
        <is>
          <t>Consumable part</t>
        </is>
      </c>
      <c r="O199" s="11" t="n">
        <v>2</v>
      </c>
      <c r="P199" s="10" t="inlineStr">
        <is>
          <t>Ultra tube solder, pen type 1.2 mm 3.5 M, model 99-06-0107</t>
        </is>
      </c>
      <c r="Q199" s="277" t="n">
        <v>5</v>
      </c>
      <c r="R199" s="5" t="inlineStr">
        <is>
          <t>pcs.</t>
        </is>
      </c>
      <c r="S199" s="284">
        <f>RawDataGenPO[[#This Row],[Total price]]/RawDataGenPO[[#This Row],[Qty'']]</f>
        <v/>
      </c>
      <c r="T199" s="242" t="n">
        <v>275</v>
      </c>
      <c r="U199" s="161" t="inlineStr">
        <is>
          <t>Puneet Approval</t>
        </is>
      </c>
      <c r="V199" s="7" t="inlineStr">
        <is>
          <t>V1000259 - JJP SUPPLY CO., LTD</t>
        </is>
      </c>
      <c r="W199" s="5" t="inlineStr">
        <is>
          <t>Recive bill and GRN already</t>
        </is>
      </c>
      <c r="X199" s="5" t="n"/>
      <c r="Y199" s="3" t="n">
        <v>45559</v>
      </c>
      <c r="Z199" s="3" t="n"/>
      <c r="AA199" s="17">
        <f>IF(RawDataGenPO[[#This Row],[Date Gen PO]]="","",RawDataGenPO[[#This Row],[Date recive bill]]-RawDataGenPO[[#This Row],[Date Gen PO]])</f>
        <v/>
      </c>
      <c r="AB199" s="16">
        <f>IF(RawDataGenPO[[#This Row],[GRN-PO date]]&gt;RawDataGenPO[[#This Row],[Lead time delivery (day)]],"over deliverry","Ontime")</f>
        <v/>
      </c>
      <c r="AC199" s="22" t="n"/>
    </row>
    <row r="200" customFormat="1" s="125">
      <c r="A200" s="5">
        <f>ROW()-ROW(RawDataGenPO[[#Headers],[No.]])</f>
        <v/>
      </c>
      <c r="B200" s="7" t="inlineStr">
        <is>
          <t>Expent  cost</t>
        </is>
      </c>
      <c r="C200" s="301" t="n">
        <v>45514</v>
      </c>
      <c r="D200" s="276" t="n"/>
      <c r="E200" s="281" t="n"/>
      <c r="F200" s="301" t="n">
        <v>45514</v>
      </c>
      <c r="G200" s="239" t="inlineStr">
        <is>
          <t>PR2425-02591</t>
        </is>
      </c>
      <c r="H200" s="11" t="inlineStr">
        <is>
          <t>PO2425-02964</t>
        </is>
      </c>
      <c r="I200" s="290">
        <f>IF(RawDataGenPO[[#This Row],[PO No.]]="","",RawDataGenPO[[#This Row],[DMY Create PR]]+7)</f>
        <v/>
      </c>
      <c r="J200" s="290" t="n"/>
      <c r="K200" s="20" t="n">
        <v>40</v>
      </c>
      <c r="L200" s="5" t="inlineStr">
        <is>
          <t>SFST81000050</t>
        </is>
      </c>
      <c r="M200" s="243" t="inlineStr">
        <is>
          <t>Consumable part for MN</t>
        </is>
      </c>
      <c r="N200" s="243" t="inlineStr">
        <is>
          <t>Consumable part</t>
        </is>
      </c>
      <c r="O200" s="11" t="n">
        <v>3</v>
      </c>
      <c r="P200" s="10" t="inlineStr">
        <is>
          <t>Heat shrink tubing for wires, pack of 530 assorted-color pieces, SET-HS-530</t>
        </is>
      </c>
      <c r="Q200" s="277" t="n">
        <v>1</v>
      </c>
      <c r="R200" s="5" t="inlineStr">
        <is>
          <t>pcs.</t>
        </is>
      </c>
      <c r="S200" s="284">
        <f>RawDataGenPO[[#This Row],[Total price]]/RawDataGenPO[[#This Row],[Qty'']]</f>
        <v/>
      </c>
      <c r="T200" s="242" t="n">
        <v>220</v>
      </c>
      <c r="U200" s="161" t="inlineStr">
        <is>
          <t>Puneet Approval</t>
        </is>
      </c>
      <c r="V200" s="7" t="inlineStr">
        <is>
          <t>V1000259 - JJP SUPPLY CO., LTD</t>
        </is>
      </c>
      <c r="W200" s="5" t="inlineStr">
        <is>
          <t>Recive bill and GRN already</t>
        </is>
      </c>
      <c r="X200" s="5" t="n"/>
      <c r="Y200" s="3" t="n">
        <v>45559</v>
      </c>
      <c r="Z200" s="3" t="n"/>
      <c r="AA200" s="17">
        <f>IF(RawDataGenPO[[#This Row],[Date Gen PO]]="","",RawDataGenPO[[#This Row],[Date recive bill]]-RawDataGenPO[[#This Row],[Date Gen PO]])</f>
        <v/>
      </c>
      <c r="AB200" s="16">
        <f>IF(RawDataGenPO[[#This Row],[GRN-PO date]]&gt;RawDataGenPO[[#This Row],[Lead time delivery (day)]],"over deliverry","Ontime")</f>
        <v/>
      </c>
      <c r="AC200" s="22" t="n"/>
    </row>
    <row r="201" customFormat="1" s="125">
      <c r="A201" s="5">
        <f>ROW()-ROW(RawDataGenPO[[#Headers],[No.]])</f>
        <v/>
      </c>
      <c r="B201" s="7" t="inlineStr">
        <is>
          <t>Expent  cost</t>
        </is>
      </c>
      <c r="C201" s="301" t="n">
        <v>45514</v>
      </c>
      <c r="D201" s="276" t="n"/>
      <c r="E201" s="281" t="n"/>
      <c r="F201" s="301" t="n">
        <v>45514</v>
      </c>
      <c r="G201" s="239" t="inlineStr">
        <is>
          <t>PR2425-02591</t>
        </is>
      </c>
      <c r="H201" s="11" t="inlineStr">
        <is>
          <t>PO2425-02964</t>
        </is>
      </c>
      <c r="I201" s="290">
        <f>IF(RawDataGenPO[[#This Row],[PO No.]]="","",RawDataGenPO[[#This Row],[DMY Create PR]]+7)</f>
        <v/>
      </c>
      <c r="J201" s="290" t="n"/>
      <c r="K201" s="20" t="n">
        <v>40</v>
      </c>
      <c r="L201" s="5" t="inlineStr">
        <is>
          <t>SFST81000050</t>
        </is>
      </c>
      <c r="M201" s="243" t="inlineStr">
        <is>
          <t>Consumable part for MN</t>
        </is>
      </c>
      <c r="N201" s="243" t="inlineStr">
        <is>
          <t>Consumable part</t>
        </is>
      </c>
      <c r="O201" s="11" t="n">
        <v>4</v>
      </c>
      <c r="P201" s="10" t="inlineStr">
        <is>
          <t>MAGCRAFT LED inspection mirror set QJ.PU-54 1209019</t>
        </is>
      </c>
      <c r="Q201" s="277" t="n">
        <v>2</v>
      </c>
      <c r="R201" s="5" t="inlineStr">
        <is>
          <t>pcs.</t>
        </is>
      </c>
      <c r="S201" s="284">
        <f>RawDataGenPO[[#This Row],[Total price]]/RawDataGenPO[[#This Row],[Qty'']]</f>
        <v/>
      </c>
      <c r="T201" s="242" t="n">
        <v>440</v>
      </c>
      <c r="U201" s="161" t="inlineStr">
        <is>
          <t>Puneet Approval</t>
        </is>
      </c>
      <c r="V201" s="7" t="inlineStr">
        <is>
          <t>V1000259 - JJP SUPPLY CO., LTD</t>
        </is>
      </c>
      <c r="W201" s="5" t="inlineStr">
        <is>
          <t>Recive bill and GRN already</t>
        </is>
      </c>
      <c r="X201" s="5" t="n"/>
      <c r="Y201" s="3" t="n">
        <v>45559</v>
      </c>
      <c r="Z201" s="3" t="n"/>
      <c r="AA201" s="17">
        <f>IF(RawDataGenPO[[#This Row],[Date Gen PO]]="","",RawDataGenPO[[#This Row],[Date recive bill]]-RawDataGenPO[[#This Row],[Date Gen PO]])</f>
        <v/>
      </c>
      <c r="AB201" s="16">
        <f>IF(RawDataGenPO[[#This Row],[GRN-PO date]]&gt;RawDataGenPO[[#This Row],[Lead time delivery (day)]],"over deliverry","Ontime")</f>
        <v/>
      </c>
      <c r="AC201" s="168" t="n"/>
    </row>
    <row r="202" customFormat="1" s="125">
      <c r="A202" s="5">
        <f>ROW()-ROW(RawDataGenPO[[#Headers],[No.]])</f>
        <v/>
      </c>
      <c r="B202" s="7" t="inlineStr">
        <is>
          <t>Expent  cost</t>
        </is>
      </c>
      <c r="C202" s="301" t="n">
        <v>45514</v>
      </c>
      <c r="D202" s="276" t="n"/>
      <c r="E202" s="281" t="n"/>
      <c r="F202" s="301" t="n">
        <v>45514</v>
      </c>
      <c r="G202" s="239" t="inlineStr">
        <is>
          <t>PR2425-02591</t>
        </is>
      </c>
      <c r="H202" s="11" t="inlineStr">
        <is>
          <t>PO2425-02964</t>
        </is>
      </c>
      <c r="I202" s="290">
        <f>IF(RawDataGenPO[[#This Row],[PO No.]]="","",RawDataGenPO[[#This Row],[DMY Create PR]]+7)</f>
        <v/>
      </c>
      <c r="J202" s="290" t="n"/>
      <c r="K202" s="20" t="n">
        <v>40</v>
      </c>
      <c r="L202" s="5" t="inlineStr">
        <is>
          <t>SFST81000050</t>
        </is>
      </c>
      <c r="M202" s="243" t="inlineStr">
        <is>
          <t>Consumable part for MN</t>
        </is>
      </c>
      <c r="N202" s="243" t="inlineStr">
        <is>
          <t>Consumable part</t>
        </is>
      </c>
      <c r="O202" s="11" t="n">
        <v>5</v>
      </c>
      <c r="P202" s="10" t="inlineStr">
        <is>
          <t>YIHUA", 939D PLUS, 75W station soldering iron</t>
        </is>
      </c>
      <c r="Q202" s="277" t="n">
        <v>1</v>
      </c>
      <c r="R202" s="5" t="inlineStr">
        <is>
          <t>pcs.</t>
        </is>
      </c>
      <c r="S202" s="284">
        <f>RawDataGenPO[[#This Row],[Total price]]/RawDataGenPO[[#This Row],[Qty'']]</f>
        <v/>
      </c>
      <c r="T202" s="242" t="n">
        <v>2100</v>
      </c>
      <c r="U202" s="161" t="inlineStr">
        <is>
          <t>Puneet Approval</t>
        </is>
      </c>
      <c r="V202" s="7" t="inlineStr">
        <is>
          <t>V1000259 - JJP SUPPLY CO., LTD</t>
        </is>
      </c>
      <c r="W202" s="5" t="inlineStr">
        <is>
          <t>Recive bill and GRN already</t>
        </is>
      </c>
      <c r="X202" s="5" t="n"/>
      <c r="Y202" s="3" t="n">
        <v>45559</v>
      </c>
      <c r="Z202" s="3" t="n"/>
      <c r="AA202" s="17">
        <f>IF(RawDataGenPO[[#This Row],[Date Gen PO]]="","",RawDataGenPO[[#This Row],[Date recive bill]]-RawDataGenPO[[#This Row],[Date Gen PO]])</f>
        <v/>
      </c>
      <c r="AB202" s="16">
        <f>IF(RawDataGenPO[[#This Row],[GRN-PO date]]&gt;RawDataGenPO[[#This Row],[Lead time delivery (day)]],"over deliverry","Ontime")</f>
        <v/>
      </c>
      <c r="AC202" s="22" t="n"/>
    </row>
    <row r="203" customFormat="1" s="125">
      <c r="A203" s="5">
        <f>ROW()-ROW(RawDataGenPO[[#Headers],[No.]])</f>
        <v/>
      </c>
      <c r="B203" s="7" t="inlineStr">
        <is>
          <t>Expent  cost</t>
        </is>
      </c>
      <c r="C203" s="281" t="n">
        <v>45514</v>
      </c>
      <c r="D203" s="276" t="n"/>
      <c r="E203" s="281" t="n"/>
      <c r="F203" s="281" t="n">
        <v>45514</v>
      </c>
      <c r="G203" s="239" t="inlineStr">
        <is>
          <t>PR2425-02595</t>
        </is>
      </c>
      <c r="H203" s="5" t="inlineStr">
        <is>
          <t>PO2425-02965</t>
        </is>
      </c>
      <c r="I203" s="290">
        <f>IF(RawDataGenPO[[#This Row],[PO No.]]="","",RawDataGenPO[[#This Row],[DMY Create PR]]+7)</f>
        <v/>
      </c>
      <c r="J203" s="290" t="n"/>
      <c r="K203" s="20">
        <f>IF(RawDataGenPO[[#This Row],[PO No.]]="","",10)</f>
        <v/>
      </c>
      <c r="L203" s="5" t="inlineStr">
        <is>
          <t>SFST81000050</t>
        </is>
      </c>
      <c r="M203" s="7" t="inlineStr">
        <is>
          <t>Machanical part</t>
        </is>
      </c>
      <c r="N203" s="7" t="inlineStr">
        <is>
          <t>Machanical part</t>
        </is>
      </c>
      <c r="O203" s="11" t="n">
        <v>1</v>
      </c>
      <c r="P203" s="10" t="inlineStr">
        <is>
          <t>304 stainless steel sheet, size 4x8 feet, thickness 1 mm.</t>
        </is>
      </c>
      <c r="Q203" s="277" t="n">
        <v>1</v>
      </c>
      <c r="R203" s="5" t="inlineStr">
        <is>
          <t>pcs.</t>
        </is>
      </c>
      <c r="S203" s="284">
        <f>RawDataGenPO[[#This Row],[Total price]]/RawDataGenPO[[#This Row],[Qty'']]</f>
        <v/>
      </c>
      <c r="T203" s="285" t="n">
        <v>2250</v>
      </c>
      <c r="U203" s="161" t="inlineStr">
        <is>
          <t>Puneet Approval</t>
        </is>
      </c>
      <c r="V203" s="7" t="inlineStr">
        <is>
          <t>V1000307 - M.C.K.STEEL CENTER CO., LTD.</t>
        </is>
      </c>
      <c r="W203" s="5" t="inlineStr">
        <is>
          <t>Recive bill and GRN already</t>
        </is>
      </c>
      <c r="X203" s="5" t="n"/>
      <c r="Y203" s="3" t="n">
        <v>45530</v>
      </c>
      <c r="Z203" s="3" t="n"/>
      <c r="AA203" s="17">
        <f>IF(RawDataGenPO[[#This Row],[Date Gen PO]]="","",RawDataGenPO[[#This Row],[Date recive bill]]-RawDataGenPO[[#This Row],[Date Gen PO]])</f>
        <v/>
      </c>
      <c r="AB203" s="16">
        <f>IF(RawDataGenPO[[#This Row],[GRN-PO date]]&gt;RawDataGenPO[[#This Row],[Lead time delivery (day)]],"over deliverry","Ontime")</f>
        <v/>
      </c>
      <c r="AC203" s="168" t="n"/>
    </row>
    <row r="204" customFormat="1" s="125">
      <c r="A204" s="5">
        <f>ROW()-ROW(RawDataGenPO[[#Headers],[No.]])</f>
        <v/>
      </c>
      <c r="B204" s="7" t="inlineStr">
        <is>
          <t>Expent  cost</t>
        </is>
      </c>
      <c r="C204" s="281" t="n">
        <v>45514</v>
      </c>
      <c r="D204" s="276" t="n"/>
      <c r="E204" s="281" t="n"/>
      <c r="F204" s="281" t="n">
        <v>45514</v>
      </c>
      <c r="G204" s="239" t="inlineStr">
        <is>
          <t>PR2425-02595</t>
        </is>
      </c>
      <c r="H204" s="5" t="inlineStr">
        <is>
          <t>PO2425-02965</t>
        </is>
      </c>
      <c r="I204" s="290">
        <f>IF(RawDataGenPO[[#This Row],[PO No.]]="","",RawDataGenPO[[#This Row],[DMY Create PR]]+7)</f>
        <v/>
      </c>
      <c r="J204" s="290" t="n"/>
      <c r="K204" s="20">
        <f>IF(RawDataGenPO[[#This Row],[PO No.]]="","",10)</f>
        <v/>
      </c>
      <c r="L204" s="5" t="inlineStr">
        <is>
          <t>SFST81000050</t>
        </is>
      </c>
      <c r="M204" s="7" t="inlineStr">
        <is>
          <t>Machanical part</t>
        </is>
      </c>
      <c r="N204" s="7" t="inlineStr">
        <is>
          <t>Machanical part</t>
        </is>
      </c>
      <c r="O204" s="11" t="n">
        <v>2</v>
      </c>
      <c r="P204" s="10" t="inlineStr">
        <is>
          <t>304 stainless steel sheet, size 4x8 feet, thickness 2 mm.</t>
        </is>
      </c>
      <c r="Q204" s="277" t="n">
        <v>1</v>
      </c>
      <c r="R204" s="5" t="inlineStr">
        <is>
          <t>pcs.</t>
        </is>
      </c>
      <c r="S204" s="284">
        <f>RawDataGenPO[[#This Row],[Total price]]/RawDataGenPO[[#This Row],[Qty'']]</f>
        <v/>
      </c>
      <c r="T204" s="285" t="n">
        <v>4290</v>
      </c>
      <c r="U204" s="161" t="inlineStr">
        <is>
          <t>Puneet Approval</t>
        </is>
      </c>
      <c r="V204" s="7" t="inlineStr">
        <is>
          <t>V1000307 - M.C.K.STEEL CENTER CO., LTD.</t>
        </is>
      </c>
      <c r="W204" s="5" t="inlineStr">
        <is>
          <t>Recive bill and GRN already</t>
        </is>
      </c>
      <c r="X204" s="5" t="n"/>
      <c r="Y204" s="3" t="n">
        <v>45530</v>
      </c>
      <c r="Z204" s="3" t="n"/>
      <c r="AA204" s="17">
        <f>IF(RawDataGenPO[[#This Row],[Date Gen PO]]="","",RawDataGenPO[[#This Row],[Date recive bill]]-RawDataGenPO[[#This Row],[Date Gen PO]])</f>
        <v/>
      </c>
      <c r="AB204" s="16">
        <f>IF(RawDataGenPO[[#This Row],[GRN-PO date]]&gt;RawDataGenPO[[#This Row],[Lead time delivery (day)]],"over deliverry","Ontime")</f>
        <v/>
      </c>
      <c r="AC204" s="168" t="n"/>
    </row>
    <row r="205" ht="15" customFormat="1" customHeight="1" s="125">
      <c r="A205" s="5">
        <f>ROW()-ROW(RawDataGenPO[[#Headers],[No.]])</f>
        <v/>
      </c>
      <c r="B205" s="7" t="inlineStr">
        <is>
          <t>Expent  cost</t>
        </is>
      </c>
      <c r="C205" s="301" t="n">
        <v>45514</v>
      </c>
      <c r="D205" s="276" t="n"/>
      <c r="E205" s="281" t="n"/>
      <c r="F205" s="301" t="n">
        <v>45514</v>
      </c>
      <c r="G205" s="181" t="inlineStr">
        <is>
          <t>PR2425-02595</t>
        </is>
      </c>
      <c r="H205" s="11" t="inlineStr">
        <is>
          <t>PO2425-02965</t>
        </is>
      </c>
      <c r="I205" s="290">
        <f>IF(RawDataGenPO[[#This Row],[PO No.]]="","",RawDataGenPO[[#This Row],[DMY Create PR]]+7)</f>
        <v/>
      </c>
      <c r="J205" s="290" t="n"/>
      <c r="K205" s="20">
        <f>IF(RawDataGenPO[[#This Row],[PO No.]]="","",10)</f>
        <v/>
      </c>
      <c r="L205" s="5" t="inlineStr">
        <is>
          <t>SFST81000005</t>
        </is>
      </c>
      <c r="M205" s="7" t="inlineStr">
        <is>
          <t>Machanical part</t>
        </is>
      </c>
      <c r="N205" s="7" t="inlineStr">
        <is>
          <t>Machanical part</t>
        </is>
      </c>
      <c r="O205" s="11" t="n">
        <v>3</v>
      </c>
      <c r="P205" s="10" t="inlineStr">
        <is>
          <t>304 stainless steel sheet, size 4x8 feet, thickness 1 mm.</t>
        </is>
      </c>
      <c r="Q205" s="277" t="n">
        <v>1</v>
      </c>
      <c r="R205" s="5" t="inlineStr">
        <is>
          <t>pcs.</t>
        </is>
      </c>
      <c r="S205" s="284">
        <f>RawDataGenPO[[#This Row],[Total price]]/RawDataGenPO[[#This Row],[Qty'']]</f>
        <v/>
      </c>
      <c r="T205" s="285" t="n">
        <v>2250</v>
      </c>
      <c r="U205" s="161" t="inlineStr">
        <is>
          <t>Puneet Approval</t>
        </is>
      </c>
      <c r="V205" s="7" t="inlineStr">
        <is>
          <t>V1000307 - M.C.K.STEEL CENTER CO., LTD.</t>
        </is>
      </c>
      <c r="W205" s="5" t="inlineStr">
        <is>
          <t>Recive bill and GRN already</t>
        </is>
      </c>
      <c r="X205" s="5" t="n"/>
      <c r="Y205" s="3" t="n">
        <v>45528</v>
      </c>
      <c r="Z205" s="3" t="n"/>
      <c r="AA205" s="17">
        <f>IF(RawDataGenPO[[#This Row],[Date Gen PO]]="","",RawDataGenPO[[#This Row],[Date recive bill]]-RawDataGenPO[[#This Row],[Date Gen PO]])</f>
        <v/>
      </c>
      <c r="AB205" s="16">
        <f>IF(RawDataGenPO[[#This Row],[GRN-PO date]]&gt;RawDataGenPO[[#This Row],[Lead time delivery (day)]],"over deliverry","Ontime")</f>
        <v/>
      </c>
      <c r="AC205" s="168" t="n"/>
    </row>
    <row r="206" ht="15" customFormat="1" customHeight="1" s="125">
      <c r="A206" s="5">
        <f>ROW()-ROW(RawDataGenPO[[#Headers],[No.]])</f>
        <v/>
      </c>
      <c r="B206" s="7" t="inlineStr">
        <is>
          <t>Expent  cost</t>
        </is>
      </c>
      <c r="C206" s="301" t="n">
        <v>45514</v>
      </c>
      <c r="D206" s="276" t="n"/>
      <c r="E206" s="281" t="n"/>
      <c r="F206" s="301" t="n">
        <v>45514</v>
      </c>
      <c r="G206" s="181" t="inlineStr">
        <is>
          <t>PR2425-02595</t>
        </is>
      </c>
      <c r="H206" s="11" t="inlineStr">
        <is>
          <t>PO2425-02965</t>
        </is>
      </c>
      <c r="I206" s="290">
        <f>IF(RawDataGenPO[[#This Row],[PO No.]]="","",RawDataGenPO[[#This Row],[DMY Create PR]]+7)</f>
        <v/>
      </c>
      <c r="J206" s="290" t="n"/>
      <c r="K206" s="20">
        <f>IF(RawDataGenPO[[#This Row],[PO No.]]="","",10)</f>
        <v/>
      </c>
      <c r="L206" s="5" t="inlineStr">
        <is>
          <t>SFST81000005</t>
        </is>
      </c>
      <c r="M206" s="7" t="inlineStr">
        <is>
          <t>Machanical part</t>
        </is>
      </c>
      <c r="N206" s="7" t="inlineStr">
        <is>
          <t>Machanical part</t>
        </is>
      </c>
      <c r="O206" s="11" t="n">
        <v>4</v>
      </c>
      <c r="P206" s="10" t="inlineStr">
        <is>
          <t>304 stainless steel sheet, size 4x8 feet, thickness 2 mm.</t>
        </is>
      </c>
      <c r="Q206" s="277" t="n">
        <v>1</v>
      </c>
      <c r="R206" s="5" t="inlineStr">
        <is>
          <t>pcs.</t>
        </is>
      </c>
      <c r="S206" s="284">
        <f>RawDataGenPO[[#This Row],[Total price]]/RawDataGenPO[[#This Row],[Qty'']]</f>
        <v/>
      </c>
      <c r="T206" s="285" t="n">
        <v>4290</v>
      </c>
      <c r="U206" s="161" t="inlineStr">
        <is>
          <t>Puneet Approval</t>
        </is>
      </c>
      <c r="V206" s="7" t="inlineStr">
        <is>
          <t>V1000307 - M.C.K.STEEL CENTER CO., LTD.</t>
        </is>
      </c>
      <c r="W206" s="5" t="inlineStr">
        <is>
          <t>Recive bill and GRN already</t>
        </is>
      </c>
      <c r="X206" s="5" t="n"/>
      <c r="Y206" s="3" t="n">
        <v>45528</v>
      </c>
      <c r="Z206" s="3" t="n"/>
      <c r="AA206" s="17">
        <f>IF(RawDataGenPO[[#This Row],[Date Gen PO]]="","",RawDataGenPO[[#This Row],[Date recive bill]]-RawDataGenPO[[#This Row],[Date Gen PO]])</f>
        <v/>
      </c>
      <c r="AB206" s="16">
        <f>IF(RawDataGenPO[[#This Row],[GRN-PO date]]&gt;RawDataGenPO[[#This Row],[Lead time delivery (day)]],"over deliverry","Ontime")</f>
        <v/>
      </c>
      <c r="AC206" s="168" t="n"/>
    </row>
    <row r="207" customFormat="1" s="125">
      <c r="A207" s="5">
        <f>ROW()-ROW(RawDataGenPO[[#Headers],[No.]])</f>
        <v/>
      </c>
      <c r="B207" s="7" t="inlineStr">
        <is>
          <t>Expent  cost</t>
        </is>
      </c>
      <c r="C207" s="281" t="n">
        <v>45514</v>
      </c>
      <c r="D207" s="276" t="n"/>
      <c r="E207" s="281" t="n"/>
      <c r="F207" s="281" t="n">
        <v>45514</v>
      </c>
      <c r="G207" s="239" t="inlineStr">
        <is>
          <t>PR2425-02596</t>
        </is>
      </c>
      <c r="H207" s="5" t="inlineStr">
        <is>
          <t>PO2425-02967</t>
        </is>
      </c>
      <c r="I207" s="290">
        <f>IF(RawDataGenPO[[#This Row],[PO No.]]="","",RawDataGenPO[[#This Row],[DMY Create PR]]+7)</f>
        <v/>
      </c>
      <c r="J207" s="290" t="n"/>
      <c r="K207" s="20" t="n">
        <v>40</v>
      </c>
      <c r="L207" s="5" t="inlineStr">
        <is>
          <t>SFST81000050</t>
        </is>
      </c>
      <c r="M207" s="7" t="inlineStr">
        <is>
          <t>Machanical part</t>
        </is>
      </c>
      <c r="N207" s="7" t="inlineStr">
        <is>
          <t>Machanical part</t>
        </is>
      </c>
      <c r="O207" s="11" t="n">
        <v>5</v>
      </c>
      <c r="P207" s="10" t="inlineStr">
        <is>
          <t>Square steel block cover, size 4x4 inches</t>
        </is>
      </c>
      <c r="Q207" s="277" t="n">
        <v>20</v>
      </c>
      <c r="R207" s="5" t="inlineStr">
        <is>
          <t>pcs.</t>
        </is>
      </c>
      <c r="S207" s="284">
        <f>RawDataGenPO[[#This Row],[Total price]]/RawDataGenPO[[#This Row],[Qty'']]</f>
        <v/>
      </c>
      <c r="T207" s="285" t="n">
        <v>160</v>
      </c>
      <c r="U207" s="291" t="inlineStr">
        <is>
          <t>Puneet Approval</t>
        </is>
      </c>
      <c r="V207" s="7" t="inlineStr">
        <is>
          <t>V1000259 - JJP SUPPLY CO., LTD</t>
        </is>
      </c>
      <c r="W207" s="5" t="inlineStr">
        <is>
          <t>Recive bill and GRN already</t>
        </is>
      </c>
      <c r="X207" s="5" t="n"/>
      <c r="Y207" s="3" t="n">
        <v>45559</v>
      </c>
      <c r="Z207" s="3" t="n"/>
      <c r="AA207" s="17">
        <f>IF(RawDataGenPO[[#This Row],[Date Gen PO]]="","",RawDataGenPO[[#This Row],[Date recive bill]]-RawDataGenPO[[#This Row],[Date Gen PO]])</f>
        <v/>
      </c>
      <c r="AB207" s="16">
        <f>IF(RawDataGenPO[[#This Row],[GRN-PO date]]&gt;RawDataGenPO[[#This Row],[Lead time delivery (day)]],"over deliverry","Ontime")</f>
        <v/>
      </c>
      <c r="AC207" s="168" t="n"/>
    </row>
    <row r="208" customFormat="1" s="125">
      <c r="A208" s="5">
        <f>ROW()-ROW(RawDataGenPO[[#Headers],[No.]])</f>
        <v/>
      </c>
      <c r="B208" s="7" t="inlineStr">
        <is>
          <t>Expent  cost</t>
        </is>
      </c>
      <c r="C208" s="281" t="n">
        <v>45514</v>
      </c>
      <c r="D208" s="276" t="n"/>
      <c r="E208" s="281" t="n"/>
      <c r="F208" s="281" t="n">
        <v>45514</v>
      </c>
      <c r="G208" s="239" t="inlineStr">
        <is>
          <t>PR2425-02596</t>
        </is>
      </c>
      <c r="H208" s="5" t="inlineStr">
        <is>
          <t>PO2425-02967</t>
        </is>
      </c>
      <c r="I208" s="290">
        <f>IF(RawDataGenPO[[#This Row],[PO No.]]="","",RawDataGenPO[[#This Row],[DMY Create PR]]+7)</f>
        <v/>
      </c>
      <c r="J208" s="290" t="n"/>
      <c r="K208" s="20" t="n">
        <v>40</v>
      </c>
      <c r="L208" s="5" t="inlineStr">
        <is>
          <t>SFST81000050</t>
        </is>
      </c>
      <c r="M208" s="7" t="inlineStr">
        <is>
          <t>Machanical part</t>
        </is>
      </c>
      <c r="N208" s="7" t="inlineStr">
        <is>
          <t>Machanical part</t>
        </is>
      </c>
      <c r="O208" s="11" t="n">
        <v>6</v>
      </c>
      <c r="P208" s="10" t="inlineStr">
        <is>
          <t>Square steel block cover, size 2x4 inches</t>
        </is>
      </c>
      <c r="Q208" s="277" t="n">
        <v>20</v>
      </c>
      <c r="R208" s="5" t="inlineStr">
        <is>
          <t>pcs.</t>
        </is>
      </c>
      <c r="S208" s="284">
        <f>RawDataGenPO[[#This Row],[Total price]]/RawDataGenPO[[#This Row],[Qty'']]</f>
        <v/>
      </c>
      <c r="T208" s="285" t="n">
        <v>160</v>
      </c>
      <c r="U208" s="291" t="inlineStr">
        <is>
          <t>Puneet Approval</t>
        </is>
      </c>
      <c r="V208" s="7" t="inlineStr">
        <is>
          <t>V1000259 - JJP SUPPLY CO., LTD</t>
        </is>
      </c>
      <c r="W208" s="5" t="inlineStr">
        <is>
          <t>Recive bill and GRN already</t>
        </is>
      </c>
      <c r="X208" s="5" t="n"/>
      <c r="Y208" s="3" t="n">
        <v>45559</v>
      </c>
      <c r="Z208" s="3" t="n"/>
      <c r="AA208" s="17">
        <f>IF(RawDataGenPO[[#This Row],[Date Gen PO]]="","",RawDataGenPO[[#This Row],[Date recive bill]]-RawDataGenPO[[#This Row],[Date Gen PO]])</f>
        <v/>
      </c>
      <c r="AB208" s="16">
        <f>IF(RawDataGenPO[[#This Row],[GRN-PO date]]&gt;RawDataGenPO[[#This Row],[Lead time delivery (day)]],"over deliverry","Ontime")</f>
        <v/>
      </c>
      <c r="AC208" s="168" t="n"/>
    </row>
    <row r="209" ht="15" customFormat="1" customHeight="1" s="125">
      <c r="A209" s="5">
        <f>ROW()-ROW(RawDataGenPO[[#Headers],[No.]])</f>
        <v/>
      </c>
      <c r="B209" s="7" t="inlineStr">
        <is>
          <t>Expent  cost</t>
        </is>
      </c>
      <c r="C209" s="301" t="n">
        <v>45514</v>
      </c>
      <c r="D209" s="276" t="n"/>
      <c r="E209" s="281" t="n"/>
      <c r="F209" s="301" t="n">
        <v>45514</v>
      </c>
      <c r="G209" s="181" t="inlineStr">
        <is>
          <t>PR2425-02596</t>
        </is>
      </c>
      <c r="H209" s="5" t="inlineStr">
        <is>
          <t>PO2425-02967</t>
        </is>
      </c>
      <c r="I209" s="290">
        <f>IF(RawDataGenPO[[#This Row],[PO No.]]="","",RawDataGenPO[[#This Row],[DMY Create PR]]+7)</f>
        <v/>
      </c>
      <c r="J209" s="290" t="n"/>
      <c r="K209" s="20" t="n">
        <v>40</v>
      </c>
      <c r="L209" s="5" t="inlineStr">
        <is>
          <t>SFST81000050</t>
        </is>
      </c>
      <c r="M209" s="7" t="inlineStr">
        <is>
          <t>Machanical part</t>
        </is>
      </c>
      <c r="N209" s="7" t="inlineStr">
        <is>
          <t>Machanical part</t>
        </is>
      </c>
      <c r="O209" s="11" t="n">
        <v>7</v>
      </c>
      <c r="P209" s="10" t="inlineStr">
        <is>
          <t>Square steel block cover, size 4x4 inches</t>
        </is>
      </c>
      <c r="Q209" s="277" t="n">
        <v>20</v>
      </c>
      <c r="R209" s="5" t="inlineStr">
        <is>
          <t>pcs.</t>
        </is>
      </c>
      <c r="S209" s="284">
        <f>RawDataGenPO[[#This Row],[Total price]]/RawDataGenPO[[#This Row],[Qty'']]</f>
        <v/>
      </c>
      <c r="T209" s="285" t="n">
        <v>160</v>
      </c>
      <c r="U209" s="161" t="inlineStr">
        <is>
          <t>Puneet Approval</t>
        </is>
      </c>
      <c r="V209" s="7" t="inlineStr">
        <is>
          <t>V1000259 - JJP SUPPLY CO., LTD</t>
        </is>
      </c>
      <c r="W209" s="5" t="inlineStr">
        <is>
          <t>Recive bill and GRN already</t>
        </is>
      </c>
      <c r="X209" s="5" t="n"/>
      <c r="Y209" s="3" t="n">
        <v>45559</v>
      </c>
      <c r="Z209" s="3" t="n"/>
      <c r="AA209" s="17">
        <f>IF(RawDataGenPO[[#This Row],[Date Gen PO]]="","",RawDataGenPO[[#This Row],[Date recive bill]]-RawDataGenPO[[#This Row],[Date Gen PO]])</f>
        <v/>
      </c>
      <c r="AB209" s="16">
        <f>IF(RawDataGenPO[[#This Row],[GRN-PO date]]&gt;RawDataGenPO[[#This Row],[Lead time delivery (day)]],"over deliverry","Ontime")</f>
        <v/>
      </c>
      <c r="AC209" s="168" t="n"/>
    </row>
    <row r="210" ht="15" customFormat="1" customHeight="1" s="125">
      <c r="A210" s="5">
        <f>ROW()-ROW(RawDataGenPO[[#Headers],[No.]])</f>
        <v/>
      </c>
      <c r="B210" s="7" t="inlineStr">
        <is>
          <t>Expent  cost</t>
        </is>
      </c>
      <c r="C210" s="301" t="n">
        <v>45514</v>
      </c>
      <c r="D210" s="276" t="n"/>
      <c r="E210" s="281" t="n"/>
      <c r="F210" s="301" t="n">
        <v>45514</v>
      </c>
      <c r="G210" s="181" t="inlineStr">
        <is>
          <t>PR2425-02596</t>
        </is>
      </c>
      <c r="H210" s="5" t="inlineStr">
        <is>
          <t>PO2425-02967</t>
        </is>
      </c>
      <c r="I210" s="290">
        <f>IF(RawDataGenPO[[#This Row],[PO No.]]="","",RawDataGenPO[[#This Row],[DMY Create PR]]+7)</f>
        <v/>
      </c>
      <c r="J210" s="290" t="n"/>
      <c r="K210" s="20" t="n">
        <v>40</v>
      </c>
      <c r="L210" s="5" t="inlineStr">
        <is>
          <t>SFST81000050</t>
        </is>
      </c>
      <c r="M210" s="7" t="inlineStr">
        <is>
          <t>Machanical part</t>
        </is>
      </c>
      <c r="N210" s="7" t="inlineStr">
        <is>
          <t>Machanical part</t>
        </is>
      </c>
      <c r="O210" s="11" t="n">
        <v>8</v>
      </c>
      <c r="P210" s="10" t="inlineStr">
        <is>
          <t>Square steel block cover, size 2x4 inches</t>
        </is>
      </c>
      <c r="Q210" s="277" t="n">
        <v>20</v>
      </c>
      <c r="R210" s="5" t="inlineStr">
        <is>
          <t>pcs.</t>
        </is>
      </c>
      <c r="S210" s="284">
        <f>RawDataGenPO[[#This Row],[Total price]]/RawDataGenPO[[#This Row],[Qty'']]</f>
        <v/>
      </c>
      <c r="T210" s="285" t="n">
        <v>160</v>
      </c>
      <c r="U210" s="161" t="inlineStr">
        <is>
          <t>Puneet Approval</t>
        </is>
      </c>
      <c r="V210" s="7" t="inlineStr">
        <is>
          <t>V1000259 - JJP SUPPLY CO., LTD</t>
        </is>
      </c>
      <c r="W210" s="5" t="inlineStr">
        <is>
          <t>Recive bill and GRN already</t>
        </is>
      </c>
      <c r="X210" s="5" t="n"/>
      <c r="Y210" s="3" t="n">
        <v>45559</v>
      </c>
      <c r="Z210" s="3" t="n"/>
      <c r="AA210" s="17">
        <f>IF(RawDataGenPO[[#This Row],[Date Gen PO]]="","",RawDataGenPO[[#This Row],[Date recive bill]]-RawDataGenPO[[#This Row],[Date Gen PO]])</f>
        <v/>
      </c>
      <c r="AB210" s="16">
        <f>IF(RawDataGenPO[[#This Row],[GRN-PO date]]&gt;RawDataGenPO[[#This Row],[Lead time delivery (day)]],"over deliverry","Ontime")</f>
        <v/>
      </c>
      <c r="AC210" s="168" t="n"/>
    </row>
    <row r="211" customFormat="1" s="125">
      <c r="A211" s="5">
        <f>ROW()-ROW(RawDataGenPO[[#Headers],[No.]])</f>
        <v/>
      </c>
      <c r="B211" s="7" t="inlineStr">
        <is>
          <t>Expent  cost</t>
        </is>
      </c>
      <c r="C211" s="281" t="n">
        <v>45514</v>
      </c>
      <c r="D211" s="276" t="n"/>
      <c r="E211" s="281" t="n"/>
      <c r="F211" s="281" t="n">
        <v>45514</v>
      </c>
      <c r="G211" s="239" t="inlineStr">
        <is>
          <t>PR2425-02596</t>
        </is>
      </c>
      <c r="H211" s="5" t="inlineStr">
        <is>
          <t>PO2425-02968</t>
        </is>
      </c>
      <c r="I211" s="290">
        <f>IF(RawDataGenPO[[#This Row],[PO No.]]="","",RawDataGenPO[[#This Row],[DMY Create PR]]+7)</f>
        <v/>
      </c>
      <c r="J211" s="290" t="n"/>
      <c r="K211" s="20">
        <f>IF(RawDataGenPO[[#This Row],[PO No.]]="","",10)</f>
        <v/>
      </c>
      <c r="L211" s="5" t="inlineStr">
        <is>
          <t>SFST81000050</t>
        </is>
      </c>
      <c r="M211" s="7" t="inlineStr">
        <is>
          <t>Machanical part</t>
        </is>
      </c>
      <c r="N211" s="7" t="inlineStr">
        <is>
          <t>Machanical part</t>
        </is>
      </c>
      <c r="O211" s="11" t="n">
        <v>1</v>
      </c>
      <c r="P211" s="10" t="inlineStr">
        <is>
          <t>FRP sheet (white) 2 mm thick, size 120x240 cm.</t>
        </is>
      </c>
      <c r="Q211" s="277" t="n">
        <v>4</v>
      </c>
      <c r="R211" s="5" t="inlineStr">
        <is>
          <t>pcs.</t>
        </is>
      </c>
      <c r="S211" s="284">
        <f>RawDataGenPO[[#This Row],[Total price]]/RawDataGenPO[[#This Row],[Qty'']]</f>
        <v/>
      </c>
      <c r="T211" s="285" t="n">
        <v>19800</v>
      </c>
      <c r="U211" s="291" t="inlineStr">
        <is>
          <t>Puneet Approval</t>
        </is>
      </c>
      <c r="V211" s="7" t="inlineStr">
        <is>
          <t>V1000529 - 168 Supply</t>
        </is>
      </c>
      <c r="W211" s="5" t="inlineStr">
        <is>
          <t>Recive bill and GRN already</t>
        </is>
      </c>
      <c r="X211" s="5" t="n"/>
      <c r="Y211" s="3" t="n">
        <v>45527</v>
      </c>
      <c r="Z211" s="3" t="n"/>
      <c r="AA211" s="17">
        <f>IF(RawDataGenPO[[#This Row],[Date Gen PO]]="","",RawDataGenPO[[#This Row],[Date recive bill]]-RawDataGenPO[[#This Row],[Date Gen PO]])</f>
        <v/>
      </c>
      <c r="AB211" s="16">
        <f>IF(RawDataGenPO[[#This Row],[GRN-PO date]]&gt;RawDataGenPO[[#This Row],[Lead time delivery (day)]],"over deliverry","Ontime")</f>
        <v/>
      </c>
      <c r="AC211" s="168" t="n"/>
    </row>
    <row r="212" ht="15" customFormat="1" customHeight="1" s="125">
      <c r="A212" s="5">
        <f>ROW()-ROW(RawDataGenPO[[#Headers],[No.]])</f>
        <v/>
      </c>
      <c r="B212" s="7" t="inlineStr">
        <is>
          <t>Expent  cost</t>
        </is>
      </c>
      <c r="C212" s="301" t="n">
        <v>45514</v>
      </c>
      <c r="D212" s="276" t="n"/>
      <c r="E212" s="281" t="n"/>
      <c r="F212" s="301" t="n">
        <v>45514</v>
      </c>
      <c r="G212" s="181" t="inlineStr">
        <is>
          <t>PR2425-02596</t>
        </is>
      </c>
      <c r="H212" s="5" t="inlineStr">
        <is>
          <t>PO2425-02968</t>
        </is>
      </c>
      <c r="I212" s="290">
        <f>IF(RawDataGenPO[[#This Row],[PO No.]]="","",RawDataGenPO[[#This Row],[DMY Create PR]]+7)</f>
        <v/>
      </c>
      <c r="J212" s="290" t="n"/>
      <c r="K212" s="20">
        <f>IF(RawDataGenPO[[#This Row],[PO No.]]="","",10)</f>
        <v/>
      </c>
      <c r="L212" s="5" t="inlineStr">
        <is>
          <t>SFST81000050</t>
        </is>
      </c>
      <c r="M212" s="7" t="inlineStr">
        <is>
          <t>Machanical part</t>
        </is>
      </c>
      <c r="N212" s="7" t="inlineStr">
        <is>
          <t>Machanical part</t>
        </is>
      </c>
      <c r="O212" s="11" t="n">
        <v>2</v>
      </c>
      <c r="P212" s="10" t="inlineStr">
        <is>
          <t>FRP sheet (white) 2 mm thick, size 120x240 cm.</t>
        </is>
      </c>
      <c r="Q212" s="277" t="n">
        <v>4</v>
      </c>
      <c r="R212" s="5" t="inlineStr">
        <is>
          <t>pcs.</t>
        </is>
      </c>
      <c r="S212" s="284">
        <f>RawDataGenPO[[#This Row],[Total price]]/RawDataGenPO[[#This Row],[Qty'']]</f>
        <v/>
      </c>
      <c r="T212" s="285" t="n">
        <v>19800</v>
      </c>
      <c r="U212" s="161" t="inlineStr">
        <is>
          <t>Puneet Approval</t>
        </is>
      </c>
      <c r="V212" s="7" t="inlineStr">
        <is>
          <t>V1000529 - 168 Supply</t>
        </is>
      </c>
      <c r="W212" s="5" t="inlineStr">
        <is>
          <t>Recive bill and GRN already</t>
        </is>
      </c>
      <c r="X212" s="5" t="n"/>
      <c r="Y212" s="3" t="n">
        <v>45527</v>
      </c>
      <c r="Z212" s="3" t="n"/>
      <c r="AA212" s="17">
        <f>IF(RawDataGenPO[[#This Row],[Date Gen PO]]="","",RawDataGenPO[[#This Row],[Date recive bill]]-RawDataGenPO[[#This Row],[Date Gen PO]])</f>
        <v/>
      </c>
      <c r="AB212" s="16">
        <f>IF(RawDataGenPO[[#This Row],[GRN-PO date]]&gt;RawDataGenPO[[#This Row],[Lead time delivery (day)]],"over deliverry","Ontime")</f>
        <v/>
      </c>
      <c r="AC212" s="168" t="n"/>
    </row>
    <row r="213" ht="30" customFormat="1" customHeight="1" s="125">
      <c r="A213" s="5">
        <f>ROW()-ROW(RawDataGenPO[[#Headers],[No.]])</f>
        <v/>
      </c>
      <c r="B213" s="7" t="inlineStr">
        <is>
          <t>Expent  cost</t>
        </is>
      </c>
      <c r="C213" s="281" t="n">
        <v>45514</v>
      </c>
      <c r="D213" s="276" t="n"/>
      <c r="E213" s="281" t="n"/>
      <c r="F213" s="281" t="n">
        <v>45514</v>
      </c>
      <c r="G213" s="235" t="inlineStr">
        <is>
          <t>PR2425-02597</t>
        </is>
      </c>
      <c r="H213" s="5" t="inlineStr">
        <is>
          <t>PO2425-02969</t>
        </is>
      </c>
      <c r="I213" s="290">
        <f>IF(RawDataGenPO[[#This Row],[PO No.]]="","",RawDataGenPO[[#This Row],[DMY Create PR]]+7)</f>
        <v/>
      </c>
      <c r="J213" s="290" t="n"/>
      <c r="K213" s="20">
        <f>IF(RawDataGenPO[[#This Row],[PO No.]]="","",10)</f>
        <v/>
      </c>
      <c r="L213" s="5" t="inlineStr">
        <is>
          <t>SFST81000051</t>
        </is>
      </c>
      <c r="M213" s="7" t="inlineStr">
        <is>
          <t>Consumable part for MN</t>
        </is>
      </c>
      <c r="N213" s="7" t="inlineStr">
        <is>
          <t>Consumable part</t>
        </is>
      </c>
      <c r="O213" s="11" t="n">
        <v>3</v>
      </c>
      <c r="P213" s="10" t="inlineStr">
        <is>
          <t>TOA Glipton gloss enamel paint for metal and wood
River Blue color no. G372, size 3.785 liters</t>
        </is>
      </c>
      <c r="Q213" s="277" t="n">
        <v>1</v>
      </c>
      <c r="R213" s="5" t="inlineStr">
        <is>
          <t>pcs.</t>
        </is>
      </c>
      <c r="S213" s="284">
        <f>RawDataGenPO[[#This Row],[Total price]]/RawDataGenPO[[#This Row],[Qty'']]</f>
        <v/>
      </c>
      <c r="T213" s="285" t="n">
        <v>620</v>
      </c>
      <c r="U213" s="161" t="inlineStr">
        <is>
          <t>Puneet Approval</t>
        </is>
      </c>
      <c r="V213" s="7" t="inlineStr">
        <is>
          <t xml:space="preserve"> V1000306 - Inter Supply (1992) Co., Ltd.</t>
        </is>
      </c>
      <c r="W213" s="5" t="inlineStr">
        <is>
          <t>Recive bill and GRN already</t>
        </is>
      </c>
      <c r="X213" s="5" t="n"/>
      <c r="Y213" s="3" t="n">
        <v>45530</v>
      </c>
      <c r="Z213" s="3" t="n"/>
      <c r="AA213" s="17">
        <f>IF(RawDataGenPO[[#This Row],[Date Gen PO]]="","",RawDataGenPO[[#This Row],[Date recive bill]]-RawDataGenPO[[#This Row],[Date Gen PO]])</f>
        <v/>
      </c>
      <c r="AB213" s="16">
        <f>IF(RawDataGenPO[[#This Row],[GRN-PO date]]&gt;RawDataGenPO[[#This Row],[Lead time delivery (day)]],"over deliverry","Ontime")</f>
        <v/>
      </c>
      <c r="AC213" s="168" t="n"/>
    </row>
    <row r="214" ht="30" customFormat="1" customHeight="1" s="125">
      <c r="A214" s="5">
        <f>ROW()-ROW(RawDataGenPO[[#Headers],[No.]])</f>
        <v/>
      </c>
      <c r="B214" s="7" t="inlineStr">
        <is>
          <t>Expent  cost</t>
        </is>
      </c>
      <c r="C214" s="301" t="n">
        <v>45514</v>
      </c>
      <c r="D214" s="276" t="n"/>
      <c r="E214" s="281" t="n"/>
      <c r="F214" s="301" t="n">
        <v>45514</v>
      </c>
      <c r="G214" s="5" t="inlineStr">
        <is>
          <t xml:space="preserve">PR2425-02597 </t>
        </is>
      </c>
      <c r="H214" s="5" t="inlineStr">
        <is>
          <t xml:space="preserve">PO2425-02969 </t>
        </is>
      </c>
      <c r="I214" s="290">
        <f>IF(RawDataGenPO[[#This Row],[PO No.]]="","",RawDataGenPO[[#This Row],[DMY Create PR]]+7)</f>
        <v/>
      </c>
      <c r="J214" s="290" t="n"/>
      <c r="K214" s="20">
        <f>IF(RawDataGenPO[[#This Row],[PO No.]]="","",10)</f>
        <v/>
      </c>
      <c r="L214" s="5" t="inlineStr">
        <is>
          <t>SFST81000050</t>
        </is>
      </c>
      <c r="M214" s="7" t="inlineStr">
        <is>
          <t>Consumable part for MN</t>
        </is>
      </c>
      <c r="N214" s="7" t="inlineStr">
        <is>
          <t>Consumable part</t>
        </is>
      </c>
      <c r="O214" s="11" t="n">
        <v>4</v>
      </c>
      <c r="P214" s="10" t="inlineStr">
        <is>
          <t>TOA Glipton gloss enamel paint for metal and wood
River Blue color no. G372, size 3.785 liters</t>
        </is>
      </c>
      <c r="Q214" s="277" t="n">
        <v>1</v>
      </c>
      <c r="R214" s="5" t="inlineStr">
        <is>
          <t>pcs.</t>
        </is>
      </c>
      <c r="S214" s="284">
        <f>RawDataGenPO[[#This Row],[Total price]]/RawDataGenPO[[#This Row],[Qty'']]</f>
        <v/>
      </c>
      <c r="T214" s="285" t="n">
        <v>620</v>
      </c>
      <c r="U214" s="161" t="inlineStr">
        <is>
          <t>Puneet Approval</t>
        </is>
      </c>
      <c r="V214" s="7" t="inlineStr">
        <is>
          <t>V1000306 - Inter Supply (1992) Co., Ltd.</t>
        </is>
      </c>
      <c r="W214" s="5" t="inlineStr">
        <is>
          <t>Recive bill and GRN already</t>
        </is>
      </c>
      <c r="X214" s="5" t="n"/>
      <c r="Y214" s="3" t="n">
        <v>45530</v>
      </c>
      <c r="Z214" s="3" t="n"/>
      <c r="AA214" s="17">
        <f>IF(RawDataGenPO[[#This Row],[Date Gen PO]]="","",RawDataGenPO[[#This Row],[Date recive bill]]-RawDataGenPO[[#This Row],[Date Gen PO]])</f>
        <v/>
      </c>
      <c r="AB214" s="16">
        <f>IF(RawDataGenPO[[#This Row],[GRN-PO date]]&gt;RawDataGenPO[[#This Row],[Lead time delivery (day)]],"over deliverry","Ontime")</f>
        <v/>
      </c>
      <c r="AC214" s="168" t="n"/>
    </row>
    <row r="215" customFormat="1" s="125">
      <c r="A215" s="5">
        <f>ROW()-ROW(RawDataGenPO[[#Headers],[No.]])</f>
        <v/>
      </c>
      <c r="B215" s="7" t="inlineStr">
        <is>
          <t>Expent  cost</t>
        </is>
      </c>
      <c r="C215" s="281" t="n">
        <v>45514</v>
      </c>
      <c r="D215" s="276" t="n"/>
      <c r="E215" s="281" t="n"/>
      <c r="F215" s="281" t="n">
        <v>45514</v>
      </c>
      <c r="G215" s="235" t="inlineStr">
        <is>
          <t>PR2425-02597</t>
        </is>
      </c>
      <c r="H215" s="5" t="inlineStr">
        <is>
          <t>PO2425-02970</t>
        </is>
      </c>
      <c r="I215" s="290">
        <f>IF(RawDataGenPO[[#This Row],[PO No.]]="","",RawDataGenPO[[#This Row],[DMY Create PR]]+7)</f>
        <v/>
      </c>
      <c r="J215" s="290" t="n"/>
      <c r="K215" s="20">
        <f>IF(RawDataGenPO[[#This Row],[PO No.]]="","",10)</f>
        <v/>
      </c>
      <c r="L215" s="5" t="inlineStr">
        <is>
          <t>SFST81000052</t>
        </is>
      </c>
      <c r="M215" s="7" t="inlineStr">
        <is>
          <t>Consumable part for MN</t>
        </is>
      </c>
      <c r="N215" s="7" t="inlineStr">
        <is>
          <t>Consumable part</t>
        </is>
      </c>
      <c r="O215" s="11" t="n">
        <v>1</v>
      </c>
      <c r="P215" s="10" t="inlineStr">
        <is>
          <t>MPI plastic tarp 3x4 m, blue</t>
        </is>
      </c>
      <c r="Q215" s="277" t="n">
        <v>1</v>
      </c>
      <c r="R215" s="5" t="inlineStr">
        <is>
          <t>pcs.</t>
        </is>
      </c>
      <c r="S215" s="284">
        <f>RawDataGenPO[[#This Row],[Total price]]/RawDataGenPO[[#This Row],[Qty'']]</f>
        <v/>
      </c>
      <c r="T215" s="285" t="n">
        <v>950</v>
      </c>
      <c r="U215" s="291" t="inlineStr">
        <is>
          <t>Puneet Approval</t>
        </is>
      </c>
      <c r="V215" s="7" t="inlineStr">
        <is>
          <t xml:space="preserve"> V1000529 - 168 Supply</t>
        </is>
      </c>
      <c r="W215" s="5" t="inlineStr">
        <is>
          <t>Recive bill and GRN already</t>
        </is>
      </c>
      <c r="X215" s="5" t="n"/>
      <c r="Y215" s="3" t="n">
        <v>45527</v>
      </c>
      <c r="Z215" s="3" t="n"/>
      <c r="AA215" s="17">
        <f>IF(RawDataGenPO[[#This Row],[Date Gen PO]]="","",RawDataGenPO[[#This Row],[Date recive bill]]-RawDataGenPO[[#This Row],[Date Gen PO]])</f>
        <v/>
      </c>
      <c r="AB215" s="16">
        <f>IF(RawDataGenPO[[#This Row],[GRN-PO date]]&gt;RawDataGenPO[[#This Row],[Lead time delivery (day)]],"over deliverry","Ontime")</f>
        <v/>
      </c>
      <c r="AC215" s="168" t="n"/>
    </row>
    <row r="216" ht="15" customFormat="1" customHeight="1" s="125">
      <c r="A216" s="5">
        <f>ROW()-ROW(RawDataGenPO[[#Headers],[No.]])</f>
        <v/>
      </c>
      <c r="B216" s="7" t="inlineStr">
        <is>
          <t>Expent  cost</t>
        </is>
      </c>
      <c r="C216" s="301" t="n">
        <v>45514</v>
      </c>
      <c r="D216" s="276" t="n"/>
      <c r="E216" s="281" t="n"/>
      <c r="F216" s="301" t="n">
        <v>45514</v>
      </c>
      <c r="G216" s="181" t="inlineStr">
        <is>
          <t xml:space="preserve">PR2425-02597 </t>
        </is>
      </c>
      <c r="H216" s="5" t="inlineStr">
        <is>
          <t xml:space="preserve">PO2425-02970 </t>
        </is>
      </c>
      <c r="I216" s="290">
        <f>IF(RawDataGenPO[[#This Row],[PO No.]]="","",RawDataGenPO[[#This Row],[DMY Create PR]]+7)</f>
        <v/>
      </c>
      <c r="J216" s="290" t="n"/>
      <c r="K216" s="20">
        <f>IF(RawDataGenPO[[#This Row],[PO No.]]="","",10)</f>
        <v/>
      </c>
      <c r="L216" s="5" t="inlineStr">
        <is>
          <t>SFST81000050</t>
        </is>
      </c>
      <c r="M216" s="7" t="inlineStr">
        <is>
          <t>Consumable part for MN</t>
        </is>
      </c>
      <c r="N216" s="7" t="inlineStr">
        <is>
          <t>Consumable part</t>
        </is>
      </c>
      <c r="O216" s="11" t="n">
        <v>2</v>
      </c>
      <c r="P216" s="10" t="inlineStr">
        <is>
          <t>MPI plastic tarp 3x4 m, blue</t>
        </is>
      </c>
      <c r="Q216" s="277" t="n">
        <v>1</v>
      </c>
      <c r="R216" s="5" t="inlineStr">
        <is>
          <t>pcs.</t>
        </is>
      </c>
      <c r="S216" s="284">
        <f>RawDataGenPO[[#This Row],[Total price]]/RawDataGenPO[[#This Row],[Qty'']]</f>
        <v/>
      </c>
      <c r="T216" s="285" t="n">
        <v>950</v>
      </c>
      <c r="U216" s="161" t="inlineStr">
        <is>
          <t>Puneet Approval</t>
        </is>
      </c>
      <c r="V216" s="7" t="inlineStr">
        <is>
          <t>V1000529 - 168 Supply</t>
        </is>
      </c>
      <c r="W216" s="5" t="inlineStr">
        <is>
          <t>Recive bill and GRN already</t>
        </is>
      </c>
      <c r="X216" s="5" t="n"/>
      <c r="Y216" s="3" t="n">
        <v>45527</v>
      </c>
      <c r="Z216" s="3" t="n"/>
      <c r="AA216" s="17">
        <f>IF(RawDataGenPO[[#This Row],[Date Gen PO]]="","",RawDataGenPO[[#This Row],[Date recive bill]]-RawDataGenPO[[#This Row],[Date Gen PO]])</f>
        <v/>
      </c>
      <c r="AB216" s="16">
        <f>IF(RawDataGenPO[[#This Row],[GRN-PO date]]&gt;RawDataGenPO[[#This Row],[Lead time delivery (day)]],"over deliverry","Ontime")</f>
        <v/>
      </c>
      <c r="AC216" s="168" t="n"/>
    </row>
    <row r="217" customFormat="1" s="125">
      <c r="A217" s="5">
        <f>ROW()-ROW(RawDataGenPO[[#Headers],[No.]])</f>
        <v/>
      </c>
      <c r="B217" s="7" t="inlineStr">
        <is>
          <t>Expent  cost</t>
        </is>
      </c>
      <c r="C217" s="281" t="n">
        <v>45514</v>
      </c>
      <c r="D217" s="276" t="n"/>
      <c r="E217" s="281" t="n"/>
      <c r="F217" s="281" t="n">
        <v>45514</v>
      </c>
      <c r="G217" s="239" t="inlineStr">
        <is>
          <t>PR2425-02588</t>
        </is>
      </c>
      <c r="H217" s="5" t="inlineStr">
        <is>
          <t>PO2425-02973</t>
        </is>
      </c>
      <c r="I217" s="290">
        <f>IF(RawDataGenPO[[#This Row],[PO No.]]="","",RawDataGenPO[[#This Row],[DMY Create PR]]+7)</f>
        <v/>
      </c>
      <c r="J217" s="290" t="n"/>
      <c r="K217" s="20">
        <f>IF(RawDataGenPO[[#This Row],[PO No.]]="","",10)</f>
        <v/>
      </c>
      <c r="L217" s="5" t="inlineStr">
        <is>
          <t>SFST34000136</t>
        </is>
      </c>
      <c r="M217" s="7" t="inlineStr">
        <is>
          <t>Consumable part for MN</t>
        </is>
      </c>
      <c r="N217" s="7" t="inlineStr">
        <is>
          <t>Consumable part</t>
        </is>
      </c>
      <c r="O217" s="11" t="n">
        <v>1</v>
      </c>
      <c r="P217" s="10" t="inlineStr">
        <is>
          <t xml:space="preserve"> argon gas 1.5 Q</t>
        </is>
      </c>
      <c r="Q217" s="277" t="n">
        <v>3</v>
      </c>
      <c r="R217" s="5" t="inlineStr">
        <is>
          <t>Drum.</t>
        </is>
      </c>
      <c r="S217" s="284">
        <f>RawDataGenPO[[#This Row],[Total price]]/RawDataGenPO[[#This Row],[Qty'']]</f>
        <v/>
      </c>
      <c r="T217" s="285" t="n">
        <v>350</v>
      </c>
      <c r="U217" s="291" t="inlineStr">
        <is>
          <t>Puneet Approval</t>
        </is>
      </c>
      <c r="V217" s="7" t="inlineStr">
        <is>
          <t>V1000475 - Klong Karn Kha Trading</t>
        </is>
      </c>
      <c r="W217" s="5" t="inlineStr">
        <is>
          <t>Recive bill and GRN already</t>
        </is>
      </c>
      <c r="X217" s="5" t="n"/>
      <c r="Y217" s="3" t="n">
        <v>45526</v>
      </c>
      <c r="Z217" s="3" t="n"/>
      <c r="AA217" s="17">
        <f>IF(RawDataGenPO[[#This Row],[Date Gen PO]]="","",RawDataGenPO[[#This Row],[Date recive bill]]-RawDataGenPO[[#This Row],[Date Gen PO]])</f>
        <v/>
      </c>
      <c r="AB217" s="16">
        <f>IF(RawDataGenPO[[#This Row],[GRN-PO date]]&gt;RawDataGenPO[[#This Row],[Lead time delivery (day)]],"over deliverry","Ontime")</f>
        <v/>
      </c>
      <c r="AC217" s="168" t="n"/>
    </row>
    <row r="218" customFormat="1" s="125">
      <c r="A218" s="5">
        <f>ROW()-ROW(RawDataGenPO[[#Headers],[No.]])</f>
        <v/>
      </c>
      <c r="B218" s="7" t="inlineStr">
        <is>
          <t>Expent  cost</t>
        </is>
      </c>
      <c r="C218" s="281" t="n">
        <v>45514</v>
      </c>
      <c r="D218" s="276" t="n"/>
      <c r="E218" s="281" t="n"/>
      <c r="F218" s="281" t="n">
        <v>45514</v>
      </c>
      <c r="G218" s="239" t="inlineStr">
        <is>
          <t>PR2425-02588</t>
        </is>
      </c>
      <c r="H218" s="5" t="inlineStr">
        <is>
          <t>PO2425-02973</t>
        </is>
      </c>
      <c r="I218" s="290">
        <f>IF(RawDataGenPO[[#This Row],[PO No.]]="","",RawDataGenPO[[#This Row],[DMY Create PR]]+7)</f>
        <v/>
      </c>
      <c r="J218" s="290" t="n"/>
      <c r="K218" s="20">
        <f>IF(RawDataGenPO[[#This Row],[PO No.]]="","",10)</f>
        <v/>
      </c>
      <c r="L218" s="5" t="inlineStr">
        <is>
          <t>SFST34000137</t>
        </is>
      </c>
      <c r="M218" s="7" t="inlineStr">
        <is>
          <t>Consumable part for MN</t>
        </is>
      </c>
      <c r="N218" s="7" t="inlineStr">
        <is>
          <t>Consumable part</t>
        </is>
      </c>
      <c r="O218" s="11" t="n">
        <v>2</v>
      </c>
      <c r="P218" s="10" t="inlineStr">
        <is>
          <t xml:space="preserve"> argon gas 6 Q</t>
        </is>
      </c>
      <c r="Q218" s="277" t="n">
        <v>1</v>
      </c>
      <c r="R218" s="5" t="inlineStr">
        <is>
          <t>Drum.</t>
        </is>
      </c>
      <c r="S218" s="284">
        <f>RawDataGenPO[[#This Row],[Total price]]/RawDataGenPO[[#This Row],[Qty'']]</f>
        <v/>
      </c>
      <c r="T218" s="285" t="n">
        <v>900</v>
      </c>
      <c r="U218" s="161" t="inlineStr">
        <is>
          <t>Puneet Approval</t>
        </is>
      </c>
      <c r="V218" s="7" t="inlineStr">
        <is>
          <t>V1000475 - Klong Karn Kha Trading</t>
        </is>
      </c>
      <c r="W218" s="5" t="inlineStr">
        <is>
          <t>Recive bill and GRN already</t>
        </is>
      </c>
      <c r="X218" s="5" t="n"/>
      <c r="Y218" s="3" t="n">
        <v>45527</v>
      </c>
      <c r="Z218" s="3" t="n"/>
      <c r="AA218" s="17">
        <f>IF(RawDataGenPO[[#This Row],[Date Gen PO]]="","",RawDataGenPO[[#This Row],[Date recive bill]]-RawDataGenPO[[#This Row],[Date Gen PO]])</f>
        <v/>
      </c>
      <c r="AB218" s="16">
        <f>IF(RawDataGenPO[[#This Row],[GRN-PO date]]&gt;RawDataGenPO[[#This Row],[Lead time delivery (day)]],"over deliverry","Ontime")</f>
        <v/>
      </c>
      <c r="AC218" s="168" t="n"/>
    </row>
    <row r="219" customFormat="1" s="125">
      <c r="A219" s="5">
        <f>ROW()-ROW(RawDataGenPO[[#Headers],[No.]])</f>
        <v/>
      </c>
      <c r="B219" s="7" t="inlineStr">
        <is>
          <t>Expent  cost</t>
        </is>
      </c>
      <c r="C219" s="301" t="n">
        <v>45514</v>
      </c>
      <c r="D219" s="276" t="n"/>
      <c r="E219" s="281" t="n"/>
      <c r="F219" s="301" t="n">
        <v>45514</v>
      </c>
      <c r="G219" s="239" t="inlineStr">
        <is>
          <t>PR2425-02588</t>
        </is>
      </c>
      <c r="H219" s="11" t="inlineStr">
        <is>
          <t>PO2425-02973</t>
        </is>
      </c>
      <c r="I219" s="290">
        <f>IF(RawDataGenPO[[#This Row],[PO No.]]="","",RawDataGenPO[[#This Row],[DMY Create PR]]+7)</f>
        <v/>
      </c>
      <c r="J219" s="290" t="n"/>
      <c r="K219" s="20">
        <f>IF(RawDataGenPO[[#This Row],[PO No.]]="","",10)</f>
        <v/>
      </c>
      <c r="L219" s="5" t="inlineStr">
        <is>
          <t>SFST34000136</t>
        </is>
      </c>
      <c r="M219" s="7" t="inlineStr">
        <is>
          <t>Consumable part for MN</t>
        </is>
      </c>
      <c r="N219" s="7" t="inlineStr">
        <is>
          <t>Consumable part</t>
        </is>
      </c>
      <c r="O219" s="11" t="n">
        <v>3</v>
      </c>
      <c r="P219" s="10" t="inlineStr">
        <is>
          <t xml:space="preserve"> argon gas 1.5 Q</t>
        </is>
      </c>
      <c r="Q219" s="277" t="n">
        <v>3</v>
      </c>
      <c r="R219" s="5" t="inlineStr">
        <is>
          <t>pcs.</t>
        </is>
      </c>
      <c r="S219" s="284">
        <f>RawDataGenPO[[#This Row],[Total price]]/RawDataGenPO[[#This Row],[Qty'']]</f>
        <v/>
      </c>
      <c r="T219" s="297" t="n">
        <v>350</v>
      </c>
      <c r="U219" s="161" t="inlineStr">
        <is>
          <t>Puneet Approval</t>
        </is>
      </c>
      <c r="V219" s="7" t="inlineStr">
        <is>
          <t>V1000475 - Klong Karn Kha Trading</t>
        </is>
      </c>
      <c r="W219" s="5" t="inlineStr">
        <is>
          <t>Recive bill and GRN already</t>
        </is>
      </c>
      <c r="X219" s="5" t="n"/>
      <c r="Y219" s="3" t="n">
        <v>45528</v>
      </c>
      <c r="Z219" s="3" t="n"/>
      <c r="AA219" s="17">
        <f>IF(RawDataGenPO[[#This Row],[Date Gen PO]]="","",RawDataGenPO[[#This Row],[Date recive bill]]-RawDataGenPO[[#This Row],[Date Gen PO]])</f>
        <v/>
      </c>
      <c r="AB219" s="16">
        <f>IF(RawDataGenPO[[#This Row],[GRN-PO date]]&gt;RawDataGenPO[[#This Row],[Lead time delivery (day)]],"over deliverry","Ontime")</f>
        <v/>
      </c>
      <c r="AC219" s="168" t="n"/>
    </row>
    <row r="220" customFormat="1" s="125">
      <c r="A220" s="5">
        <f>ROW()-ROW(RawDataGenPO[[#Headers],[No.]])</f>
        <v/>
      </c>
      <c r="B220" s="7" t="inlineStr">
        <is>
          <t>Expent  cost</t>
        </is>
      </c>
      <c r="C220" s="301" t="n">
        <v>45514</v>
      </c>
      <c r="D220" s="276" t="n"/>
      <c r="E220" s="281" t="n"/>
      <c r="F220" s="301" t="n">
        <v>45514</v>
      </c>
      <c r="G220" s="239" t="inlineStr">
        <is>
          <t>PR2425-02588</t>
        </is>
      </c>
      <c r="H220" s="11" t="inlineStr">
        <is>
          <t>PO2425-02973</t>
        </is>
      </c>
      <c r="I220" s="290">
        <f>IF(RawDataGenPO[[#This Row],[PO No.]]="","",RawDataGenPO[[#This Row],[DMY Create PR]]+7)</f>
        <v/>
      </c>
      <c r="J220" s="290" t="n"/>
      <c r="K220" s="20">
        <f>IF(RawDataGenPO[[#This Row],[PO No.]]="","",10)</f>
        <v/>
      </c>
      <c r="L220" s="5" t="inlineStr">
        <is>
          <t>SFST34000137</t>
        </is>
      </c>
      <c r="M220" s="7" t="inlineStr">
        <is>
          <t>Consumable part for MN</t>
        </is>
      </c>
      <c r="N220" s="7" t="inlineStr">
        <is>
          <t>Consumable part</t>
        </is>
      </c>
      <c r="O220" s="11" t="n">
        <v>4</v>
      </c>
      <c r="P220" s="10" t="inlineStr">
        <is>
          <t xml:space="preserve"> argon gas 6 Q</t>
        </is>
      </c>
      <c r="Q220" s="277" t="n">
        <v>1</v>
      </c>
      <c r="R220" s="5" t="inlineStr">
        <is>
          <t>pcs.</t>
        </is>
      </c>
      <c r="S220" s="284">
        <f>RawDataGenPO[[#This Row],[Total price]]/RawDataGenPO[[#This Row],[Qty'']]</f>
        <v/>
      </c>
      <c r="T220" s="297" t="n">
        <v>900</v>
      </c>
      <c r="U220" s="161" t="inlineStr">
        <is>
          <t>Puneet Approval</t>
        </is>
      </c>
      <c r="V220" s="7" t="inlineStr">
        <is>
          <t>V1000475 - Klong Karn Kha Trading</t>
        </is>
      </c>
      <c r="W220" s="5" t="inlineStr">
        <is>
          <t>Recive bill and GRN already</t>
        </is>
      </c>
      <c r="X220" s="5" t="n"/>
      <c r="Y220" s="3" t="n">
        <v>45528</v>
      </c>
      <c r="Z220" s="3" t="n"/>
      <c r="AA220" s="17">
        <f>IF(RawDataGenPO[[#This Row],[Date Gen PO]]="","",RawDataGenPO[[#This Row],[Date recive bill]]-RawDataGenPO[[#This Row],[Date Gen PO]])</f>
        <v/>
      </c>
      <c r="AB220" s="16">
        <f>IF(RawDataGenPO[[#This Row],[GRN-PO date]]&gt;RawDataGenPO[[#This Row],[Lead time delivery (day)]],"over deliverry","Ontime")</f>
        <v/>
      </c>
      <c r="AC220" s="168" t="n"/>
    </row>
    <row r="221" customFormat="1" s="125">
      <c r="A221" s="5">
        <f>ROW()-ROW(RawDataGenPO[[#Headers],[No.]])</f>
        <v/>
      </c>
      <c r="B221" s="7" t="inlineStr">
        <is>
          <t>Expent  cost</t>
        </is>
      </c>
      <c r="C221" s="281" t="n">
        <v>45513</v>
      </c>
      <c r="D221" s="276" t="n"/>
      <c r="E221" s="281" t="n"/>
      <c r="F221" s="281" t="n">
        <v>45513</v>
      </c>
      <c r="G221" s="239" t="inlineStr">
        <is>
          <t>PR2425-02574</t>
        </is>
      </c>
      <c r="H221" s="5" t="inlineStr">
        <is>
          <t>PO2425-02974</t>
        </is>
      </c>
      <c r="I221" s="290">
        <f>IF(RawDataGenPO[[#This Row],[PO No.]]="","",RawDataGenPO[[#This Row],[DMY Create PR]]+7)</f>
        <v/>
      </c>
      <c r="J221" s="290" t="n"/>
      <c r="K221" s="20">
        <f>IF(RawDataGenPO[[#This Row],[PO No.]]="","",10)</f>
        <v/>
      </c>
      <c r="L221" s="5" t="inlineStr">
        <is>
          <t>SFST34000111</t>
        </is>
      </c>
      <c r="M221" s="7" t="inlineStr">
        <is>
          <t>Consumable part for MN</t>
        </is>
      </c>
      <c r="N221" s="7" t="inlineStr">
        <is>
          <t>Consumable part</t>
        </is>
      </c>
      <c r="O221" s="11" t="n">
        <v>1</v>
      </c>
      <c r="P221" s="240" t="inlineStr">
        <is>
          <t>Non-asbestos flange gasket 1/2" (DN15), thickness 3 mm (PN16)</t>
        </is>
      </c>
      <c r="Q221" s="277" t="n">
        <v>10</v>
      </c>
      <c r="R221" s="5" t="inlineStr">
        <is>
          <t>pcs.</t>
        </is>
      </c>
      <c r="S221" s="284">
        <f>RawDataGenPO[[#This Row],[Total price]]/RawDataGenPO[[#This Row],[Qty'']]</f>
        <v/>
      </c>
      <c r="T221" s="306" t="n">
        <v>960</v>
      </c>
      <c r="U221" s="161" t="inlineStr">
        <is>
          <t>Puneet Approval</t>
        </is>
      </c>
      <c r="V221" s="7" t="inlineStr">
        <is>
          <t>V1000529 - 168 Supply</t>
        </is>
      </c>
      <c r="W221" s="5" t="inlineStr">
        <is>
          <t>Recive bill and GRN already</t>
        </is>
      </c>
      <c r="X221" s="5" t="n"/>
      <c r="Y221" s="3" t="n">
        <v>45527</v>
      </c>
      <c r="Z221" s="3" t="n"/>
      <c r="AA221" s="17">
        <f>IF(RawDataGenPO[[#This Row],[Date Gen PO]]="","",RawDataGenPO[[#This Row],[Date recive bill]]-RawDataGenPO[[#This Row],[Date Gen PO]])</f>
        <v/>
      </c>
      <c r="AB221" s="16">
        <f>IF(RawDataGenPO[[#This Row],[GRN-PO date]]&gt;RawDataGenPO[[#This Row],[Lead time delivery (day)]],"over deliverry","Ontime")</f>
        <v/>
      </c>
      <c r="AC221" s="168" t="n"/>
    </row>
    <row r="222" customFormat="1" s="125">
      <c r="A222" s="5">
        <f>ROW()-ROW(RawDataGenPO[[#Headers],[No.]])</f>
        <v/>
      </c>
      <c r="B222" s="7" t="inlineStr">
        <is>
          <t>Expent  cost</t>
        </is>
      </c>
      <c r="C222" s="301" t="n">
        <v>45513</v>
      </c>
      <c r="D222" s="276" t="n"/>
      <c r="E222" s="281" t="n"/>
      <c r="F222" s="301" t="n">
        <v>45513</v>
      </c>
      <c r="G222" s="239" t="inlineStr">
        <is>
          <t>PR2425-02574</t>
        </is>
      </c>
      <c r="H222" s="5" t="inlineStr">
        <is>
          <t xml:space="preserve">PO2425-02974 </t>
        </is>
      </c>
      <c r="I222" s="290">
        <f>IF(RawDataGenPO[[#This Row],[PO No.]]="","",RawDataGenPO[[#This Row],[DMY Create PR]]+7)</f>
        <v/>
      </c>
      <c r="J222" s="290" t="n"/>
      <c r="K222" s="20">
        <f>IF(RawDataGenPO[[#This Row],[PO No.]]="","",10)</f>
        <v/>
      </c>
      <c r="L222" s="5" t="inlineStr">
        <is>
          <t>SFST34000111</t>
        </is>
      </c>
      <c r="M222" s="7" t="inlineStr">
        <is>
          <t>Consumable part for MN</t>
        </is>
      </c>
      <c r="N222" s="7" t="inlineStr">
        <is>
          <t>Consumable part</t>
        </is>
      </c>
      <c r="O222" s="11" t="n">
        <v>2</v>
      </c>
      <c r="P222" s="10" t="inlineStr">
        <is>
          <t>Non-asbestos flange gasket 1/2" (DN15), thickness 3 mm (PN16)</t>
        </is>
      </c>
      <c r="Q222" s="277" t="n">
        <v>10</v>
      </c>
      <c r="R222" s="5" t="inlineStr">
        <is>
          <t>pcs.</t>
        </is>
      </c>
      <c r="S222" s="284">
        <f>RawDataGenPO[[#This Row],[Total price]]/RawDataGenPO[[#This Row],[Qty'']]</f>
        <v/>
      </c>
      <c r="T222" s="306" t="n">
        <v>960</v>
      </c>
      <c r="U222" s="161" t="inlineStr">
        <is>
          <t>Puneet Approval</t>
        </is>
      </c>
      <c r="V222" s="7" t="inlineStr">
        <is>
          <t>V1000529 - 168 Supply</t>
        </is>
      </c>
      <c r="W222" s="5" t="inlineStr">
        <is>
          <t>Recive bill and GRN already</t>
        </is>
      </c>
      <c r="X222" s="5" t="n"/>
      <c r="Y222" s="3" t="n">
        <v>45527</v>
      </c>
      <c r="Z222" s="3" t="n"/>
      <c r="AA222" s="17">
        <f>IF(RawDataGenPO[[#This Row],[Date Gen PO]]="","",RawDataGenPO[[#This Row],[Date recive bill]]-RawDataGenPO[[#This Row],[Date Gen PO]])</f>
        <v/>
      </c>
      <c r="AB222" s="16">
        <f>IF(RawDataGenPO[[#This Row],[GRN-PO date]]&gt;RawDataGenPO[[#This Row],[Lead time delivery (day)]],"over deliverry","Ontime")</f>
        <v/>
      </c>
      <c r="AC222" s="168" t="n"/>
    </row>
    <row r="223" customFormat="1" s="125">
      <c r="A223" s="5">
        <f>ROW()-ROW(RawDataGenPO[[#Headers],[No.]])</f>
        <v/>
      </c>
      <c r="B223" s="7" t="inlineStr">
        <is>
          <t>Expent  cost</t>
        </is>
      </c>
      <c r="C223" s="301" t="n">
        <v>45513</v>
      </c>
      <c r="D223" s="276" t="n"/>
      <c r="E223" s="281" t="n"/>
      <c r="F223" s="301" t="n">
        <v>45513</v>
      </c>
      <c r="G223" s="239" t="inlineStr">
        <is>
          <t>PR2425-02574</t>
        </is>
      </c>
      <c r="H223" s="5" t="inlineStr">
        <is>
          <t xml:space="preserve">PO2425-02974 </t>
        </is>
      </c>
      <c r="I223" s="290">
        <f>IF(RawDataGenPO[[#This Row],[PO No.]]="","",RawDataGenPO[[#This Row],[DMY Create PR]]+7)</f>
        <v/>
      </c>
      <c r="J223" s="290" t="n"/>
      <c r="K223" s="20">
        <f>IF(RawDataGenPO[[#This Row],[PO No.]]="","",10)</f>
        <v/>
      </c>
      <c r="L223" s="5" t="inlineStr">
        <is>
          <t>SFST34000112</t>
        </is>
      </c>
      <c r="M223" s="7" t="inlineStr">
        <is>
          <t>Consumable part for MN</t>
        </is>
      </c>
      <c r="N223" s="7" t="inlineStr">
        <is>
          <t>Consumable part</t>
        </is>
      </c>
      <c r="O223" s="11" t="n">
        <v>3</v>
      </c>
      <c r="P223" s="10" t="inlineStr">
        <is>
          <t>Non-asbestos flange gasket 3/4" (DN20) 3 mm (PN16)</t>
        </is>
      </c>
      <c r="Q223" s="277" t="n">
        <v>10</v>
      </c>
      <c r="R223" s="5" t="inlineStr">
        <is>
          <t>pcs.</t>
        </is>
      </c>
      <c r="S223" s="284">
        <f>RawDataGenPO[[#This Row],[Total price]]/RawDataGenPO[[#This Row],[Qty'']]</f>
        <v/>
      </c>
      <c r="T223" s="306" t="n">
        <v>1250</v>
      </c>
      <c r="U223" s="161" t="inlineStr">
        <is>
          <t>Puneet Approval</t>
        </is>
      </c>
      <c r="V223" s="7" t="inlineStr">
        <is>
          <t>V1000529 - 168 Supply</t>
        </is>
      </c>
      <c r="W223" s="5" t="inlineStr">
        <is>
          <t>Recive bill and GRN already</t>
        </is>
      </c>
      <c r="X223" s="5" t="n"/>
      <c r="Y223" s="3" t="n">
        <v>45527</v>
      </c>
      <c r="Z223" s="3" t="n"/>
      <c r="AA223" s="17">
        <f>IF(RawDataGenPO[[#This Row],[Date Gen PO]]="","",RawDataGenPO[[#This Row],[Date recive bill]]-RawDataGenPO[[#This Row],[Date Gen PO]])</f>
        <v/>
      </c>
      <c r="AB223" s="16">
        <f>IF(RawDataGenPO[[#This Row],[GRN-PO date]]&gt;RawDataGenPO[[#This Row],[Lead time delivery (day)]],"over deliverry","Ontime")</f>
        <v/>
      </c>
      <c r="AC223" s="168" t="n"/>
    </row>
    <row r="224" customFormat="1" s="125">
      <c r="A224" s="5">
        <f>ROW()-ROW(RawDataGenPO[[#Headers],[No.]])</f>
        <v/>
      </c>
      <c r="B224" s="7" t="inlineStr">
        <is>
          <t>Expent  cost</t>
        </is>
      </c>
      <c r="C224" s="301" t="n">
        <v>45513</v>
      </c>
      <c r="D224" s="276" t="n"/>
      <c r="E224" s="281" t="n"/>
      <c r="F224" s="301" t="n">
        <v>45513</v>
      </c>
      <c r="G224" s="239" t="inlineStr">
        <is>
          <t>PR2425-02574</t>
        </is>
      </c>
      <c r="H224" s="5" t="inlineStr">
        <is>
          <t xml:space="preserve">PO2425-02974 </t>
        </is>
      </c>
      <c r="I224" s="290">
        <f>IF(RawDataGenPO[[#This Row],[PO No.]]="","",RawDataGenPO[[#This Row],[DMY Create PR]]+7)</f>
        <v/>
      </c>
      <c r="J224" s="290" t="n"/>
      <c r="K224" s="20">
        <f>IF(RawDataGenPO[[#This Row],[PO No.]]="","",10)</f>
        <v/>
      </c>
      <c r="L224" s="5" t="inlineStr">
        <is>
          <t>SFST34000113</t>
        </is>
      </c>
      <c r="M224" s="7" t="inlineStr">
        <is>
          <t>Consumable part for MN</t>
        </is>
      </c>
      <c r="N224" s="7" t="inlineStr">
        <is>
          <t>Consumable part</t>
        </is>
      </c>
      <c r="O224" s="11" t="n">
        <v>4</v>
      </c>
      <c r="P224" s="10" t="inlineStr">
        <is>
          <t>Non-asbestos flange gasket 1" (DN25) 3 mm (PN16)</t>
        </is>
      </c>
      <c r="Q224" s="277" t="n">
        <v>10</v>
      </c>
      <c r="R224" s="5" t="inlineStr">
        <is>
          <t>pcs.</t>
        </is>
      </c>
      <c r="S224" s="284">
        <f>RawDataGenPO[[#This Row],[Total price]]/RawDataGenPO[[#This Row],[Qty'']]</f>
        <v/>
      </c>
      <c r="T224" s="306" t="n">
        <v>1450</v>
      </c>
      <c r="U224" s="161" t="inlineStr">
        <is>
          <t>Puneet Approval</t>
        </is>
      </c>
      <c r="V224" s="7" t="inlineStr">
        <is>
          <t>V1000529 - 168 Supply</t>
        </is>
      </c>
      <c r="W224" s="5" t="inlineStr">
        <is>
          <t>Recive bill and GRN already</t>
        </is>
      </c>
      <c r="X224" s="5" t="n"/>
      <c r="Y224" s="3" t="n">
        <v>45527</v>
      </c>
      <c r="Z224" s="3" t="n"/>
      <c r="AA224" s="17">
        <f>IF(RawDataGenPO[[#This Row],[Date Gen PO]]="","",RawDataGenPO[[#This Row],[Date recive bill]]-RawDataGenPO[[#This Row],[Date Gen PO]])</f>
        <v/>
      </c>
      <c r="AB224" s="16">
        <f>IF(RawDataGenPO[[#This Row],[GRN-PO date]]&gt;RawDataGenPO[[#This Row],[Lead time delivery (day)]],"over deliverry","Ontime")</f>
        <v/>
      </c>
      <c r="AC224" s="168" t="n"/>
    </row>
    <row r="225" customFormat="1" s="125">
      <c r="A225" s="5">
        <f>ROW()-ROW(RawDataGenPO[[#Headers],[No.]])</f>
        <v/>
      </c>
      <c r="B225" s="7" t="inlineStr">
        <is>
          <t>Expent  cost</t>
        </is>
      </c>
      <c r="C225" s="301" t="n">
        <v>45513</v>
      </c>
      <c r="D225" s="276" t="n"/>
      <c r="E225" s="281" t="n"/>
      <c r="F225" s="301" t="n">
        <v>45513</v>
      </c>
      <c r="G225" s="239" t="inlineStr">
        <is>
          <t>PR2425-02574</t>
        </is>
      </c>
      <c r="H225" s="5" t="inlineStr">
        <is>
          <t xml:space="preserve">PO2425-02974 </t>
        </is>
      </c>
      <c r="I225" s="290">
        <f>IF(RawDataGenPO[[#This Row],[PO No.]]="","",RawDataGenPO[[#This Row],[DMY Create PR]]+7)</f>
        <v/>
      </c>
      <c r="J225" s="290" t="n"/>
      <c r="K225" s="20">
        <f>IF(RawDataGenPO[[#This Row],[PO No.]]="","",10)</f>
        <v/>
      </c>
      <c r="L225" s="5" t="inlineStr">
        <is>
          <t>SFST34000115</t>
        </is>
      </c>
      <c r="M225" s="7" t="inlineStr">
        <is>
          <t>Consumable part for MN</t>
        </is>
      </c>
      <c r="N225" s="7" t="inlineStr">
        <is>
          <t>Consumable part</t>
        </is>
      </c>
      <c r="O225" s="11" t="n">
        <v>5</v>
      </c>
      <c r="P225" s="10" t="inlineStr">
        <is>
          <t>Non-asbestos flange gasket 1-1/2" (DN40) 3 mm (PN16)</t>
        </is>
      </c>
      <c r="Q225" s="277" t="n">
        <v>10</v>
      </c>
      <c r="R225" s="5" t="inlineStr">
        <is>
          <t>pcs.</t>
        </is>
      </c>
      <c r="S225" s="284">
        <f>RawDataGenPO[[#This Row],[Total price]]/RawDataGenPO[[#This Row],[Qty'']]</f>
        <v/>
      </c>
      <c r="T225" s="306" t="n">
        <v>2000</v>
      </c>
      <c r="U225" s="161" t="inlineStr">
        <is>
          <t>Puneet Approval</t>
        </is>
      </c>
      <c r="V225" s="7" t="inlineStr">
        <is>
          <t>V1000529 - 168 Supply</t>
        </is>
      </c>
      <c r="W225" s="5" t="inlineStr">
        <is>
          <t>Recive bill and GRN already</t>
        </is>
      </c>
      <c r="X225" s="5" t="n"/>
      <c r="Y225" s="3" t="n">
        <v>45527</v>
      </c>
      <c r="Z225" s="3" t="n"/>
      <c r="AA225" s="17">
        <f>IF(RawDataGenPO[[#This Row],[Date Gen PO]]="","",RawDataGenPO[[#This Row],[Date recive bill]]-RawDataGenPO[[#This Row],[Date Gen PO]])</f>
        <v/>
      </c>
      <c r="AB225" s="16">
        <f>IF(RawDataGenPO[[#This Row],[GRN-PO date]]&gt;RawDataGenPO[[#This Row],[Lead time delivery (day)]],"over deliverry","Ontime")</f>
        <v/>
      </c>
      <c r="AC225" s="168" t="n"/>
    </row>
    <row r="226" customFormat="1" s="125">
      <c r="A226" s="5">
        <f>ROW()-ROW(RawDataGenPO[[#Headers],[No.]])</f>
        <v/>
      </c>
      <c r="B226" s="7" t="inlineStr">
        <is>
          <t>Expent  cost</t>
        </is>
      </c>
      <c r="C226" s="301" t="n">
        <v>45513</v>
      </c>
      <c r="D226" s="276" t="n"/>
      <c r="E226" s="281" t="n"/>
      <c r="F226" s="301" t="n">
        <v>45513</v>
      </c>
      <c r="G226" s="239" t="inlineStr">
        <is>
          <t>PR2425-02574</t>
        </is>
      </c>
      <c r="H226" s="5" t="inlineStr">
        <is>
          <t xml:space="preserve">PO2425-02974 </t>
        </is>
      </c>
      <c r="I226" s="290">
        <f>IF(RawDataGenPO[[#This Row],[PO No.]]="","",RawDataGenPO[[#This Row],[DMY Create PR]]+7)</f>
        <v/>
      </c>
      <c r="J226" s="290" t="n"/>
      <c r="K226" s="20">
        <f>IF(RawDataGenPO[[#This Row],[PO No.]]="","",10)</f>
        <v/>
      </c>
      <c r="L226" s="5" t="inlineStr">
        <is>
          <t>SFST34000116</t>
        </is>
      </c>
      <c r="M226" s="7" t="inlineStr">
        <is>
          <t>Consumable part for MN</t>
        </is>
      </c>
      <c r="N226" s="7" t="inlineStr">
        <is>
          <t>Consumable part</t>
        </is>
      </c>
      <c r="O226" s="11" t="n">
        <v>6</v>
      </c>
      <c r="P226" s="10" t="inlineStr">
        <is>
          <t>Non-asbestos flange gasket 2" (DN50) 3 mm (PN16)</t>
        </is>
      </c>
      <c r="Q226" s="277" t="n">
        <v>10</v>
      </c>
      <c r="R226" s="5" t="inlineStr">
        <is>
          <t>pcs.</t>
        </is>
      </c>
      <c r="S226" s="284">
        <f>RawDataGenPO[[#This Row],[Total price]]/RawDataGenPO[[#This Row],[Qty'']]</f>
        <v/>
      </c>
      <c r="T226" s="303" t="n">
        <v>2300</v>
      </c>
      <c r="U226" s="161" t="inlineStr">
        <is>
          <t>Puneet Approval</t>
        </is>
      </c>
      <c r="V226" s="7" t="inlineStr">
        <is>
          <t>V1000529 - 168 Supply</t>
        </is>
      </c>
      <c r="W226" s="5" t="inlineStr">
        <is>
          <t>Recive bill and GRN already</t>
        </is>
      </c>
      <c r="X226" s="5" t="n"/>
      <c r="Y226" s="3" t="n">
        <v>45527</v>
      </c>
      <c r="Z226" s="3" t="n"/>
      <c r="AA226" s="17">
        <f>IF(RawDataGenPO[[#This Row],[Date Gen PO]]="","",RawDataGenPO[[#This Row],[Date recive bill]]-RawDataGenPO[[#This Row],[Date Gen PO]])</f>
        <v/>
      </c>
      <c r="AB226" s="16">
        <f>IF(RawDataGenPO[[#This Row],[GRN-PO date]]&gt;RawDataGenPO[[#This Row],[Lead time delivery (day)]],"over deliverry","Ontime")</f>
        <v/>
      </c>
      <c r="AC226" s="168" t="n"/>
    </row>
    <row r="227" customFormat="1" s="125">
      <c r="A227" s="5">
        <f>ROW()-ROW(RawDataGenPO[[#Headers],[No.]])</f>
        <v/>
      </c>
      <c r="B227" s="7" t="inlineStr">
        <is>
          <t>Expent  cost</t>
        </is>
      </c>
      <c r="C227" s="301" t="n">
        <v>45513</v>
      </c>
      <c r="D227" s="276" t="n"/>
      <c r="E227" s="281" t="n"/>
      <c r="F227" s="301" t="n">
        <v>45513</v>
      </c>
      <c r="G227" s="239" t="inlineStr">
        <is>
          <t>PR2425-02574</t>
        </is>
      </c>
      <c r="H227" s="5" t="inlineStr">
        <is>
          <t xml:space="preserve">PO2425-02974 </t>
        </is>
      </c>
      <c r="I227" s="290">
        <f>IF(RawDataGenPO[[#This Row],[PO No.]]="","",RawDataGenPO[[#This Row],[DMY Create PR]]+7)</f>
        <v/>
      </c>
      <c r="J227" s="290" t="n"/>
      <c r="K227" s="20">
        <f>IF(RawDataGenPO[[#This Row],[PO No.]]="","",10)</f>
        <v/>
      </c>
      <c r="L227" s="5" t="inlineStr">
        <is>
          <t>SFST34000117</t>
        </is>
      </c>
      <c r="M227" s="7" t="inlineStr">
        <is>
          <t>Consumable part for MN</t>
        </is>
      </c>
      <c r="N227" s="7" t="inlineStr">
        <is>
          <t>Consumable part</t>
        </is>
      </c>
      <c r="O227" s="11" t="n">
        <v>7</v>
      </c>
      <c r="P227" s="10" t="inlineStr">
        <is>
          <t>Non-asbestos flange gasket 2-1/2" (DN15) 3 mm (PN16)</t>
        </is>
      </c>
      <c r="Q227" s="277" t="n">
        <v>10</v>
      </c>
      <c r="R227" s="5" t="inlineStr">
        <is>
          <t>pcs.</t>
        </is>
      </c>
      <c r="S227" s="284">
        <f>RawDataGenPO[[#This Row],[Total price]]/RawDataGenPO[[#This Row],[Qty'']]</f>
        <v/>
      </c>
      <c r="T227" s="303" t="n">
        <v>2600</v>
      </c>
      <c r="U227" s="161" t="inlineStr">
        <is>
          <t>Puneet Approval</t>
        </is>
      </c>
      <c r="V227" s="7" t="inlineStr">
        <is>
          <t>V1000529 - 168 Supply</t>
        </is>
      </c>
      <c r="W227" s="5" t="inlineStr">
        <is>
          <t>Recive bill and GRN already</t>
        </is>
      </c>
      <c r="X227" s="5" t="n"/>
      <c r="Y227" s="3" t="n">
        <v>45527</v>
      </c>
      <c r="Z227" s="3" t="n"/>
      <c r="AA227" s="17">
        <f>IF(RawDataGenPO[[#This Row],[Date Gen PO]]="","",RawDataGenPO[[#This Row],[Date recive bill]]-RawDataGenPO[[#This Row],[Date Gen PO]])</f>
        <v/>
      </c>
      <c r="AB227" s="16">
        <f>IF(RawDataGenPO[[#This Row],[GRN-PO date]]&gt;RawDataGenPO[[#This Row],[Lead time delivery (day)]],"over deliverry","Ontime")</f>
        <v/>
      </c>
      <c r="AC227" s="168" t="n"/>
    </row>
    <row r="228" customFormat="1" s="125">
      <c r="A228" s="5">
        <f>ROW()-ROW(RawDataGenPO[[#Headers],[No.]])</f>
        <v/>
      </c>
      <c r="B228" s="7" t="inlineStr">
        <is>
          <t>Expent  cost</t>
        </is>
      </c>
      <c r="C228" s="301" t="n">
        <v>45513</v>
      </c>
      <c r="D228" s="276" t="n"/>
      <c r="E228" s="281" t="n"/>
      <c r="F228" s="301" t="n">
        <v>45513</v>
      </c>
      <c r="G228" s="239" t="inlineStr">
        <is>
          <t>PR2425-02574</t>
        </is>
      </c>
      <c r="H228" s="5" t="inlineStr">
        <is>
          <t xml:space="preserve">PO2425-02974 </t>
        </is>
      </c>
      <c r="I228" s="290">
        <f>IF(RawDataGenPO[[#This Row],[PO No.]]="","",RawDataGenPO[[#This Row],[DMY Create PR]]+7)</f>
        <v/>
      </c>
      <c r="J228" s="290" t="n"/>
      <c r="K228" s="20">
        <f>IF(RawDataGenPO[[#This Row],[PO No.]]="","",10)</f>
        <v/>
      </c>
      <c r="L228" s="5" t="inlineStr">
        <is>
          <t>SFST34000114</t>
        </is>
      </c>
      <c r="M228" s="7" t="inlineStr">
        <is>
          <t>Consumable part for MN</t>
        </is>
      </c>
      <c r="N228" s="7" t="inlineStr">
        <is>
          <t>Consumable part</t>
        </is>
      </c>
      <c r="O228" s="11" t="n">
        <v>8</v>
      </c>
      <c r="P228" s="10" t="inlineStr">
        <is>
          <t>Non-asbestos flange gasket 1-1/4" (DN32) 3 mm (PN16)</t>
        </is>
      </c>
      <c r="Q228" s="277" t="n">
        <v>10</v>
      </c>
      <c r="R228" s="5" t="inlineStr">
        <is>
          <t>pcs.</t>
        </is>
      </c>
      <c r="S228" s="284">
        <f>RawDataGenPO[[#This Row],[Total price]]/RawDataGenPO[[#This Row],[Qty'']]</f>
        <v/>
      </c>
      <c r="T228" s="303" t="n">
        <v>1800</v>
      </c>
      <c r="U228" s="161" t="inlineStr">
        <is>
          <t>Puneet Approval</t>
        </is>
      </c>
      <c r="V228" s="7" t="inlineStr">
        <is>
          <t>V1000529 - 168 Supply</t>
        </is>
      </c>
      <c r="W228" s="5" t="inlineStr">
        <is>
          <t>Recive bill and GRN already</t>
        </is>
      </c>
      <c r="X228" s="5" t="n"/>
      <c r="Y228" s="3" t="n">
        <v>45527</v>
      </c>
      <c r="Z228" s="3" t="n"/>
      <c r="AA228" s="17">
        <f>IF(RawDataGenPO[[#This Row],[Date Gen PO]]="","",RawDataGenPO[[#This Row],[Date recive bill]]-RawDataGenPO[[#This Row],[Date Gen PO]])</f>
        <v/>
      </c>
      <c r="AB228" s="16">
        <f>IF(RawDataGenPO[[#This Row],[GRN-PO date]]&gt;RawDataGenPO[[#This Row],[Lead time delivery (day)]],"over deliverry","Ontime")</f>
        <v/>
      </c>
      <c r="AC228" s="168" t="n"/>
    </row>
    <row r="229" ht="30" customFormat="1" customHeight="1" s="125">
      <c r="A229" s="5">
        <f>ROW()-ROW(RawDataGenPO[[#Headers],[No.]])</f>
        <v/>
      </c>
      <c r="B229" s="7" t="inlineStr">
        <is>
          <t>Expent  cost</t>
        </is>
      </c>
      <c r="C229" s="281" t="n">
        <v>45513</v>
      </c>
      <c r="D229" s="276" t="n"/>
      <c r="E229" s="281" t="n"/>
      <c r="F229" s="281" t="n">
        <v>45513</v>
      </c>
      <c r="G229" s="239" t="inlineStr">
        <is>
          <t>PR2425-02573</t>
        </is>
      </c>
      <c r="H229" s="5" t="inlineStr">
        <is>
          <t>PO2425-02975</t>
        </is>
      </c>
      <c r="I229" s="290">
        <f>IF(RawDataGenPO[[#This Row],[PO No.]]="","",RawDataGenPO[[#This Row],[DMY Create PR]]+7)</f>
        <v/>
      </c>
      <c r="J229" s="290" t="n"/>
      <c r="K229" s="20" t="n">
        <v>20</v>
      </c>
      <c r="L229" s="5" t="inlineStr">
        <is>
          <t>SFST81000050</t>
        </is>
      </c>
      <c r="M229" s="7" t="inlineStr">
        <is>
          <t>Consumable part for MN</t>
        </is>
      </c>
      <c r="N229" s="7" t="inlineStr">
        <is>
          <t>Consumable part</t>
        </is>
      </c>
      <c r="O229" s="11" t="n">
        <v>1</v>
      </c>
      <c r="P229" s="10" t="inlineStr">
        <is>
          <t>O-Ring for Bowl Cutter CM120STL #SN 420/1217
Part No. 264 A 044 O-Ring for unloader screen</t>
        </is>
      </c>
      <c r="Q229" s="277" t="n">
        <v>1</v>
      </c>
      <c r="R229" s="5" t="inlineStr">
        <is>
          <t>Pcs.</t>
        </is>
      </c>
      <c r="S229" s="284">
        <f>RawDataGenPO[[#This Row],[Total price]]/RawDataGenPO[[#This Row],[Qty'']]</f>
        <v/>
      </c>
      <c r="T229" s="285" t="n">
        <v>5508</v>
      </c>
      <c r="U229" s="161" t="inlineStr">
        <is>
          <t>Puneet Approval</t>
        </is>
      </c>
      <c r="V229" s="7" t="inlineStr">
        <is>
          <t>V1000189 - FPT FOOD PROCESS TECHNOLOGY CO., LTD.</t>
        </is>
      </c>
      <c r="W229" s="5" t="inlineStr">
        <is>
          <t>Recive bill and GRN already</t>
        </is>
      </c>
      <c r="X229" s="5" t="n"/>
      <c r="Y229" s="3" t="n">
        <v>45538</v>
      </c>
      <c r="Z229" s="3" t="n"/>
      <c r="AA229" s="17">
        <f>IF(RawDataGenPO[[#This Row],[Date Gen PO]]="","",RawDataGenPO[[#This Row],[Date recive bill]]-RawDataGenPO[[#This Row],[Date Gen PO]])</f>
        <v/>
      </c>
      <c r="AB229" s="16">
        <f>IF(RawDataGenPO[[#This Row],[GRN-PO date]]&gt;RawDataGenPO[[#This Row],[Lead time delivery (day)]],"over deliverry","Ontime")</f>
        <v/>
      </c>
      <c r="AC229" s="168" t="n"/>
    </row>
    <row r="230" customFormat="1" s="125">
      <c r="A230" s="5">
        <f>ROW()-ROW(RawDataGenPO[[#Headers],[No.]])</f>
        <v/>
      </c>
      <c r="B230" s="7" t="inlineStr">
        <is>
          <t>Expent  cost</t>
        </is>
      </c>
      <c r="C230" s="281" t="n">
        <v>45513</v>
      </c>
      <c r="D230" s="276" t="n"/>
      <c r="E230" s="281" t="n"/>
      <c r="F230" s="281" t="n">
        <v>45513</v>
      </c>
      <c r="G230" s="239" t="inlineStr">
        <is>
          <t>PR2425-02574</t>
        </is>
      </c>
      <c r="H230" s="5" t="inlineStr">
        <is>
          <t>PO2425-02975</t>
        </is>
      </c>
      <c r="I230" s="290">
        <f>IF(RawDataGenPO[[#This Row],[PO No.]]="","",RawDataGenPO[[#This Row],[DMY Create PR]]+7)</f>
        <v/>
      </c>
      <c r="J230" s="290" t="n"/>
      <c r="K230" s="20">
        <f>IF(RawDataGenPO[[#This Row],[PO No.]]="","",10)</f>
        <v/>
      </c>
      <c r="L230" s="5" t="inlineStr">
        <is>
          <t>SFST34000112</t>
        </is>
      </c>
      <c r="M230" s="7" t="inlineStr">
        <is>
          <t>Consumable part for MN</t>
        </is>
      </c>
      <c r="N230" s="7" t="inlineStr">
        <is>
          <t>Consumable part</t>
        </is>
      </c>
      <c r="O230" s="11" t="n">
        <v>2</v>
      </c>
      <c r="P230" s="240" t="inlineStr">
        <is>
          <t>Non-asbestos flange gasket 3/4" (DN20) 3 mm (PN16)</t>
        </is>
      </c>
      <c r="Q230" s="277" t="n">
        <v>10</v>
      </c>
      <c r="R230" s="5" t="inlineStr">
        <is>
          <t>pcs.</t>
        </is>
      </c>
      <c r="S230" s="284">
        <f>RawDataGenPO[[#This Row],[Total price]]/RawDataGenPO[[#This Row],[Qty'']]</f>
        <v/>
      </c>
      <c r="T230" s="303" t="n">
        <v>1250</v>
      </c>
      <c r="U230" s="161" t="inlineStr">
        <is>
          <t>Puneet Approval</t>
        </is>
      </c>
      <c r="V230" s="7" t="inlineStr">
        <is>
          <t>V1000529 - 168 Supply</t>
        </is>
      </c>
      <c r="W230" s="5" t="inlineStr">
        <is>
          <t>Recive bill and GRN already</t>
        </is>
      </c>
      <c r="X230" s="5" t="n"/>
      <c r="Y230" s="3" t="n">
        <v>45527</v>
      </c>
      <c r="Z230" s="3" t="n"/>
      <c r="AA230" s="17">
        <f>IF(RawDataGenPO[[#This Row],[Date Gen PO]]="","",RawDataGenPO[[#This Row],[Date recive bill]]-RawDataGenPO[[#This Row],[Date Gen PO]])</f>
        <v/>
      </c>
      <c r="AB230" s="16">
        <f>IF(RawDataGenPO[[#This Row],[GRN-PO date]]&gt;RawDataGenPO[[#This Row],[Lead time delivery (day)]],"over deliverry","Ontime")</f>
        <v/>
      </c>
      <c r="AC230" s="168" t="n"/>
    </row>
    <row r="231" ht="30" customFormat="1" customHeight="1" s="125">
      <c r="A231" s="5">
        <f>ROW()-ROW(RawDataGenPO[[#Headers],[No.]])</f>
        <v/>
      </c>
      <c r="B231" s="7" t="inlineStr">
        <is>
          <t>Expent  cost</t>
        </is>
      </c>
      <c r="C231" s="301" t="n">
        <v>45513</v>
      </c>
      <c r="D231" s="276" t="n"/>
      <c r="E231" s="281" t="n"/>
      <c r="F231" s="301" t="n">
        <v>45513</v>
      </c>
      <c r="G231" s="239" t="inlineStr">
        <is>
          <t xml:space="preserve">PR2425-02573 </t>
        </is>
      </c>
      <c r="H231" s="5" t="inlineStr">
        <is>
          <t>PO2425-02975</t>
        </is>
      </c>
      <c r="I231" s="290">
        <f>IF(RawDataGenPO[[#This Row],[PO No.]]="","",RawDataGenPO[[#This Row],[DMY Create PR]]+7)</f>
        <v/>
      </c>
      <c r="J231" s="290" t="n"/>
      <c r="K231" s="20" t="n">
        <v>20</v>
      </c>
      <c r="L231" s="5" t="inlineStr">
        <is>
          <t>SFST81000050</t>
        </is>
      </c>
      <c r="M231" s="7" t="inlineStr">
        <is>
          <t>Consumable part for MN</t>
        </is>
      </c>
      <c r="N231" s="7" t="inlineStr">
        <is>
          <t>Consumable part</t>
        </is>
      </c>
      <c r="O231" s="11" t="n">
        <v>2</v>
      </c>
      <c r="P231" s="10" t="inlineStr">
        <is>
          <t>O-Ring for Bowl Cutter CM120STL #SN 420/1217
Part No. 264 A 044 O-Ring for unloader screen</t>
        </is>
      </c>
      <c r="Q231" s="277" t="n">
        <v>1</v>
      </c>
      <c r="R231" s="5" t="inlineStr">
        <is>
          <t>pcs.</t>
        </is>
      </c>
      <c r="S231" s="284">
        <f>RawDataGenPO[[#This Row],[Total price]]/RawDataGenPO[[#This Row],[Qty'']]</f>
        <v/>
      </c>
      <c r="T231" s="285" t="n">
        <v>5508</v>
      </c>
      <c r="U231" s="161" t="inlineStr">
        <is>
          <t>Puneet Approval</t>
        </is>
      </c>
      <c r="V231" s="7" t="inlineStr">
        <is>
          <t>V1000189 - FPT FOOD PROCESS TECHNOLOGY CO., LTD.</t>
        </is>
      </c>
      <c r="W231" s="5" t="inlineStr">
        <is>
          <t>Recive bill and GRN already</t>
        </is>
      </c>
      <c r="X231" s="5" t="n"/>
      <c r="Y231" s="3" t="n">
        <v>45538</v>
      </c>
      <c r="Z231" s="3" t="n"/>
      <c r="AA231" s="17">
        <f>IF(RawDataGenPO[[#This Row],[Date Gen PO]]="","",RawDataGenPO[[#This Row],[Date recive bill]]-RawDataGenPO[[#This Row],[Date Gen PO]])</f>
        <v/>
      </c>
      <c r="AB231" s="16">
        <f>IF(RawDataGenPO[[#This Row],[GRN-PO date]]&gt;RawDataGenPO[[#This Row],[Lead time delivery (day)]],"over deliverry","Ontime")</f>
        <v/>
      </c>
      <c r="AC231" s="168" t="n"/>
    </row>
    <row r="232" customFormat="1" s="125">
      <c r="A232" s="5">
        <f>ROW()-ROW(RawDataGenPO[[#Headers],[No.]])</f>
        <v/>
      </c>
      <c r="B232" s="7" t="inlineStr">
        <is>
          <t>Expent  cost</t>
        </is>
      </c>
      <c r="C232" s="281" t="n">
        <v>45513</v>
      </c>
      <c r="D232" s="276" t="n"/>
      <c r="E232" s="281" t="n"/>
      <c r="F232" s="281" t="n">
        <v>45513</v>
      </c>
      <c r="G232" s="239" t="inlineStr">
        <is>
          <t>PR2425-02574</t>
        </is>
      </c>
      <c r="H232" s="5" t="inlineStr">
        <is>
          <t>PO2425-02976</t>
        </is>
      </c>
      <c r="I232" s="290">
        <f>IF(RawDataGenPO[[#This Row],[PO No.]]="","",RawDataGenPO[[#This Row],[DMY Create PR]]+7)</f>
        <v/>
      </c>
      <c r="J232" s="290" t="n"/>
      <c r="K232" s="20">
        <f>IF(RawDataGenPO[[#This Row],[PO No.]]="","",10)</f>
        <v/>
      </c>
      <c r="L232" s="5" t="inlineStr">
        <is>
          <t>SFST34000113</t>
        </is>
      </c>
      <c r="M232" s="7" t="inlineStr">
        <is>
          <t>Consumable part for MN</t>
        </is>
      </c>
      <c r="N232" s="7" t="inlineStr">
        <is>
          <t>Consumable part</t>
        </is>
      </c>
      <c r="O232" s="11" t="n">
        <v>1</v>
      </c>
      <c r="P232" s="240" t="inlineStr">
        <is>
          <t>Non-asbestos flange gasket 1" (DN25) 3 mm (PN16)</t>
        </is>
      </c>
      <c r="Q232" s="277" t="n">
        <v>10</v>
      </c>
      <c r="R232" s="5" t="inlineStr">
        <is>
          <t>pcs.</t>
        </is>
      </c>
      <c r="S232" s="284">
        <f>RawDataGenPO[[#This Row],[Total price]]/RawDataGenPO[[#This Row],[Qty'']]</f>
        <v/>
      </c>
      <c r="T232" s="306" t="n">
        <v>1450</v>
      </c>
      <c r="U232" s="161" t="inlineStr">
        <is>
          <t>Puneet Approval</t>
        </is>
      </c>
      <c r="V232" s="7" t="inlineStr">
        <is>
          <t>V1000529 - 168 Supply</t>
        </is>
      </c>
      <c r="W232" s="5" t="inlineStr">
        <is>
          <t>Recive bill and GRN already</t>
        </is>
      </c>
      <c r="X232" s="5" t="n"/>
      <c r="Y232" s="3" t="n">
        <v>45527</v>
      </c>
      <c r="Z232" s="3" t="n"/>
      <c r="AA232" s="17">
        <f>IF(RawDataGenPO[[#This Row],[Date Gen PO]]="","",RawDataGenPO[[#This Row],[Date recive bill]]-RawDataGenPO[[#This Row],[Date Gen PO]])</f>
        <v/>
      </c>
      <c r="AB232" s="16">
        <f>IF(RawDataGenPO[[#This Row],[GRN-PO date]]&gt;RawDataGenPO[[#This Row],[Lead time delivery (day)]],"over deliverry","Ontime")</f>
        <v/>
      </c>
      <c r="AC232" s="168" t="n"/>
    </row>
    <row r="233" ht="270" customFormat="1" customHeight="1" s="125">
      <c r="A233" s="5">
        <f>ROW()-ROW(RawDataGenPO[[#Headers],[No.]])</f>
        <v/>
      </c>
      <c r="B233" s="7" t="inlineStr">
        <is>
          <t>Expent  cost</t>
        </is>
      </c>
      <c r="C233" s="301" t="n">
        <v>45517</v>
      </c>
      <c r="D233" s="276" t="n"/>
      <c r="E233" s="281" t="n"/>
      <c r="F233" s="301" t="n">
        <v>45517</v>
      </c>
      <c r="G233" s="239" t="inlineStr">
        <is>
          <t>PR2425-02577</t>
        </is>
      </c>
      <c r="H233" s="5" t="inlineStr">
        <is>
          <t>PO2425-02976</t>
        </is>
      </c>
      <c r="I233" s="290">
        <f>IF(RawDataGenPO[[#This Row],[PO No.]]="","",RawDataGenPO[[#This Row],[DMY Create PR]]+7)</f>
        <v/>
      </c>
      <c r="J233" s="290" t="n"/>
      <c r="K233" s="20" t="n">
        <v>30</v>
      </c>
      <c r="L233" s="5" t="inlineStr">
        <is>
          <t>SFST81000064</t>
        </is>
      </c>
      <c r="M233" s="7" t="inlineStr">
        <is>
          <t>Annual cost</t>
        </is>
      </c>
      <c r="N233" s="7" t="inlineStr">
        <is>
          <t>Safety  annual jobs</t>
        </is>
      </c>
      <c r="O233" s="11" t="n">
        <v>2</v>
      </c>
      <c r="P233" s="10" t="inlineStr">
        <is>
          <t xml:space="preserve">Wastewater analysis
1. pH
2. Total Dissolved Solids (TDS)
3. BOD (Biochemical Oxygen Demand)
4. Total Suspended Solids (TSS)
5. Sulfide
6. TKN (Total Kjeldahl Nitrogen)
7. Dissolved Oxygen (DO)
8. COD (Chemical Oxygen Demand)
9. Arsenic (As)
10. Cadmium (Cd)
11. Hexavalent Chromium (Cr)
12. Copper (Cu)
13. Manganese (Mn)
14. Lead (Pb)
15. Zinc (Zn)
</t>
        </is>
      </c>
      <c r="Q233" s="277" t="n">
        <v>1</v>
      </c>
      <c r="R233" s="5" t="inlineStr">
        <is>
          <t>JOB</t>
        </is>
      </c>
      <c r="S233" s="284">
        <f>RawDataGenPO[[#This Row],[Total price]]/RawDataGenPO[[#This Row],[Qty'']]</f>
        <v/>
      </c>
      <c r="T233" s="307" t="n">
        <v>5960</v>
      </c>
      <c r="U233" s="161" t="inlineStr">
        <is>
          <t>Puneet Approval</t>
        </is>
      </c>
      <c r="V233" s="7" t="inlineStr">
        <is>
          <t>V1000619 - Faculty of Public Health, Mahidol University</t>
        </is>
      </c>
      <c r="W233" s="5" t="inlineStr">
        <is>
          <t>Recive bill and GRN already</t>
        </is>
      </c>
      <c r="X233" s="5" t="n"/>
      <c r="Y233" s="3" t="n">
        <v>45548</v>
      </c>
      <c r="Z233" s="3" t="n"/>
      <c r="AA233" s="17">
        <f>IF(RawDataGenPO[[#This Row],[Date Gen PO]]="","",RawDataGenPO[[#This Row],[Date recive bill]]-RawDataGenPO[[#This Row],[Date Gen PO]])</f>
        <v/>
      </c>
      <c r="AB233" s="16">
        <f>IF(RawDataGenPO[[#This Row],[GRN-PO date]]&gt;RawDataGenPO[[#This Row],[Lead time delivery (day)]],"over deliverry","Ontime")</f>
        <v/>
      </c>
      <c r="AC233" s="168" t="n"/>
    </row>
    <row r="234" ht="270" customFormat="1" customHeight="1" s="236">
      <c r="A234" s="5">
        <f>ROW()-ROW(RawDataGenPO[[#Headers],[No.]])</f>
        <v/>
      </c>
      <c r="B234" s="7" t="inlineStr">
        <is>
          <t>Expent  cost</t>
        </is>
      </c>
      <c r="C234" s="301" t="n">
        <v>45513</v>
      </c>
      <c r="D234" s="276" t="n"/>
      <c r="E234" s="281" t="n"/>
      <c r="F234" s="301" t="n">
        <v>45513</v>
      </c>
      <c r="G234" s="239" t="inlineStr">
        <is>
          <t xml:space="preserve">PR2425-02577 </t>
        </is>
      </c>
      <c r="H234" s="5" t="inlineStr">
        <is>
          <t>PO2425-02976</t>
        </is>
      </c>
      <c r="I234" s="290">
        <f>IF(RawDataGenPO[[#This Row],[PO No.]]="","",RawDataGenPO[[#This Row],[DMY Create PR]]+7)</f>
        <v/>
      </c>
      <c r="J234" s="290" t="n"/>
      <c r="K234" s="20" t="n">
        <v>30</v>
      </c>
      <c r="L234" s="5" t="inlineStr">
        <is>
          <t>SFST81000064</t>
        </is>
      </c>
      <c r="M234" s="7" t="inlineStr">
        <is>
          <t>Annual cost</t>
        </is>
      </c>
      <c r="N234" s="7" t="inlineStr">
        <is>
          <t>Safety  annual jobs</t>
        </is>
      </c>
      <c r="O234" s="11" t="n">
        <v>3</v>
      </c>
      <c r="P234" s="10" t="inlineStr">
        <is>
          <t xml:space="preserve">Wastewater analysis
1. pH
2. Total Dissolved Solids (TDS)
3. BOD (Biochemical Oxygen Demand)
4. Total Suspended Solids (TSS)
5. Sulfide
6. TKN (Total Kjeldahl Nitrogen)
7. Dissolved Oxygen (DO)
8. COD (Chemical Oxygen Demand)
9. Arsenic (As)
10. Cadmium (Cd)
11. Hexavalent Chromium (Cr)
12. Copper (Cu)
13. Manganese (Mn)
14. Lead (Pb)
15. Zinc (Zn)
</t>
        </is>
      </c>
      <c r="Q234" s="277" t="n">
        <v>1</v>
      </c>
      <c r="R234" s="5" t="inlineStr">
        <is>
          <t>JOB.</t>
        </is>
      </c>
      <c r="S234" s="284">
        <f>RawDataGenPO[[#This Row],[Total price]]/RawDataGenPO[[#This Row],[Qty'']]</f>
        <v/>
      </c>
      <c r="T234" s="307" t="n">
        <v>5960</v>
      </c>
      <c r="U234" s="161" t="inlineStr">
        <is>
          <t>Puneet Approval</t>
        </is>
      </c>
      <c r="V234" s="5" t="inlineStr">
        <is>
          <t>V1000619 - Faculty of Public Health, Mahidol University</t>
        </is>
      </c>
      <c r="W234" s="5" t="inlineStr">
        <is>
          <t>Recive bill and GRN already</t>
        </is>
      </c>
      <c r="X234" s="5" t="n"/>
      <c r="Y234" s="3" t="n">
        <v>45548</v>
      </c>
      <c r="Z234" s="3" t="n"/>
      <c r="AA234" s="17">
        <f>IF(RawDataGenPO[[#This Row],[Date Gen PO]]="","",RawDataGenPO[[#This Row],[Date recive bill]]-RawDataGenPO[[#This Row],[Date Gen PO]])</f>
        <v/>
      </c>
      <c r="AB234" s="16">
        <f>IF(RawDataGenPO[[#This Row],[GRN-PO date]]&gt;RawDataGenPO[[#This Row],[Lead time delivery (day)]],"over deliverry","Ontime")</f>
        <v/>
      </c>
      <c r="AC234" s="168" t="n"/>
    </row>
    <row r="235" customFormat="1" s="125">
      <c r="A235" s="5">
        <f>ROW()-ROW(RawDataGenPO[[#Headers],[No.]])</f>
        <v/>
      </c>
      <c r="B235" s="7" t="inlineStr">
        <is>
          <t>Expent  cost</t>
        </is>
      </c>
      <c r="C235" s="281" t="n">
        <v>45513</v>
      </c>
      <c r="D235" s="276" t="n"/>
      <c r="E235" s="281" t="n"/>
      <c r="F235" s="281" t="n">
        <v>45513</v>
      </c>
      <c r="G235" s="239" t="inlineStr">
        <is>
          <t>PR2425-02574</t>
        </is>
      </c>
      <c r="H235" s="5" t="inlineStr">
        <is>
          <t>PO2425-02977</t>
        </is>
      </c>
      <c r="I235" s="290">
        <f>IF(RawDataGenPO[[#This Row],[PO No.]]="","",RawDataGenPO[[#This Row],[DMY Create PR]]+7)</f>
        <v/>
      </c>
      <c r="J235" s="290" t="n"/>
      <c r="K235" s="20">
        <f>IF(RawDataGenPO[[#This Row],[PO No.]]="","",10)</f>
        <v/>
      </c>
      <c r="L235" s="5" t="inlineStr">
        <is>
          <t>SFST34000115</t>
        </is>
      </c>
      <c r="M235" s="7" t="inlineStr">
        <is>
          <t>Consumable part for MN</t>
        </is>
      </c>
      <c r="N235" s="7" t="inlineStr">
        <is>
          <t>Consumable part</t>
        </is>
      </c>
      <c r="O235" s="11" t="n">
        <v>1</v>
      </c>
      <c r="P235" s="240" t="inlineStr">
        <is>
          <t>Non-asbestos flange gasket 1-1/2" (DN40) 3 mm (PN16)</t>
        </is>
      </c>
      <c r="Q235" s="277" t="n">
        <v>10</v>
      </c>
      <c r="R235" s="5" t="inlineStr">
        <is>
          <t>pcs.</t>
        </is>
      </c>
      <c r="S235" s="284">
        <f>RawDataGenPO[[#This Row],[Total price]]/RawDataGenPO[[#This Row],[Qty'']]</f>
        <v/>
      </c>
      <c r="T235" s="306" t="n">
        <v>2000</v>
      </c>
      <c r="U235" s="161" t="inlineStr">
        <is>
          <t>Puneet Approval</t>
        </is>
      </c>
      <c r="V235" s="7" t="inlineStr">
        <is>
          <t>V1000529 - 168 Supply</t>
        </is>
      </c>
      <c r="W235" s="5" t="inlineStr">
        <is>
          <t>Recive bill and GRN already</t>
        </is>
      </c>
      <c r="X235" s="5" t="n"/>
      <c r="Y235" s="3" t="n">
        <v>45527</v>
      </c>
      <c r="Z235" s="3" t="n"/>
      <c r="AA235" s="17">
        <f>IF(RawDataGenPO[[#This Row],[Date Gen PO]]="","",RawDataGenPO[[#This Row],[Date recive bill]]-RawDataGenPO[[#This Row],[Date Gen PO]])</f>
        <v/>
      </c>
      <c r="AB235" s="16">
        <f>IF(RawDataGenPO[[#This Row],[GRN-PO date]]&gt;RawDataGenPO[[#This Row],[Lead time delivery (day)]],"over deliverry","Ontime")</f>
        <v/>
      </c>
      <c r="AC235" s="168" t="n"/>
    </row>
    <row r="236" customFormat="1" s="125">
      <c r="A236" s="5">
        <f>ROW()-ROW(RawDataGenPO[[#Headers],[No.]])</f>
        <v/>
      </c>
      <c r="B236" s="7" t="inlineStr">
        <is>
          <t>Expent  cost</t>
        </is>
      </c>
      <c r="C236" s="281" t="n">
        <v>45513</v>
      </c>
      <c r="D236" s="276" t="n"/>
      <c r="E236" s="281" t="n"/>
      <c r="F236" s="281" t="n">
        <v>45513</v>
      </c>
      <c r="G236" s="239" t="inlineStr">
        <is>
          <t>PR2425-02574</t>
        </is>
      </c>
      <c r="H236" s="5" t="inlineStr">
        <is>
          <t>PO2425-02978</t>
        </is>
      </c>
      <c r="I236" s="290">
        <f>IF(RawDataGenPO[[#This Row],[PO No.]]="","",RawDataGenPO[[#This Row],[DMY Create PR]]+7)</f>
        <v/>
      </c>
      <c r="J236" s="290" t="n"/>
      <c r="K236" s="20">
        <f>IF(RawDataGenPO[[#This Row],[PO No.]]="","",10)</f>
        <v/>
      </c>
      <c r="L236" s="5" t="inlineStr">
        <is>
          <t>SFST34000116</t>
        </is>
      </c>
      <c r="M236" s="7" t="inlineStr">
        <is>
          <t>Consumable part for MN</t>
        </is>
      </c>
      <c r="N236" s="7" t="inlineStr">
        <is>
          <t>Consumable part</t>
        </is>
      </c>
      <c r="O236" s="11" t="n">
        <v>1</v>
      </c>
      <c r="P236" s="240" t="inlineStr">
        <is>
          <t>Non-asbestos flange gasket 2" (DN50) 3 mm (PN16)</t>
        </is>
      </c>
      <c r="Q236" s="277" t="n">
        <v>10</v>
      </c>
      <c r="R236" s="5" t="inlineStr">
        <is>
          <t>pcs.</t>
        </is>
      </c>
      <c r="S236" s="284">
        <f>RawDataGenPO[[#This Row],[Total price]]/RawDataGenPO[[#This Row],[Qty'']]</f>
        <v/>
      </c>
      <c r="T236" s="306" t="n">
        <v>2300</v>
      </c>
      <c r="U236" s="161" t="inlineStr">
        <is>
          <t>Puneet Approval</t>
        </is>
      </c>
      <c r="V236" s="7" t="inlineStr">
        <is>
          <t>V1000529 - 168 Supply</t>
        </is>
      </c>
      <c r="W236" s="5" t="inlineStr">
        <is>
          <t>Recive bill and GRN already</t>
        </is>
      </c>
      <c r="X236" s="5" t="n"/>
      <c r="Y236" s="3" t="n">
        <v>45527</v>
      </c>
      <c r="Z236" s="3" t="n"/>
      <c r="AA236" s="17">
        <f>IF(RawDataGenPO[[#This Row],[Date Gen PO]]="","",RawDataGenPO[[#This Row],[Date recive bill]]-RawDataGenPO[[#This Row],[Date Gen PO]])</f>
        <v/>
      </c>
      <c r="AB236" s="16">
        <f>IF(RawDataGenPO[[#This Row],[GRN-PO date]]&gt;RawDataGenPO[[#This Row],[Lead time delivery (day)]],"over deliverry","Ontime")</f>
        <v/>
      </c>
      <c r="AC236" s="168" t="n"/>
    </row>
    <row r="237" customFormat="1" s="125">
      <c r="A237" s="5">
        <f>ROW()-ROW(RawDataGenPO[[#Headers],[No.]])</f>
        <v/>
      </c>
      <c r="B237" s="7" t="inlineStr">
        <is>
          <t>Expent  cost</t>
        </is>
      </c>
      <c r="C237" s="281" t="n">
        <v>45513</v>
      </c>
      <c r="D237" s="276" t="n"/>
      <c r="E237" s="281" t="n"/>
      <c r="F237" s="281" t="n">
        <v>45513</v>
      </c>
      <c r="G237" s="239" t="inlineStr">
        <is>
          <t>PR2425-02574</t>
        </is>
      </c>
      <c r="H237" s="5" t="inlineStr">
        <is>
          <t>PO2425-02979</t>
        </is>
      </c>
      <c r="I237" s="290">
        <f>IF(RawDataGenPO[[#This Row],[PO No.]]="","",RawDataGenPO[[#This Row],[DMY Create PR]]+7)</f>
        <v/>
      </c>
      <c r="J237" s="290" t="n"/>
      <c r="K237" s="20">
        <f>IF(RawDataGenPO[[#This Row],[PO No.]]="","",10)</f>
        <v/>
      </c>
      <c r="L237" s="5" t="inlineStr">
        <is>
          <t>SFST34000117</t>
        </is>
      </c>
      <c r="M237" s="7" t="inlineStr">
        <is>
          <t>Consumable part for MN</t>
        </is>
      </c>
      <c r="N237" s="7" t="inlineStr">
        <is>
          <t>Consumable part</t>
        </is>
      </c>
      <c r="O237" s="11" t="n">
        <v>2</v>
      </c>
      <c r="P237" s="240" t="inlineStr">
        <is>
          <t>Non-asbestos flange gasket 2-1/2" (DN15) 3 mm (PN16)</t>
        </is>
      </c>
      <c r="Q237" s="277" t="n">
        <v>10</v>
      </c>
      <c r="R237" s="5" t="inlineStr">
        <is>
          <t>pcs.</t>
        </is>
      </c>
      <c r="S237" s="284">
        <f>RawDataGenPO[[#This Row],[Total price]]/RawDataGenPO[[#This Row],[Qty'']]</f>
        <v/>
      </c>
      <c r="T237" s="306" t="n">
        <v>2600</v>
      </c>
      <c r="U237" s="161" t="inlineStr">
        <is>
          <t>Puneet Approval</t>
        </is>
      </c>
      <c r="V237" s="7" t="inlineStr">
        <is>
          <t>V1000529 - 168 Supply</t>
        </is>
      </c>
      <c r="W237" s="5" t="inlineStr">
        <is>
          <t>Recive bill and GRN already</t>
        </is>
      </c>
      <c r="X237" s="5" t="n"/>
      <c r="Y237" s="3" t="n">
        <v>45527</v>
      </c>
      <c r="Z237" s="3" t="n"/>
      <c r="AA237" s="17">
        <f>IF(RawDataGenPO[[#This Row],[Date Gen PO]]="","",RawDataGenPO[[#This Row],[Date recive bill]]-RawDataGenPO[[#This Row],[Date Gen PO]])</f>
        <v/>
      </c>
      <c r="AB237" s="16">
        <f>IF(RawDataGenPO[[#This Row],[GRN-PO date]]&gt;RawDataGenPO[[#This Row],[Lead time delivery (day)]],"over deliverry","Ontime")</f>
        <v/>
      </c>
      <c r="AC237" s="168" t="n"/>
    </row>
    <row r="238" customFormat="1" s="125">
      <c r="A238" s="5">
        <f>ROW()-ROW(RawDataGenPO[[#Headers],[No.]])</f>
        <v/>
      </c>
      <c r="B238" s="7" t="inlineStr">
        <is>
          <t>Expent  cost</t>
        </is>
      </c>
      <c r="C238" s="281" t="n">
        <v>45513</v>
      </c>
      <c r="D238" s="276" t="n"/>
      <c r="E238" s="281" t="n"/>
      <c r="F238" s="281" t="n">
        <v>45513</v>
      </c>
      <c r="G238" s="239" t="inlineStr">
        <is>
          <t>PR2425-02574</t>
        </is>
      </c>
      <c r="H238" s="5" t="inlineStr">
        <is>
          <t>PO2425-02980</t>
        </is>
      </c>
      <c r="I238" s="290">
        <f>IF(RawDataGenPO[[#This Row],[PO No.]]="","",RawDataGenPO[[#This Row],[DMY Create PR]]+7)</f>
        <v/>
      </c>
      <c r="J238" s="290" t="n"/>
      <c r="K238" s="20">
        <f>IF(RawDataGenPO[[#This Row],[PO No.]]="","",10)</f>
        <v/>
      </c>
      <c r="L238" s="5" t="inlineStr">
        <is>
          <t>SFST34000114</t>
        </is>
      </c>
      <c r="M238" s="7" t="inlineStr">
        <is>
          <t>Consumable part for MN</t>
        </is>
      </c>
      <c r="N238" s="7" t="inlineStr">
        <is>
          <t>Consumable part</t>
        </is>
      </c>
      <c r="O238" s="11" t="n">
        <v>3</v>
      </c>
      <c r="P238" s="240" t="inlineStr">
        <is>
          <t>Non-asbestos flange gasket 1-1/4" (DN32) 3 mm (PN16)</t>
        </is>
      </c>
      <c r="Q238" s="277" t="n">
        <v>10</v>
      </c>
      <c r="R238" s="5" t="inlineStr">
        <is>
          <t>pcs.</t>
        </is>
      </c>
      <c r="S238" s="284">
        <f>RawDataGenPO[[#This Row],[Total price]]/RawDataGenPO[[#This Row],[Qty'']]</f>
        <v/>
      </c>
      <c r="T238" s="303" t="n">
        <v>1800</v>
      </c>
      <c r="U238" s="161" t="inlineStr">
        <is>
          <t>Puneet Approval</t>
        </is>
      </c>
      <c r="V238" s="7" t="inlineStr">
        <is>
          <t>V1000529 - 168 Supply</t>
        </is>
      </c>
      <c r="W238" s="5" t="inlineStr">
        <is>
          <t>Recive bill and GRN already</t>
        </is>
      </c>
      <c r="X238" s="5" t="n"/>
      <c r="Y238" s="3" t="n">
        <v>45527</v>
      </c>
      <c r="Z238" s="3" t="n"/>
      <c r="AA238" s="17">
        <f>IF(RawDataGenPO[[#This Row],[Date Gen PO]]="","",RawDataGenPO[[#This Row],[Date recive bill]]-RawDataGenPO[[#This Row],[Date Gen PO]])</f>
        <v/>
      </c>
      <c r="AB238" s="16">
        <f>IF(RawDataGenPO[[#This Row],[GRN-PO date]]&gt;RawDataGenPO[[#This Row],[Lead time delivery (day)]],"over deliverry","Ontime")</f>
        <v/>
      </c>
      <c r="AC238" s="168" t="n"/>
    </row>
    <row r="239" customFormat="1" s="125">
      <c r="A239" s="5">
        <f>ROW()-ROW(RawDataGenPO[[#Headers],[No.]])</f>
        <v/>
      </c>
      <c r="B239" s="7" t="inlineStr">
        <is>
          <t>Expent  cost</t>
        </is>
      </c>
      <c r="C239" s="301" t="n">
        <v>45514</v>
      </c>
      <c r="D239" s="276" t="n"/>
      <c r="E239" s="281" t="n"/>
      <c r="F239" s="301" t="n">
        <v>45514</v>
      </c>
      <c r="G239" s="239" t="inlineStr">
        <is>
          <t>PR2425-02583</t>
        </is>
      </c>
      <c r="H239" s="11" t="inlineStr">
        <is>
          <t>PO2425-02986</t>
        </is>
      </c>
      <c r="I239" s="290">
        <f>IF(RawDataGenPO[[#This Row],[PO No.]]="","",RawDataGenPO[[#This Row],[DMY Create PR]]+7)</f>
        <v/>
      </c>
      <c r="J239" s="290" t="n"/>
      <c r="K239" s="20" t="n">
        <v>60</v>
      </c>
      <c r="L239" s="5" t="inlineStr">
        <is>
          <t>SFST81000005</t>
        </is>
      </c>
      <c r="M239" s="7" t="inlineStr">
        <is>
          <t>Consumable part for MN</t>
        </is>
      </c>
      <c r="N239" s="7" t="inlineStr">
        <is>
          <t>Consumable part</t>
        </is>
      </c>
      <c r="O239" s="11" t="n">
        <v>1</v>
      </c>
      <c r="P239" s="10" t="inlineStr">
        <is>
          <t>Leaky pipe repair work (Dismantle and install)</t>
        </is>
      </c>
      <c r="Q239" s="277" t="n">
        <v>1</v>
      </c>
      <c r="R239" s="5" t="inlineStr">
        <is>
          <t>pcs.</t>
        </is>
      </c>
      <c r="S239" s="284">
        <f>RawDataGenPO[[#This Row],[Total price]]/RawDataGenPO[[#This Row],[Qty'']]</f>
        <v/>
      </c>
      <c r="T239" s="285" t="n">
        <v>78500</v>
      </c>
      <c r="U239" s="161" t="inlineStr">
        <is>
          <t>Puneet Approval</t>
        </is>
      </c>
      <c r="V239" s="7" t="inlineStr">
        <is>
          <t>V1000117 - NPN ENGINEERING SOLUTION SUPPLY CO., LTD.</t>
        </is>
      </c>
      <c r="W239" s="5" t="inlineStr">
        <is>
          <t>Recive bill and GRN already</t>
        </is>
      </c>
      <c r="X239" s="5" t="n"/>
      <c r="Y239" s="3" t="n">
        <v>45575</v>
      </c>
      <c r="Z239" s="3" t="n"/>
      <c r="AA239" s="17">
        <f>IF(RawDataGenPO[[#This Row],[Date Gen PO]]="","",RawDataGenPO[[#This Row],[Date recive bill]]-RawDataGenPO[[#This Row],[Date Gen PO]])</f>
        <v/>
      </c>
      <c r="AB239" s="16">
        <f>IF(RawDataGenPO[[#This Row],[GRN-PO date]]&gt;RawDataGenPO[[#This Row],[Lead time delivery (day)]],"over deliverry","Ontime")</f>
        <v/>
      </c>
      <c r="AC239" s="168" t="n"/>
    </row>
    <row r="240" customFormat="1" s="125">
      <c r="A240" s="5">
        <f>ROW()-ROW(RawDataGenPO[[#Headers],[No.]])</f>
        <v/>
      </c>
      <c r="B240" s="7" t="inlineStr">
        <is>
          <t>Expent  cost</t>
        </is>
      </c>
      <c r="C240" s="301" t="n">
        <v>45514</v>
      </c>
      <c r="D240" s="276" t="n"/>
      <c r="E240" s="281" t="n"/>
      <c r="F240" s="301" t="n">
        <v>45514</v>
      </c>
      <c r="G240" s="239" t="inlineStr">
        <is>
          <t>PR2425-02583</t>
        </is>
      </c>
      <c r="H240" s="11" t="inlineStr">
        <is>
          <t>PO2425-02986</t>
        </is>
      </c>
      <c r="I240" s="290">
        <f>IF(RawDataGenPO[[#This Row],[PO No.]]="","",RawDataGenPO[[#This Row],[DMY Create PR]]+7)</f>
        <v/>
      </c>
      <c r="J240" s="290" t="n"/>
      <c r="K240" s="20" t="n">
        <v>60</v>
      </c>
      <c r="L240" s="5" t="inlineStr">
        <is>
          <t>SFST81000005</t>
        </is>
      </c>
      <c r="M240" s="7" t="inlineStr">
        <is>
          <t>Consumable part for MN</t>
        </is>
      </c>
      <c r="N240" s="7" t="inlineStr">
        <is>
          <t>Consumable part</t>
        </is>
      </c>
      <c r="O240" s="11" t="n">
        <v>2</v>
      </c>
      <c r="P240" s="10" t="inlineStr">
        <is>
          <t>Safety work</t>
        </is>
      </c>
      <c r="Q240" s="277" t="n">
        <v>1</v>
      </c>
      <c r="R240" s="5" t="inlineStr">
        <is>
          <t>pcs.</t>
        </is>
      </c>
      <c r="S240" s="284">
        <f>RawDataGenPO[[#This Row],[Total price]]/RawDataGenPO[[#This Row],[Qty'']]</f>
        <v/>
      </c>
      <c r="T240" s="285" t="n">
        <v>2000</v>
      </c>
      <c r="U240" s="161" t="inlineStr">
        <is>
          <t>Puneet Approval</t>
        </is>
      </c>
      <c r="V240" s="7" t="inlineStr">
        <is>
          <t>V1000117 - NPN ENGINEERING SOLUTION SUPPLY CO., LTD.</t>
        </is>
      </c>
      <c r="W240" s="5" t="inlineStr">
        <is>
          <t>Recive bill and GRN already</t>
        </is>
      </c>
      <c r="X240" s="5" t="n"/>
      <c r="Y240" s="3" t="n">
        <v>45575</v>
      </c>
      <c r="Z240" s="3" t="n"/>
      <c r="AA240" s="17">
        <f>IF(RawDataGenPO[[#This Row],[Date Gen PO]]="","",RawDataGenPO[[#This Row],[Date recive bill]]-RawDataGenPO[[#This Row],[Date Gen PO]])</f>
        <v/>
      </c>
      <c r="AB240" s="16">
        <f>IF(RawDataGenPO[[#This Row],[GRN-PO date]]&gt;RawDataGenPO[[#This Row],[Lead time delivery (day)]],"over deliverry","Ontime")</f>
        <v/>
      </c>
      <c r="AC240" s="168" t="n"/>
    </row>
    <row r="241" customFormat="1" s="125">
      <c r="A241" s="5">
        <f>ROW()-ROW(RawDataGenPO[[#Headers],[No.]])</f>
        <v/>
      </c>
      <c r="B241" s="7" t="inlineStr">
        <is>
          <t>Expent  cost</t>
        </is>
      </c>
      <c r="C241" s="301" t="n">
        <v>45514</v>
      </c>
      <c r="D241" s="276" t="n"/>
      <c r="E241" s="281" t="n"/>
      <c r="F241" s="301" t="n">
        <v>45514</v>
      </c>
      <c r="G241" s="239" t="inlineStr">
        <is>
          <t>PR2425-02583</t>
        </is>
      </c>
      <c r="H241" s="11" t="inlineStr">
        <is>
          <t>PO2425-02986</t>
        </is>
      </c>
      <c r="I241" s="290">
        <f>IF(RawDataGenPO[[#This Row],[PO No.]]="","",RawDataGenPO[[#This Row],[DMY Create PR]]+7)</f>
        <v/>
      </c>
      <c r="J241" s="290" t="n"/>
      <c r="K241" s="20" t="n">
        <v>60</v>
      </c>
      <c r="L241" s="5" t="inlineStr">
        <is>
          <t>SFST81000005</t>
        </is>
      </c>
      <c r="M241" s="7" t="inlineStr">
        <is>
          <t>Consumable part for MN</t>
        </is>
      </c>
      <c r="N241" s="7" t="inlineStr">
        <is>
          <t>Consumable part</t>
        </is>
      </c>
      <c r="O241" s="11" t="n">
        <v>3</v>
      </c>
      <c r="P241" s="10" t="inlineStr">
        <is>
          <t>Management and over head</t>
        </is>
      </c>
      <c r="Q241" s="277" t="n">
        <v>1</v>
      </c>
      <c r="R241" s="5" t="inlineStr">
        <is>
          <t>pcs.</t>
        </is>
      </c>
      <c r="S241" s="284">
        <f>RawDataGenPO[[#This Row],[Total price]]/RawDataGenPO[[#This Row],[Qty'']]</f>
        <v/>
      </c>
      <c r="T241" s="285" t="n">
        <v>8000</v>
      </c>
      <c r="U241" s="161" t="inlineStr">
        <is>
          <t>Puneet Approval</t>
        </is>
      </c>
      <c r="V241" s="7" t="inlineStr">
        <is>
          <t>V1000117 - NPN ENGINEERING SOLUTION SUPPLY CO., LTD.</t>
        </is>
      </c>
      <c r="W241" s="5" t="inlineStr">
        <is>
          <t>Recive bill and GRN already</t>
        </is>
      </c>
      <c r="X241" s="5" t="n"/>
      <c r="Y241" s="3" t="n">
        <v>45575</v>
      </c>
      <c r="Z241" s="3" t="n"/>
      <c r="AA241" s="17">
        <f>IF(RawDataGenPO[[#This Row],[Date Gen PO]]="","",RawDataGenPO[[#This Row],[Date recive bill]]-RawDataGenPO[[#This Row],[Date Gen PO]])</f>
        <v/>
      </c>
      <c r="AB241" s="16">
        <f>IF(RawDataGenPO[[#This Row],[GRN-PO date]]&gt;RawDataGenPO[[#This Row],[Lead time delivery (day)]],"over deliverry","Ontime")</f>
        <v/>
      </c>
      <c r="AC241" s="168" t="n"/>
    </row>
    <row r="242" customFormat="1" s="125">
      <c r="A242" s="5">
        <f>ROW()-ROW(RawDataGenPO[[#Headers],[No.]])</f>
        <v/>
      </c>
      <c r="B242" s="7" t="inlineStr">
        <is>
          <t>Expent  cost</t>
        </is>
      </c>
      <c r="C242" s="281" t="n">
        <v>45514</v>
      </c>
      <c r="D242" s="276" t="n"/>
      <c r="E242" s="281" t="n"/>
      <c r="F242" s="281" t="n">
        <v>45514</v>
      </c>
      <c r="G242" s="235" t="inlineStr">
        <is>
          <t>PR2425-02599</t>
        </is>
      </c>
      <c r="H242" s="5" t="inlineStr">
        <is>
          <t>PO2425-02988</t>
        </is>
      </c>
      <c r="I242" s="290">
        <f>IF(RawDataGenPO[[#This Row],[PO No.]]="","",RawDataGenPO[[#This Row],[DMY Create PR]]+7)</f>
        <v/>
      </c>
      <c r="J242" s="290" t="n"/>
      <c r="K242" s="20">
        <f>IF(RawDataGenPO[[#This Row],[PO No.]]="","",10)</f>
        <v/>
      </c>
      <c r="L242" s="5" t="inlineStr">
        <is>
          <t>SFST81000050</t>
        </is>
      </c>
      <c r="M242" s="7" t="inlineStr">
        <is>
          <t>Consumable part for MN</t>
        </is>
      </c>
      <c r="N242" s="7" t="inlineStr">
        <is>
          <t>Consumable part</t>
        </is>
      </c>
      <c r="O242" s="11" t="n">
        <v>1</v>
      </c>
      <c r="P242" s="10" t="inlineStr">
        <is>
          <t>Plastic conduit adapter PG Type, SSQC-AD34.5/PG29 AD34.5 1</t>
        </is>
      </c>
      <c r="Q242" s="277" t="n">
        <v>20</v>
      </c>
      <c r="R242" s="5" t="inlineStr">
        <is>
          <t>pcs.</t>
        </is>
      </c>
      <c r="S242" s="284">
        <f>RawDataGenPO[[#This Row],[Total price]]/RawDataGenPO[[#This Row],[Qty'']]</f>
        <v/>
      </c>
      <c r="T242" s="285" t="n">
        <v>1500</v>
      </c>
      <c r="U242" s="161" t="inlineStr">
        <is>
          <t>Puneet Approval</t>
        </is>
      </c>
      <c r="V242" s="238" t="inlineStr">
        <is>
          <t>V1000276 - SN. ELECTRIC AND SUPPLY CO., LTD.</t>
        </is>
      </c>
      <c r="W242" s="5" t="inlineStr">
        <is>
          <t>Recive bill and GRN already</t>
        </is>
      </c>
      <c r="X242" s="5" t="n"/>
      <c r="Y242" s="3" t="n">
        <v>45527</v>
      </c>
      <c r="Z242" s="3" t="n"/>
      <c r="AA242" s="17">
        <f>IF(RawDataGenPO[[#This Row],[Date Gen PO]]="","",RawDataGenPO[[#This Row],[Date recive bill]]-RawDataGenPO[[#This Row],[Date Gen PO]])</f>
        <v/>
      </c>
      <c r="AB242" s="16">
        <f>IF(RawDataGenPO[[#This Row],[GRN-PO date]]&gt;RawDataGenPO[[#This Row],[Lead time delivery (day)]],"over deliverry","Ontime")</f>
        <v/>
      </c>
      <c r="AC242" s="168" t="n"/>
    </row>
    <row r="243" customFormat="1" s="125">
      <c r="A243" s="5">
        <f>ROW()-ROW(RawDataGenPO[[#Headers],[No.]])</f>
        <v/>
      </c>
      <c r="B243" s="7" t="inlineStr">
        <is>
          <t>Expent  cost</t>
        </is>
      </c>
      <c r="C243" s="281" t="n">
        <v>45514</v>
      </c>
      <c r="D243" s="276" t="n"/>
      <c r="E243" s="281" t="n"/>
      <c r="F243" s="281" t="n">
        <v>45514</v>
      </c>
      <c r="G243" s="235" t="inlineStr">
        <is>
          <t>PR2425-02599</t>
        </is>
      </c>
      <c r="H243" s="5" t="inlineStr">
        <is>
          <t>PO2425-02988</t>
        </is>
      </c>
      <c r="I243" s="290">
        <f>IF(RawDataGenPO[[#This Row],[PO No.]]="","",RawDataGenPO[[#This Row],[DMY Create PR]]+7)</f>
        <v/>
      </c>
      <c r="J243" s="290" t="n"/>
      <c r="K243" s="20">
        <f>IF(RawDataGenPO[[#This Row],[PO No.]]="","",10)</f>
        <v/>
      </c>
      <c r="L243" s="5" t="inlineStr">
        <is>
          <t>SFST81000050</t>
        </is>
      </c>
      <c r="M243" s="7" t="inlineStr">
        <is>
          <t>Consumable part for MN</t>
        </is>
      </c>
      <c r="N243" s="7" t="inlineStr">
        <is>
          <t>Consumable part</t>
        </is>
      </c>
      <c r="O243" s="11" t="n">
        <v>2</v>
      </c>
      <c r="P243" s="10" t="inlineStr">
        <is>
          <t>Waterproof flexible conduit connector 1-1/2"</t>
        </is>
      </c>
      <c r="Q243" s="277" t="n">
        <v>6</v>
      </c>
      <c r="R243" s="5" t="inlineStr">
        <is>
          <t>pcs.</t>
        </is>
      </c>
      <c r="S243" s="284">
        <f>RawDataGenPO[[#This Row],[Total price]]/RawDataGenPO[[#This Row],[Qty'']]</f>
        <v/>
      </c>
      <c r="T243" s="285" t="n">
        <v>1320</v>
      </c>
      <c r="U243" s="291" t="inlineStr">
        <is>
          <t>Puneet Approval</t>
        </is>
      </c>
      <c r="V243" s="238" t="inlineStr">
        <is>
          <t>V1000276 - SN. ELECTRIC AND SUPPLY CO., LTD.</t>
        </is>
      </c>
      <c r="W243" s="5" t="inlineStr">
        <is>
          <t>Recive bill and GRN already</t>
        </is>
      </c>
      <c r="X243" s="5" t="n"/>
      <c r="Y243" s="3" t="n">
        <v>45527</v>
      </c>
      <c r="Z243" s="3" t="n"/>
      <c r="AA243" s="17">
        <f>IF(RawDataGenPO[[#This Row],[Date Gen PO]]="","",RawDataGenPO[[#This Row],[Date recive bill]]-RawDataGenPO[[#This Row],[Date Gen PO]])</f>
        <v/>
      </c>
      <c r="AB243" s="16">
        <f>IF(RawDataGenPO[[#This Row],[GRN-PO date]]&gt;RawDataGenPO[[#This Row],[Lead time delivery (day)]],"over deliverry","Ontime")</f>
        <v/>
      </c>
      <c r="AC243" s="168" t="n"/>
    </row>
    <row r="244" ht="15" customFormat="1" customHeight="1" s="125">
      <c r="A244" s="5">
        <f>ROW()-ROW(RawDataGenPO[[#Headers],[No.]])</f>
        <v/>
      </c>
      <c r="B244" s="7" t="inlineStr">
        <is>
          <t>Expent  cost</t>
        </is>
      </c>
      <c r="C244" s="301" t="n">
        <v>45514</v>
      </c>
      <c r="D244" s="276" t="n"/>
      <c r="E244" s="281" t="n"/>
      <c r="F244" s="301" t="n">
        <v>45514</v>
      </c>
      <c r="G244" s="5" t="inlineStr">
        <is>
          <t xml:space="preserve">PR2425-02599 </t>
        </is>
      </c>
      <c r="H244" s="5" t="inlineStr">
        <is>
          <t>PO2425-02988</t>
        </is>
      </c>
      <c r="I244" s="290">
        <f>IF(RawDataGenPO[[#This Row],[PO No.]]="","",RawDataGenPO[[#This Row],[DMY Create PR]]+7)</f>
        <v/>
      </c>
      <c r="J244" s="290" t="n"/>
      <c r="K244" s="20">
        <f>IF(RawDataGenPO[[#This Row],[PO No.]]="","",10)</f>
        <v/>
      </c>
      <c r="L244" s="5" t="inlineStr">
        <is>
          <t>SFST81000050</t>
        </is>
      </c>
      <c r="M244" s="7" t="inlineStr">
        <is>
          <t>Consumable part for MN</t>
        </is>
      </c>
      <c r="N244" s="7" t="inlineStr">
        <is>
          <t>Consumable part</t>
        </is>
      </c>
      <c r="O244" s="11" t="n">
        <v>3</v>
      </c>
      <c r="P244" s="10" t="inlineStr">
        <is>
          <t>Plastic conduit adapter PG Type, SSQC-AD34.5/PG29 AD34.5 1</t>
        </is>
      </c>
      <c r="Q244" s="277" t="n">
        <v>20</v>
      </c>
      <c r="R244" s="5" t="inlineStr">
        <is>
          <t>pcs.</t>
        </is>
      </c>
      <c r="S244" s="284">
        <f>RawDataGenPO[[#This Row],[Total price]]/RawDataGenPO[[#This Row],[Qty'']]</f>
        <v/>
      </c>
      <c r="T244" s="285" t="n">
        <v>1500</v>
      </c>
      <c r="U244" s="161" t="inlineStr">
        <is>
          <t>Puneet Approval</t>
        </is>
      </c>
      <c r="V244" s="7" t="inlineStr">
        <is>
          <t>V1000276 - SN. ELECTRIC AND SUPPLY CO., LTD.</t>
        </is>
      </c>
      <c r="W244" s="5" t="inlineStr">
        <is>
          <t>Recive bill and GRN already</t>
        </is>
      </c>
      <c r="X244" s="5" t="n"/>
      <c r="Y244" s="3" t="n">
        <v>45527</v>
      </c>
      <c r="Z244" s="3" t="n"/>
      <c r="AA244" s="17">
        <f>IF(RawDataGenPO[[#This Row],[Date Gen PO]]="","",RawDataGenPO[[#This Row],[Date recive bill]]-RawDataGenPO[[#This Row],[Date Gen PO]])</f>
        <v/>
      </c>
      <c r="AB244" s="16">
        <f>IF(RawDataGenPO[[#This Row],[GRN-PO date]]&gt;RawDataGenPO[[#This Row],[Lead time delivery (day)]],"over deliverry","Ontime")</f>
        <v/>
      </c>
      <c r="AC244" s="168" t="n"/>
    </row>
    <row r="245" ht="15" customFormat="1" customHeight="1" s="125">
      <c r="A245" s="5">
        <f>ROW()-ROW(RawDataGenPO[[#Headers],[No.]])</f>
        <v/>
      </c>
      <c r="B245" s="7" t="inlineStr">
        <is>
          <t>Expent  cost</t>
        </is>
      </c>
      <c r="C245" s="301" t="n">
        <v>45514</v>
      </c>
      <c r="D245" s="276" t="n"/>
      <c r="E245" s="281" t="n"/>
      <c r="F245" s="301" t="n">
        <v>45514</v>
      </c>
      <c r="G245" s="5" t="inlineStr">
        <is>
          <t xml:space="preserve">PR2425-02599 </t>
        </is>
      </c>
      <c r="H245" s="5" t="inlineStr">
        <is>
          <t>PO2425-02988</t>
        </is>
      </c>
      <c r="I245" s="290">
        <f>IF(RawDataGenPO[[#This Row],[PO No.]]="","",RawDataGenPO[[#This Row],[DMY Create PR]]+7)</f>
        <v/>
      </c>
      <c r="J245" s="290" t="n"/>
      <c r="K245" s="20">
        <f>IF(RawDataGenPO[[#This Row],[PO No.]]="","",10)</f>
        <v/>
      </c>
      <c r="L245" s="5" t="inlineStr">
        <is>
          <t>SFST81000050</t>
        </is>
      </c>
      <c r="M245" s="7" t="inlineStr">
        <is>
          <t>Consumable part for MN</t>
        </is>
      </c>
      <c r="N245" s="7" t="inlineStr">
        <is>
          <t>Consumable part</t>
        </is>
      </c>
      <c r="O245" s="11" t="n">
        <v>4</v>
      </c>
      <c r="P245" s="10" t="inlineStr">
        <is>
          <t>Waterproof flexible conduit connector 1-1/2"</t>
        </is>
      </c>
      <c r="Q245" s="277" t="n">
        <v>6</v>
      </c>
      <c r="R245" s="5" t="inlineStr">
        <is>
          <t>pcs.</t>
        </is>
      </c>
      <c r="S245" s="284">
        <f>RawDataGenPO[[#This Row],[Total price]]/RawDataGenPO[[#This Row],[Qty'']]</f>
        <v/>
      </c>
      <c r="T245" s="285" t="n">
        <v>780</v>
      </c>
      <c r="U245" s="161" t="inlineStr">
        <is>
          <t>Puneet Approval</t>
        </is>
      </c>
      <c r="V245" s="7" t="inlineStr">
        <is>
          <t>V1000276 - SN. ELECTRIC AND SUPPLY CO., LTD.</t>
        </is>
      </c>
      <c r="W245" s="5" t="inlineStr">
        <is>
          <t>Recive bill and GRN already</t>
        </is>
      </c>
      <c r="X245" s="5" t="n"/>
      <c r="Y245" s="3" t="n">
        <v>45527</v>
      </c>
      <c r="Z245" s="3" t="n"/>
      <c r="AA245" s="17">
        <f>IF(RawDataGenPO[[#This Row],[Date Gen PO]]="","",RawDataGenPO[[#This Row],[Date recive bill]]-RawDataGenPO[[#This Row],[Date Gen PO]])</f>
        <v/>
      </c>
      <c r="AB245" s="16">
        <f>IF(RawDataGenPO[[#This Row],[GRN-PO date]]&gt;RawDataGenPO[[#This Row],[Lead time delivery (day)]],"over deliverry","Ontime")</f>
        <v/>
      </c>
      <c r="AC245" s="168" t="n"/>
    </row>
    <row r="246" customFormat="1" s="125">
      <c r="A246" s="5">
        <f>ROW()-ROW(RawDataGenPO[[#Headers],[No.]])</f>
        <v/>
      </c>
      <c r="B246" s="7" t="inlineStr">
        <is>
          <t>Expent  cost</t>
        </is>
      </c>
      <c r="C246" s="281" t="n">
        <v>45498</v>
      </c>
      <c r="D246" s="276" t="n"/>
      <c r="E246" s="281" t="n"/>
      <c r="F246" s="281" t="n">
        <v>45498</v>
      </c>
      <c r="G246" s="235" t="inlineStr">
        <is>
          <t>PR2425-02605</t>
        </is>
      </c>
      <c r="H246" s="5" t="inlineStr">
        <is>
          <t>PO2425-02989</t>
        </is>
      </c>
      <c r="I246" s="290">
        <f>IF(RawDataGenPO[[#This Row],[PO No.]]="","",RawDataGenPO[[#This Row],[DMY Create PR]]+7)</f>
        <v/>
      </c>
      <c r="J246" s="290" t="n"/>
      <c r="K246" s="20" t="n">
        <v>30</v>
      </c>
      <c r="L246" s="5" t="inlineStr">
        <is>
          <t>SFST81000050</t>
        </is>
      </c>
      <c r="M246" s="7" t="inlineStr">
        <is>
          <t>Consumable part for MN</t>
        </is>
      </c>
      <c r="N246" s="7" t="inlineStr">
        <is>
          <t>Consumable part</t>
        </is>
      </c>
      <c r="O246" s="11" t="n">
        <v>1</v>
      </c>
      <c r="P246" s="10" t="inlineStr">
        <is>
          <t>SCK self-drilling screw, washer head PW8x1-1/2" (500 pcs/box)</t>
        </is>
      </c>
      <c r="Q246" s="277" t="n">
        <v>1</v>
      </c>
      <c r="R246" s="5" t="inlineStr">
        <is>
          <t>pcs.</t>
        </is>
      </c>
      <c r="S246" s="284">
        <f>RawDataGenPO[[#This Row],[Total price]]/RawDataGenPO[[#This Row],[Qty'']]</f>
        <v/>
      </c>
      <c r="T246" s="285" t="n">
        <v>400</v>
      </c>
      <c r="U246" s="291" t="inlineStr">
        <is>
          <t>Puneet Approval</t>
        </is>
      </c>
      <c r="V246" s="7" t="inlineStr">
        <is>
          <t>V1000289 - Kitticharoen Supply Co., Ltd</t>
        </is>
      </c>
      <c r="W246" s="5" t="inlineStr">
        <is>
          <t>Recive bill and GRN already</t>
        </is>
      </c>
      <c r="X246" s="5" t="n"/>
      <c r="Y246" s="3" t="n">
        <v>45532</v>
      </c>
      <c r="Z246" s="3" t="n"/>
      <c r="AA246" s="17">
        <f>IF(RawDataGenPO[[#This Row],[Date Gen PO]]="","",RawDataGenPO[[#This Row],[Date recive bill]]-RawDataGenPO[[#This Row],[Date Gen PO]])</f>
        <v/>
      </c>
      <c r="AB246" s="16">
        <f>IF(RawDataGenPO[[#This Row],[GRN-PO date]]&gt;RawDataGenPO[[#This Row],[Lead time delivery (day)]],"over deliverry","Ontime")</f>
        <v/>
      </c>
      <c r="AC246" s="168" t="n"/>
    </row>
    <row r="247" customFormat="1" s="125">
      <c r="A247" s="5">
        <f>ROW()-ROW(RawDataGenPO[[#Headers],[No.]])</f>
        <v/>
      </c>
      <c r="B247" s="7" t="inlineStr">
        <is>
          <t>Expent  cost</t>
        </is>
      </c>
      <c r="C247" s="281" t="n">
        <v>45498</v>
      </c>
      <c r="D247" s="276" t="n"/>
      <c r="E247" s="281" t="n"/>
      <c r="F247" s="281" t="n">
        <v>45498</v>
      </c>
      <c r="G247" s="235" t="inlineStr">
        <is>
          <t>PR2425-02605</t>
        </is>
      </c>
      <c r="H247" s="5" t="inlineStr">
        <is>
          <t>PO2425-02989</t>
        </is>
      </c>
      <c r="I247" s="290">
        <f>IF(RawDataGenPO[[#This Row],[PO No.]]="","",RawDataGenPO[[#This Row],[DMY Create PR]]+7)</f>
        <v/>
      </c>
      <c r="J247" s="290" t="n"/>
      <c r="K247" s="20" t="n">
        <v>30</v>
      </c>
      <c r="L247" s="5" t="inlineStr">
        <is>
          <t>SFST81000050</t>
        </is>
      </c>
      <c r="M247" s="7" t="inlineStr">
        <is>
          <t>Consumable part for MN</t>
        </is>
      </c>
      <c r="N247" s="7" t="inlineStr">
        <is>
          <t>Consumable part</t>
        </is>
      </c>
      <c r="O247" s="11" t="n">
        <v>2</v>
      </c>
      <c r="P247" s="10" t="inlineStr">
        <is>
          <t>SCK self-drilling screw, washer head PW8x1-1" (500 pcs/box)</t>
        </is>
      </c>
      <c r="Q247" s="277" t="n">
        <v>1</v>
      </c>
      <c r="R247" s="5" t="inlineStr">
        <is>
          <t>pcs.</t>
        </is>
      </c>
      <c r="S247" s="284">
        <f>RawDataGenPO[[#This Row],[Total price]]/RawDataGenPO[[#This Row],[Qty'']]</f>
        <v/>
      </c>
      <c r="T247" s="285" t="n">
        <v>285</v>
      </c>
      <c r="U247" s="291" t="inlineStr">
        <is>
          <t>Puneet Approval</t>
        </is>
      </c>
      <c r="V247" s="7" t="inlineStr">
        <is>
          <t>V1000289 - Kitticharoen Supply Co., Ltd</t>
        </is>
      </c>
      <c r="W247" s="5" t="inlineStr">
        <is>
          <t>Recive bill and GRN already</t>
        </is>
      </c>
      <c r="X247" s="5" t="n"/>
      <c r="Y247" s="3" t="n">
        <v>45532</v>
      </c>
      <c r="Z247" s="3" t="n"/>
      <c r="AA247" s="17">
        <f>IF(RawDataGenPO[[#This Row],[Date Gen PO]]="","",RawDataGenPO[[#This Row],[Date recive bill]]-RawDataGenPO[[#This Row],[Date Gen PO]])</f>
        <v/>
      </c>
      <c r="AB247" s="16">
        <f>IF(RawDataGenPO[[#This Row],[GRN-PO date]]&gt;RawDataGenPO[[#This Row],[Lead time delivery (day)]],"over deliverry","Ontime")</f>
        <v/>
      </c>
      <c r="AC247" s="168" t="n"/>
    </row>
    <row r="248" ht="15" customFormat="1" customHeight="1" s="125">
      <c r="A248" s="5">
        <f>ROW()-ROW(RawDataGenPO[[#Headers],[No.]])</f>
        <v/>
      </c>
      <c r="B248" s="7" t="inlineStr">
        <is>
          <t>Expent  cost</t>
        </is>
      </c>
      <c r="C248" s="301" t="n">
        <v>45514</v>
      </c>
      <c r="D248" s="276" t="n"/>
      <c r="E248" s="281" t="n"/>
      <c r="F248" s="301" t="n">
        <v>45514</v>
      </c>
      <c r="G248" s="5" t="inlineStr">
        <is>
          <t>PR2425-02605</t>
        </is>
      </c>
      <c r="H248" s="5" t="inlineStr">
        <is>
          <t>PO2425-02989</t>
        </is>
      </c>
      <c r="I248" s="290">
        <f>IF(RawDataGenPO[[#This Row],[PO No.]]="","",RawDataGenPO[[#This Row],[DMY Create PR]]+7)</f>
        <v/>
      </c>
      <c r="J248" s="290" t="n"/>
      <c r="K248" s="20" t="n">
        <v>30</v>
      </c>
      <c r="L248" s="5" t="inlineStr">
        <is>
          <t>SFST81000050</t>
        </is>
      </c>
      <c r="M248" s="7" t="inlineStr">
        <is>
          <t>Consumable part for MN</t>
        </is>
      </c>
      <c r="N248" s="7" t="inlineStr">
        <is>
          <t>Consumable part</t>
        </is>
      </c>
      <c r="O248" s="11" t="n">
        <v>3</v>
      </c>
      <c r="P248" s="10" t="inlineStr">
        <is>
          <t>SCK self-drilling screw, washer head PW8x1-1/2" (500 pcs/box)V</t>
        </is>
      </c>
      <c r="Q248" s="277" t="n">
        <v>1</v>
      </c>
      <c r="R248" s="5" t="inlineStr">
        <is>
          <t>BOX</t>
        </is>
      </c>
      <c r="S248" s="284">
        <f>RawDataGenPO[[#This Row],[Total price]]/RawDataGenPO[[#This Row],[Qty'']]</f>
        <v/>
      </c>
      <c r="T248" s="308" t="n">
        <v>400</v>
      </c>
      <c r="U248" s="161" t="inlineStr">
        <is>
          <t>Puneet Approval</t>
        </is>
      </c>
      <c r="V248" s="7" t="inlineStr">
        <is>
          <t>V1000289 - Kitticharoen Supply Co., Ltd</t>
        </is>
      </c>
      <c r="W248" s="5" t="inlineStr">
        <is>
          <t>Recive bill and GRN already</t>
        </is>
      </c>
      <c r="X248" s="5" t="n"/>
      <c r="Y248" s="3" t="n">
        <v>45532</v>
      </c>
      <c r="Z248" s="3" t="n"/>
      <c r="AA248" s="17">
        <f>IF(RawDataGenPO[[#This Row],[Date Gen PO]]="","",RawDataGenPO[[#This Row],[Date recive bill]]-RawDataGenPO[[#This Row],[Date Gen PO]])</f>
        <v/>
      </c>
      <c r="AB248" s="16">
        <f>IF(RawDataGenPO[[#This Row],[GRN-PO date]]&gt;RawDataGenPO[[#This Row],[Lead time delivery (day)]],"over deliverry","Ontime")</f>
        <v/>
      </c>
      <c r="AC248" s="168" t="n"/>
    </row>
    <row r="249" ht="15" customFormat="1" customHeight="1" s="125">
      <c r="A249" s="5">
        <f>ROW()-ROW(RawDataGenPO[[#Headers],[No.]])</f>
        <v/>
      </c>
      <c r="B249" s="7" t="inlineStr">
        <is>
          <t>Expent  cost</t>
        </is>
      </c>
      <c r="C249" s="301" t="n">
        <v>45514</v>
      </c>
      <c r="D249" s="276" t="n"/>
      <c r="E249" s="281" t="n"/>
      <c r="F249" s="301" t="n">
        <v>45514</v>
      </c>
      <c r="G249" s="5" t="inlineStr">
        <is>
          <t>PR2425-02605</t>
        </is>
      </c>
      <c r="H249" s="5" t="inlineStr">
        <is>
          <t>PO2425-02989</t>
        </is>
      </c>
      <c r="I249" s="290">
        <f>IF(RawDataGenPO[[#This Row],[PO No.]]="","",RawDataGenPO[[#This Row],[DMY Create PR]]+7)</f>
        <v/>
      </c>
      <c r="J249" s="290" t="n"/>
      <c r="K249" s="20" t="n">
        <v>30</v>
      </c>
      <c r="L249" s="5" t="inlineStr">
        <is>
          <t>SFST81000050</t>
        </is>
      </c>
      <c r="M249" s="7" t="inlineStr">
        <is>
          <t>Consumable part for MN</t>
        </is>
      </c>
      <c r="N249" s="7" t="inlineStr">
        <is>
          <t>Consumable part</t>
        </is>
      </c>
      <c r="O249" s="11" t="n">
        <v>4</v>
      </c>
      <c r="P249" s="10" t="inlineStr">
        <is>
          <t>SCK self-drilling screw, washer head PW8x1-1" (500 pcs/box)</t>
        </is>
      </c>
      <c r="Q249" s="277" t="n">
        <v>1</v>
      </c>
      <c r="R249" s="5" t="inlineStr">
        <is>
          <t>BOX</t>
        </is>
      </c>
      <c r="S249" s="284">
        <f>RawDataGenPO[[#This Row],[Total price]]/RawDataGenPO[[#This Row],[Qty'']]</f>
        <v/>
      </c>
      <c r="T249" s="285" t="n">
        <v>285</v>
      </c>
      <c r="U249" s="161" t="inlineStr">
        <is>
          <t>Puneet Approval</t>
        </is>
      </c>
      <c r="V249" s="7" t="inlineStr">
        <is>
          <t>V1000289 - Kitticharoen Supply Co., Ltd</t>
        </is>
      </c>
      <c r="W249" s="5" t="inlineStr">
        <is>
          <t>Recive bill and GRN already</t>
        </is>
      </c>
      <c r="X249" s="5" t="n"/>
      <c r="Y249" s="3" t="n">
        <v>45532</v>
      </c>
      <c r="Z249" s="3" t="n"/>
      <c r="AA249" s="17">
        <f>IF(RawDataGenPO[[#This Row],[Date Gen PO]]="","",RawDataGenPO[[#This Row],[Date recive bill]]-RawDataGenPO[[#This Row],[Date Gen PO]])</f>
        <v/>
      </c>
      <c r="AB249" s="16">
        <f>IF(RawDataGenPO[[#This Row],[GRN-PO date]]&gt;RawDataGenPO[[#This Row],[Lead time delivery (day)]],"over deliverry","Ontime")</f>
        <v/>
      </c>
      <c r="AC249" s="168" t="n"/>
    </row>
    <row r="250" ht="15" customFormat="1" customHeight="1" s="236">
      <c r="A250" s="5">
        <f>ROW()-ROW(RawDataGenPO[[#Headers],[No.]])</f>
        <v/>
      </c>
      <c r="B250" s="7" t="inlineStr">
        <is>
          <t>Expent  cost</t>
        </is>
      </c>
      <c r="C250" s="301" t="n">
        <v>45519</v>
      </c>
      <c r="D250" s="276" t="n"/>
      <c r="E250" s="281" t="n"/>
      <c r="F250" s="301" t="n">
        <v>45519</v>
      </c>
      <c r="G250" s="5" t="inlineStr">
        <is>
          <t>PR2425-02713</t>
        </is>
      </c>
      <c r="H250" s="5" t="inlineStr">
        <is>
          <t xml:space="preserve">PO2425-03024 </t>
        </is>
      </c>
      <c r="I250" s="290">
        <f>IF(RawDataGenPO[[#This Row],[PO No.]]="","",RawDataGenPO[[#This Row],[DMY Create PR]]+7)</f>
        <v/>
      </c>
      <c r="J250" s="290" t="n"/>
      <c r="K250" s="20">
        <f>IF(RawDataGenPO[[#This Row],[PO No.]]="","",10)</f>
        <v/>
      </c>
      <c r="L250" s="5" t="inlineStr">
        <is>
          <t>SFST34000054</t>
        </is>
      </c>
      <c r="M250" s="7" t="inlineStr">
        <is>
          <t>Refrigerant-oil for cooling M/C</t>
        </is>
      </c>
      <c r="N250" s="7" t="inlineStr">
        <is>
          <t>Refrigerant</t>
        </is>
      </c>
      <c r="O250" s="11" t="n">
        <v>1</v>
      </c>
      <c r="P250" s="160" t="inlineStr">
        <is>
          <t>R507 Refrigerant,(1 Tank 11.3 kg/Tank)</t>
        </is>
      </c>
      <c r="Q250" s="293" t="n">
        <v>30</v>
      </c>
      <c r="R250" s="34" t="inlineStr">
        <is>
          <t>DRM</t>
        </is>
      </c>
      <c r="S250" s="294">
        <f>RawDataGenPO[[#This Row],[Total price]]/RawDataGenPO[[#This Row],[Qty'']]</f>
        <v/>
      </c>
      <c r="T250" s="295" t="n">
        <v>78000</v>
      </c>
      <c r="U250" s="161" t="inlineStr">
        <is>
          <t>Puneet Approval</t>
        </is>
      </c>
      <c r="V250" s="7" t="inlineStr">
        <is>
          <t>V1000312 - Colder Solution Co., Ltd.</t>
        </is>
      </c>
      <c r="W250" s="5" t="inlineStr">
        <is>
          <t>Recive bill and GRN already</t>
        </is>
      </c>
      <c r="X250" s="5" t="n"/>
      <c r="Y250" s="3" t="n">
        <v>45528</v>
      </c>
      <c r="Z250" s="3" t="n"/>
      <c r="AA250" s="17">
        <f>IF(RawDataGenPO[[#This Row],[Date Gen PO]]="","",RawDataGenPO[[#This Row],[Date recive bill]]-RawDataGenPO[[#This Row],[Date Gen PO]])</f>
        <v/>
      </c>
      <c r="AB250" s="16">
        <f>IF(RawDataGenPO[[#This Row],[GRN-PO date]]&gt;RawDataGenPO[[#This Row],[Lead time delivery (day)]],"over deliverry","Ontime")</f>
        <v/>
      </c>
      <c r="AC250" s="168" t="n"/>
    </row>
    <row r="251" ht="15" customFormat="1" customHeight="1" s="125">
      <c r="A251" s="5">
        <f>ROW()-ROW(RawDataGenPO[[#Headers],[No.]])</f>
        <v/>
      </c>
      <c r="B251" s="7" t="inlineStr">
        <is>
          <t>Expent  cost</t>
        </is>
      </c>
      <c r="C251" s="301" t="n">
        <v>45519</v>
      </c>
      <c r="D251" s="276" t="n"/>
      <c r="E251" s="281" t="n"/>
      <c r="F251" s="301" t="n">
        <v>45519</v>
      </c>
      <c r="G251" s="5" t="inlineStr">
        <is>
          <t>PR2425-02713</t>
        </is>
      </c>
      <c r="H251" s="5" t="inlineStr">
        <is>
          <t xml:space="preserve">PO2425-03024 </t>
        </is>
      </c>
      <c r="I251" s="290">
        <f>IF(RawDataGenPO[[#This Row],[PO No.]]="","",RawDataGenPO[[#This Row],[DMY Create PR]]+7)</f>
        <v/>
      </c>
      <c r="J251" s="290" t="n"/>
      <c r="K251" s="20">
        <f>IF(RawDataGenPO[[#This Row],[PO No.]]="","",10)</f>
        <v/>
      </c>
      <c r="L251" s="5" t="inlineStr">
        <is>
          <t>SFST34000050</t>
        </is>
      </c>
      <c r="M251" s="7" t="inlineStr">
        <is>
          <t>Refrigerant-oil for cooling M/C</t>
        </is>
      </c>
      <c r="N251" s="7" t="inlineStr">
        <is>
          <t>Cooling system jobs</t>
        </is>
      </c>
      <c r="O251" s="11" t="n">
        <v>2</v>
      </c>
      <c r="P251" s="10" t="inlineStr">
        <is>
          <t>Solest" 170 Compressor Oil (18.9 liter)</t>
        </is>
      </c>
      <c r="Q251" s="277" t="n">
        <v>1</v>
      </c>
      <c r="R251" s="5" t="inlineStr">
        <is>
          <t>DRM</t>
        </is>
      </c>
      <c r="S251" s="284">
        <f>RawDataGenPO[[#This Row],[Total price]]/RawDataGenPO[[#This Row],[Qty'']]</f>
        <v/>
      </c>
      <c r="T251" s="285" t="n">
        <v>17400</v>
      </c>
      <c r="U251" s="161" t="inlineStr">
        <is>
          <t>Puneet Approval</t>
        </is>
      </c>
      <c r="V251" s="7" t="inlineStr">
        <is>
          <t>V1000312 - Colder Solution Co., Ltd.</t>
        </is>
      </c>
      <c r="W251" s="5" t="inlineStr">
        <is>
          <t>Recive bill and GRN already</t>
        </is>
      </c>
      <c r="X251" s="5" t="n"/>
      <c r="Y251" s="3" t="n">
        <v>45528</v>
      </c>
      <c r="Z251" s="3" t="n"/>
      <c r="AA251" s="17">
        <f>IF(RawDataGenPO[[#This Row],[Date Gen PO]]="","",RawDataGenPO[[#This Row],[Date recive bill]]-RawDataGenPO[[#This Row],[Date Gen PO]])</f>
        <v/>
      </c>
      <c r="AB251" s="16">
        <f>IF(RawDataGenPO[[#This Row],[GRN-PO date]]&gt;RawDataGenPO[[#This Row],[Lead time delivery (day)]],"over deliverry","Ontime")</f>
        <v/>
      </c>
      <c r="AC251" s="168" t="n"/>
    </row>
    <row r="252" ht="45" customFormat="1" customHeight="1" s="236">
      <c r="A252" s="5">
        <f>ROW()-ROW(RawDataGenPO[[#Headers],[No.]])</f>
        <v/>
      </c>
      <c r="B252" s="7" t="inlineStr">
        <is>
          <t>Expent  cost</t>
        </is>
      </c>
      <c r="C252" s="281" t="n">
        <v>45514</v>
      </c>
      <c r="D252" s="276" t="n"/>
      <c r="E252" s="281" t="n"/>
      <c r="F252" s="281" t="n">
        <v>45514</v>
      </c>
      <c r="G252" s="235" t="inlineStr">
        <is>
          <t>PR2425-02603</t>
        </is>
      </c>
      <c r="H252" s="5" t="inlineStr">
        <is>
          <t>PO2425-03043</t>
        </is>
      </c>
      <c r="I252" s="290">
        <f>IF(RawDataGenPO[[#This Row],[PO No.]]="","",RawDataGenPO[[#This Row],[DMY Create PR]]+7)</f>
        <v/>
      </c>
      <c r="J252" s="290" t="n"/>
      <c r="K252" s="20" t="n">
        <v>40</v>
      </c>
      <c r="L252" s="5" t="inlineStr">
        <is>
          <t>SFST81000050</t>
        </is>
      </c>
      <c r="M252" s="7" t="inlineStr">
        <is>
          <t>PD Machine</t>
        </is>
      </c>
      <c r="N252" s="7" t="inlineStr">
        <is>
          <t>Steam Bratt pan No.3</t>
        </is>
      </c>
      <c r="O252" s="11" t="n">
        <v>1</v>
      </c>
      <c r="P252" s="10" t="inlineStr">
        <is>
          <t>DAMPF TRIX 6000 STEAM HOSE I.D.25 MM SIZE 1 2.6 M., FLANGE PN40 size 1"
hose tail outlet, crimp sleeve for 1" steam hose, SUS304 material</t>
        </is>
      </c>
      <c r="Q252" s="277" t="n">
        <v>2</v>
      </c>
      <c r="R252" s="5" t="inlineStr">
        <is>
          <t>pcs.</t>
        </is>
      </c>
      <c r="S252" s="284">
        <f>RawDataGenPO[[#This Row],[Total price]]/RawDataGenPO[[#This Row],[Qty'']]</f>
        <v/>
      </c>
      <c r="T252" s="304" t="n">
        <v>14142</v>
      </c>
      <c r="U252" s="161" t="inlineStr">
        <is>
          <t>Puneet Approval</t>
        </is>
      </c>
      <c r="V252" s="7" t="inlineStr">
        <is>
          <t>V1000624 - HOSE CENTER COMPANY LIMITED</t>
        </is>
      </c>
      <c r="W252" s="5" t="inlineStr">
        <is>
          <t>Recive bill and GRN already</t>
        </is>
      </c>
      <c r="X252" s="5" t="n"/>
      <c r="Y252" s="3" t="n">
        <v>45559</v>
      </c>
      <c r="Z252" s="3" t="n"/>
      <c r="AA252" s="17">
        <f>IF(RawDataGenPO[[#This Row],[Date Gen PO]]="","",RawDataGenPO[[#This Row],[Date recive bill]]-RawDataGenPO[[#This Row],[Date Gen PO]])</f>
        <v/>
      </c>
      <c r="AB252" s="16">
        <f>IF(RawDataGenPO[[#This Row],[GRN-PO date]]&gt;RawDataGenPO[[#This Row],[Lead time delivery (day)]],"over deliverry","Ontime")</f>
        <v/>
      </c>
      <c r="AC252" s="168" t="n"/>
    </row>
    <row r="253" ht="75" customFormat="1" customHeight="1" s="125">
      <c r="A253" s="5">
        <f>ROW()-ROW(RawDataGenPO[[#Headers],[No.]])</f>
        <v/>
      </c>
      <c r="B253" s="7" t="inlineStr">
        <is>
          <t>Expent  cost</t>
        </is>
      </c>
      <c r="C253" s="281" t="n">
        <v>45514</v>
      </c>
      <c r="D253" s="276" t="n"/>
      <c r="E253" s="281" t="n"/>
      <c r="F253" s="281" t="n">
        <v>45514</v>
      </c>
      <c r="G253" s="235" t="inlineStr">
        <is>
          <t>PR2425-02603</t>
        </is>
      </c>
      <c r="H253" s="5" t="inlineStr">
        <is>
          <t>PO2425-03043</t>
        </is>
      </c>
      <c r="I253" s="290">
        <f>IF(RawDataGenPO[[#This Row],[PO No.]]="","",RawDataGenPO[[#This Row],[DMY Create PR]]+7)</f>
        <v/>
      </c>
      <c r="J253" s="290" t="n"/>
      <c r="K253" s="20" t="n">
        <v>40</v>
      </c>
      <c r="L253" s="5" t="inlineStr">
        <is>
          <t>SFST81000050</t>
        </is>
      </c>
      <c r="M253" s="7" t="inlineStr">
        <is>
          <t>PD Machine</t>
        </is>
      </c>
      <c r="N253" s="7" t="inlineStr">
        <is>
          <t>Steam Bratt pan No.3</t>
        </is>
      </c>
      <c r="O253" s="11" t="n">
        <v>2</v>
      </c>
      <c r="P253" s="10" t="inlineStr">
        <is>
          <t>DAMPF TRIX 6000 STEAM HOSE I.D.25 MM SIZE 12 M., GBMT-1616 male hose fitting
30-degree concave taper, UNION fitting size 1", crimp sleeve for 1" steam hose, SUS304 material</t>
        </is>
      </c>
      <c r="Q253" s="277" t="n">
        <v>2</v>
      </c>
      <c r="R253" s="5" t="inlineStr">
        <is>
          <t>pcs.</t>
        </is>
      </c>
      <c r="S253" s="284">
        <f>RawDataGenPO[[#This Row],[Total price]]/RawDataGenPO[[#This Row],[Qty'']]</f>
        <v/>
      </c>
      <c r="T253" s="304" t="n">
        <v>10900</v>
      </c>
      <c r="U253" s="161" t="inlineStr">
        <is>
          <t>Puneet Approval</t>
        </is>
      </c>
      <c r="V253" s="7" t="inlineStr">
        <is>
          <t>V1000624 - HOSE CENTER COMPANY LIMITED</t>
        </is>
      </c>
      <c r="W253" s="5" t="inlineStr">
        <is>
          <t>Recive bill and GRN already</t>
        </is>
      </c>
      <c r="X253" s="5" t="n"/>
      <c r="Y253" s="3" t="n">
        <v>45559</v>
      </c>
      <c r="Z253" s="3" t="n"/>
      <c r="AA253" s="17">
        <f>IF(RawDataGenPO[[#This Row],[Date Gen PO]]="","",RawDataGenPO[[#This Row],[Date recive bill]]-RawDataGenPO[[#This Row],[Date Gen PO]])</f>
        <v/>
      </c>
      <c r="AB253" s="16">
        <f>IF(RawDataGenPO[[#This Row],[GRN-PO date]]&gt;RawDataGenPO[[#This Row],[Lead time delivery (day)]],"over deliverry","Ontime")</f>
        <v/>
      </c>
      <c r="AC253" s="168" t="n"/>
    </row>
    <row r="254" ht="75" customFormat="1" customHeight="1" s="125">
      <c r="A254" s="5">
        <f>ROW()-ROW(RawDataGenPO[[#Headers],[No.]])</f>
        <v/>
      </c>
      <c r="B254" s="7" t="inlineStr">
        <is>
          <t>Expent  cost</t>
        </is>
      </c>
      <c r="C254" s="281" t="n">
        <v>45514</v>
      </c>
      <c r="D254" s="276" t="n"/>
      <c r="E254" s="281" t="n"/>
      <c r="F254" s="281" t="n">
        <v>45514</v>
      </c>
      <c r="G254" s="235" t="inlineStr">
        <is>
          <t>PR2425-02603</t>
        </is>
      </c>
      <c r="H254" s="5" t="inlineStr">
        <is>
          <t>PO2425-03043</t>
        </is>
      </c>
      <c r="I254" s="290">
        <f>IF(RawDataGenPO[[#This Row],[PO No.]]="","",RawDataGenPO[[#This Row],[DMY Create PR]]+7)</f>
        <v/>
      </c>
      <c r="J254" s="290" t="n"/>
      <c r="K254" s="20" t="n">
        <v>40</v>
      </c>
      <c r="L254" s="5" t="inlineStr">
        <is>
          <t>SFST81000050</t>
        </is>
      </c>
      <c r="M254" s="7" t="inlineStr">
        <is>
          <t>Tool and Equipment PD M/C</t>
        </is>
      </c>
      <c r="N254" s="7" t="inlineStr">
        <is>
          <t>Steam Bratt Pan No.4</t>
        </is>
      </c>
      <c r="O254" s="11" t="n">
        <v>3</v>
      </c>
      <c r="P254" s="10" t="inlineStr">
        <is>
          <t>DAMPF TRIX 6000 STEAM HOSE I.D. 13 MM SIZE 1/2 2.4 M, crimp sleeve for 1/2" steam hose
FLANGE PN40 size 1/2" hose tail outlet, FLANGE PN40 size 1/2" 45-degree hose tail outlet, SUS304 material</t>
        </is>
      </c>
      <c r="Q254" s="277" t="n">
        <v>2</v>
      </c>
      <c r="R254" s="5" t="inlineStr">
        <is>
          <t>pcs.</t>
        </is>
      </c>
      <c r="S254" s="284">
        <f>RawDataGenPO[[#This Row],[Total price]]/RawDataGenPO[[#This Row],[Qty'']]</f>
        <v/>
      </c>
      <c r="T254" s="309" t="n">
        <v>8567</v>
      </c>
      <c r="U254" s="161" t="inlineStr">
        <is>
          <t>Puneet Approval</t>
        </is>
      </c>
      <c r="V254" s="7" t="inlineStr">
        <is>
          <t>V1000624 - HOSE CENTER COMPANY LIMITED</t>
        </is>
      </c>
      <c r="W254" s="5" t="inlineStr">
        <is>
          <t>Recive bill and GRN already</t>
        </is>
      </c>
      <c r="X254" s="5" t="n"/>
      <c r="Y254" s="3" t="n">
        <v>45559</v>
      </c>
      <c r="Z254" s="3" t="n"/>
      <c r="AA254" s="17">
        <f>IF(RawDataGenPO[[#This Row],[Date Gen PO]]="","",RawDataGenPO[[#This Row],[Date recive bill]]-RawDataGenPO[[#This Row],[Date Gen PO]])</f>
        <v/>
      </c>
      <c r="AB254" s="16">
        <f>IF(RawDataGenPO[[#This Row],[GRN-PO date]]&gt;RawDataGenPO[[#This Row],[Lead time delivery (day)]],"over deliverry","Ontime")</f>
        <v/>
      </c>
      <c r="AC254" s="168" t="n"/>
    </row>
    <row r="255" ht="90" customFormat="1" customHeight="1" s="125">
      <c r="A255" s="5">
        <f>ROW()-ROW(RawDataGenPO[[#Headers],[No.]])</f>
        <v/>
      </c>
      <c r="B255" s="7" t="inlineStr">
        <is>
          <t>Expent  cost</t>
        </is>
      </c>
      <c r="C255" s="281" t="n">
        <v>45514</v>
      </c>
      <c r="D255" s="276" t="n"/>
      <c r="E255" s="281" t="n"/>
      <c r="F255" s="281" t="n">
        <v>45514</v>
      </c>
      <c r="G255" s="235" t="inlineStr">
        <is>
          <t>PR2425-02603</t>
        </is>
      </c>
      <c r="H255" s="5" t="inlineStr">
        <is>
          <t>PO2425-03043</t>
        </is>
      </c>
      <c r="I255" s="290">
        <f>IF(RawDataGenPO[[#This Row],[PO No.]]="","",RawDataGenPO[[#This Row],[DMY Create PR]]+7)</f>
        <v/>
      </c>
      <c r="J255" s="290" t="n"/>
      <c r="K255" s="20" t="n">
        <v>40</v>
      </c>
      <c r="L255" s="5" t="inlineStr">
        <is>
          <t>SFST81000050</t>
        </is>
      </c>
      <c r="M255" s="7" t="inlineStr">
        <is>
          <t>Tool and Equipment PD M/C</t>
        </is>
      </c>
      <c r="N255" s="7" t="inlineStr">
        <is>
          <t>Steam Bratt Pan No.4</t>
        </is>
      </c>
      <c r="O255" s="11" t="n">
        <v>4</v>
      </c>
      <c r="P255" s="10" t="inlineStr">
        <is>
          <t>DAMPF TRIX 6000 STEAM HOSE I.D.13 MM SIZE 1/2 2 M., steam hose ferrule size 1/2" SUS304
GBMT-0808 male fitting, 30-degree concave taper
GBMT-0808 male fitting, 45-degree bend, 30-degree concave taper, SUS304 material
UNION fitting size 1/2", SUS material</t>
        </is>
      </c>
      <c r="Q255" s="277" t="n">
        <v>2</v>
      </c>
      <c r="R255" s="5" t="inlineStr">
        <is>
          <t>pcs.</t>
        </is>
      </c>
      <c r="S255" s="284">
        <f>RawDataGenPO[[#This Row],[Total price]]/RawDataGenPO[[#This Row],[Qty'']]</f>
        <v/>
      </c>
      <c r="T255" s="309" t="n">
        <v>6175.5</v>
      </c>
      <c r="U255" s="161" t="inlineStr">
        <is>
          <t>Puneet Approval</t>
        </is>
      </c>
      <c r="V255" s="7" t="inlineStr">
        <is>
          <t>V1000624 - HOSE CENTER COMPANY LIMITED</t>
        </is>
      </c>
      <c r="W255" s="5" t="inlineStr">
        <is>
          <t>Recive bill and GRN already</t>
        </is>
      </c>
      <c r="X255" s="5" t="n"/>
      <c r="Y255" s="3" t="n">
        <v>45559</v>
      </c>
      <c r="Z255" s="3" t="n"/>
      <c r="AA255" s="17">
        <f>IF(RawDataGenPO[[#This Row],[Date Gen PO]]="","",RawDataGenPO[[#This Row],[Date recive bill]]-RawDataGenPO[[#This Row],[Date Gen PO]])</f>
        <v/>
      </c>
      <c r="AB255" s="16">
        <f>IF(RawDataGenPO[[#This Row],[GRN-PO date]]&gt;RawDataGenPO[[#This Row],[Lead time delivery (day)]],"over deliverry","Ontime")</f>
        <v/>
      </c>
      <c r="AC255" s="168" t="n"/>
    </row>
    <row r="256" ht="45" customFormat="1" customHeight="1" s="125">
      <c r="A256" s="5">
        <f>ROW()-ROW(RawDataGenPO[[#Headers],[No.]])</f>
        <v/>
      </c>
      <c r="B256" s="7" t="inlineStr">
        <is>
          <t>Expent  cost</t>
        </is>
      </c>
      <c r="C256" s="301" t="n">
        <v>45514</v>
      </c>
      <c r="D256" s="276" t="n"/>
      <c r="E256" s="281" t="n"/>
      <c r="F256" s="301" t="n">
        <v>45514</v>
      </c>
      <c r="G256" s="5" t="inlineStr">
        <is>
          <t>PR2425-02603</t>
        </is>
      </c>
      <c r="H256" s="5" t="inlineStr">
        <is>
          <t>PO2425-03043</t>
        </is>
      </c>
      <c r="I256" s="290">
        <f>IF(RawDataGenPO[[#This Row],[PO No.]]="","",RawDataGenPO[[#This Row],[DMY Create PR]]+7)</f>
        <v/>
      </c>
      <c r="J256" s="290" t="n"/>
      <c r="K256" s="20" t="n">
        <v>40</v>
      </c>
      <c r="L256" s="5" t="inlineStr">
        <is>
          <t>SFST81000050</t>
        </is>
      </c>
      <c r="M256" s="7" t="inlineStr">
        <is>
          <t>Tool and Equipment PD M/C</t>
        </is>
      </c>
      <c r="N256" s="7" t="inlineStr">
        <is>
          <t>Steam Bratt Pan No.4</t>
        </is>
      </c>
      <c r="O256" s="11" t="n">
        <v>5</v>
      </c>
      <c r="P256" s="10" t="inlineStr">
        <is>
          <t>DAMPF TRIX 6000 STEAM HOSE I.D.25 MM SIZE 1 2.6 M., FLANGE PN40 size 1"
hose tail outlet, crimp sleeve for 1" steam hose, SUS304 material</t>
        </is>
      </c>
      <c r="Q256" s="277" t="n">
        <v>2</v>
      </c>
      <c r="R256" s="5" t="inlineStr">
        <is>
          <t>PCS.</t>
        </is>
      </c>
      <c r="S256" s="284">
        <f>RawDataGenPO[[#This Row],[Total price]]/RawDataGenPO[[#This Row],[Qty'']]</f>
        <v/>
      </c>
      <c r="T256" s="208" t="n">
        <v>14142</v>
      </c>
      <c r="U256" s="161" t="inlineStr">
        <is>
          <t>Puneet Approval</t>
        </is>
      </c>
      <c r="V256" s="7" t="inlineStr">
        <is>
          <t>V1000624 - HOSE CENTER COMPANY LIMITED</t>
        </is>
      </c>
      <c r="W256" s="5" t="inlineStr">
        <is>
          <t>Recive bill and GRN already</t>
        </is>
      </c>
      <c r="X256" s="5" t="n"/>
      <c r="Y256" s="3" t="n">
        <v>45559</v>
      </c>
      <c r="Z256" s="3" t="n"/>
      <c r="AA256" s="17">
        <f>IF(RawDataGenPO[[#This Row],[Date Gen PO]]="","",RawDataGenPO[[#This Row],[Date recive bill]]-RawDataGenPO[[#This Row],[Date Gen PO]])</f>
        <v/>
      </c>
      <c r="AB256" s="16">
        <f>IF(RawDataGenPO[[#This Row],[GRN-PO date]]&gt;RawDataGenPO[[#This Row],[Lead time delivery (day)]],"over deliverry","Ontime")</f>
        <v/>
      </c>
      <c r="AC256" s="168" t="n"/>
    </row>
    <row r="257" ht="75" customFormat="1" customHeight="1" s="125">
      <c r="A257" s="5">
        <f>ROW()-ROW(RawDataGenPO[[#Headers],[No.]])</f>
        <v/>
      </c>
      <c r="B257" s="7" t="inlineStr">
        <is>
          <t>Expent  cost</t>
        </is>
      </c>
      <c r="C257" s="301" t="n">
        <v>45514</v>
      </c>
      <c r="D257" s="276" t="n"/>
      <c r="E257" s="281" t="n"/>
      <c r="F257" s="301" t="n">
        <v>45514</v>
      </c>
      <c r="G257" s="5" t="inlineStr">
        <is>
          <t>PR2425-02603</t>
        </is>
      </c>
      <c r="H257" s="5" t="inlineStr">
        <is>
          <t>PO2425-03043</t>
        </is>
      </c>
      <c r="I257" s="290">
        <f>IF(RawDataGenPO[[#This Row],[PO No.]]="","",RawDataGenPO[[#This Row],[DMY Create PR]]+7)</f>
        <v/>
      </c>
      <c r="J257" s="290" t="n"/>
      <c r="K257" s="20" t="n">
        <v>40</v>
      </c>
      <c r="L257" s="5" t="inlineStr">
        <is>
          <t>SFST81000050</t>
        </is>
      </c>
      <c r="M257" s="7" t="inlineStr">
        <is>
          <t>Tool and Equipment PD M/C</t>
        </is>
      </c>
      <c r="N257" s="7" t="inlineStr">
        <is>
          <t>Steam Bratt pan No.3</t>
        </is>
      </c>
      <c r="O257" s="11" t="n">
        <v>6</v>
      </c>
      <c r="P257" s="10" t="inlineStr">
        <is>
          <t>DAMPF TRIX 6000 STEAM HOSE I.D.25 MM SIZE 12 M., GBMT-1616 male hose fitting
30-degree concave taper, UNION fitting size 1", crimp sleeve for 1" steam hose, SUS304 material</t>
        </is>
      </c>
      <c r="Q257" s="277" t="n">
        <v>2</v>
      </c>
      <c r="R257" s="5" t="inlineStr">
        <is>
          <t>PCS.</t>
        </is>
      </c>
      <c r="S257" s="284">
        <f>RawDataGenPO[[#This Row],[Total price]]/RawDataGenPO[[#This Row],[Qty'']]</f>
        <v/>
      </c>
      <c r="T257" s="208" t="n">
        <v>10900</v>
      </c>
      <c r="U257" s="161" t="inlineStr">
        <is>
          <t>Puneet Approval</t>
        </is>
      </c>
      <c r="V257" s="7" t="inlineStr">
        <is>
          <t>V1000624 - HOSE CENTER COMPANY LIMITED</t>
        </is>
      </c>
      <c r="W257" s="5" t="inlineStr">
        <is>
          <t>Recive bill and GRN already</t>
        </is>
      </c>
      <c r="X257" s="5" t="n"/>
      <c r="Y257" s="3" t="n">
        <v>45559</v>
      </c>
      <c r="Z257" s="3" t="n"/>
      <c r="AA257" s="17">
        <f>IF(RawDataGenPO[[#This Row],[Date Gen PO]]="","",RawDataGenPO[[#This Row],[Date recive bill]]-RawDataGenPO[[#This Row],[Date Gen PO]])</f>
        <v/>
      </c>
      <c r="AB257" s="16">
        <f>IF(RawDataGenPO[[#This Row],[GRN-PO date]]&gt;RawDataGenPO[[#This Row],[Lead time delivery (day)]],"over deliverry","Ontime")</f>
        <v/>
      </c>
      <c r="AC257" s="168" t="n"/>
    </row>
    <row r="258" ht="75" customFormat="1" customHeight="1" s="125">
      <c r="A258" s="5">
        <f>ROW()-ROW(RawDataGenPO[[#Headers],[No.]])</f>
        <v/>
      </c>
      <c r="B258" s="7" t="inlineStr">
        <is>
          <t>Expent  cost</t>
        </is>
      </c>
      <c r="C258" s="301" t="n">
        <v>45514</v>
      </c>
      <c r="D258" s="276" t="n"/>
      <c r="E258" s="281" t="n"/>
      <c r="F258" s="301" t="n">
        <v>45514</v>
      </c>
      <c r="G258" s="5" t="inlineStr">
        <is>
          <t>PR2425-02603</t>
        </is>
      </c>
      <c r="H258" s="5" t="inlineStr">
        <is>
          <t>PO2425-03043</t>
        </is>
      </c>
      <c r="I258" s="290">
        <f>IF(RawDataGenPO[[#This Row],[PO No.]]="","",RawDataGenPO[[#This Row],[DMY Create PR]]+7)</f>
        <v/>
      </c>
      <c r="J258" s="290" t="n"/>
      <c r="K258" s="20" t="n">
        <v>40</v>
      </c>
      <c r="L258" s="5" t="inlineStr">
        <is>
          <t>SFST81000050</t>
        </is>
      </c>
      <c r="M258" s="7" t="inlineStr">
        <is>
          <t>Tool and Equipment PD M/C</t>
        </is>
      </c>
      <c r="N258" s="7" t="inlineStr">
        <is>
          <t>Steam Bratt pan No.3</t>
        </is>
      </c>
      <c r="O258" s="11" t="n">
        <v>7</v>
      </c>
      <c r="P258" s="10" t="inlineStr">
        <is>
          <t>DAMPF TRIX 6000 STEAM HOSE I.D. 13 MM SIZE 1/2 2.4 M, crimp sleeve for 1/2" steam hose
FLANGE PN40 size 1/2" hose tail outlet, FLANGE PN40 size 1/2" 45-degree hose tail outlet, SUS304 material</t>
        </is>
      </c>
      <c r="Q258" s="298" t="n">
        <v>2</v>
      </c>
      <c r="R258" s="5" t="inlineStr">
        <is>
          <t>PCS.</t>
        </is>
      </c>
      <c r="S258" s="284">
        <f>RawDataGenPO[[#This Row],[Total price]]/RawDataGenPO[[#This Row],[Qty'']]</f>
        <v/>
      </c>
      <c r="T258" s="208" t="n">
        <v>8567</v>
      </c>
      <c r="U258" s="161" t="inlineStr">
        <is>
          <t>Puneet Approval</t>
        </is>
      </c>
      <c r="V258" s="7" t="inlineStr">
        <is>
          <t>V1000624 - HOSE CENTER COMPANY LIMITED</t>
        </is>
      </c>
      <c r="W258" s="5" t="inlineStr">
        <is>
          <t>Recive bill and GRN already</t>
        </is>
      </c>
      <c r="X258" s="5" t="n"/>
      <c r="Y258" s="3" t="n">
        <v>45559</v>
      </c>
      <c r="Z258" s="3" t="n"/>
      <c r="AA258" s="17">
        <f>IF(RawDataGenPO[[#This Row],[Date Gen PO]]="","",RawDataGenPO[[#This Row],[Date recive bill]]-RawDataGenPO[[#This Row],[Date Gen PO]])</f>
        <v/>
      </c>
      <c r="AB258" s="16">
        <f>IF(RawDataGenPO[[#This Row],[GRN-PO date]]&gt;RawDataGenPO[[#This Row],[Lead time delivery (day)]],"over deliverry","Ontime")</f>
        <v/>
      </c>
      <c r="AC258" s="168" t="n"/>
    </row>
    <row r="259" ht="90" customFormat="1" customHeight="1" s="125">
      <c r="A259" s="5">
        <f>ROW()-ROW(RawDataGenPO[[#Headers],[No.]])</f>
        <v/>
      </c>
      <c r="B259" s="7" t="inlineStr">
        <is>
          <t>Expent  cost</t>
        </is>
      </c>
      <c r="C259" s="301" t="n">
        <v>45514</v>
      </c>
      <c r="D259" s="276" t="n"/>
      <c r="E259" s="281" t="n"/>
      <c r="F259" s="301" t="n">
        <v>45514</v>
      </c>
      <c r="G259" s="5" t="inlineStr">
        <is>
          <t>PR2425-02603</t>
        </is>
      </c>
      <c r="H259" s="5" t="inlineStr">
        <is>
          <t>PO2425-03043</t>
        </is>
      </c>
      <c r="I259" s="290">
        <f>IF(RawDataGenPO[[#This Row],[PO No.]]="","",RawDataGenPO[[#This Row],[DMY Create PR]]+7)</f>
        <v/>
      </c>
      <c r="J259" s="290" t="n"/>
      <c r="K259" s="20" t="n">
        <v>40</v>
      </c>
      <c r="L259" s="5" t="inlineStr">
        <is>
          <t>SFST81000050</t>
        </is>
      </c>
      <c r="M259" s="7" t="inlineStr">
        <is>
          <t>Tool and Equipment PD M/C</t>
        </is>
      </c>
      <c r="N259" s="7" t="inlineStr">
        <is>
          <t>Steam Bratt pan No.3</t>
        </is>
      </c>
      <c r="O259" s="11" t="n">
        <v>8</v>
      </c>
      <c r="P259" s="10" t="inlineStr">
        <is>
          <t>DAMPF TRIX 6000 STEAM HOSE I.D.13 MM SIZE 1/2 2 M., steam hose ferrule size 1/2" SUS304
GBMT-0808 male fitting, 30-degree concave taper
GBMT-0808 male fitting, 45-degree bend, 30-degree concave taper, SUS304 material
UNION fitting size 1/2", SUS material</t>
        </is>
      </c>
      <c r="Q259" s="298" t="n">
        <v>2</v>
      </c>
      <c r="R259" s="5" t="inlineStr">
        <is>
          <t>PCS.</t>
        </is>
      </c>
      <c r="S259" s="284">
        <f>RawDataGenPO[[#This Row],[Total price]]/RawDataGenPO[[#This Row],[Qty'']]</f>
        <v/>
      </c>
      <c r="T259" s="208" t="n">
        <v>6175.5</v>
      </c>
      <c r="U259" s="161" t="inlineStr">
        <is>
          <t>Puneet Approval</t>
        </is>
      </c>
      <c r="V259" s="7" t="inlineStr">
        <is>
          <t>V1000624 - HOSE CENTER COMPANY LIMITED</t>
        </is>
      </c>
      <c r="W259" s="5" t="inlineStr">
        <is>
          <t>Recive bill and GRN already</t>
        </is>
      </c>
      <c r="X259" s="5" t="n"/>
      <c r="Y259" s="3" t="n">
        <v>45559</v>
      </c>
      <c r="Z259" s="3" t="n"/>
      <c r="AA259" s="17">
        <f>IF(RawDataGenPO[[#This Row],[Date Gen PO]]="","",RawDataGenPO[[#This Row],[Date recive bill]]-RawDataGenPO[[#This Row],[Date Gen PO]])</f>
        <v/>
      </c>
      <c r="AB259" s="16">
        <f>IF(RawDataGenPO[[#This Row],[GRN-PO date]]&gt;RawDataGenPO[[#This Row],[Lead time delivery (day)]],"over deliverry","Ontime")</f>
        <v/>
      </c>
      <c r="AC259" s="168" t="n"/>
    </row>
    <row r="260" ht="30" customFormat="1" customHeight="1" s="125">
      <c r="A260" s="5">
        <f>ROW()-ROW(RawDataGenPO[[#Headers],[No.]])</f>
        <v/>
      </c>
      <c r="B260" s="7" t="inlineStr">
        <is>
          <t>Expent  cost</t>
        </is>
      </c>
      <c r="C260" s="281" t="n">
        <v>45514</v>
      </c>
      <c r="D260" s="276" t="n"/>
      <c r="E260" s="281" t="n"/>
      <c r="F260" s="281" t="n">
        <v>45514</v>
      </c>
      <c r="G260" s="235" t="inlineStr">
        <is>
          <t>PR2425-02604</t>
        </is>
      </c>
      <c r="H260" s="5" t="inlineStr">
        <is>
          <t>PO2425-03044</t>
        </is>
      </c>
      <c r="I260" s="290">
        <f>IF(RawDataGenPO[[#This Row],[PO No.]]="","",RawDataGenPO[[#This Row],[DMY Create PR]]+7)</f>
        <v/>
      </c>
      <c r="J260" s="290" t="n"/>
      <c r="K260" s="20" t="n">
        <v>40</v>
      </c>
      <c r="L260" s="5" t="inlineStr">
        <is>
          <t>SFST81000050</t>
        </is>
      </c>
      <c r="M260" s="7" t="inlineStr">
        <is>
          <t>Tool and Equipment PD M/C</t>
        </is>
      </c>
      <c r="N260" s="7" t="inlineStr">
        <is>
          <t>Steam Bratt pan No.1</t>
        </is>
      </c>
      <c r="O260" s="11" t="n">
        <v>1</v>
      </c>
      <c r="P260" s="167" t="inlineStr">
        <is>
          <t>DAMPF TRIX 6000 STEAM HOSE I.D.25 MM.SIZE 1DAMPF TRIX 6000 STEAM HOSE I.D.25 MM.SIZE 1</t>
        </is>
      </c>
      <c r="Q260" s="202" t="n">
        <v>1.5</v>
      </c>
      <c r="R260" s="5" t="inlineStr">
        <is>
          <t>pcs.</t>
        </is>
      </c>
      <c r="S260" s="284">
        <f>RawDataGenPO[[#This Row],[Total price]]/RawDataGenPO[[#This Row],[Qty'']]</f>
        <v/>
      </c>
      <c r="T260" s="309" t="n">
        <v>2610</v>
      </c>
      <c r="U260" s="161" t="inlineStr">
        <is>
          <t>Puneet Approval</t>
        </is>
      </c>
      <c r="V260" s="7" t="inlineStr">
        <is>
          <t>V1000624 - HOSE CENTER COMPANY LIMITED</t>
        </is>
      </c>
      <c r="W260" s="5" t="inlineStr">
        <is>
          <t>Recive bill and GRN already</t>
        </is>
      </c>
      <c r="X260" s="5" t="n"/>
      <c r="Y260" s="3" t="n">
        <v>45559</v>
      </c>
      <c r="Z260" s="3" t="n"/>
      <c r="AA260" s="17">
        <f>IF(RawDataGenPO[[#This Row],[Date Gen PO]]="","",RawDataGenPO[[#This Row],[Date recive bill]]-RawDataGenPO[[#This Row],[Date Gen PO]])</f>
        <v/>
      </c>
      <c r="AB260" s="16">
        <f>IF(RawDataGenPO[[#This Row],[GRN-PO date]]&gt;RawDataGenPO[[#This Row],[Lead time delivery (day)]],"over deliverry","Ontime")</f>
        <v/>
      </c>
      <c r="AC260" s="168" t="n"/>
    </row>
    <row r="261" customFormat="1" s="125">
      <c r="A261" s="5">
        <f>ROW()-ROW(RawDataGenPO[[#Headers],[No.]])</f>
        <v/>
      </c>
      <c r="B261" s="7" t="inlineStr">
        <is>
          <t>Expent  cost</t>
        </is>
      </c>
      <c r="C261" s="281" t="n">
        <v>45514</v>
      </c>
      <c r="D261" s="276" t="n"/>
      <c r="E261" s="281" t="n"/>
      <c r="F261" s="281" t="n">
        <v>45514</v>
      </c>
      <c r="G261" s="235" t="inlineStr">
        <is>
          <t>PR2425-02604</t>
        </is>
      </c>
      <c r="H261" s="5" t="inlineStr">
        <is>
          <t>PO2425-03044</t>
        </is>
      </c>
      <c r="I261" s="290">
        <f>IF(RawDataGenPO[[#This Row],[PO No.]]="","",RawDataGenPO[[#This Row],[DMY Create PR]]+7)</f>
        <v/>
      </c>
      <c r="J261" s="290" t="n"/>
      <c r="K261" s="20" t="n">
        <v>40</v>
      </c>
      <c r="L261" s="5" t="inlineStr">
        <is>
          <t>SFST81000050</t>
        </is>
      </c>
      <c r="M261" s="7" t="inlineStr">
        <is>
          <t>Tool and Equipment PD M/C</t>
        </is>
      </c>
      <c r="N261" s="7" t="inlineStr">
        <is>
          <t>Steam Bratt pan No.1</t>
        </is>
      </c>
      <c r="O261" s="11" t="n">
        <v>2</v>
      </c>
      <c r="P261" s="167" t="inlineStr">
        <is>
          <t>GBMT-1616 male fitting, 30-degree concave taper, SUS304 material</t>
        </is>
      </c>
      <c r="Q261" s="202" t="n">
        <v>2</v>
      </c>
      <c r="R261" s="5" t="inlineStr">
        <is>
          <t>pcs.</t>
        </is>
      </c>
      <c r="S261" s="284">
        <f>RawDataGenPO[[#This Row],[Total price]]/RawDataGenPO[[#This Row],[Qty'']]</f>
        <v/>
      </c>
      <c r="T261" s="309" t="n">
        <v>1764</v>
      </c>
      <c r="U261" s="161" t="inlineStr">
        <is>
          <t>Puneet Approval</t>
        </is>
      </c>
      <c r="V261" s="7" t="inlineStr">
        <is>
          <t>V1000624 - HOSE CENTER COMPANY LIMITED</t>
        </is>
      </c>
      <c r="W261" s="5" t="inlineStr">
        <is>
          <t>Recive bill and GRN already</t>
        </is>
      </c>
      <c r="X261" s="5" t="n"/>
      <c r="Y261" s="3" t="n">
        <v>45559</v>
      </c>
      <c r="Z261" s="3" t="n"/>
      <c r="AA261" s="17">
        <f>IF(RawDataGenPO[[#This Row],[Date Gen PO]]="","",RawDataGenPO[[#This Row],[Date recive bill]]-RawDataGenPO[[#This Row],[Date Gen PO]])</f>
        <v/>
      </c>
      <c r="AB261" s="16">
        <f>IF(RawDataGenPO[[#This Row],[GRN-PO date]]&gt;RawDataGenPO[[#This Row],[Lead time delivery (day)]],"over deliverry","Ontime")</f>
        <v/>
      </c>
      <c r="AC261" s="168" t="n"/>
    </row>
    <row r="262" customFormat="1" s="125">
      <c r="A262" s="5">
        <f>ROW()-ROW(RawDataGenPO[[#Headers],[No.]])</f>
        <v/>
      </c>
      <c r="B262" s="7" t="inlineStr">
        <is>
          <t>Expent  cost</t>
        </is>
      </c>
      <c r="C262" s="281" t="n">
        <v>45514</v>
      </c>
      <c r="D262" s="276" t="n"/>
      <c r="E262" s="281" t="n"/>
      <c r="F262" s="281" t="n">
        <v>45514</v>
      </c>
      <c r="G262" s="235" t="inlineStr">
        <is>
          <t>PR2425-02604</t>
        </is>
      </c>
      <c r="H262" s="5" t="inlineStr">
        <is>
          <t>PO2425-03044</t>
        </is>
      </c>
      <c r="I262" s="290">
        <f>IF(RawDataGenPO[[#This Row],[PO No.]]="","",RawDataGenPO[[#This Row],[DMY Create PR]]+7)</f>
        <v/>
      </c>
      <c r="J262" s="290" t="n"/>
      <c r="K262" s="20" t="n">
        <v>40</v>
      </c>
      <c r="L262" s="5" t="inlineStr">
        <is>
          <t>SFST81000050</t>
        </is>
      </c>
      <c r="M262" s="7" t="inlineStr">
        <is>
          <t>Tool and Equipment PD M/C</t>
        </is>
      </c>
      <c r="N262" s="7" t="inlineStr">
        <is>
          <t>Steam Bratt pan No.1</t>
        </is>
      </c>
      <c r="O262" s="11" t="n">
        <v>3</v>
      </c>
      <c r="P262" s="167" t="inlineStr">
        <is>
          <t>UNION fitting size 1", SUS material</t>
        </is>
      </c>
      <c r="Q262" s="202" t="n">
        <v>2</v>
      </c>
      <c r="R262" s="5" t="inlineStr">
        <is>
          <t>pcs.</t>
        </is>
      </c>
      <c r="S262" s="284">
        <f>RawDataGenPO[[#This Row],[Total price]]/RawDataGenPO[[#This Row],[Qty'']]</f>
        <v/>
      </c>
      <c r="T262" s="309" t="n">
        <v>742</v>
      </c>
      <c r="U262" s="161" t="inlineStr">
        <is>
          <t>Puneet Approval</t>
        </is>
      </c>
      <c r="V262" s="7" t="inlineStr">
        <is>
          <t>V1000624 - HOSE CENTER COMPANY LIMITED</t>
        </is>
      </c>
      <c r="W262" s="5" t="inlineStr">
        <is>
          <t>Recive bill and GRN already</t>
        </is>
      </c>
      <c r="X262" s="5" t="n"/>
      <c r="Y262" s="3" t="n">
        <v>45559</v>
      </c>
      <c r="Z262" s="3" t="n"/>
      <c r="AA262" s="17">
        <f>IF(RawDataGenPO[[#This Row],[Date Gen PO]]="","",RawDataGenPO[[#This Row],[Date recive bill]]-RawDataGenPO[[#This Row],[Date Gen PO]])</f>
        <v/>
      </c>
      <c r="AB262" s="16">
        <f>IF(RawDataGenPO[[#This Row],[GRN-PO date]]&gt;RawDataGenPO[[#This Row],[Lead time delivery (day)]],"over deliverry","Ontime")</f>
        <v/>
      </c>
      <c r="AC262" s="168" t="n"/>
    </row>
    <row r="263" customFormat="1" s="125">
      <c r="A263" s="5">
        <f>ROW()-ROW(RawDataGenPO[[#Headers],[No.]])</f>
        <v/>
      </c>
      <c r="B263" s="7" t="inlineStr">
        <is>
          <t>Expent  cost</t>
        </is>
      </c>
      <c r="C263" s="281" t="n">
        <v>45514</v>
      </c>
      <c r="D263" s="276" t="n"/>
      <c r="E263" s="281" t="n"/>
      <c r="F263" s="281" t="n">
        <v>45514</v>
      </c>
      <c r="G263" s="235" t="inlineStr">
        <is>
          <t>PR2425-02604</t>
        </is>
      </c>
      <c r="H263" s="5" t="inlineStr">
        <is>
          <t>PO2425-03044</t>
        </is>
      </c>
      <c r="I263" s="290">
        <f>IF(RawDataGenPO[[#This Row],[PO No.]]="","",RawDataGenPO[[#This Row],[DMY Create PR]]+7)</f>
        <v/>
      </c>
      <c r="J263" s="290" t="n"/>
      <c r="K263" s="20" t="n">
        <v>40</v>
      </c>
      <c r="L263" s="5" t="inlineStr">
        <is>
          <t>SFST81000050</t>
        </is>
      </c>
      <c r="M263" s="7" t="inlineStr">
        <is>
          <t>Tool and Equipment PD M/C</t>
        </is>
      </c>
      <c r="N263" s="7" t="inlineStr">
        <is>
          <t>Steam Bratt pan No.1</t>
        </is>
      </c>
      <c r="O263" s="11" t="n">
        <v>4</v>
      </c>
      <c r="P263" s="167" t="inlineStr">
        <is>
          <t>Crimp sleeve for steam hose size 1", SUS304 material</t>
        </is>
      </c>
      <c r="Q263" s="202" t="n">
        <v>2</v>
      </c>
      <c r="R263" s="5" t="inlineStr">
        <is>
          <t>pcs.</t>
        </is>
      </c>
      <c r="S263" s="284">
        <f>RawDataGenPO[[#This Row],[Total price]]/RawDataGenPO[[#This Row],[Qty'']]</f>
        <v/>
      </c>
      <c r="T263" s="309" t="n">
        <v>1204</v>
      </c>
      <c r="U263" s="161" t="inlineStr">
        <is>
          <t>Puneet Approval</t>
        </is>
      </c>
      <c r="V263" s="7" t="inlineStr">
        <is>
          <t>V1000624 - HOSE CENTER COMPANY LIMITED</t>
        </is>
      </c>
      <c r="W263" s="5" t="inlineStr">
        <is>
          <t>Recive bill and GRN already</t>
        </is>
      </c>
      <c r="X263" s="5" t="n"/>
      <c r="Y263" s="3" t="n">
        <v>45559</v>
      </c>
      <c r="Z263" s="3" t="n"/>
      <c r="AA263" s="17">
        <f>IF(RawDataGenPO[[#This Row],[Date Gen PO]]="","",RawDataGenPO[[#This Row],[Date recive bill]]-RawDataGenPO[[#This Row],[Date Gen PO]])</f>
        <v/>
      </c>
      <c r="AB263" s="16">
        <f>IF(RawDataGenPO[[#This Row],[GRN-PO date]]&gt;RawDataGenPO[[#This Row],[Lead time delivery (day)]],"over deliverry","Ontime")</f>
        <v/>
      </c>
      <c r="AC263" s="168" t="n"/>
    </row>
    <row r="264" customFormat="1" s="125">
      <c r="A264" s="5">
        <f>ROW()-ROW(RawDataGenPO[[#Headers],[No.]])</f>
        <v/>
      </c>
      <c r="B264" s="7" t="inlineStr">
        <is>
          <t>Expent  cost</t>
        </is>
      </c>
      <c r="C264" s="281" t="n">
        <v>45514</v>
      </c>
      <c r="D264" s="276" t="n"/>
      <c r="E264" s="281" t="n"/>
      <c r="F264" s="281" t="n">
        <v>45514</v>
      </c>
      <c r="G264" s="235" t="inlineStr">
        <is>
          <t>PR2425-02604</t>
        </is>
      </c>
      <c r="H264" s="5" t="inlineStr">
        <is>
          <t>PO2425-03044</t>
        </is>
      </c>
      <c r="I264" s="290">
        <f>IF(RawDataGenPO[[#This Row],[PO No.]]="","",RawDataGenPO[[#This Row],[DMY Create PR]]+7)</f>
        <v/>
      </c>
      <c r="J264" s="290" t="n"/>
      <c r="K264" s="20" t="n">
        <v>40</v>
      </c>
      <c r="L264" s="169" t="inlineStr">
        <is>
          <t>SFST81000050</t>
        </is>
      </c>
      <c r="M264" s="7" t="inlineStr">
        <is>
          <t>Tool and Equipment PD M/C</t>
        </is>
      </c>
      <c r="N264" s="7" t="inlineStr">
        <is>
          <t>Steam Bratt pan No.1</t>
        </is>
      </c>
      <c r="O264" s="11" t="n">
        <v>5</v>
      </c>
      <c r="P264" s="167" t="inlineStr">
        <is>
          <t>DAMPF TRIX 6000 STEAM HOSE I.D.13 MM.SIZE 1/2</t>
        </is>
      </c>
      <c r="Q264" s="202" t="n">
        <v>1.5</v>
      </c>
      <c r="R264" s="5" t="inlineStr">
        <is>
          <t>pcs.</t>
        </is>
      </c>
      <c r="S264" s="284">
        <f>RawDataGenPO[[#This Row],[Total price]]/RawDataGenPO[[#This Row],[Qty'']]</f>
        <v/>
      </c>
      <c r="T264" s="309" t="n">
        <v>1591.88</v>
      </c>
      <c r="U264" s="161" t="inlineStr">
        <is>
          <t>Puneet Approval</t>
        </is>
      </c>
      <c r="V264" s="7" t="inlineStr">
        <is>
          <t>V1000624 - HOSE CENTER COMPANY LIMITED</t>
        </is>
      </c>
      <c r="W264" s="5" t="inlineStr">
        <is>
          <t>Recive bill and GRN already</t>
        </is>
      </c>
      <c r="X264" s="5" t="n"/>
      <c r="Y264" s="3" t="n">
        <v>45559</v>
      </c>
      <c r="Z264" s="3" t="n"/>
      <c r="AA264" s="17">
        <f>IF(RawDataGenPO[[#This Row],[Date Gen PO]]="","",RawDataGenPO[[#This Row],[Date recive bill]]-RawDataGenPO[[#This Row],[Date Gen PO]])</f>
        <v/>
      </c>
      <c r="AB264" s="16">
        <f>IF(RawDataGenPO[[#This Row],[GRN-PO date]]&gt;RawDataGenPO[[#This Row],[Lead time delivery (day)]],"over deliverry","Ontime")</f>
        <v/>
      </c>
      <c r="AC264" s="168" t="n"/>
    </row>
    <row r="265" customFormat="1" s="125">
      <c r="A265" s="5">
        <f>ROW()-ROW(RawDataGenPO[[#Headers],[No.]])</f>
        <v/>
      </c>
      <c r="B265" s="7" t="inlineStr">
        <is>
          <t>Expent  cost</t>
        </is>
      </c>
      <c r="C265" s="281" t="n">
        <v>45514</v>
      </c>
      <c r="D265" s="276" t="n"/>
      <c r="E265" s="281" t="n"/>
      <c r="F265" s="281" t="n">
        <v>45514</v>
      </c>
      <c r="G265" s="235" t="inlineStr">
        <is>
          <t>PR2425-02604</t>
        </is>
      </c>
      <c r="H265" s="5" t="inlineStr">
        <is>
          <t>PO2425-03044</t>
        </is>
      </c>
      <c r="I265" s="290">
        <f>IF(RawDataGenPO[[#This Row],[PO No.]]="","",RawDataGenPO[[#This Row],[DMY Create PR]]+7)</f>
        <v/>
      </c>
      <c r="J265" s="290" t="n"/>
      <c r="K265" s="20" t="n">
        <v>40</v>
      </c>
      <c r="L265" s="169" t="inlineStr">
        <is>
          <t>SFST81000050</t>
        </is>
      </c>
      <c r="M265" s="7" t="inlineStr">
        <is>
          <t>Tool and Equipment PD M/C</t>
        </is>
      </c>
      <c r="N265" s="7" t="inlineStr">
        <is>
          <t>Steam Bratt pan No.1</t>
        </is>
      </c>
      <c r="O265" s="11" t="n">
        <v>6</v>
      </c>
      <c r="P265" s="167" t="inlineStr">
        <is>
          <t>Crimp sleeve for steam hose size 1/2", SUS304 material</t>
        </is>
      </c>
      <c r="Q265" s="202" t="n">
        <v>2</v>
      </c>
      <c r="R265" s="5" t="inlineStr">
        <is>
          <t>pcs.</t>
        </is>
      </c>
      <c r="S265" s="284">
        <f>RawDataGenPO[[#This Row],[Total price]]/RawDataGenPO[[#This Row],[Qty'']]</f>
        <v/>
      </c>
      <c r="T265" s="309" t="n">
        <v>406</v>
      </c>
      <c r="U265" s="161" t="inlineStr">
        <is>
          <t>Puneet Approval</t>
        </is>
      </c>
      <c r="V265" s="7" t="inlineStr">
        <is>
          <t>V1000624 - HOSE CENTER COMPANY LIMITED</t>
        </is>
      </c>
      <c r="W265" s="5" t="inlineStr">
        <is>
          <t>Recive bill and GRN already</t>
        </is>
      </c>
      <c r="X265" s="5" t="n"/>
      <c r="Y265" s="3" t="n">
        <v>45559</v>
      </c>
      <c r="Z265" s="3" t="n"/>
      <c r="AA265" s="17">
        <f>IF(RawDataGenPO[[#This Row],[Date Gen PO]]="","",RawDataGenPO[[#This Row],[Date recive bill]]-RawDataGenPO[[#This Row],[Date Gen PO]])</f>
        <v/>
      </c>
      <c r="AB265" s="16">
        <f>IF(RawDataGenPO[[#This Row],[GRN-PO date]]&gt;RawDataGenPO[[#This Row],[Lead time delivery (day)]],"over deliverry","Ontime")</f>
        <v/>
      </c>
      <c r="AC265" s="168" t="n"/>
    </row>
    <row r="266" customFormat="1" s="125">
      <c r="A266" s="5">
        <f>ROW()-ROW(RawDataGenPO[[#Headers],[No.]])</f>
        <v/>
      </c>
      <c r="B266" s="7" t="inlineStr">
        <is>
          <t>Expent  cost</t>
        </is>
      </c>
      <c r="C266" s="281" t="n">
        <v>45514</v>
      </c>
      <c r="D266" s="276" t="n"/>
      <c r="E266" s="281" t="n"/>
      <c r="F266" s="281" t="n">
        <v>45514</v>
      </c>
      <c r="G266" s="235" t="inlineStr">
        <is>
          <t>PR2425-02604</t>
        </is>
      </c>
      <c r="H266" s="5" t="inlineStr">
        <is>
          <t>PO2425-03044</t>
        </is>
      </c>
      <c r="I266" s="290">
        <f>IF(RawDataGenPO[[#This Row],[PO No.]]="","",RawDataGenPO[[#This Row],[DMY Create PR]]+7)</f>
        <v/>
      </c>
      <c r="J266" s="290" t="n"/>
      <c r="K266" s="20" t="n">
        <v>40</v>
      </c>
      <c r="L266" s="181" t="inlineStr">
        <is>
          <t>SFST81000050</t>
        </is>
      </c>
      <c r="M266" s="7" t="inlineStr">
        <is>
          <t>Tool and Equipment PD M/C</t>
        </is>
      </c>
      <c r="N266" s="7" t="inlineStr">
        <is>
          <t>Steam Bratt pan No.1</t>
        </is>
      </c>
      <c r="O266" s="11" t="n">
        <v>7</v>
      </c>
      <c r="P266" s="234" t="inlineStr">
        <is>
          <t>GBMT-0808 male fitting, 30-degree concave taper, SUS304 material</t>
        </is>
      </c>
      <c r="Q266" s="196" t="n">
        <v>2</v>
      </c>
      <c r="R266" s="5" t="inlineStr">
        <is>
          <t>pcs.</t>
        </is>
      </c>
      <c r="S266" s="284">
        <f>RawDataGenPO[[#This Row],[Total price]]/RawDataGenPO[[#This Row],[Qty'']]</f>
        <v/>
      </c>
      <c r="T266" s="309" t="n">
        <v>966</v>
      </c>
      <c r="U266" s="161" t="inlineStr">
        <is>
          <t>Puneet Approval</t>
        </is>
      </c>
      <c r="V266" s="7" t="inlineStr">
        <is>
          <t>V1000624 - HOSE CENTER COMPANY LIMITED</t>
        </is>
      </c>
      <c r="W266" s="5" t="inlineStr">
        <is>
          <t>Recive bill and GRN already</t>
        </is>
      </c>
      <c r="X266" s="5" t="n"/>
      <c r="Y266" s="3" t="n">
        <v>45559</v>
      </c>
      <c r="Z266" s="3" t="n"/>
      <c r="AA266" s="17">
        <f>IF(RawDataGenPO[[#This Row],[Date Gen PO]]="","",RawDataGenPO[[#This Row],[Date recive bill]]-RawDataGenPO[[#This Row],[Date Gen PO]])</f>
        <v/>
      </c>
      <c r="AB266" s="16">
        <f>IF(RawDataGenPO[[#This Row],[GRN-PO date]]&gt;RawDataGenPO[[#This Row],[Lead time delivery (day)]],"over deliverry","Ontime")</f>
        <v/>
      </c>
      <c r="AC266" s="168" t="n"/>
    </row>
    <row r="267" customFormat="1" s="125">
      <c r="A267" s="5">
        <f>ROW()-ROW(RawDataGenPO[[#Headers],[No.]])</f>
        <v/>
      </c>
      <c r="B267" s="7" t="inlineStr">
        <is>
          <t>Expent  cost</t>
        </is>
      </c>
      <c r="C267" s="281" t="n">
        <v>45514</v>
      </c>
      <c r="D267" s="276" t="n"/>
      <c r="E267" s="281" t="n"/>
      <c r="F267" s="281" t="n">
        <v>45514</v>
      </c>
      <c r="G267" s="235" t="inlineStr">
        <is>
          <t>PR2425-02604</t>
        </is>
      </c>
      <c r="H267" s="5" t="inlineStr">
        <is>
          <t>PO2425-03044</t>
        </is>
      </c>
      <c r="I267" s="290">
        <f>IF(RawDataGenPO[[#This Row],[PO No.]]="","",RawDataGenPO[[#This Row],[DMY Create PR]]+7)</f>
        <v/>
      </c>
      <c r="J267" s="290" t="n"/>
      <c r="K267" s="20" t="n">
        <v>40</v>
      </c>
      <c r="L267" s="181" t="inlineStr">
        <is>
          <t>SFST81000050</t>
        </is>
      </c>
      <c r="M267" s="7" t="inlineStr">
        <is>
          <t>Tool and Equipment PD M/C</t>
        </is>
      </c>
      <c r="N267" s="7" t="inlineStr">
        <is>
          <t>Steam Bratt pan No.1</t>
        </is>
      </c>
      <c r="O267" s="11" t="n">
        <v>8</v>
      </c>
      <c r="P267" s="234" t="inlineStr">
        <is>
          <t>UNION fitting size 1/2", SUS material</t>
        </is>
      </c>
      <c r="Q267" s="196" t="n">
        <v>2</v>
      </c>
      <c r="R267" s="5" t="inlineStr">
        <is>
          <t>pcs.</t>
        </is>
      </c>
      <c r="S267" s="284">
        <f>RawDataGenPO[[#This Row],[Total price]]/RawDataGenPO[[#This Row],[Qty'']]</f>
        <v/>
      </c>
      <c r="T267" s="309" t="n">
        <v>336</v>
      </c>
      <c r="U267" s="161" t="inlineStr">
        <is>
          <t>Puneet Approval</t>
        </is>
      </c>
      <c r="V267" s="7" t="inlineStr">
        <is>
          <t>V1000624 - HOSE CENTER COMPANY LIMITED</t>
        </is>
      </c>
      <c r="W267" s="5" t="inlineStr">
        <is>
          <t>Recive bill and GRN already</t>
        </is>
      </c>
      <c r="X267" s="5" t="n"/>
      <c r="Y267" s="3" t="n">
        <v>45559</v>
      </c>
      <c r="Z267" s="3" t="n"/>
      <c r="AA267" s="17">
        <f>IF(RawDataGenPO[[#This Row],[Date Gen PO]]="","",RawDataGenPO[[#This Row],[Date recive bill]]-RawDataGenPO[[#This Row],[Date Gen PO]])</f>
        <v/>
      </c>
      <c r="AB267" s="16">
        <f>IF(RawDataGenPO[[#This Row],[GRN-PO date]]&gt;RawDataGenPO[[#This Row],[Lead time delivery (day)]],"over deliverry","Ontime")</f>
        <v/>
      </c>
      <c r="AC267" s="168" t="n"/>
    </row>
    <row r="268" ht="15" customFormat="1" customHeight="1" s="125">
      <c r="A268" s="5">
        <f>ROW()-ROW(RawDataGenPO[[#Headers],[No.]])</f>
        <v/>
      </c>
      <c r="B268" s="7" t="inlineStr">
        <is>
          <t>Expent  cost</t>
        </is>
      </c>
      <c r="C268" s="301" t="n">
        <v>45514</v>
      </c>
      <c r="D268" s="276" t="n"/>
      <c r="E268" s="281" t="n"/>
      <c r="F268" s="301" t="n">
        <v>45514</v>
      </c>
      <c r="G268" s="5" t="inlineStr">
        <is>
          <t>PR2425-02604</t>
        </is>
      </c>
      <c r="H268" s="5" t="inlineStr">
        <is>
          <t>PO2425-03044</t>
        </is>
      </c>
      <c r="I268" s="290">
        <f>IF(RawDataGenPO[[#This Row],[PO No.]]="","",RawDataGenPO[[#This Row],[DMY Create PR]]+7)</f>
        <v/>
      </c>
      <c r="J268" s="290" t="n"/>
      <c r="K268" s="20" t="n">
        <v>40</v>
      </c>
      <c r="L268" s="181" t="inlineStr">
        <is>
          <t>SFST81000050</t>
        </is>
      </c>
      <c r="M268" s="7" t="inlineStr">
        <is>
          <t>Office tool &amp; machine</t>
        </is>
      </c>
      <c r="N268" s="7" t="inlineStr">
        <is>
          <t>Tool and Equipment</t>
        </is>
      </c>
      <c r="O268" s="11" t="n">
        <v>1</v>
      </c>
      <c r="P268" s="191" t="inlineStr">
        <is>
          <t>DAMPF TRIX 6000 STEAM HOSE I.D.25 MM.SIZE 1</t>
        </is>
      </c>
      <c r="Q268" s="189" t="n">
        <v>1.5</v>
      </c>
      <c r="R268" s="5" t="inlineStr">
        <is>
          <t>PCS.</t>
        </is>
      </c>
      <c r="S268" s="284">
        <f>RawDataGenPO[[#This Row],[Total price]]/RawDataGenPO[[#This Row],[Qty'']]</f>
        <v/>
      </c>
      <c r="T268" s="306" t="n">
        <v>2610</v>
      </c>
      <c r="U268" s="161" t="inlineStr">
        <is>
          <t>Puneet Approval</t>
        </is>
      </c>
      <c r="V268" s="7" t="inlineStr">
        <is>
          <t>V1000624 - HOSE CENTER COMPANY LIMITED</t>
        </is>
      </c>
      <c r="W268" s="5" t="inlineStr">
        <is>
          <t>Recive bill and GRN already</t>
        </is>
      </c>
      <c r="X268" s="5" t="n"/>
      <c r="Y268" s="3" t="n">
        <v>45559</v>
      </c>
      <c r="Z268" s="3" t="n"/>
      <c r="AA268" s="17">
        <f>IF(RawDataGenPO[[#This Row],[Date Gen PO]]="","",RawDataGenPO[[#This Row],[Date recive bill]]-RawDataGenPO[[#This Row],[Date Gen PO]])</f>
        <v/>
      </c>
      <c r="AB268" s="16">
        <f>IF(RawDataGenPO[[#This Row],[GRN-PO date]]&gt;RawDataGenPO[[#This Row],[Lead time delivery (day)]],"over deliverry","Ontime")</f>
        <v/>
      </c>
      <c r="AC268" s="168" t="n"/>
    </row>
    <row r="269" ht="15" customFormat="1" customHeight="1" s="125">
      <c r="A269" s="5">
        <f>ROW()-ROW(RawDataGenPO[[#Headers],[No.]])</f>
        <v/>
      </c>
      <c r="B269" s="7" t="inlineStr">
        <is>
          <t>Expent  cost</t>
        </is>
      </c>
      <c r="C269" s="301" t="n">
        <v>45514</v>
      </c>
      <c r="D269" s="276" t="n"/>
      <c r="E269" s="281" t="n"/>
      <c r="F269" s="301" t="n">
        <v>45514</v>
      </c>
      <c r="G269" s="5" t="inlineStr">
        <is>
          <t>PR2425-02604</t>
        </is>
      </c>
      <c r="H269" s="5" t="inlineStr">
        <is>
          <t>PO2425-03044</t>
        </is>
      </c>
      <c r="I269" s="290">
        <f>IF(RawDataGenPO[[#This Row],[PO No.]]="","",RawDataGenPO[[#This Row],[DMY Create PR]]+7)</f>
        <v/>
      </c>
      <c r="J269" s="290" t="n"/>
      <c r="K269" s="20" t="n">
        <v>40</v>
      </c>
      <c r="L269" s="181" t="inlineStr">
        <is>
          <t>SFST81000050</t>
        </is>
      </c>
      <c r="M269" s="7" t="inlineStr">
        <is>
          <t>Office tool &amp; machine</t>
        </is>
      </c>
      <c r="N269" s="7" t="inlineStr">
        <is>
          <t>Tool and Equipment</t>
        </is>
      </c>
      <c r="O269" s="11" t="n">
        <v>2</v>
      </c>
      <c r="P269" s="191" t="inlineStr">
        <is>
          <t>GBMT-1616 male fitting, 30-degree concave taper, SUS304 material</t>
        </is>
      </c>
      <c r="Q269" s="189" t="n">
        <v>2</v>
      </c>
      <c r="R269" s="5" t="inlineStr">
        <is>
          <t>PCS.</t>
        </is>
      </c>
      <c r="S269" s="284">
        <f>RawDataGenPO[[#This Row],[Total price]]/RawDataGenPO[[#This Row],[Qty'']]</f>
        <v/>
      </c>
      <c r="T269" s="306" t="n">
        <v>1764</v>
      </c>
      <c r="U269" s="161" t="inlineStr">
        <is>
          <t>Puneet Approval</t>
        </is>
      </c>
      <c r="V269" s="7" t="inlineStr">
        <is>
          <t>V1000624 - HOSE CENTER COMPANY LIMITED</t>
        </is>
      </c>
      <c r="W269" s="5" t="inlineStr">
        <is>
          <t>Recive bill and GRN already</t>
        </is>
      </c>
      <c r="X269" s="5" t="n"/>
      <c r="Y269" s="3" t="n">
        <v>45559</v>
      </c>
      <c r="Z269" s="3" t="n"/>
      <c r="AA269" s="17">
        <f>IF(RawDataGenPO[[#This Row],[Date Gen PO]]="","",RawDataGenPO[[#This Row],[Date recive bill]]-RawDataGenPO[[#This Row],[Date Gen PO]])</f>
        <v/>
      </c>
      <c r="AB269" s="16">
        <f>IF(RawDataGenPO[[#This Row],[GRN-PO date]]&gt;RawDataGenPO[[#This Row],[Lead time delivery (day)]],"over deliverry","Ontime")</f>
        <v/>
      </c>
      <c r="AC269" s="168" t="n"/>
    </row>
    <row r="270" ht="15" customFormat="1" customHeight="1" s="125">
      <c r="A270" s="5">
        <f>ROW()-ROW(RawDataGenPO[[#Headers],[No.]])</f>
        <v/>
      </c>
      <c r="B270" s="7" t="inlineStr">
        <is>
          <t>Expent  cost</t>
        </is>
      </c>
      <c r="C270" s="301" t="n">
        <v>45514</v>
      </c>
      <c r="D270" s="276" t="n"/>
      <c r="E270" s="281" t="n"/>
      <c r="F270" s="301" t="n">
        <v>45514</v>
      </c>
      <c r="G270" s="5" t="inlineStr">
        <is>
          <t>PR2425-02604</t>
        </is>
      </c>
      <c r="H270" s="5" t="inlineStr">
        <is>
          <t>PO2425-03044</t>
        </is>
      </c>
      <c r="I270" s="290">
        <f>IF(RawDataGenPO[[#This Row],[PO No.]]="","",RawDataGenPO[[#This Row],[DMY Create PR]]+7)</f>
        <v/>
      </c>
      <c r="J270" s="290" t="n"/>
      <c r="K270" s="20" t="n">
        <v>40</v>
      </c>
      <c r="L270" s="181" t="inlineStr">
        <is>
          <t>SFST81000050</t>
        </is>
      </c>
      <c r="M270" s="7" t="inlineStr">
        <is>
          <t>Office tool &amp; machine</t>
        </is>
      </c>
      <c r="N270" s="7" t="inlineStr">
        <is>
          <t>Tool and Equipment</t>
        </is>
      </c>
      <c r="O270" s="11" t="n">
        <v>3</v>
      </c>
      <c r="P270" s="191" t="inlineStr">
        <is>
          <t>UNION fitting size 1", SUS material</t>
        </is>
      </c>
      <c r="Q270" s="189" t="n">
        <v>2</v>
      </c>
      <c r="R270" s="5" t="inlineStr">
        <is>
          <t>PCS.</t>
        </is>
      </c>
      <c r="S270" s="284">
        <f>RawDataGenPO[[#This Row],[Total price]]/RawDataGenPO[[#This Row],[Qty'']]</f>
        <v/>
      </c>
      <c r="T270" s="306" t="n">
        <v>742</v>
      </c>
      <c r="U270" s="161" t="inlineStr">
        <is>
          <t>Puneet Approval</t>
        </is>
      </c>
      <c r="V270" s="7" t="inlineStr">
        <is>
          <t>V1000624 - HOSE CENTER COMPANY LIMITED</t>
        </is>
      </c>
      <c r="W270" s="5" t="inlineStr">
        <is>
          <t>Recive bill and GRN already</t>
        </is>
      </c>
      <c r="X270" s="5" t="n"/>
      <c r="Y270" s="3" t="n">
        <v>45559</v>
      </c>
      <c r="Z270" s="3" t="n"/>
      <c r="AA270" s="17">
        <f>IF(RawDataGenPO[[#This Row],[Date Gen PO]]="","",RawDataGenPO[[#This Row],[Date recive bill]]-RawDataGenPO[[#This Row],[Date Gen PO]])</f>
        <v/>
      </c>
      <c r="AB270" s="16">
        <f>IF(RawDataGenPO[[#This Row],[GRN-PO date]]&gt;RawDataGenPO[[#This Row],[Lead time delivery (day)]],"over deliverry","Ontime")</f>
        <v/>
      </c>
      <c r="AC270" s="168" t="n"/>
    </row>
    <row r="271" ht="15" customFormat="1" customHeight="1" s="125">
      <c r="A271" s="5">
        <f>ROW()-ROW(RawDataGenPO[[#Headers],[No.]])</f>
        <v/>
      </c>
      <c r="B271" s="7" t="inlineStr">
        <is>
          <t>Expent  cost</t>
        </is>
      </c>
      <c r="C271" s="301" t="n">
        <v>45514</v>
      </c>
      <c r="D271" s="276" t="n"/>
      <c r="E271" s="281" t="n"/>
      <c r="F271" s="301" t="n">
        <v>45514</v>
      </c>
      <c r="G271" s="5" t="inlineStr">
        <is>
          <t>PR2425-02604</t>
        </is>
      </c>
      <c r="H271" s="5" t="inlineStr">
        <is>
          <t>PO2425-03044</t>
        </is>
      </c>
      <c r="I271" s="290">
        <f>IF(RawDataGenPO[[#This Row],[PO No.]]="","",RawDataGenPO[[#This Row],[DMY Create PR]]+7)</f>
        <v/>
      </c>
      <c r="J271" s="290" t="n"/>
      <c r="K271" s="20" t="n">
        <v>40</v>
      </c>
      <c r="L271" s="181" t="inlineStr">
        <is>
          <t>SFST81000050</t>
        </is>
      </c>
      <c r="M271" s="7" t="inlineStr">
        <is>
          <t>Office tool &amp; machine</t>
        </is>
      </c>
      <c r="N271" s="7" t="inlineStr">
        <is>
          <t>Tool and Equipment</t>
        </is>
      </c>
      <c r="O271" s="11" t="n">
        <v>4</v>
      </c>
      <c r="P271" s="191" t="inlineStr">
        <is>
          <t>Crimp sleeve for steam hose size 1", SUS304 material</t>
        </is>
      </c>
      <c r="Q271" s="189" t="n">
        <v>2</v>
      </c>
      <c r="R271" s="5" t="inlineStr">
        <is>
          <t>PCS.</t>
        </is>
      </c>
      <c r="S271" s="284">
        <f>RawDataGenPO[[#This Row],[Total price]]/RawDataGenPO[[#This Row],[Qty'']]</f>
        <v/>
      </c>
      <c r="T271" s="306" t="n">
        <v>1204</v>
      </c>
      <c r="U271" s="161" t="inlineStr">
        <is>
          <t>Puneet Approval</t>
        </is>
      </c>
      <c r="V271" s="7" t="inlineStr">
        <is>
          <t>V1000624 - HOSE CENTER COMPANY LIMITED</t>
        </is>
      </c>
      <c r="W271" s="5" t="inlineStr">
        <is>
          <t>Recive bill and GRN already</t>
        </is>
      </c>
      <c r="X271" s="5" t="n"/>
      <c r="Y271" s="3" t="n">
        <v>45559</v>
      </c>
      <c r="Z271" s="3" t="n"/>
      <c r="AA271" s="17">
        <f>IF(RawDataGenPO[[#This Row],[Date Gen PO]]="","",RawDataGenPO[[#This Row],[Date recive bill]]-RawDataGenPO[[#This Row],[Date Gen PO]])</f>
        <v/>
      </c>
      <c r="AB271" s="16">
        <f>IF(RawDataGenPO[[#This Row],[GRN-PO date]]&gt;RawDataGenPO[[#This Row],[Lead time delivery (day)]],"over deliverry","Ontime")</f>
        <v/>
      </c>
      <c r="AC271" s="168" t="n"/>
    </row>
    <row r="272" ht="15" customFormat="1" customHeight="1" s="125">
      <c r="A272" s="5">
        <f>ROW()-ROW(RawDataGenPO[[#Headers],[No.]])</f>
        <v/>
      </c>
      <c r="B272" s="7" t="inlineStr">
        <is>
          <t>Expent  cost</t>
        </is>
      </c>
      <c r="C272" s="301" t="n">
        <v>45514</v>
      </c>
      <c r="D272" s="276" t="n"/>
      <c r="E272" s="281" t="n"/>
      <c r="F272" s="301" t="n">
        <v>45514</v>
      </c>
      <c r="G272" s="5" t="inlineStr">
        <is>
          <t>PR2425-02604</t>
        </is>
      </c>
      <c r="H272" s="5" t="inlineStr">
        <is>
          <t>PO2425-03044</t>
        </is>
      </c>
      <c r="I272" s="290">
        <f>IF(RawDataGenPO[[#This Row],[PO No.]]="","",RawDataGenPO[[#This Row],[DMY Create PR]]+7)</f>
        <v/>
      </c>
      <c r="J272" s="290" t="n"/>
      <c r="K272" s="20" t="n">
        <v>40</v>
      </c>
      <c r="L272" s="169" t="inlineStr">
        <is>
          <t>SFST81000050</t>
        </is>
      </c>
      <c r="M272" s="7" t="inlineStr">
        <is>
          <t>Office tool &amp; machine</t>
        </is>
      </c>
      <c r="N272" s="7" t="inlineStr">
        <is>
          <t>Tool and Equipment</t>
        </is>
      </c>
      <c r="O272" s="11" t="n">
        <v>5</v>
      </c>
      <c r="P272" s="10" t="inlineStr">
        <is>
          <t>DAMPF TRIX 6000 STEAM HOSE I.D.13 MM.SIZE 1/2</t>
        </is>
      </c>
      <c r="Q272" s="189" t="n">
        <v>1.5</v>
      </c>
      <c r="R272" s="5" t="inlineStr">
        <is>
          <t>PCS.</t>
        </is>
      </c>
      <c r="S272" s="284">
        <f>RawDataGenPO[[#This Row],[Total price]]/RawDataGenPO[[#This Row],[Qty'']]</f>
        <v/>
      </c>
      <c r="T272" s="303" t="n">
        <v>1591.88</v>
      </c>
      <c r="U272" s="161" t="inlineStr">
        <is>
          <t>Puneet Approval</t>
        </is>
      </c>
      <c r="V272" s="7" t="inlineStr">
        <is>
          <t>V1000624 - HOSE CENTER COMPANY LIMITED</t>
        </is>
      </c>
      <c r="W272" s="5" t="inlineStr">
        <is>
          <t>Recive bill and GRN already</t>
        </is>
      </c>
      <c r="X272" s="5" t="n"/>
      <c r="Y272" s="3" t="n">
        <v>45559</v>
      </c>
      <c r="Z272" s="3" t="n"/>
      <c r="AA272" s="17">
        <f>IF(RawDataGenPO[[#This Row],[Date Gen PO]]="","",RawDataGenPO[[#This Row],[Date recive bill]]-RawDataGenPO[[#This Row],[Date Gen PO]])</f>
        <v/>
      </c>
      <c r="AB272" s="16">
        <f>IF(RawDataGenPO[[#This Row],[GRN-PO date]]&gt;RawDataGenPO[[#This Row],[Lead time delivery (day)]],"over deliverry","Ontime")</f>
        <v/>
      </c>
      <c r="AC272" s="168" t="n"/>
    </row>
    <row r="273" ht="15" customFormat="1" customHeight="1" s="125">
      <c r="A273" s="5">
        <f>ROW()-ROW(RawDataGenPO[[#Headers],[No.]])</f>
        <v/>
      </c>
      <c r="B273" s="7" t="inlineStr">
        <is>
          <t>Expent  cost</t>
        </is>
      </c>
      <c r="C273" s="301" t="n">
        <v>45514</v>
      </c>
      <c r="D273" s="276" t="n"/>
      <c r="E273" s="281" t="n"/>
      <c r="F273" s="301" t="n">
        <v>45514</v>
      </c>
      <c r="G273" s="5" t="inlineStr">
        <is>
          <t>PR2425-02604</t>
        </is>
      </c>
      <c r="H273" s="5" t="inlineStr">
        <is>
          <t>PO2425-03044</t>
        </is>
      </c>
      <c r="I273" s="290">
        <f>IF(RawDataGenPO[[#This Row],[PO No.]]="","",RawDataGenPO[[#This Row],[DMY Create PR]]+7)</f>
        <v/>
      </c>
      <c r="J273" s="290" t="n"/>
      <c r="K273" s="20" t="n">
        <v>40</v>
      </c>
      <c r="L273" s="169" t="inlineStr">
        <is>
          <t>SFST81000050</t>
        </is>
      </c>
      <c r="M273" s="7" t="inlineStr">
        <is>
          <t>Office tool &amp; machine</t>
        </is>
      </c>
      <c r="N273" s="7" t="inlineStr">
        <is>
          <t>Tool and Equipment</t>
        </is>
      </c>
      <c r="O273" s="11" t="n">
        <v>6</v>
      </c>
      <c r="P273" s="10" t="inlineStr">
        <is>
          <t>Crimp sleeve for steam hose size 1/2", SUS304 material</t>
        </is>
      </c>
      <c r="Q273" s="189" t="n">
        <v>2</v>
      </c>
      <c r="R273" s="5" t="inlineStr">
        <is>
          <t>PCS.</t>
        </is>
      </c>
      <c r="S273" s="284">
        <f>RawDataGenPO[[#This Row],[Total price]]/RawDataGenPO[[#This Row],[Qty'']]</f>
        <v/>
      </c>
      <c r="T273" s="303" t="n">
        <v>406</v>
      </c>
      <c r="U273" s="161" t="inlineStr">
        <is>
          <t>Puneet Approval</t>
        </is>
      </c>
      <c r="V273" s="7" t="inlineStr">
        <is>
          <t>V1000624 - HOSE CENTER COMPANY LIMITED</t>
        </is>
      </c>
      <c r="W273" s="5" t="inlineStr">
        <is>
          <t>Recive bill and GRN already</t>
        </is>
      </c>
      <c r="X273" s="5" t="n"/>
      <c r="Y273" s="3" t="n">
        <v>45559</v>
      </c>
      <c r="Z273" s="3" t="n"/>
      <c r="AA273" s="17">
        <f>IF(RawDataGenPO[[#This Row],[Date Gen PO]]="","",RawDataGenPO[[#This Row],[Date recive bill]]-RawDataGenPO[[#This Row],[Date Gen PO]])</f>
        <v/>
      </c>
      <c r="AB273" s="16">
        <f>IF(RawDataGenPO[[#This Row],[GRN-PO date]]&gt;RawDataGenPO[[#This Row],[Lead time delivery (day)]],"over deliverry","Ontime")</f>
        <v/>
      </c>
      <c r="AC273" s="168" t="n"/>
    </row>
    <row r="274" ht="15" customFormat="1" customHeight="1" s="125">
      <c r="A274" s="5">
        <f>ROW()-ROW(RawDataGenPO[[#Headers],[No.]])</f>
        <v/>
      </c>
      <c r="B274" s="7" t="inlineStr">
        <is>
          <t>Expent  cost</t>
        </is>
      </c>
      <c r="C274" s="301" t="n">
        <v>45514</v>
      </c>
      <c r="D274" s="276" t="n"/>
      <c r="E274" s="281" t="n"/>
      <c r="F274" s="301" t="n">
        <v>45514</v>
      </c>
      <c r="G274" s="5" t="inlineStr">
        <is>
          <t>PR2425-02604</t>
        </is>
      </c>
      <c r="H274" s="5" t="inlineStr">
        <is>
          <t>PO2425-03044</t>
        </is>
      </c>
      <c r="I274" s="290">
        <f>IF(RawDataGenPO[[#This Row],[PO No.]]="","",RawDataGenPO[[#This Row],[DMY Create PR]]+7)</f>
        <v/>
      </c>
      <c r="J274" s="290" t="n"/>
      <c r="K274" s="20" t="n">
        <v>40</v>
      </c>
      <c r="L274" s="169" t="inlineStr">
        <is>
          <t>SFST81000050</t>
        </is>
      </c>
      <c r="M274" s="7" t="inlineStr">
        <is>
          <t>Office tool &amp; machine</t>
        </is>
      </c>
      <c r="N274" s="7" t="inlineStr">
        <is>
          <t>Tool and Equipment</t>
        </is>
      </c>
      <c r="O274" s="11" t="n">
        <v>7</v>
      </c>
      <c r="P274" s="10" t="inlineStr">
        <is>
          <t>GBMT-0808 male fitting, 30-degree concave taper, SUS304 material</t>
        </is>
      </c>
      <c r="Q274" s="189" t="n">
        <v>2</v>
      </c>
      <c r="R274" s="5" t="inlineStr">
        <is>
          <t>PCS.</t>
        </is>
      </c>
      <c r="S274" s="284">
        <f>RawDataGenPO[[#This Row],[Total price]]/RawDataGenPO[[#This Row],[Qty'']]</f>
        <v/>
      </c>
      <c r="T274" s="303" t="n">
        <v>966</v>
      </c>
      <c r="U274" s="161" t="inlineStr">
        <is>
          <t>Puneet Approval</t>
        </is>
      </c>
      <c r="V274" s="7" t="inlineStr">
        <is>
          <t>V1000624 - HOSE CENTER COMPANY LIMITED</t>
        </is>
      </c>
      <c r="W274" s="5" t="inlineStr">
        <is>
          <t>Recive bill and GRN already</t>
        </is>
      </c>
      <c r="X274" s="5" t="n"/>
      <c r="Y274" s="3" t="n">
        <v>45559</v>
      </c>
      <c r="Z274" s="3" t="n"/>
      <c r="AA274" s="17">
        <f>IF(RawDataGenPO[[#This Row],[Date Gen PO]]="","",RawDataGenPO[[#This Row],[Date recive bill]]-RawDataGenPO[[#This Row],[Date Gen PO]])</f>
        <v/>
      </c>
      <c r="AB274" s="16">
        <f>IF(RawDataGenPO[[#This Row],[GRN-PO date]]&gt;RawDataGenPO[[#This Row],[Lead time delivery (day)]],"over deliverry","Ontime")</f>
        <v/>
      </c>
      <c r="AC274" s="168" t="n"/>
    </row>
    <row r="275" ht="15" customFormat="1" customHeight="1" s="125">
      <c r="A275" s="5">
        <f>ROW()-ROW(RawDataGenPO[[#Headers],[No.]])</f>
        <v/>
      </c>
      <c r="B275" s="7" t="inlineStr">
        <is>
          <t>Expent  cost</t>
        </is>
      </c>
      <c r="C275" s="301" t="n">
        <v>45514</v>
      </c>
      <c r="D275" s="276" t="n"/>
      <c r="E275" s="281" t="n"/>
      <c r="F275" s="301" t="n">
        <v>45514</v>
      </c>
      <c r="G275" s="5" t="inlineStr">
        <is>
          <t>PR2425-02604</t>
        </is>
      </c>
      <c r="H275" s="5" t="inlineStr">
        <is>
          <t>PO2425-03044</t>
        </is>
      </c>
      <c r="I275" s="290">
        <f>IF(RawDataGenPO[[#This Row],[PO No.]]="","",RawDataGenPO[[#This Row],[DMY Create PR]]+7)</f>
        <v/>
      </c>
      <c r="J275" s="290" t="n"/>
      <c r="K275" s="20" t="n">
        <v>40</v>
      </c>
      <c r="L275" s="5" t="inlineStr">
        <is>
          <t>SFST81000050</t>
        </is>
      </c>
      <c r="M275" s="7" t="inlineStr">
        <is>
          <t>Office tool &amp; machine</t>
        </is>
      </c>
      <c r="N275" s="7" t="inlineStr">
        <is>
          <t>Tool and Equipment</t>
        </is>
      </c>
      <c r="O275" s="11" t="n">
        <v>8</v>
      </c>
      <c r="P275" s="10" t="inlineStr">
        <is>
          <t>UNION fitting size 1/2", SUS material</t>
        </is>
      </c>
      <c r="Q275" s="189" t="n">
        <v>2</v>
      </c>
      <c r="R275" s="5" t="inlineStr">
        <is>
          <t>PCS.</t>
        </is>
      </c>
      <c r="S275" s="284">
        <f>RawDataGenPO[[#This Row],[Total price]]/RawDataGenPO[[#This Row],[Qty'']]</f>
        <v/>
      </c>
      <c r="T275" s="303" t="n">
        <v>336</v>
      </c>
      <c r="U275" s="161" t="inlineStr">
        <is>
          <t>Puneet Approval</t>
        </is>
      </c>
      <c r="V275" s="7" t="inlineStr">
        <is>
          <t>V1000624 - HOSE CENTER COMPANY LIMITED</t>
        </is>
      </c>
      <c r="W275" s="5" t="inlineStr">
        <is>
          <t>Recive bill and GRN already</t>
        </is>
      </c>
      <c r="X275" s="5" t="n"/>
      <c r="Y275" s="3" t="n">
        <v>45559</v>
      </c>
      <c r="Z275" s="3" t="n"/>
      <c r="AA275" s="17">
        <f>IF(RawDataGenPO[[#This Row],[Date Gen PO]]="","",RawDataGenPO[[#This Row],[Date recive bill]]-RawDataGenPO[[#This Row],[Date Gen PO]])</f>
        <v/>
      </c>
      <c r="AB275" s="16">
        <f>IF(RawDataGenPO[[#This Row],[GRN-PO date]]&gt;RawDataGenPO[[#This Row],[Lead time delivery (day)]],"over deliverry","Ontime")</f>
        <v/>
      </c>
      <c r="AC275" s="168" t="n"/>
    </row>
    <row r="276" ht="15" customFormat="1" customHeight="1" s="125">
      <c r="A276" s="5">
        <f>ROW()-ROW(RawDataGenPO[[#Headers],[No.]])</f>
        <v/>
      </c>
      <c r="B276" s="7" t="inlineStr">
        <is>
          <t>Expent  cost</t>
        </is>
      </c>
      <c r="C276" s="301" t="n">
        <v>45530</v>
      </c>
      <c r="D276" s="276" t="n"/>
      <c r="E276" s="281" t="n"/>
      <c r="F276" s="301" t="n">
        <v>45530</v>
      </c>
      <c r="G276" s="5" t="inlineStr">
        <is>
          <t>PR2425-02943</t>
        </is>
      </c>
      <c r="H276" s="5" t="inlineStr">
        <is>
          <t>PO2425-03193</t>
        </is>
      </c>
      <c r="I276" s="290">
        <f>IF(RawDataGenPO[[#This Row],[PO No.]]="","",RawDataGenPO[[#This Row],[DMY Create PR]]+7)</f>
        <v/>
      </c>
      <c r="J276" s="290" t="n"/>
      <c r="K276" s="20">
        <f>IF(RawDataGenPO[[#This Row],[PO No.]]="","",10)</f>
        <v/>
      </c>
      <c r="L276" s="5" t="inlineStr">
        <is>
          <t>SFST34000054</t>
        </is>
      </c>
      <c r="M276" s="7" t="inlineStr">
        <is>
          <t>Refrigerant-oil for cooling M/C</t>
        </is>
      </c>
      <c r="N276" s="7" t="inlineStr">
        <is>
          <t>Refrigerant</t>
        </is>
      </c>
      <c r="O276" s="11" t="n">
        <v>1</v>
      </c>
      <c r="P276" s="160" t="inlineStr">
        <is>
          <t>R507 Refrigerant,(1 Tank 11.3 kg/Tank)</t>
        </is>
      </c>
      <c r="Q276" s="293" t="n">
        <v>20</v>
      </c>
      <c r="R276" s="34" t="inlineStr">
        <is>
          <t>DRM</t>
        </is>
      </c>
      <c r="S276" s="294">
        <f>RawDataGenPO[[#This Row],[Total price]]/RawDataGenPO[[#This Row],[Qty'']]</f>
        <v/>
      </c>
      <c r="T276" s="295" t="n">
        <v>52000</v>
      </c>
      <c r="U276" s="161" t="inlineStr">
        <is>
          <t>Puneet Approval</t>
        </is>
      </c>
      <c r="V276" s="7" t="inlineStr">
        <is>
          <t>V1000312 - Colder Solution Co., Ltd.</t>
        </is>
      </c>
      <c r="W276" s="5" t="inlineStr">
        <is>
          <t>Recive bill and GRN already</t>
        </is>
      </c>
      <c r="X276" s="5" t="n"/>
      <c r="Y276" s="3" t="n">
        <v>45537</v>
      </c>
      <c r="Z276" s="3" t="n"/>
      <c r="AA276" s="17">
        <f>IF(RawDataGenPO[[#This Row],[Date Gen PO]]="","",RawDataGenPO[[#This Row],[Date recive bill]]-RawDataGenPO[[#This Row],[Date Gen PO]])</f>
        <v/>
      </c>
      <c r="AB276" s="16">
        <f>IF(RawDataGenPO[[#This Row],[GRN-PO date]]&gt;RawDataGenPO[[#This Row],[Lead time delivery (day)]],"over deliverry","Ontime")</f>
        <v/>
      </c>
      <c r="AC276" s="168" t="n"/>
    </row>
    <row r="277" ht="15" customFormat="1" customHeight="1" s="125">
      <c r="A277" s="5">
        <f>ROW()-ROW(RawDataGenPO[[#Headers],[No.]])</f>
        <v/>
      </c>
      <c r="B277" s="7" t="inlineStr">
        <is>
          <t>Expent  cost</t>
        </is>
      </c>
      <c r="C277" s="301" t="n">
        <v>45530</v>
      </c>
      <c r="D277" s="276" t="n"/>
      <c r="E277" s="281" t="n"/>
      <c r="F277" s="301" t="n">
        <v>45530</v>
      </c>
      <c r="G277" s="5" t="inlineStr">
        <is>
          <t>PR2425-02943</t>
        </is>
      </c>
      <c r="H277" s="5" t="inlineStr">
        <is>
          <t>PO2425-03193</t>
        </is>
      </c>
      <c r="I277" s="290">
        <f>IF(RawDataGenPO[[#This Row],[PO No.]]="","",RawDataGenPO[[#This Row],[DMY Create PR]]+7)</f>
        <v/>
      </c>
      <c r="J277" s="290" t="n"/>
      <c r="K277" s="20">
        <f>IF(RawDataGenPO[[#This Row],[PO No.]]="","",10)</f>
        <v/>
      </c>
      <c r="L277" s="5" t="inlineStr">
        <is>
          <t>SFST34000051</t>
        </is>
      </c>
      <c r="M277" s="7" t="inlineStr">
        <is>
          <t>Refrigerant-oil for cooling M/C</t>
        </is>
      </c>
      <c r="N277" s="7" t="inlineStr">
        <is>
          <t>Refrigerant</t>
        </is>
      </c>
      <c r="O277" s="11" t="n">
        <v>2</v>
      </c>
      <c r="P277" s="186" t="inlineStr">
        <is>
          <t>R404A Refrigerant ,(1 Tank 10.9 kg/Tank)</t>
        </is>
      </c>
      <c r="Q277" s="310" t="n">
        <v>5</v>
      </c>
      <c r="R277" s="184" t="inlineStr">
        <is>
          <t>DRM</t>
        </is>
      </c>
      <c r="S277" s="311">
        <f>RawDataGenPO[[#This Row],[Total price]]/RawDataGenPO[[#This Row],[Qty'']]</f>
        <v/>
      </c>
      <c r="T277" s="312" t="n">
        <v>11500</v>
      </c>
      <c r="U277" s="161" t="inlineStr">
        <is>
          <t>Puneet Approval</t>
        </is>
      </c>
      <c r="V277" s="7" t="inlineStr">
        <is>
          <t>V1000312 - Colder Solution Co., Ltd.</t>
        </is>
      </c>
      <c r="W277" s="5" t="inlineStr">
        <is>
          <t>Recive bill and GRN already</t>
        </is>
      </c>
      <c r="X277" s="5" t="n"/>
      <c r="Y277" s="3" t="n">
        <v>45537</v>
      </c>
      <c r="Z277" s="3" t="n"/>
      <c r="AA277" s="17">
        <f>IF(RawDataGenPO[[#This Row],[Date Gen PO]]="","",RawDataGenPO[[#This Row],[Date recive bill]]-RawDataGenPO[[#This Row],[Date Gen PO]])</f>
        <v/>
      </c>
      <c r="AB277" s="16">
        <f>IF(RawDataGenPO[[#This Row],[GRN-PO date]]&gt;RawDataGenPO[[#This Row],[Lead time delivery (day)]],"over deliverry","Ontime")</f>
        <v/>
      </c>
      <c r="AC277" s="168" t="n"/>
    </row>
    <row r="278" ht="15" customFormat="1" customHeight="1" s="125">
      <c r="A278" s="5">
        <f>ROW()-ROW(RawDataGenPO[[#Headers],[No.]])</f>
        <v/>
      </c>
      <c r="B278" s="7" t="inlineStr">
        <is>
          <t>Expent  cost</t>
        </is>
      </c>
      <c r="C278" s="301" t="n">
        <v>45530</v>
      </c>
      <c r="D278" s="276" t="n"/>
      <c r="E278" s="281" t="n"/>
      <c r="F278" s="301" t="n">
        <v>45530</v>
      </c>
      <c r="G278" s="5" t="inlineStr">
        <is>
          <t>PR2425-02947</t>
        </is>
      </c>
      <c r="H278" s="5" t="inlineStr">
        <is>
          <t>PO2425-03198</t>
        </is>
      </c>
      <c r="I278" s="290">
        <f>IF(RawDataGenPO[[#This Row],[PO No.]]="","",RawDataGenPO[[#This Row],[DMY Create PR]]+7)</f>
        <v/>
      </c>
      <c r="J278" s="290" t="n"/>
      <c r="K278" s="20">
        <f>IF(RawDataGenPO[[#This Row],[PO No.]]="","",10)</f>
        <v/>
      </c>
      <c r="L278" s="5" t="inlineStr">
        <is>
          <t>SFST81000050</t>
        </is>
      </c>
      <c r="M278" s="7" t="inlineStr">
        <is>
          <t>PD Machine</t>
        </is>
      </c>
      <c r="N278" s="7" t="inlineStr">
        <is>
          <t>Hot plate No.1</t>
        </is>
      </c>
      <c r="O278" s="11" t="n">
        <v>1</v>
      </c>
      <c r="P278" s="10" t="inlineStr">
        <is>
          <t>Primus", PS-02-40, 1 Phase Solid state relay</t>
        </is>
      </c>
      <c r="Q278" s="277" t="n">
        <v>4</v>
      </c>
      <c r="R278" s="5" t="inlineStr">
        <is>
          <t>PCS.</t>
        </is>
      </c>
      <c r="S278" s="284">
        <f>RawDataGenPO[[#This Row],[Total price]]/RawDataGenPO[[#This Row],[Qty'']]</f>
        <v/>
      </c>
      <c r="T278" s="285" t="n">
        <v>2200</v>
      </c>
      <c r="U278" s="161" t="inlineStr">
        <is>
          <t>Puneet Approval</t>
        </is>
      </c>
      <c r="V278" s="7" t="inlineStr">
        <is>
          <t>SN. ELECTRIC AND SUPPLY CO., LTD.</t>
        </is>
      </c>
      <c r="W278" s="5" t="inlineStr">
        <is>
          <t>Recive bill and GRN already</t>
        </is>
      </c>
      <c r="X278" s="5" t="n"/>
      <c r="Y278" s="3" t="n">
        <v>45542</v>
      </c>
      <c r="Z278" s="3" t="n"/>
      <c r="AA278" s="17">
        <f>IF(RawDataGenPO[[#This Row],[Date Gen PO]]="","",RawDataGenPO[[#This Row],[Date recive bill]]-RawDataGenPO[[#This Row],[Date Gen PO]])</f>
        <v/>
      </c>
      <c r="AB278" s="16">
        <f>IF(RawDataGenPO[[#This Row],[GRN-PO date]]&gt;RawDataGenPO[[#This Row],[Lead time delivery (day)]],"over deliverry","Ontime")</f>
        <v/>
      </c>
      <c r="AC278" s="168" t="n"/>
    </row>
    <row r="279" ht="15" customFormat="1" customHeight="1" s="125">
      <c r="A279" s="5">
        <f>ROW()-ROW(RawDataGenPO[[#Headers],[No.]])</f>
        <v/>
      </c>
      <c r="B279" s="7" t="inlineStr">
        <is>
          <t>Expent  cost</t>
        </is>
      </c>
      <c r="C279" s="301" t="n">
        <v>45530</v>
      </c>
      <c r="D279" s="276" t="n"/>
      <c r="E279" s="281" t="n"/>
      <c r="F279" s="301" t="n">
        <v>45530</v>
      </c>
      <c r="G279" s="5" t="inlineStr">
        <is>
          <t>PR2425-02947</t>
        </is>
      </c>
      <c r="H279" s="5" t="inlineStr">
        <is>
          <t>PO2425-03198</t>
        </is>
      </c>
      <c r="I279" s="290">
        <f>IF(RawDataGenPO[[#This Row],[PO No.]]="","",RawDataGenPO[[#This Row],[DMY Create PR]]+7)</f>
        <v/>
      </c>
      <c r="J279" s="290" t="n"/>
      <c r="K279" s="20">
        <f>IF(RawDataGenPO[[#This Row],[PO No.]]="","",10)</f>
        <v/>
      </c>
      <c r="L279" s="5" t="inlineStr">
        <is>
          <t>SFST81000050</t>
        </is>
      </c>
      <c r="M279" s="7" t="inlineStr">
        <is>
          <t>PD Machine</t>
        </is>
      </c>
      <c r="N279" s="7" t="inlineStr">
        <is>
          <t>Hot plate No.1</t>
        </is>
      </c>
      <c r="O279" s="11" t="n">
        <v>2</v>
      </c>
      <c r="P279" s="10" t="inlineStr">
        <is>
          <t>Primus", HP-03, Size 60x48x78mm</t>
        </is>
      </c>
      <c r="Q279" s="277" t="n">
        <v>4</v>
      </c>
      <c r="R279" s="5" t="inlineStr">
        <is>
          <t>PCS.</t>
        </is>
      </c>
      <c r="S279" s="284">
        <f>RawDataGenPO[[#This Row],[Total price]]/RawDataGenPO[[#This Row],[Qty'']]</f>
        <v/>
      </c>
      <c r="T279" s="285" t="n">
        <v>1440</v>
      </c>
      <c r="U279" s="161" t="inlineStr">
        <is>
          <t>Puneet Approval</t>
        </is>
      </c>
      <c r="V279" s="7" t="inlineStr">
        <is>
          <t>SN. ELECTRIC AND SUPPLY CO., LTD.</t>
        </is>
      </c>
      <c r="W279" s="5" t="inlineStr">
        <is>
          <t>Recive bill and GRN already</t>
        </is>
      </c>
      <c r="X279" s="5" t="n"/>
      <c r="Y279" s="3" t="n">
        <v>45542</v>
      </c>
      <c r="Z279" s="3" t="n"/>
      <c r="AA279" s="17">
        <f>IF(RawDataGenPO[[#This Row],[Date Gen PO]]="","",RawDataGenPO[[#This Row],[Date recive bill]]-RawDataGenPO[[#This Row],[Date Gen PO]])</f>
        <v/>
      </c>
      <c r="AB279" s="16">
        <f>IF(RawDataGenPO[[#This Row],[GRN-PO date]]&gt;RawDataGenPO[[#This Row],[Lead time delivery (day)]],"over deliverry","Ontime")</f>
        <v/>
      </c>
      <c r="AC279" s="168" t="n"/>
    </row>
    <row r="280" ht="30" customFormat="1" customHeight="1" s="125">
      <c r="A280" s="5">
        <f>ROW()-ROW(RawDataGenPO[[#Headers],[No.]])</f>
        <v/>
      </c>
      <c r="B280" s="7" t="inlineStr">
        <is>
          <t>Expent  cost</t>
        </is>
      </c>
      <c r="C280" s="301" t="n">
        <v>45530</v>
      </c>
      <c r="D280" s="276" t="n"/>
      <c r="E280" s="281" t="n"/>
      <c r="F280" s="301" t="n">
        <v>45530</v>
      </c>
      <c r="G280" s="5" t="inlineStr">
        <is>
          <t>PR2425-02947</t>
        </is>
      </c>
      <c r="H280" s="5" t="inlineStr">
        <is>
          <t>PO2425-03198</t>
        </is>
      </c>
      <c r="I280" s="290">
        <f>IF(RawDataGenPO[[#This Row],[PO No.]]="","",RawDataGenPO[[#This Row],[DMY Create PR]]+7)</f>
        <v/>
      </c>
      <c r="J280" s="290" t="n"/>
      <c r="K280" s="20">
        <f>IF(RawDataGenPO[[#This Row],[PO No.]]="","",10)</f>
        <v/>
      </c>
      <c r="L280" s="5" t="inlineStr">
        <is>
          <t>SFST81000050</t>
        </is>
      </c>
      <c r="M280" s="7" t="inlineStr">
        <is>
          <t>PD Machine</t>
        </is>
      </c>
      <c r="N280" s="7" t="inlineStr">
        <is>
          <t>Hot plate No.1</t>
        </is>
      </c>
      <c r="O280" s="11" t="n">
        <v>3</v>
      </c>
      <c r="P280" s="10" t="inlineStr">
        <is>
          <t>Schneider Electric", RCCB Type AC 4P 40A
model A9R71440, Type 30 mA</t>
        </is>
      </c>
      <c r="Q280" s="277" t="n">
        <v>4</v>
      </c>
      <c r="R280" s="5" t="inlineStr">
        <is>
          <t>PCS.</t>
        </is>
      </c>
      <c r="S280" s="284">
        <f>RawDataGenPO[[#This Row],[Total price]]/RawDataGenPO[[#This Row],[Qty'']]</f>
        <v/>
      </c>
      <c r="T280" s="285" t="n">
        <v>6400</v>
      </c>
      <c r="U280" s="161" t="inlineStr">
        <is>
          <t>Puneet Approval</t>
        </is>
      </c>
      <c r="V280" s="7" t="inlineStr">
        <is>
          <t>SN. ELECTRIC AND SUPPLY CO., LTD.</t>
        </is>
      </c>
      <c r="W280" s="5" t="inlineStr">
        <is>
          <t>Recive bill and GRN already</t>
        </is>
      </c>
      <c r="X280" s="5" t="n"/>
      <c r="Y280" s="3" t="n">
        <v>45542</v>
      </c>
      <c r="Z280" s="3" t="n"/>
      <c r="AA280" s="17">
        <f>IF(RawDataGenPO[[#This Row],[Date Gen PO]]="","",RawDataGenPO[[#This Row],[Date recive bill]]-RawDataGenPO[[#This Row],[Date Gen PO]])</f>
        <v/>
      </c>
      <c r="AB280" s="16">
        <f>IF(RawDataGenPO[[#This Row],[GRN-PO date]]&gt;RawDataGenPO[[#This Row],[Lead time delivery (day)]],"over deliverry","Ontime")</f>
        <v/>
      </c>
      <c r="AC280" s="168" t="n"/>
    </row>
    <row r="281" ht="30" customFormat="1" customHeight="1" s="231">
      <c r="A281" s="5">
        <f>ROW()-ROW(RawDataGenPO[[#Headers],[No.]])</f>
        <v/>
      </c>
      <c r="B281" s="7" t="inlineStr">
        <is>
          <t>Expent  cost</t>
        </is>
      </c>
      <c r="C281" s="301" t="n">
        <v>45530</v>
      </c>
      <c r="D281" s="275" t="n"/>
      <c r="E281" s="301" t="n"/>
      <c r="F281" s="301" t="n">
        <v>45530</v>
      </c>
      <c r="G281" s="5" t="inlineStr">
        <is>
          <t>PR2425-02947</t>
        </is>
      </c>
      <c r="H281" s="5" t="inlineStr">
        <is>
          <t>PO2425-03198</t>
        </is>
      </c>
      <c r="I281" s="290">
        <f>IF(RawDataGenPO[[#This Row],[PO No.]]="","",RawDataGenPO[[#This Row],[DMY Create PR]]+7)</f>
        <v/>
      </c>
      <c r="J281" s="290" t="n"/>
      <c r="K281" s="20">
        <f>IF(RawDataGenPO[[#This Row],[PO No.]]="","",10)</f>
        <v/>
      </c>
      <c r="L281" s="5" t="inlineStr">
        <is>
          <t>SFST81000050</t>
        </is>
      </c>
      <c r="M281" s="7" t="inlineStr">
        <is>
          <t>PD Machine</t>
        </is>
      </c>
      <c r="N281" s="7" t="inlineStr">
        <is>
          <t>Hot plate No.1</t>
        </is>
      </c>
      <c r="O281" s="11" t="n">
        <v>4</v>
      </c>
      <c r="P281" s="10" t="inlineStr">
        <is>
          <t>Schneider", Contactor, TeSys Deca, 3P(3NO),
AC-3/AC-3e/&lt;=440V 40A, 230V AC 50/60Hz coil, screw clamp</t>
        </is>
      </c>
      <c r="Q281" s="277" t="n">
        <v>1</v>
      </c>
      <c r="R281" s="5" t="inlineStr">
        <is>
          <t>PCS.</t>
        </is>
      </c>
      <c r="S281" s="284">
        <f>RawDataGenPO[[#This Row],[Total price]]/RawDataGenPO[[#This Row],[Qty'']]</f>
        <v/>
      </c>
      <c r="T281" s="285" t="n">
        <v>2050</v>
      </c>
      <c r="U281" s="161" t="inlineStr">
        <is>
          <t>Puneet Approval</t>
        </is>
      </c>
      <c r="V281" s="7" t="inlineStr">
        <is>
          <t>SN. ELECTRIC AND SUPPLY CO., LTD.</t>
        </is>
      </c>
      <c r="W281" s="5" t="inlineStr">
        <is>
          <t>Recive bill and GRN already</t>
        </is>
      </c>
      <c r="X281" s="5" t="n"/>
      <c r="Y281" s="3" t="n">
        <v>45542</v>
      </c>
      <c r="Z281" s="3" t="n"/>
      <c r="AA281" s="17">
        <f>IF(RawDataGenPO[[#This Row],[Date Gen PO]]="","",RawDataGenPO[[#This Row],[Date recive bill]]-RawDataGenPO[[#This Row],[Date Gen PO]])</f>
        <v/>
      </c>
      <c r="AB281" s="16">
        <f>IF(RawDataGenPO[[#This Row],[GRN-PO date]]&gt;RawDataGenPO[[#This Row],[Lead time delivery (day)]],"over deliverry","Ontime")</f>
        <v/>
      </c>
      <c r="AC281" s="168" t="n"/>
    </row>
    <row r="282" ht="15" customFormat="1" customHeight="1" s="213">
      <c r="A282" s="5">
        <f>ROW()-ROW(RawDataGenPO[[#Headers],[No.]])</f>
        <v/>
      </c>
      <c r="B282" s="219" t="inlineStr">
        <is>
          <t>Expent  cost</t>
        </is>
      </c>
      <c r="C282" s="313" t="n">
        <v>45514</v>
      </c>
      <c r="D282" s="314" t="n"/>
      <c r="E282" s="315" t="n"/>
      <c r="F282" s="313" t="n">
        <v>45514</v>
      </c>
      <c r="G282" s="218" t="inlineStr">
        <is>
          <t xml:space="preserve">PR2425-02599 </t>
        </is>
      </c>
      <c r="H282" s="218" t="inlineStr">
        <is>
          <t>PO2425-03266</t>
        </is>
      </c>
      <c r="I282" s="316">
        <f>IF(RawDataGenPO[[#This Row],[PO No.]]="","",RawDataGenPO[[#This Row],[DMY Create PR]]+7)</f>
        <v/>
      </c>
      <c r="J282" s="316" t="n"/>
      <c r="K282" s="226" t="n">
        <v>30</v>
      </c>
      <c r="L282" s="218" t="inlineStr">
        <is>
          <t>SFST81000050</t>
        </is>
      </c>
      <c r="M282" s="219" t="inlineStr">
        <is>
          <t>Cooling machine for PD line</t>
        </is>
      </c>
      <c r="N282" s="219" t="inlineStr">
        <is>
          <t>Cooling  part</t>
        </is>
      </c>
      <c r="O282" s="225" t="n">
        <v>1</v>
      </c>
      <c r="P282" s="224" t="inlineStr">
        <is>
          <t>Heat-resistant cable sleeve, temperature resistant up to 500 degrees, 6 mm</t>
        </is>
      </c>
      <c r="Q282" s="317" t="n">
        <v>20</v>
      </c>
      <c r="R282" s="218" t="inlineStr">
        <is>
          <t>PCS.</t>
        </is>
      </c>
      <c r="S282" s="318">
        <f>RawDataGenPO[[#This Row],[Total price]]/RawDataGenPO[[#This Row],[Qty'']]</f>
        <v/>
      </c>
      <c r="T282" s="319" t="n">
        <v>1300</v>
      </c>
      <c r="U282" s="220" t="inlineStr">
        <is>
          <t>Puneet Approval</t>
        </is>
      </c>
      <c r="V282" s="219" t="inlineStr">
        <is>
          <t>V1000641 - INSPIRE PROTECH COMPANY LIMITED</t>
        </is>
      </c>
      <c r="W282" s="218" t="inlineStr">
        <is>
          <t>Recive bill and GRN already</t>
        </is>
      </c>
      <c r="X282" s="218" t="n"/>
      <c r="Y282" s="217" t="n">
        <v>45610</v>
      </c>
      <c r="Z282" s="217" t="n"/>
      <c r="AA282" s="216">
        <f>IF(RawDataGenPO[[#This Row],[Date Gen PO]]="","",RawDataGenPO[[#This Row],[Date recive bill]]-RawDataGenPO[[#This Row],[Date Gen PO]])</f>
        <v/>
      </c>
      <c r="AB282" s="215">
        <f>IF(RawDataGenPO[[#This Row],[GRN-PO date]]&gt;RawDataGenPO[[#This Row],[Lead time delivery (day)]],"over deliverry","Ontime")</f>
        <v/>
      </c>
      <c r="AC282" s="214" t="n"/>
    </row>
    <row r="283" ht="30" customFormat="1" customHeight="1" s="125">
      <c r="A283" s="5">
        <f>ROW()-ROW(RawDataGenPO[[#Headers],[No.]])</f>
        <v/>
      </c>
      <c r="B283" s="7" t="inlineStr">
        <is>
          <t>CAPEX  (Budget)</t>
        </is>
      </c>
      <c r="C283" s="301" t="n">
        <v>45530</v>
      </c>
      <c r="D283" s="276" t="n"/>
      <c r="E283" s="281" t="n"/>
      <c r="F283" s="301" t="n">
        <v>45530</v>
      </c>
      <c r="G283" s="5" t="inlineStr">
        <is>
          <t>PR2425-02946</t>
        </is>
      </c>
      <c r="H283" s="5" t="inlineStr">
        <is>
          <t>PO2425-03334</t>
        </is>
      </c>
      <c r="I283" s="290">
        <f>IF(RawDataGenPO[[#This Row],[PO No.]]="","",RawDataGenPO[[#This Row],[DMY Create PR]]+7)</f>
        <v/>
      </c>
      <c r="J283" s="290" t="n"/>
      <c r="K283" s="20" t="n">
        <v>40</v>
      </c>
      <c r="L283" s="5" t="inlineStr">
        <is>
          <t>SFST82000007</t>
        </is>
      </c>
      <c r="M283" s="7" t="inlineStr">
        <is>
          <t>Water plant</t>
        </is>
      </c>
      <c r="N283" s="7" t="inlineStr">
        <is>
          <t>Deep Well Pump No.3</t>
        </is>
      </c>
      <c r="O283" s="5" t="n">
        <v>1</v>
      </c>
      <c r="P283" s="33" t="inlineStr">
        <is>
          <t>WATER METER: Sanwa 3" artesian well meter, including installation and submission to the Department of Groundwater Resources</t>
        </is>
      </c>
      <c r="Q283" s="277" t="n">
        <v>1</v>
      </c>
      <c r="R283" s="5" t="inlineStr">
        <is>
          <t>JOB</t>
        </is>
      </c>
      <c r="S283" s="284">
        <f>RawDataGenPO[[#This Row],[Total price]]/RawDataGenPO[[#This Row],[Qty'']]</f>
        <v/>
      </c>
      <c r="T283" s="285" t="n">
        <v>19000</v>
      </c>
      <c r="U283" s="161" t="inlineStr">
        <is>
          <t>Puneet Approval</t>
        </is>
      </c>
      <c r="V283" s="33" t="inlineStr">
        <is>
          <t xml:space="preserve"> V1000646 - NUMTIP DEEP WELL LTD.,PART.</t>
        </is>
      </c>
      <c r="W283" s="5" t="inlineStr">
        <is>
          <t>Recive bill and GRN already</t>
        </is>
      </c>
      <c r="X283" s="5" t="n"/>
      <c r="Y283" s="3" t="n">
        <v>45560</v>
      </c>
      <c r="Z283" s="3" t="n"/>
      <c r="AA283" s="17">
        <f>IF(RawDataGenPO[[#This Row],[Date Gen PO]]="","",RawDataGenPO[[#This Row],[Date recive bill]]-RawDataGenPO[[#This Row],[Date Gen PO]])</f>
        <v/>
      </c>
      <c r="AB283" s="16">
        <f>IF(RawDataGenPO[[#This Row],[GRN-PO date]]&gt;RawDataGenPO[[#This Row],[Lead time delivery (day)]],"over deliverry","Ontime")</f>
        <v/>
      </c>
      <c r="AC283" s="212" t="n"/>
    </row>
    <row r="284" ht="15" customFormat="1" customHeight="1" s="125">
      <c r="A284" s="5">
        <f>ROW()-ROW(RawDataGenPO[[#Headers],[No.]])</f>
        <v/>
      </c>
      <c r="B284" s="7" t="inlineStr">
        <is>
          <t>Expent  cost</t>
        </is>
      </c>
      <c r="C284" s="281" t="n">
        <v>45534</v>
      </c>
      <c r="D284" s="276" t="n"/>
      <c r="E284" s="281" t="n"/>
      <c r="F284" s="281" t="n">
        <v>45534</v>
      </c>
      <c r="G284" s="5" t="inlineStr">
        <is>
          <t>PR2425-03066</t>
        </is>
      </c>
      <c r="H284" s="5" t="inlineStr">
        <is>
          <t>PO2425-03441</t>
        </is>
      </c>
      <c r="I284" s="290">
        <f>IF(RawDataGenPO[[#This Row],[PO No.]]="","",RawDataGenPO[[#This Row],[DMY Create PR]]+7)</f>
        <v/>
      </c>
      <c r="J284" s="290" t="n"/>
      <c r="K284" s="20" t="n">
        <v>180</v>
      </c>
      <c r="L284" s="5" t="inlineStr">
        <is>
          <t>SFST34000136</t>
        </is>
      </c>
      <c r="M284" s="7" t="inlineStr">
        <is>
          <t>Consumable part for MN</t>
        </is>
      </c>
      <c r="N284" s="7" t="inlineStr">
        <is>
          <t>Consumable part</t>
        </is>
      </c>
      <c r="O284" s="11" t="n">
        <v>1</v>
      </c>
      <c r="P284" s="33" t="inlineStr">
        <is>
          <t>Argon gas 1.5 Q</t>
        </is>
      </c>
      <c r="Q284" s="277" t="n">
        <v>6</v>
      </c>
      <c r="R284" s="5" t="inlineStr">
        <is>
          <t>DRM</t>
        </is>
      </c>
      <c r="S284" s="284">
        <f>RawDataGenPO[[#This Row],[Total price]]/RawDataGenPO[[#This Row],[Qty'']]</f>
        <v/>
      </c>
      <c r="T284" s="285" t="n">
        <v>2100</v>
      </c>
      <c r="U284" s="161" t="inlineStr">
        <is>
          <t>Puneet Approval</t>
        </is>
      </c>
      <c r="V284" s="7" t="inlineStr">
        <is>
          <t>V1000475 - Klong Karn Kha Trading</t>
        </is>
      </c>
      <c r="W284" s="5" t="inlineStr">
        <is>
          <t>Recive bill and GRN already</t>
        </is>
      </c>
      <c r="X284" s="5" t="inlineStr">
        <is>
          <t>GRN2526-0002362</t>
        </is>
      </c>
      <c r="Y284" s="3" t="n">
        <v>45661</v>
      </c>
      <c r="Z284" s="3" t="n"/>
      <c r="AA284" s="17">
        <f>IF(RawDataGenPO[[#This Row],[Date Gen PO]]="","",RawDataGenPO[[#This Row],[Date recive bill]]-RawDataGenPO[[#This Row],[Date Gen PO]])</f>
        <v/>
      </c>
      <c r="AB284" s="16">
        <f>IF(RawDataGenPO[[#This Row],[GRN-PO date]]&gt;RawDataGenPO[[#This Row],[Lead time delivery (day)]],"over deliverry","Ontime")</f>
        <v/>
      </c>
      <c r="AC284" s="211" t="n"/>
    </row>
    <row r="285" ht="15" customHeight="1">
      <c r="A285" s="5">
        <f>ROW()-ROW(RawDataGenPO[[#Headers],[No.]])</f>
        <v/>
      </c>
      <c r="B285" s="7" t="inlineStr">
        <is>
          <t>Expent  cost</t>
        </is>
      </c>
      <c r="C285" s="281" t="n">
        <v>45534</v>
      </c>
      <c r="E285" s="281" t="n"/>
      <c r="F285" s="281" t="n">
        <v>45534</v>
      </c>
      <c r="G285" s="5" t="inlineStr">
        <is>
          <t>PR2425-03066</t>
        </is>
      </c>
      <c r="H285" s="5" t="inlineStr">
        <is>
          <t>PO2425-03441</t>
        </is>
      </c>
      <c r="I285" s="290">
        <f>IF(RawDataGenPO[[#This Row],[PO No.]]="","",RawDataGenPO[[#This Row],[DMY Create PR]]+7)</f>
        <v/>
      </c>
      <c r="J285" s="290" t="n"/>
      <c r="K285" s="20" t="n">
        <v>180</v>
      </c>
      <c r="L285" s="5" t="inlineStr">
        <is>
          <t>SFST34000137</t>
        </is>
      </c>
      <c r="M285" s="7" t="inlineStr">
        <is>
          <t>Consumable part for MN</t>
        </is>
      </c>
      <c r="N285" s="7" t="inlineStr">
        <is>
          <t>Consumable part</t>
        </is>
      </c>
      <c r="O285" s="11" t="n">
        <v>1</v>
      </c>
      <c r="P285" s="33" t="inlineStr">
        <is>
          <t>Argon gas 6 Q</t>
        </is>
      </c>
      <c r="Q285" s="277" t="n">
        <v>2</v>
      </c>
      <c r="R285" s="5" t="inlineStr">
        <is>
          <t>DRM</t>
        </is>
      </c>
      <c r="S285" s="284">
        <f>RawDataGenPO[[#This Row],[Total price]]/RawDataGenPO[[#This Row],[Qty'']]</f>
        <v/>
      </c>
      <c r="T285" s="285" t="n">
        <v>1800</v>
      </c>
      <c r="U285" s="161" t="inlineStr">
        <is>
          <t>Puneet Approval</t>
        </is>
      </c>
      <c r="V285" s="7" t="inlineStr">
        <is>
          <t>V1000475 - Klong Karn Kha Trading</t>
        </is>
      </c>
      <c r="W285" s="5" t="inlineStr">
        <is>
          <t>Recive bill and GRN already</t>
        </is>
      </c>
      <c r="X285" s="5" t="inlineStr">
        <is>
          <t xml:space="preserve">GRN2425-0007453GRN2526-0002362 </t>
        </is>
      </c>
      <c r="Y285" s="3" t="n">
        <v>45717</v>
      </c>
      <c r="AA285" s="17">
        <f>IF(RawDataGenPO[[#This Row],[Date Gen PO]]="","",RawDataGenPO[[#This Row],[Date recive bill]]-RawDataGenPO[[#This Row],[Date Gen PO]])</f>
        <v/>
      </c>
      <c r="AB285" s="16">
        <f>IF(RawDataGenPO[[#This Row],[GRN-PO date]]&gt;RawDataGenPO[[#This Row],[Lead time delivery (day)]],"over deliverry","Ontime")</f>
        <v/>
      </c>
      <c r="AC285" s="211" t="n"/>
    </row>
    <row r="286" ht="90" customFormat="1" customHeight="1" s="125">
      <c r="A286" s="5">
        <f>ROW()-ROW(RawDataGenPO[[#Headers],[No.]])</f>
        <v/>
      </c>
      <c r="B286" s="7" t="inlineStr">
        <is>
          <t>CAPEX  (Unbudget)</t>
        </is>
      </c>
      <c r="C286" s="301" t="n">
        <v>45537</v>
      </c>
      <c r="D286" s="276" t="n"/>
      <c r="E286" s="281" t="n"/>
      <c r="F286" s="301" t="n">
        <v>45537</v>
      </c>
      <c r="G286" s="5" t="inlineStr">
        <is>
          <t>PR2425-03095</t>
        </is>
      </c>
      <c r="H286" s="5" t="inlineStr">
        <is>
          <t>PO2425-03442</t>
        </is>
      </c>
      <c r="I286" s="290">
        <f>IF(RawDataGenPO[[#This Row],[PO No.]]="","",RawDataGenPO[[#This Row],[DMY Create PR]]+7)</f>
        <v/>
      </c>
      <c r="J286" s="290" t="n"/>
      <c r="K286" s="20" t="n">
        <v>150</v>
      </c>
      <c r="L286" s="5" t="inlineStr">
        <is>
          <t>SFST82000015</t>
        </is>
      </c>
      <c r="M286" s="7" t="inlineStr">
        <is>
          <t>Water plant</t>
        </is>
      </c>
      <c r="N286" s="7" t="inlineStr">
        <is>
          <t>Water system jobs</t>
        </is>
      </c>
      <c r="O286" s="11" t="n">
        <v>1</v>
      </c>
      <c r="P286" s="33" t="inlineStr">
        <is>
          <t xml:space="preserve">Apply for drilling permit and groundwater use permit
- Drill groundwater well with 6-inch galvanized steel pipe, ASTM A-53 pipe type, depth 340 m
- Submersible Pump 15 HP, 360 V
- Sunwa water meter, size 3 inch
</t>
        </is>
      </c>
      <c r="Q286" s="210" t="n">
        <v>1</v>
      </c>
      <c r="R286" s="204" t="inlineStr">
        <is>
          <t>JOB</t>
        </is>
      </c>
      <c r="S286" s="320">
        <f>RawDataGenPO[[#This Row],[Total price]]/RawDataGenPO[[#This Row],[Qty'']]</f>
        <v/>
      </c>
      <c r="T286" s="283" t="n">
        <v>1332000</v>
      </c>
      <c r="U286" s="161" t="inlineStr">
        <is>
          <t>Puneet Approval</t>
        </is>
      </c>
      <c r="V286" s="7" t="inlineStr">
        <is>
          <t>V1000646 - NUMTIP DEEP WELL LTD.,PART.</t>
        </is>
      </c>
      <c r="W286" s="5" t="inlineStr">
        <is>
          <t>Recive bill and GRN already</t>
        </is>
      </c>
      <c r="X286" s="6" t="inlineStr">
        <is>
          <t>GRN2425-0003983 9/23/24/GRN2425-0006731 1/27/25/GRN2425-0006957-2/6/2025</t>
        </is>
      </c>
      <c r="Y286" s="3" t="n">
        <v>45684</v>
      </c>
      <c r="Z286" s="3" t="n"/>
      <c r="AA286" s="17">
        <f>IF(RawDataGenPO[[#This Row],[Date Gen PO]]="","",RawDataGenPO[[#This Row],[Date recive bill]]-RawDataGenPO[[#This Row],[Date Gen PO]])</f>
        <v/>
      </c>
      <c r="AB286" s="16">
        <f>IF(RawDataGenPO[[#This Row],[GRN-PO date]]&gt;RawDataGenPO[[#This Row],[Lead time delivery (day)]],"over deliverry","Ontime")</f>
        <v/>
      </c>
      <c r="AC286" s="168" t="n"/>
    </row>
    <row r="287" ht="15" customFormat="1" customHeight="1" s="125">
      <c r="A287" s="5">
        <f>ROW()-ROW(RawDataGenPO[[#Headers],[No.]])</f>
        <v/>
      </c>
      <c r="B287" s="7" t="inlineStr">
        <is>
          <t>Expent  cost</t>
        </is>
      </c>
      <c r="C287" s="281" t="n">
        <v>45539</v>
      </c>
      <c r="D287" s="276" t="n"/>
      <c r="E287" s="281" t="n"/>
      <c r="F287" s="281" t="n">
        <v>45539</v>
      </c>
      <c r="G287" s="5" t="inlineStr">
        <is>
          <t xml:space="preserve">PR2425-03157 </t>
        </is>
      </c>
      <c r="H287" s="5" t="inlineStr">
        <is>
          <t>PO2425-03443</t>
        </is>
      </c>
      <c r="I287" s="290">
        <f>IF(RawDataGenPO[[#This Row],[PO No.]]="","",RawDataGenPO[[#This Row],[DMY Create PR]]+7)</f>
        <v/>
      </c>
      <c r="J287" s="290" t="n"/>
      <c r="K287" s="20">
        <f>IF(RawDataGenPO[[#This Row],[PO No.]]="","",10)</f>
        <v/>
      </c>
      <c r="L287" s="5" t="inlineStr">
        <is>
          <t>SFST81000048</t>
        </is>
      </c>
      <c r="M287" s="7" t="inlineStr">
        <is>
          <t>Cooling machine for PD line</t>
        </is>
      </c>
      <c r="N287" s="7" t="inlineStr">
        <is>
          <t>Cooling system jobs</t>
        </is>
      </c>
      <c r="O287" s="11" t="n">
        <v>1</v>
      </c>
      <c r="P287" s="10" t="inlineStr">
        <is>
          <t>Service charge for installing Temp Control spare parts</t>
        </is>
      </c>
      <c r="Q287" s="277" t="n">
        <v>1</v>
      </c>
      <c r="R287" s="204" t="inlineStr">
        <is>
          <t>JOB</t>
        </is>
      </c>
      <c r="S287" s="320">
        <f>RawDataGenPO[[#This Row],[Total price]]/RawDataGenPO[[#This Row],[Qty'']]</f>
        <v/>
      </c>
      <c r="T287" s="297" t="n">
        <v>4500</v>
      </c>
      <c r="U287" s="161" t="inlineStr">
        <is>
          <t>Puneet Approval</t>
        </is>
      </c>
      <c r="V287" s="7" t="inlineStr">
        <is>
          <t>V1000189 - FPT FOOD PROCESS TECHNOLOGY CO., LTD.</t>
        </is>
      </c>
      <c r="W287" s="5" t="inlineStr">
        <is>
          <t>Recive bill and GRN already</t>
        </is>
      </c>
      <c r="X287" s="5" t="n"/>
      <c r="Y287" s="3" t="n">
        <v>45554</v>
      </c>
      <c r="Z287" s="3" t="n"/>
      <c r="AA287" s="17">
        <f>IF(RawDataGenPO[[#This Row],[Date Gen PO]]="","",RawDataGenPO[[#This Row],[Date recive bill]]-RawDataGenPO[[#This Row],[Date Gen PO]])</f>
        <v/>
      </c>
      <c r="AB287" s="16">
        <f>IF(RawDataGenPO[[#This Row],[GRN-PO date]]&gt;RawDataGenPO[[#This Row],[Lead time delivery (day)]],"over deliverry","Ontime")</f>
        <v/>
      </c>
      <c r="AC287" s="168" t="n"/>
    </row>
    <row r="288" ht="30" customFormat="1" customHeight="1" s="125">
      <c r="A288" s="5">
        <f>ROW()-ROW(RawDataGenPO[[#Headers],[No.]])</f>
        <v/>
      </c>
      <c r="B288" s="7" t="inlineStr">
        <is>
          <t>Expent  cost</t>
        </is>
      </c>
      <c r="C288" s="301" t="n">
        <v>45534</v>
      </c>
      <c r="D288" s="276" t="n"/>
      <c r="E288" s="281" t="n"/>
      <c r="F288" s="301" t="n">
        <v>45534</v>
      </c>
      <c r="G288" s="5" t="inlineStr">
        <is>
          <t>PR2425-03058</t>
        </is>
      </c>
      <c r="H288" s="5" t="inlineStr">
        <is>
          <t>PO2425-03444</t>
        </is>
      </c>
      <c r="I288" s="290">
        <f>IF(RawDataGenPO[[#This Row],[PO No.]]="","",RawDataGenPO[[#This Row],[DMY Create PR]]+7)</f>
        <v/>
      </c>
      <c r="J288" s="290" t="n"/>
      <c r="K288" s="20">
        <f>IF(RawDataGenPO[[#This Row],[PO No.]]="","",10)</f>
        <v/>
      </c>
      <c r="L288" s="5" t="inlineStr">
        <is>
          <t>SFST81000050</t>
        </is>
      </c>
      <c r="M288" s="7" t="inlineStr">
        <is>
          <t>Electrical system in PD area</t>
        </is>
      </c>
      <c r="N288" s="7" t="inlineStr">
        <is>
          <t>Eletrical part</t>
        </is>
      </c>
      <c r="O288" s="11" t="n">
        <v>1</v>
      </c>
      <c r="P288" s="10" t="inlineStr">
        <is>
          <t>DIN rail / relay rail, aluminum steel, 35 mm
- length 1 meter, grade A</t>
        </is>
      </c>
      <c r="Q288" s="277" t="n">
        <v>10</v>
      </c>
      <c r="R288" s="5" t="inlineStr">
        <is>
          <t>pcs.</t>
        </is>
      </c>
      <c r="S288" s="284">
        <f>RawDataGenPO[[#This Row],[Total price]]/RawDataGenPO[[#This Row],[Qty'']]</f>
        <v/>
      </c>
      <c r="T288" s="297" t="n">
        <v>650</v>
      </c>
      <c r="U288" s="161" t="inlineStr">
        <is>
          <t>Puneet Approval</t>
        </is>
      </c>
      <c r="V288" s="7" t="inlineStr">
        <is>
          <t>V1000293 - JTB ELECTRIC SUPPLY LIMITED PARTNERSHIP</t>
        </is>
      </c>
      <c r="W288" s="5" t="inlineStr">
        <is>
          <t>Recive bill and GRN already</t>
        </is>
      </c>
      <c r="X288" s="5" t="n"/>
      <c r="Y288" s="3" t="n">
        <v>45548</v>
      </c>
      <c r="Z288" s="3" t="n"/>
      <c r="AA288" s="17">
        <f>IF(RawDataGenPO[[#This Row],[Date Gen PO]]="","",RawDataGenPO[[#This Row],[Date recive bill]]-RawDataGenPO[[#This Row],[Date Gen PO]])</f>
        <v/>
      </c>
      <c r="AB288" s="16">
        <f>IF(RawDataGenPO[[#This Row],[GRN-PO date]]&gt;RawDataGenPO[[#This Row],[Lead time delivery (day)]],"over deliverry","Ontime")</f>
        <v/>
      </c>
      <c r="AC288" s="168" t="n"/>
    </row>
    <row r="289" ht="15" customFormat="1" customHeight="1" s="125">
      <c r="A289" s="5">
        <f>ROW()-ROW(RawDataGenPO[[#Headers],[No.]])</f>
        <v/>
      </c>
      <c r="B289" s="7" t="inlineStr">
        <is>
          <t>Expent  cost</t>
        </is>
      </c>
      <c r="C289" s="281" t="n">
        <v>45541</v>
      </c>
      <c r="D289" s="276" t="n"/>
      <c r="E289" s="281" t="n"/>
      <c r="F289" s="281" t="n">
        <v>45541</v>
      </c>
      <c r="G289" s="5" t="inlineStr">
        <is>
          <t>PR2425-03181</t>
        </is>
      </c>
      <c r="H289" s="5" t="inlineStr">
        <is>
          <t xml:space="preserve">PO2425-03445 </t>
        </is>
      </c>
      <c r="I289" s="290">
        <f>IF(RawDataGenPO[[#This Row],[PO No.]]="","",RawDataGenPO[[#This Row],[DMY Create PR]]+7)</f>
        <v/>
      </c>
      <c r="J289" s="290" t="n"/>
      <c r="K289" s="20" t="n">
        <v>30</v>
      </c>
      <c r="L289" s="5" t="inlineStr">
        <is>
          <t>SFST81000050</t>
        </is>
      </c>
      <c r="M289" s="7" t="inlineStr">
        <is>
          <t>PD Machine</t>
        </is>
      </c>
      <c r="N289" s="7" t="inlineStr">
        <is>
          <t>Vegetable Dicing Machine  Robot coupe CL-50 No.1</t>
        </is>
      </c>
      <c r="O289" s="11" t="n">
        <v>1</v>
      </c>
      <c r="P289" s="10" t="inlineStr">
        <is>
          <t>Motor H50 Part No. 31145 For Robot Coupe CL 50</t>
        </is>
      </c>
      <c r="Q289" s="277" t="n">
        <v>1</v>
      </c>
      <c r="R289" s="204" t="inlineStr">
        <is>
          <t>PCS.</t>
        </is>
      </c>
      <c r="S289" s="320">
        <f>RawDataGenPO[[#This Row],[Total price]]/RawDataGenPO[[#This Row],[Qty'']]</f>
        <v/>
      </c>
      <c r="T289" s="297" t="n">
        <v>22000</v>
      </c>
      <c r="U289" s="161" t="inlineStr">
        <is>
          <t>Puneet Approval</t>
        </is>
      </c>
      <c r="V289" s="7" t="inlineStr">
        <is>
          <t xml:space="preserve"> V1000285 - BANGKOK SEVENFIVE CO., LTD</t>
        </is>
      </c>
      <c r="W289" s="5" t="inlineStr">
        <is>
          <t>Recive bill and GRN already</t>
        </is>
      </c>
      <c r="X289" s="5" t="n"/>
      <c r="Y289" s="3" t="n">
        <v>45615</v>
      </c>
      <c r="Z289" s="3" t="n"/>
      <c r="AA289" s="17">
        <f>IF(RawDataGenPO[[#This Row],[Date Gen PO]]="","",RawDataGenPO[[#This Row],[Date recive bill]]-RawDataGenPO[[#This Row],[Date Gen PO]])</f>
        <v/>
      </c>
      <c r="AB289" s="16">
        <f>IF(RawDataGenPO[[#This Row],[GRN-PO date]]&gt;RawDataGenPO[[#This Row],[Lead time delivery (day)]],"over deliverry","Ontime")</f>
        <v/>
      </c>
      <c r="AC289" s="168" t="n"/>
    </row>
    <row r="290" ht="15" customFormat="1" customHeight="1" s="125">
      <c r="A290" s="5">
        <f>ROW()-ROW(RawDataGenPO[[#Headers],[No.]])</f>
        <v/>
      </c>
      <c r="B290" s="7" t="inlineStr">
        <is>
          <t>Expent  cost</t>
        </is>
      </c>
      <c r="C290" s="301" t="n">
        <v>45530</v>
      </c>
      <c r="D290" s="276" t="n"/>
      <c r="E290" s="281" t="n"/>
      <c r="F290" s="301" t="n">
        <v>45530</v>
      </c>
      <c r="G290" s="5" t="inlineStr">
        <is>
          <t>PR2425-03014</t>
        </is>
      </c>
      <c r="H290" s="5" t="inlineStr">
        <is>
          <t>PO2425-03446</t>
        </is>
      </c>
      <c r="I290" s="290">
        <f>IF(RawDataGenPO[[#This Row],[PO No.]]="","",RawDataGenPO[[#This Row],[DMY Create PR]]+7)</f>
        <v/>
      </c>
      <c r="J290" s="290" t="n"/>
      <c r="K290" s="20" t="n">
        <v>30</v>
      </c>
      <c r="L290" s="5" t="inlineStr">
        <is>
          <t>SFST81000050</t>
        </is>
      </c>
      <c r="M290" s="7" t="inlineStr">
        <is>
          <t>PD Machine</t>
        </is>
      </c>
      <c r="N290" s="7" t="inlineStr">
        <is>
          <t>Vegetable Dicing Machine  Robot coupe CL-50 No.1</t>
        </is>
      </c>
      <c r="O290" s="11" t="n">
        <v>1</v>
      </c>
      <c r="P290" s="10" t="inlineStr">
        <is>
          <t>263L-31 TIMING BELT OPTIBELT 263L-31MM</t>
        </is>
      </c>
      <c r="Q290" s="277" t="n">
        <v>3</v>
      </c>
      <c r="R290" s="5" t="inlineStr">
        <is>
          <t>PCS.</t>
        </is>
      </c>
      <c r="S290" s="284">
        <f>RawDataGenPO[[#This Row],[Total price]]/RawDataGenPO[[#This Row],[Qty'']]</f>
        <v/>
      </c>
      <c r="T290" s="297" t="n">
        <v>1920</v>
      </c>
      <c r="U290" s="161" t="inlineStr">
        <is>
          <t>Puneet Approval</t>
        </is>
      </c>
      <c r="V290" s="7" t="inlineStr">
        <is>
          <t>V1000284 - SABPAYANIT INTER GROUP CO., LTD.</t>
        </is>
      </c>
      <c r="W290" s="5" t="inlineStr">
        <is>
          <t>Recive bill and GRN already</t>
        </is>
      </c>
      <c r="X290" s="5" t="n"/>
      <c r="Y290" s="3" t="n">
        <v>45560</v>
      </c>
      <c r="Z290" s="3" t="n"/>
      <c r="AA290" s="17">
        <f>IF(RawDataGenPO[[#This Row],[Date Gen PO]]="","",RawDataGenPO[[#This Row],[Date recive bill]]-RawDataGenPO[[#This Row],[Date Gen PO]])</f>
        <v/>
      </c>
      <c r="AB290" s="16">
        <f>IF(RawDataGenPO[[#This Row],[GRN-PO date]]&gt;RawDataGenPO[[#This Row],[Lead time delivery (day)]],"over deliverry","Ontime")</f>
        <v/>
      </c>
      <c r="AC290" s="168" t="n"/>
    </row>
    <row r="291" ht="15" customFormat="1" customHeight="1" s="125">
      <c r="A291" s="5">
        <f>ROW()-ROW(RawDataGenPO[[#Headers],[No.]])</f>
        <v/>
      </c>
      <c r="B291" s="7" t="inlineStr">
        <is>
          <t>Expent  cost</t>
        </is>
      </c>
      <c r="C291" s="301" t="n">
        <v>45530</v>
      </c>
      <c r="D291" s="276" t="n"/>
      <c r="E291" s="281" t="n"/>
      <c r="F291" s="301" t="n">
        <v>45530</v>
      </c>
      <c r="G291" s="5" t="inlineStr">
        <is>
          <t>PR2425-03015</t>
        </is>
      </c>
      <c r="H291" s="5" t="inlineStr">
        <is>
          <t xml:space="preserve">PO2425-03447 </t>
        </is>
      </c>
      <c r="I291" s="290">
        <f>IF(RawDataGenPO[[#This Row],[PO No.]]="","",RawDataGenPO[[#This Row],[DMY Create PR]]+7)</f>
        <v/>
      </c>
      <c r="J291" s="290" t="n"/>
      <c r="K291" s="20" t="n">
        <v>40</v>
      </c>
      <c r="L291" s="5" t="inlineStr">
        <is>
          <t>SFST81000048</t>
        </is>
      </c>
      <c r="M291" s="7" t="inlineStr">
        <is>
          <t>PD Machine</t>
        </is>
      </c>
      <c r="N291" s="7" t="inlineStr">
        <is>
          <t>Combi oven No.1</t>
        </is>
      </c>
      <c r="O291" s="11" t="n">
        <v>1</v>
      </c>
      <c r="P291" s="10" t="inlineStr">
        <is>
          <t>87.01.078 Heating assembly SCC_WE 202 230V 33kW Y</t>
        </is>
      </c>
      <c r="Q291" s="277" t="n">
        <v>1</v>
      </c>
      <c r="R291" s="5" t="inlineStr">
        <is>
          <t>JOB</t>
        </is>
      </c>
      <c r="S291" s="284">
        <f>RawDataGenPO[[#This Row],[Total price]]/RawDataGenPO[[#This Row],[Qty'']]</f>
        <v/>
      </c>
      <c r="T291" s="208" t="n">
        <v>47737.5</v>
      </c>
      <c r="U291" s="161" t="inlineStr">
        <is>
          <t>Puneet Approval</t>
        </is>
      </c>
      <c r="V291" s="7" t="inlineStr">
        <is>
          <t>V1000460 - FIX EVOLUTION CO., LTD.</t>
        </is>
      </c>
      <c r="W291" s="5" t="inlineStr">
        <is>
          <t>Recive bill and GRN already</t>
        </is>
      </c>
      <c r="X291" s="5" t="n"/>
      <c r="Y291" s="3" t="n">
        <v>45576</v>
      </c>
      <c r="Z291" s="3" t="n"/>
      <c r="AA291" s="17">
        <f>IF(RawDataGenPO[[#This Row],[Date Gen PO]]="","",RawDataGenPO[[#This Row],[Date recive bill]]-RawDataGenPO[[#This Row],[Date Gen PO]])</f>
        <v/>
      </c>
      <c r="AB291" s="16">
        <f>IF(RawDataGenPO[[#This Row],[GRN-PO date]]&gt;RawDataGenPO[[#This Row],[Lead time delivery (day)]],"over deliverry","Ontime")</f>
        <v/>
      </c>
      <c r="AC291" s="168" t="n"/>
    </row>
    <row r="292" ht="30" customFormat="1" customHeight="1" s="125">
      <c r="A292" s="5">
        <f>ROW()-ROW(RawDataGenPO[[#Headers],[No.]])</f>
        <v/>
      </c>
      <c r="B292" s="7" t="inlineStr">
        <is>
          <t>Expent  cost</t>
        </is>
      </c>
      <c r="C292" s="301" t="n">
        <v>45530</v>
      </c>
      <c r="D292" s="276" t="n"/>
      <c r="E292" s="281" t="n"/>
      <c r="F292" s="301" t="n">
        <v>45530</v>
      </c>
      <c r="G292" s="5" t="inlineStr">
        <is>
          <t xml:space="preserve"> </t>
        </is>
      </c>
      <c r="H292" s="5" t="inlineStr">
        <is>
          <t xml:space="preserve">PO2425-03447 </t>
        </is>
      </c>
      <c r="I292" s="290">
        <f>IF(RawDataGenPO[[#This Row],[PO No.]]="","",RawDataGenPO[[#This Row],[DMY Create PR]]+7)</f>
        <v/>
      </c>
      <c r="J292" s="290" t="n"/>
      <c r="K292" s="20" t="n">
        <v>40</v>
      </c>
      <c r="L292" s="5" t="inlineStr">
        <is>
          <t>SFST81000048</t>
        </is>
      </c>
      <c r="M292" s="7" t="inlineStr">
        <is>
          <t>PD Machine</t>
        </is>
      </c>
      <c r="N292" s="7" t="inlineStr">
        <is>
          <t>Combi oven No.1</t>
        </is>
      </c>
      <c r="O292" s="11" t="n">
        <v>2</v>
      </c>
      <c r="P292" s="10" t="inlineStr">
        <is>
          <t>40.03.513P Fan motor with motor shaft gasket SCC_WE, CM_P 62/102/202</t>
        </is>
      </c>
      <c r="Q292" s="277" t="n">
        <v>1</v>
      </c>
      <c r="R292" s="5" t="inlineStr">
        <is>
          <t>JOB</t>
        </is>
      </c>
      <c r="S292" s="284">
        <f>RawDataGenPO[[#This Row],[Total price]]/RawDataGenPO[[#This Row],[Qty'']]</f>
        <v/>
      </c>
      <c r="T292" s="188" t="n">
        <v>60087.5</v>
      </c>
      <c r="U292" s="161" t="inlineStr">
        <is>
          <t>Puneet Approval</t>
        </is>
      </c>
      <c r="V292" s="7" t="inlineStr">
        <is>
          <t>V1000460 - FIX EVOLUTION CO., LTD.</t>
        </is>
      </c>
      <c r="W292" s="5" t="inlineStr">
        <is>
          <t>Recive bill and GRN already</t>
        </is>
      </c>
      <c r="X292" s="5" t="n"/>
      <c r="Y292" s="3" t="n">
        <v>45576</v>
      </c>
      <c r="Z292" s="3" t="n"/>
      <c r="AA292" s="17">
        <f>IF(RawDataGenPO[[#This Row],[Date Gen PO]]="","",RawDataGenPO[[#This Row],[Date recive bill]]-RawDataGenPO[[#This Row],[Date Gen PO]])</f>
        <v/>
      </c>
      <c r="AB292" s="16">
        <f>IF(RawDataGenPO[[#This Row],[GRN-PO date]]&gt;RawDataGenPO[[#This Row],[Lead time delivery (day)]],"over deliverry","Ontime")</f>
        <v/>
      </c>
      <c r="AC292" s="168" t="n"/>
    </row>
    <row r="293" ht="15" customFormat="1" customHeight="1" s="197">
      <c r="A293" s="5">
        <f>ROW()-ROW(RawDataGenPO[[#Headers],[No.]])</f>
        <v/>
      </c>
      <c r="B293" s="7" t="inlineStr">
        <is>
          <t>Expent  cost</t>
        </is>
      </c>
      <c r="C293" s="275" t="n">
        <v>45530</v>
      </c>
      <c r="D293" s="276" t="n"/>
      <c r="E293" s="276" t="n"/>
      <c r="F293" s="275" t="n">
        <v>45530</v>
      </c>
      <c r="G293" s="5" t="inlineStr">
        <is>
          <t>PR2425-03015</t>
        </is>
      </c>
      <c r="H293" s="5" t="inlineStr">
        <is>
          <t xml:space="preserve">PO2425-03447 </t>
        </is>
      </c>
      <c r="I293" s="290">
        <f>IF(RawDataGenPO[[#This Row],[PO No.]]="","",RawDataGenPO[[#This Row],[DMY Create PR]]+7)</f>
        <v/>
      </c>
      <c r="J293" s="290" t="n"/>
      <c r="K293" s="20" t="n">
        <v>40</v>
      </c>
      <c r="L293" s="5" t="inlineStr">
        <is>
          <t>SFST81000048</t>
        </is>
      </c>
      <c r="M293" s="7" t="inlineStr">
        <is>
          <t>PD Machine</t>
        </is>
      </c>
      <c r="N293" s="7" t="inlineStr">
        <is>
          <t>Combi oven No.1</t>
        </is>
      </c>
      <c r="O293" s="11" t="n">
        <v>3</v>
      </c>
      <c r="P293" s="10" t="inlineStr">
        <is>
          <t>40.03.772P Transformer f. cooling fan SCC_WE,CM_P 201/202</t>
        </is>
      </c>
      <c r="Q293" s="277" t="n">
        <v>1</v>
      </c>
      <c r="R293" s="5" t="inlineStr">
        <is>
          <t>JOB</t>
        </is>
      </c>
      <c r="S293" s="284">
        <f>RawDataGenPO[[#This Row],[Total price]]/RawDataGenPO[[#This Row],[Qty'']]</f>
        <v/>
      </c>
      <c r="T293" s="188" t="n">
        <v>5462.5</v>
      </c>
      <c r="U293" s="161" t="inlineStr">
        <is>
          <t>Puneet Approval</t>
        </is>
      </c>
      <c r="V293" s="7" t="inlineStr">
        <is>
          <t>V1000460 - FIX EVOLUTION CO., LTD.</t>
        </is>
      </c>
      <c r="W293" s="5" t="inlineStr">
        <is>
          <t>Recive bill and GRN already</t>
        </is>
      </c>
      <c r="X293" s="5" t="n"/>
      <c r="Y293" s="3" t="n">
        <v>45576</v>
      </c>
      <c r="Z293" s="3" t="n"/>
      <c r="AA293" s="17">
        <f>IF(RawDataGenPO[[#This Row],[Date Gen PO]]="","",RawDataGenPO[[#This Row],[Date recive bill]]-RawDataGenPO[[#This Row],[Date Gen PO]])</f>
        <v/>
      </c>
      <c r="AB293" s="16">
        <f>IF(RawDataGenPO[[#This Row],[GRN-PO date]]&gt;RawDataGenPO[[#This Row],[Lead time delivery (day)]],"over deliverry","Ontime")</f>
        <v/>
      </c>
      <c r="AC293" s="168" t="n"/>
    </row>
    <row r="294" ht="15" customHeight="1">
      <c r="A294" s="5">
        <f>ROW()-ROW(RawDataGenPO[[#Headers],[No.]])</f>
        <v/>
      </c>
      <c r="B294" s="7" t="inlineStr">
        <is>
          <t>Expent  cost</t>
        </is>
      </c>
      <c r="C294" s="275" t="n">
        <v>45530</v>
      </c>
      <c r="F294" s="275" t="n">
        <v>45530</v>
      </c>
      <c r="G294" s="5" t="inlineStr">
        <is>
          <t>PR2425-03015</t>
        </is>
      </c>
      <c r="H294" s="5" t="inlineStr">
        <is>
          <t xml:space="preserve">PO2425-03447 </t>
        </is>
      </c>
      <c r="I294" s="290">
        <f>IF(RawDataGenPO[[#This Row],[PO No.]]="","",RawDataGenPO[[#This Row],[DMY Create PR]]+7)</f>
        <v/>
      </c>
      <c r="J294" s="290" t="n"/>
      <c r="K294" s="20" t="n">
        <v>40</v>
      </c>
      <c r="L294" s="5" t="inlineStr">
        <is>
          <t>SFST81000048</t>
        </is>
      </c>
      <c r="M294" s="7" t="inlineStr">
        <is>
          <t>PD Machine</t>
        </is>
      </c>
      <c r="N294" s="7" t="inlineStr">
        <is>
          <t>Combi oven No.1</t>
        </is>
      </c>
      <c r="O294" s="11" t="n">
        <v>4</v>
      </c>
      <c r="P294" s="10" t="inlineStr">
        <is>
          <t>40.00.453P Solid state relais CPC/SCC line 61-202/VCC line; LM1 LM2</t>
        </is>
      </c>
      <c r="Q294" s="277" t="n">
        <v>4</v>
      </c>
      <c r="R294" s="5" t="inlineStr">
        <is>
          <t>JOB</t>
        </is>
      </c>
      <c r="S294" s="284">
        <f>RawDataGenPO[[#This Row],[Total price]]/RawDataGenPO[[#This Row],[Qty'']]</f>
        <v/>
      </c>
      <c r="T294" s="188" t="n">
        <v>22800</v>
      </c>
      <c r="U294" s="161" t="inlineStr">
        <is>
          <t>Puneet Approval</t>
        </is>
      </c>
      <c r="V294" s="7" t="inlineStr">
        <is>
          <t>V1000460 - FIX EVOLUTION CO., LTD.</t>
        </is>
      </c>
      <c r="W294" s="5" t="inlineStr">
        <is>
          <t>Recive bill and GRN already</t>
        </is>
      </c>
      <c r="Y294" s="3" t="n">
        <v>45576</v>
      </c>
      <c r="AA294" s="17">
        <f>IF(RawDataGenPO[[#This Row],[Date Gen PO]]="","",RawDataGenPO[[#This Row],[Date recive bill]]-RawDataGenPO[[#This Row],[Date Gen PO]])</f>
        <v/>
      </c>
      <c r="AB294" s="16">
        <f>IF(RawDataGenPO[[#This Row],[GRN-PO date]]&gt;RawDataGenPO[[#This Row],[Lead time delivery (day)]],"over deliverry","Ontime")</f>
        <v/>
      </c>
      <c r="AC294" s="168" t="n"/>
    </row>
    <row r="295" ht="15" customHeight="1">
      <c r="A295" s="5">
        <f>ROW()-ROW(RawDataGenPO[[#Headers],[No.]])</f>
        <v/>
      </c>
      <c r="B295" s="7" t="inlineStr">
        <is>
          <t>Expent  cost</t>
        </is>
      </c>
      <c r="C295" s="275" t="n">
        <v>45530</v>
      </c>
      <c r="F295" s="275" t="n">
        <v>45530</v>
      </c>
      <c r="G295" s="5" t="inlineStr">
        <is>
          <t>PR2425-03015</t>
        </is>
      </c>
      <c r="H295" s="5" t="inlineStr">
        <is>
          <t xml:space="preserve">PO2425-03447 </t>
        </is>
      </c>
      <c r="I295" s="290">
        <f>IF(RawDataGenPO[[#This Row],[PO No.]]="","",RawDataGenPO[[#This Row],[DMY Create PR]]+7)</f>
        <v/>
      </c>
      <c r="J295" s="290" t="n"/>
      <c r="K295" s="20" t="n">
        <v>40</v>
      </c>
      <c r="L295" s="5" t="inlineStr">
        <is>
          <t>SFST81000048</t>
        </is>
      </c>
      <c r="M295" s="7" t="inlineStr">
        <is>
          <t>PD Machine</t>
        </is>
      </c>
      <c r="N295" s="7" t="inlineStr">
        <is>
          <t>Combi oven No.1</t>
        </is>
      </c>
      <c r="O295" s="11" t="n">
        <v>5</v>
      </c>
      <c r="P295" s="10" t="inlineStr">
        <is>
          <t>Service Charge</t>
        </is>
      </c>
      <c r="Q295" s="277" t="n">
        <v>1</v>
      </c>
      <c r="R295" s="5" t="inlineStr">
        <is>
          <t>JOB</t>
        </is>
      </c>
      <c r="S295" s="284">
        <f>RawDataGenPO[[#This Row],[Total price]]/RawDataGenPO[[#This Row],[Qty'']]</f>
        <v/>
      </c>
      <c r="T295" s="188" t="n">
        <v>2850</v>
      </c>
      <c r="U295" s="161" t="inlineStr">
        <is>
          <t>Puneet Approval</t>
        </is>
      </c>
      <c r="V295" s="7" t="inlineStr">
        <is>
          <t>V1000460 - FIX EVOLUTION CO., LTD.</t>
        </is>
      </c>
      <c r="W295" s="5" t="inlineStr">
        <is>
          <t>Recive bill and GRN already</t>
        </is>
      </c>
      <c r="Y295" s="3" t="n">
        <v>45576</v>
      </c>
      <c r="AA295" s="17">
        <f>IF(RawDataGenPO[[#This Row],[Date Gen PO]]="","",RawDataGenPO[[#This Row],[Date recive bill]]-RawDataGenPO[[#This Row],[Date Gen PO]])</f>
        <v/>
      </c>
      <c r="AB295" s="16">
        <f>IF(RawDataGenPO[[#This Row],[GRN-PO date]]&gt;RawDataGenPO[[#This Row],[Lead time delivery (day)]],"over deliverry","Ontime")</f>
        <v/>
      </c>
      <c r="AC295" s="168" t="n"/>
    </row>
    <row r="296" ht="90" customFormat="1" customHeight="1" s="125">
      <c r="A296" s="5">
        <f>ROW()-ROW(RawDataGenPO[[#Headers],[No.]])</f>
        <v/>
      </c>
      <c r="B296" s="7" t="inlineStr">
        <is>
          <t>CAPEX  (Unbudget)</t>
        </is>
      </c>
      <c r="C296" s="276" t="n">
        <v>45537</v>
      </c>
      <c r="D296" s="276" t="n"/>
      <c r="E296" s="276" t="n"/>
      <c r="F296" s="276" t="n">
        <v>45537</v>
      </c>
      <c r="G296" s="5" t="inlineStr">
        <is>
          <t>PR2425-03095</t>
        </is>
      </c>
      <c r="H296" s="5" t="inlineStr">
        <is>
          <t>PO2425-03458</t>
        </is>
      </c>
      <c r="I296" s="290">
        <f>IF(RawDataGenPO[[#This Row],[PO No.]]="","",RawDataGenPO[[#This Row],[DMY Create PR]]+7)</f>
        <v/>
      </c>
      <c r="J296" s="290" t="n"/>
      <c r="K296" s="20" t="n">
        <v>60</v>
      </c>
      <c r="L296" s="5" t="inlineStr">
        <is>
          <t>SFST82000015</t>
        </is>
      </c>
      <c r="M296" s="7" t="inlineStr">
        <is>
          <t>Water plant</t>
        </is>
      </c>
      <c r="N296" s="7" t="inlineStr">
        <is>
          <t>Deep Well Pump No.1</t>
        </is>
      </c>
      <c r="O296" s="11" t="n">
        <v>1</v>
      </c>
      <c r="P296" s="10" t="inlineStr">
        <is>
          <t>Groundwater well abandonment work, size 6 inch, depth 114 m
- submit groundwater-use termination request to the Department of Groundwater Resources
- remove pump and suction pipe
- blow/clean the well
- backfill with pea gravel in compliance with requirements
- submit well abandonment report to the Department of Groundwater Resources</t>
        </is>
      </c>
      <c r="Q296" s="277" t="n">
        <v>1</v>
      </c>
      <c r="R296" s="204" t="inlineStr">
        <is>
          <t>JOB</t>
        </is>
      </c>
      <c r="S296" s="320">
        <f>RawDataGenPO[[#This Row],[Total price]]/RawDataGenPO[[#This Row],[Qty'']]</f>
        <v/>
      </c>
      <c r="T296" s="285" t="n">
        <v>50000</v>
      </c>
      <c r="U296" s="161" t="inlineStr">
        <is>
          <t>Puneet Approval</t>
        </is>
      </c>
      <c r="V296" s="7" t="inlineStr">
        <is>
          <t>V1000646 - NUMTIP DEEP WELL LTD.,PART.</t>
        </is>
      </c>
      <c r="W296" s="5" t="inlineStr">
        <is>
          <t>Recive bill and GRN already</t>
        </is>
      </c>
      <c r="X296" s="5" t="n"/>
      <c r="Y296" s="3" t="n">
        <v>45590</v>
      </c>
      <c r="Z296" s="3" t="n"/>
      <c r="AA296" s="17">
        <f>IF(RawDataGenPO[[#This Row],[Date Gen PO]]="","",RawDataGenPO[[#This Row],[Date recive bill]]-RawDataGenPO[[#This Row],[Date Gen PO]])</f>
        <v/>
      </c>
      <c r="AB296" s="16">
        <f>IF(RawDataGenPO[[#This Row],[GRN-PO date]]&gt;RawDataGenPO[[#This Row],[Lead time delivery (day)]],"over deliverry","Ontime")</f>
        <v/>
      </c>
      <c r="AC296" s="168" t="n"/>
    </row>
    <row r="297" ht="15" customFormat="1" customHeight="1" s="125">
      <c r="A297" s="5">
        <f>ROW()-ROW(RawDataGenPO[[#Headers],[No.]])</f>
        <v/>
      </c>
      <c r="B297" s="7" t="inlineStr">
        <is>
          <t>Expent  cost</t>
        </is>
      </c>
      <c r="C297" s="275" t="n">
        <v>45542</v>
      </c>
      <c r="D297" s="276" t="n"/>
      <c r="E297" s="276" t="n"/>
      <c r="F297" s="275" t="n">
        <v>45542</v>
      </c>
      <c r="G297" s="5" t="inlineStr">
        <is>
          <t>PR2425-03252</t>
        </is>
      </c>
      <c r="H297" s="5" t="inlineStr">
        <is>
          <t>PO2425-03470</t>
        </is>
      </c>
      <c r="I297" s="290">
        <f>IF(RawDataGenPO[[#This Row],[PO No.]]="","",RawDataGenPO[[#This Row],[DMY Create PR]]+7)</f>
        <v/>
      </c>
      <c r="J297" s="290" t="n"/>
      <c r="K297" s="20">
        <f>IF(RawDataGenPO[[#This Row],[PO No.]]="","",10)</f>
        <v/>
      </c>
      <c r="L297" s="5" t="inlineStr">
        <is>
          <t>SFST81000050</t>
        </is>
      </c>
      <c r="M297" s="7" t="inlineStr">
        <is>
          <t>Tool and Equipment PD M/C</t>
        </is>
      </c>
      <c r="N297" s="7" t="inlineStr">
        <is>
          <t>Eletrical part</t>
        </is>
      </c>
      <c r="O297" s="11" t="n">
        <v>1</v>
      </c>
      <c r="P297" s="10" t="inlineStr">
        <is>
          <t>Flexible corrugated conduit (black), size 1", 50 m/roll</t>
        </is>
      </c>
      <c r="Q297" s="277" t="n">
        <v>1</v>
      </c>
      <c r="R297" s="5" t="inlineStr">
        <is>
          <t>PCS.</t>
        </is>
      </c>
      <c r="S297" s="284">
        <f>RawDataGenPO[[#This Row],[Total price]]/RawDataGenPO[[#This Row],[Qty'']]</f>
        <v/>
      </c>
      <c r="T297" s="285" t="n">
        <v>2500</v>
      </c>
      <c r="U297" s="161" t="inlineStr">
        <is>
          <t>Puneet Approval</t>
        </is>
      </c>
      <c r="V297" s="7" t="inlineStr">
        <is>
          <t>V1000259 - JJP SUPPLY CO., LTD</t>
        </is>
      </c>
      <c r="W297" s="5" t="inlineStr">
        <is>
          <t>Recive bill and GRN already</t>
        </is>
      </c>
      <c r="X297" s="5" t="n"/>
      <c r="Y297" s="3" t="n">
        <v>45559</v>
      </c>
      <c r="Z297" s="3" t="n"/>
      <c r="AA297" s="17">
        <f>IF(RawDataGenPO[[#This Row],[Date Gen PO]]="","",RawDataGenPO[[#This Row],[Date recive bill]]-RawDataGenPO[[#This Row],[Date Gen PO]])</f>
        <v/>
      </c>
      <c r="AB297" s="16">
        <f>IF(RawDataGenPO[[#This Row],[GRN-PO date]]&gt;RawDataGenPO[[#This Row],[Lead time delivery (day)]],"over deliverry","Ontime")</f>
        <v/>
      </c>
      <c r="AC297" s="168" t="n"/>
    </row>
    <row r="298" ht="15" customFormat="1" customHeight="1" s="125">
      <c r="A298" s="5">
        <f>ROW()-ROW(RawDataGenPO[[#Headers],[No.]])</f>
        <v/>
      </c>
      <c r="B298" s="7" t="inlineStr">
        <is>
          <t>Expent  cost</t>
        </is>
      </c>
      <c r="C298" s="275" t="n">
        <v>45542</v>
      </c>
      <c r="D298" s="276" t="n"/>
      <c r="E298" s="276" t="n"/>
      <c r="F298" s="275" t="n">
        <v>45542</v>
      </c>
      <c r="G298" s="5" t="inlineStr">
        <is>
          <t>PR2425-03239</t>
        </is>
      </c>
      <c r="H298" s="5" t="inlineStr">
        <is>
          <t>PO2425-03487</t>
        </is>
      </c>
      <c r="I298" s="290">
        <f>IF(RawDataGenPO[[#This Row],[PO No.]]="","",RawDataGenPO[[#This Row],[DMY Create PR]]+7)</f>
        <v/>
      </c>
      <c r="J298" s="290" t="n"/>
      <c r="K298" s="20">
        <f>IF(RawDataGenPO[[#This Row],[PO No.]]="","",10)</f>
        <v/>
      </c>
      <c r="L298" s="5" t="inlineStr">
        <is>
          <t>SFST81000050</t>
        </is>
      </c>
      <c r="M298" s="7" t="inlineStr">
        <is>
          <t>Refrigerant-oil for cooling M/C</t>
        </is>
      </c>
      <c r="N298" s="7" t="inlineStr">
        <is>
          <t>Cooling  part</t>
        </is>
      </c>
      <c r="O298" s="11" t="n">
        <v>1</v>
      </c>
      <c r="P298" s="10" t="inlineStr">
        <is>
          <t>Compressor oil CPI SOLEST LT-32   size 3.782 L.</t>
        </is>
      </c>
      <c r="Q298" s="277" t="n">
        <v>5</v>
      </c>
      <c r="R298" s="5" t="inlineStr">
        <is>
          <t>DRM</t>
        </is>
      </c>
      <c r="S298" s="284">
        <f>RawDataGenPO[[#This Row],[Total price]]/RawDataGenPO[[#This Row],[Qty'']]</f>
        <v/>
      </c>
      <c r="T298" s="285" t="n">
        <v>16000</v>
      </c>
      <c r="U298" s="161" t="inlineStr">
        <is>
          <t>Puneet Approval</t>
        </is>
      </c>
      <c r="V298" s="7" t="inlineStr">
        <is>
          <t>V1000312 - Colder Solution Co., Ltd.</t>
        </is>
      </c>
      <c r="W298" s="5" t="inlineStr">
        <is>
          <t>Recive bill and GRN already</t>
        </is>
      </c>
      <c r="X298" s="5" t="n"/>
      <c r="Y298" s="3" t="n">
        <v>45552</v>
      </c>
      <c r="Z298" s="3" t="n"/>
      <c r="AA298" s="17">
        <f>IF(RawDataGenPO[[#This Row],[Date Gen PO]]="","",RawDataGenPO[[#This Row],[Date recive bill]]-RawDataGenPO[[#This Row],[Date Gen PO]])</f>
        <v/>
      </c>
      <c r="AB298" s="16">
        <f>IF(RawDataGenPO[[#This Row],[GRN-PO date]]&gt;RawDataGenPO[[#This Row],[Lead time delivery (day)]],"over deliverry","Ontime")</f>
        <v/>
      </c>
      <c r="AC298" s="168" t="n"/>
    </row>
    <row r="299" ht="15" customFormat="1" customHeight="1" s="125">
      <c r="A299" s="5">
        <f>ROW()-ROW(RawDataGenPO[[#Headers],[No.]])</f>
        <v/>
      </c>
      <c r="B299" s="7" t="inlineStr">
        <is>
          <t>Expent  cost</t>
        </is>
      </c>
      <c r="C299" s="275" t="n">
        <v>45542</v>
      </c>
      <c r="D299" s="276" t="n"/>
      <c r="E299" s="276" t="n"/>
      <c r="F299" s="275" t="n">
        <v>45542</v>
      </c>
      <c r="G299" s="5" t="inlineStr">
        <is>
          <t>PR2425-03238</t>
        </is>
      </c>
      <c r="H299" s="5" t="inlineStr">
        <is>
          <t>PO2425-03488</t>
        </is>
      </c>
      <c r="I299" s="290">
        <f>IF(RawDataGenPO[[#This Row],[PO No.]]="","",RawDataGenPO[[#This Row],[DMY Create PR]]+7)</f>
        <v/>
      </c>
      <c r="J299" s="290" t="n"/>
      <c r="K299" s="20">
        <f>IF(RawDataGenPO[[#This Row],[PO No.]]="","",10)</f>
        <v/>
      </c>
      <c r="L299" s="5" t="inlineStr">
        <is>
          <t>SFST34000051</t>
        </is>
      </c>
      <c r="M299" s="7" t="inlineStr">
        <is>
          <t>Refrigerant-oil for cooling M/C</t>
        </is>
      </c>
      <c r="N299" s="7" t="inlineStr">
        <is>
          <t>Refrigerant</t>
        </is>
      </c>
      <c r="O299" s="11" t="n">
        <v>1</v>
      </c>
      <c r="P299" s="186" t="inlineStr">
        <is>
          <t>R404A Refrigerant ,(1 Tank 10.9 kg/Tank)</t>
        </is>
      </c>
      <c r="Q299" s="310" t="n">
        <v>5</v>
      </c>
      <c r="R299" s="184" t="inlineStr">
        <is>
          <t>PCS.</t>
        </is>
      </c>
      <c r="S299" s="311">
        <f>RawDataGenPO[[#This Row],[Total price]]/RawDataGenPO[[#This Row],[Qty'']]</f>
        <v/>
      </c>
      <c r="T299" s="312" t="n">
        <v>1150</v>
      </c>
      <c r="U299" s="161" t="inlineStr">
        <is>
          <t>Puneet Approval</t>
        </is>
      </c>
      <c r="V299" s="7" t="inlineStr">
        <is>
          <t>V1000312 - Colder Solution Co., Ltd.</t>
        </is>
      </c>
      <c r="W299" s="5" t="inlineStr">
        <is>
          <t>Recive bill and GRN already</t>
        </is>
      </c>
      <c r="X299" s="5" t="n"/>
      <c r="Y299" s="3" t="n">
        <v>45553</v>
      </c>
      <c r="Z299" s="3" t="n"/>
      <c r="AA299" s="17">
        <f>IF(RawDataGenPO[[#This Row],[Date Gen PO]]="","",RawDataGenPO[[#This Row],[Date recive bill]]-RawDataGenPO[[#This Row],[Date Gen PO]])</f>
        <v/>
      </c>
      <c r="AB299" s="16">
        <f>IF(RawDataGenPO[[#This Row],[GRN-PO date]]&gt;RawDataGenPO[[#This Row],[Lead time delivery (day)]],"over deliverry","Ontime")</f>
        <v/>
      </c>
      <c r="AC299" s="168" t="n"/>
    </row>
    <row r="300" ht="15" customHeight="1">
      <c r="A300" s="5">
        <f>ROW()-ROW(RawDataGenPO[[#Headers],[No.]])</f>
        <v/>
      </c>
      <c r="B300" s="7" t="inlineStr">
        <is>
          <t>Expent  cost</t>
        </is>
      </c>
      <c r="C300" s="275" t="n">
        <v>45547</v>
      </c>
      <c r="F300" s="275" t="n">
        <v>45547</v>
      </c>
      <c r="G300" s="5" t="inlineStr">
        <is>
          <t>PR2425-03323</t>
        </is>
      </c>
      <c r="H300" s="5" t="inlineStr">
        <is>
          <t>PO2425-03489</t>
        </is>
      </c>
      <c r="I300" s="290">
        <f>IF(RawDataGenPO[[#This Row],[PO No.]]="","",RawDataGenPO[[#This Row],[DMY Create PR]]+7)</f>
        <v/>
      </c>
      <c r="J300" s="290" t="n"/>
      <c r="K300" s="20">
        <f>IF(RawDataGenPO[[#This Row],[PO No.]]="","",10)</f>
        <v/>
      </c>
      <c r="L300" s="5" t="inlineStr">
        <is>
          <t>SFST81000048</t>
        </is>
      </c>
      <c r="M300" s="7" t="inlineStr">
        <is>
          <t>Cooling machine for PD line</t>
        </is>
      </c>
      <c r="N300" s="7" t="inlineStr">
        <is>
          <t>Condencer Unit No.29 (Air Blast Freezer2)</t>
        </is>
      </c>
      <c r="O300" s="11" t="n">
        <v>1</v>
      </c>
      <c r="P300" s="10" t="inlineStr">
        <is>
          <t>Welding repair of leak points with R-507A refrigerant recharge and system testing</t>
        </is>
      </c>
      <c r="Q300" s="277" t="n">
        <v>1</v>
      </c>
      <c r="R300" s="5" t="inlineStr">
        <is>
          <t>Job</t>
        </is>
      </c>
      <c r="S300" s="284">
        <f>RawDataGenPO[[#This Row],[Total price]]/RawDataGenPO[[#This Row],[Qty'']]</f>
        <v/>
      </c>
      <c r="T300" s="285" t="n">
        <v>3000</v>
      </c>
      <c r="U300" s="161" t="inlineStr">
        <is>
          <t>Puneet Approval</t>
        </is>
      </c>
      <c r="V300" s="7" t="inlineStr">
        <is>
          <t>V1000554 - SHANTECH (THAILAND) CO.,LTD.</t>
        </is>
      </c>
      <c r="W300" s="5" t="inlineStr">
        <is>
          <t>Recive bill and GRN already</t>
        </is>
      </c>
      <c r="Y300" s="3" t="n">
        <v>45554</v>
      </c>
      <c r="AA300" s="17">
        <f>IF(RawDataGenPO[[#This Row],[Date Gen PO]]="","",RawDataGenPO[[#This Row],[Date recive bill]]-RawDataGenPO[[#This Row],[Date Gen PO]])</f>
        <v/>
      </c>
      <c r="AB300" s="16">
        <f>IF(RawDataGenPO[[#This Row],[GRN-PO date]]&gt;RawDataGenPO[[#This Row],[Lead time delivery (day)]],"over deliverry","Ontime")</f>
        <v/>
      </c>
      <c r="AC300" s="168" t="n"/>
    </row>
    <row r="301" ht="15" customFormat="1" customHeight="1" s="125">
      <c r="A301" s="5">
        <f>ROW()-ROW(RawDataGenPO[[#Headers],[No.]])</f>
        <v/>
      </c>
      <c r="B301" s="7" t="inlineStr">
        <is>
          <t>Expent  cost</t>
        </is>
      </c>
      <c r="C301" s="275" t="n">
        <v>45519</v>
      </c>
      <c r="D301" s="276" t="n"/>
      <c r="E301" s="276" t="n"/>
      <c r="F301" s="275" t="n">
        <v>45519</v>
      </c>
      <c r="G301" s="5" t="inlineStr">
        <is>
          <t>PR2425-02711</t>
        </is>
      </c>
      <c r="H301" s="5" t="inlineStr">
        <is>
          <t>PO2425-03490</t>
        </is>
      </c>
      <c r="I301" s="290">
        <f>IF(RawDataGenPO[[#This Row],[PO No.]]="","",RawDataGenPO[[#This Row],[DMY Create PR]]+7)</f>
        <v/>
      </c>
      <c r="J301" s="290" t="n"/>
      <c r="K301" s="20" t="n">
        <v>30</v>
      </c>
      <c r="L301" s="5" t="inlineStr">
        <is>
          <t>SFST81000048</t>
        </is>
      </c>
      <c r="M301" s="7" t="inlineStr">
        <is>
          <t>Cooling machine for PD line</t>
        </is>
      </c>
      <c r="N301" s="7" t="inlineStr">
        <is>
          <t>Condencer Unit No.29 (Air Blast Freezer2)</t>
        </is>
      </c>
      <c r="O301" s="11" t="n">
        <v>1</v>
      </c>
      <c r="P301" s="10" t="inlineStr">
        <is>
          <t>Equipment cost</t>
        </is>
      </c>
      <c r="Q301" s="277" t="n">
        <v>1</v>
      </c>
      <c r="R301" s="5" t="inlineStr">
        <is>
          <t>JOB</t>
        </is>
      </c>
      <c r="S301" s="284">
        <f>RawDataGenPO[[#This Row],[Total price]]/RawDataGenPO[[#This Row],[Qty'']]</f>
        <v/>
      </c>
      <c r="T301" s="278" t="n">
        <v>2000</v>
      </c>
      <c r="U301" s="161" t="inlineStr">
        <is>
          <t>Puneet Approval</t>
        </is>
      </c>
      <c r="V301" s="7" t="inlineStr">
        <is>
          <t>V1000554 - SHANTECH (THAILAND) CO.,LTD.</t>
        </is>
      </c>
      <c r="W301" s="5" t="inlineStr">
        <is>
          <t>Recive bill and GRN already</t>
        </is>
      </c>
      <c r="X301" s="5" t="n"/>
      <c r="Y301" s="3" t="n">
        <v>45554</v>
      </c>
      <c r="Z301" s="3" t="n"/>
      <c r="AA301" s="17">
        <f>IF(RawDataGenPO[[#This Row],[Date Gen PO]]="","",RawDataGenPO[[#This Row],[Date recive bill]]-RawDataGenPO[[#This Row],[Date Gen PO]])</f>
        <v/>
      </c>
      <c r="AB301" s="16">
        <f>IF(RawDataGenPO[[#This Row],[GRN-PO date]]&gt;RawDataGenPO[[#This Row],[Lead time delivery (day)]],"over deliverry","Ontime")</f>
        <v/>
      </c>
      <c r="AC301" s="168" t="n"/>
    </row>
    <row r="302" ht="15" customFormat="1" customHeight="1" s="125">
      <c r="A302" s="5">
        <f>ROW()-ROW(RawDataGenPO[[#Headers],[No.]])</f>
        <v/>
      </c>
      <c r="B302" s="7" t="inlineStr">
        <is>
          <t>Expent  cost</t>
        </is>
      </c>
      <c r="C302" s="275" t="n">
        <v>45519</v>
      </c>
      <c r="D302" s="276" t="n"/>
      <c r="E302" s="276" t="n"/>
      <c r="F302" s="275" t="n">
        <v>45519</v>
      </c>
      <c r="G302" s="5" t="inlineStr">
        <is>
          <t>PR2425-02711</t>
        </is>
      </c>
      <c r="H302" s="5" t="inlineStr">
        <is>
          <t>PO2425-03490</t>
        </is>
      </c>
      <c r="I302" s="290">
        <f>IF(RawDataGenPO[[#This Row],[PO No.]]="","",RawDataGenPO[[#This Row],[DMY Create PR]]+7)</f>
        <v/>
      </c>
      <c r="J302" s="290" t="n"/>
      <c r="K302" s="20" t="n">
        <v>30</v>
      </c>
      <c r="L302" s="5" t="inlineStr">
        <is>
          <t>SFST81000048</t>
        </is>
      </c>
      <c r="M302" s="7" t="inlineStr">
        <is>
          <t>Cooling machine for PD line</t>
        </is>
      </c>
      <c r="N302" s="7" t="inlineStr">
        <is>
          <t>Condencer Unit No.29 (Air Blast Freezer2)</t>
        </is>
      </c>
      <c r="O302" s="11" t="n">
        <v>1</v>
      </c>
      <c r="P302" s="10" t="inlineStr">
        <is>
          <t>Labour cost for Inspection</t>
        </is>
      </c>
      <c r="Q302" s="298" t="n">
        <v>1</v>
      </c>
      <c r="R302" s="5" t="inlineStr">
        <is>
          <t>JOB</t>
        </is>
      </c>
      <c r="S302" s="284">
        <f>RawDataGenPO[[#This Row],[Total price]]/RawDataGenPO[[#This Row],[Qty'']]</f>
        <v/>
      </c>
      <c r="T302" s="297" t="n">
        <v>5000</v>
      </c>
      <c r="U302" s="161" t="inlineStr">
        <is>
          <t>Puneet Approval</t>
        </is>
      </c>
      <c r="V302" s="7" t="inlineStr">
        <is>
          <t>V1000554 - SHANTECH (THAILAND) CO.,LTD.</t>
        </is>
      </c>
      <c r="W302" s="5" t="inlineStr">
        <is>
          <t>Recive bill and GRN already</t>
        </is>
      </c>
      <c r="X302" s="5" t="n"/>
      <c r="Y302" s="3" t="n">
        <v>45554</v>
      </c>
      <c r="Z302" s="3" t="n"/>
      <c r="AA302" s="17">
        <f>IF(RawDataGenPO[[#This Row],[Date Gen PO]]="","",RawDataGenPO[[#This Row],[Date recive bill]]-RawDataGenPO[[#This Row],[Date Gen PO]])</f>
        <v/>
      </c>
      <c r="AB302" s="16">
        <f>IF(RawDataGenPO[[#This Row],[GRN-PO date]]&gt;RawDataGenPO[[#This Row],[Lead time delivery (day)]],"over deliverry","Ontime")</f>
        <v/>
      </c>
      <c r="AC302" s="168" t="n"/>
    </row>
    <row r="303" ht="60" customFormat="1" customHeight="1" s="125">
      <c r="A303" s="5">
        <f>ROW()-ROW(RawDataGenPO[[#Headers],[No.]])</f>
        <v/>
      </c>
      <c r="B303" s="7" t="inlineStr">
        <is>
          <t>Expent  cost</t>
        </is>
      </c>
      <c r="C303" s="275" t="n">
        <v>45541</v>
      </c>
      <c r="D303" s="276" t="n"/>
      <c r="E303" s="276" t="n"/>
      <c r="F303" s="275" t="n">
        <v>45541</v>
      </c>
      <c r="G303" s="5" t="inlineStr">
        <is>
          <t xml:space="preserve">PR2425-03183 </t>
        </is>
      </c>
      <c r="H303" s="5" t="inlineStr">
        <is>
          <t>PO2425-03491</t>
        </is>
      </c>
      <c r="I303" s="290">
        <f>IF(RawDataGenPO[[#This Row],[PO No.]]="","",RawDataGenPO[[#This Row],[DMY Create PR]]+7)</f>
        <v/>
      </c>
      <c r="J303" s="290" t="n"/>
      <c r="K303" s="20" t="n">
        <v>180</v>
      </c>
      <c r="L303" s="5" t="inlineStr">
        <is>
          <t>SFST81000048</t>
        </is>
      </c>
      <c r="M303" s="7" t="inlineStr">
        <is>
          <t>Cooling machine for PD line</t>
        </is>
      </c>
      <c r="N303" s="7" t="inlineStr">
        <is>
          <t>Condencer Unit No.29 (Air Blast Freezer2)</t>
        </is>
      </c>
      <c r="O303" s="11" t="n">
        <v>1</v>
      </c>
      <c r="P303" s="10" t="inlineStr">
        <is>
          <t>Inspect the ice machine for leaks
- Pressurize with nitrogen to find leaks
- Repair and weld shut the leak points
- Labor / equipment cost</t>
        </is>
      </c>
      <c r="Q303" s="298" t="n">
        <v>1</v>
      </c>
      <c r="R303" s="204" t="inlineStr">
        <is>
          <t>JOB</t>
        </is>
      </c>
      <c r="S303" s="320">
        <f>RawDataGenPO[[#This Row],[Total price]]/RawDataGenPO[[#This Row],[Qty'']]</f>
        <v/>
      </c>
      <c r="T303" s="297" t="n">
        <v>16000</v>
      </c>
      <c r="U303" s="161" t="inlineStr">
        <is>
          <t>Puneet Approval</t>
        </is>
      </c>
      <c r="V303" s="7" t="inlineStr">
        <is>
          <t>V1000192 - Jirasak Supply and Service Ltd.,Part</t>
        </is>
      </c>
      <c r="W303" s="5" t="inlineStr">
        <is>
          <t>Recive bill and GRN already</t>
        </is>
      </c>
      <c r="X303" s="5" t="inlineStr">
        <is>
          <t>GRN2425-0007564</t>
        </is>
      </c>
      <c r="Y303" s="3" t="n">
        <v>45720</v>
      </c>
      <c r="Z303" s="3" t="n"/>
      <c r="AA303" s="17">
        <f>IF(RawDataGenPO[[#This Row],[Date Gen PO]]="","",RawDataGenPO[[#This Row],[Date recive bill]]-RawDataGenPO[[#This Row],[Date Gen PO]])</f>
        <v/>
      </c>
      <c r="AB303" s="16">
        <f>IF(RawDataGenPO[[#This Row],[GRN-PO date]]&gt;RawDataGenPO[[#This Row],[Lead time delivery (day)]],"over deliverry","Ontime")</f>
        <v/>
      </c>
      <c r="AC303" s="168" t="n"/>
    </row>
    <row r="304" ht="15" customFormat="1" customHeight="1" s="125">
      <c r="A304" s="5">
        <f>ROW()-ROW(RawDataGenPO[[#Headers],[No.]])</f>
        <v/>
      </c>
      <c r="B304" s="7" t="inlineStr">
        <is>
          <t>Expent  cost</t>
        </is>
      </c>
      <c r="C304" s="275" t="n">
        <v>45541</v>
      </c>
      <c r="D304" s="276" t="n"/>
      <c r="E304" s="276" t="n"/>
      <c r="F304" s="275" t="n">
        <v>45541</v>
      </c>
      <c r="G304" s="5" t="inlineStr">
        <is>
          <t>PR2425-03189</t>
        </is>
      </c>
      <c r="H304" s="5" t="inlineStr">
        <is>
          <t>PO2425-03492</t>
        </is>
      </c>
      <c r="I304" s="290">
        <f>IF(RawDataGenPO[[#This Row],[PO No.]]="","",RawDataGenPO[[#This Row],[DMY Create PR]]+7)</f>
        <v/>
      </c>
      <c r="J304" s="290" t="n"/>
      <c r="K304" s="20">
        <f>IF(RawDataGenPO[[#This Row],[PO No.]]="","",10)</f>
        <v/>
      </c>
      <c r="L304" s="5" t="inlineStr">
        <is>
          <t>SFST34000127</t>
        </is>
      </c>
      <c r="M304" s="7" t="inlineStr">
        <is>
          <t>Consumable part for MN</t>
        </is>
      </c>
      <c r="N304" s="7" t="inlineStr">
        <is>
          <t>Machanical part</t>
        </is>
      </c>
      <c r="O304" s="11" t="n">
        <v>1</v>
      </c>
      <c r="P304" s="10" t="inlineStr">
        <is>
          <t>Stainless steel globe valve SUS304 KITZ-10K UCL (Stainless Steel Globe</t>
        </is>
      </c>
      <c r="Q304" s="298" t="n">
        <v>2</v>
      </c>
      <c r="R304" s="5" t="inlineStr">
        <is>
          <t>PCS.</t>
        </is>
      </c>
      <c r="S304" s="284">
        <f>RawDataGenPO[[#This Row],[Total price]]/RawDataGenPO[[#This Row],[Qty'']]</f>
        <v/>
      </c>
      <c r="T304" s="297" t="n">
        <v>1730</v>
      </c>
      <c r="U304" s="161" t="inlineStr">
        <is>
          <t>Puneet Approval</t>
        </is>
      </c>
      <c r="V304" s="7" t="inlineStr">
        <is>
          <t>V1000306 - Inter Supply (1992) Co., Ltd.</t>
        </is>
      </c>
      <c r="W304" s="5" t="inlineStr">
        <is>
          <t>Recive bill and GRN already</t>
        </is>
      </c>
      <c r="X304" s="5" t="n"/>
      <c r="Y304" s="3" t="n">
        <v>45558</v>
      </c>
      <c r="Z304" s="3" t="n"/>
      <c r="AA304" s="17">
        <f>IF(RawDataGenPO[[#This Row],[Date Gen PO]]="","",RawDataGenPO[[#This Row],[Date recive bill]]-RawDataGenPO[[#This Row],[Date Gen PO]])</f>
        <v/>
      </c>
      <c r="AB304" s="16">
        <f>IF(RawDataGenPO[[#This Row],[GRN-PO date]]&gt;RawDataGenPO[[#This Row],[Lead time delivery (day)]],"over deliverry","Ontime")</f>
        <v/>
      </c>
      <c r="AC304" s="168" t="n"/>
    </row>
    <row r="305" ht="15" customFormat="1" customHeight="1" s="125">
      <c r="A305" s="5">
        <f>ROW()-ROW(RawDataGenPO[[#Headers],[No.]])</f>
        <v/>
      </c>
      <c r="B305" s="7" t="inlineStr">
        <is>
          <t>Expent  cost</t>
        </is>
      </c>
      <c r="C305" s="275" t="n">
        <v>45541</v>
      </c>
      <c r="D305" s="276" t="n"/>
      <c r="E305" s="276" t="n"/>
      <c r="F305" s="275" t="n">
        <v>45541</v>
      </c>
      <c r="G305" s="5" t="inlineStr">
        <is>
          <t>PR2425-03189</t>
        </is>
      </c>
      <c r="H305" s="5" t="inlineStr">
        <is>
          <t>PO2425-03492</t>
        </is>
      </c>
      <c r="I305" s="290">
        <f>IF(RawDataGenPO[[#This Row],[PO No.]]="","",RawDataGenPO[[#This Row],[DMY Create PR]]+7)</f>
        <v/>
      </c>
      <c r="J305" s="290" t="n"/>
      <c r="K305" s="20">
        <f>IF(RawDataGenPO[[#This Row],[PO No.]]="","",10)</f>
        <v/>
      </c>
      <c r="L305" s="5" t="inlineStr">
        <is>
          <t>SFST34000129</t>
        </is>
      </c>
      <c r="M305" s="7" t="inlineStr">
        <is>
          <t>Consumable part for MN</t>
        </is>
      </c>
      <c r="N305" s="7" t="inlineStr">
        <is>
          <t>Machanical part</t>
        </is>
      </c>
      <c r="O305" s="11" t="n">
        <v>2</v>
      </c>
      <c r="P305" s="10" t="inlineStr">
        <is>
          <t>Stainless steel nipple, male thread, CITY 3/4 inch, silver</t>
        </is>
      </c>
      <c r="Q305" s="298" t="n">
        <v>10</v>
      </c>
      <c r="R305" s="5" t="inlineStr">
        <is>
          <t>PCS.</t>
        </is>
      </c>
      <c r="S305" s="284">
        <f>RawDataGenPO[[#This Row],[Total price]]/RawDataGenPO[[#This Row],[Qty'']]</f>
        <v/>
      </c>
      <c r="T305" s="297" t="n">
        <v>130</v>
      </c>
      <c r="U305" s="161" t="inlineStr">
        <is>
          <t>Puneet Approval</t>
        </is>
      </c>
      <c r="V305" s="7" t="inlineStr">
        <is>
          <t>V1000306 - Inter Supply (1992) Co., Ltd.</t>
        </is>
      </c>
      <c r="W305" s="5" t="inlineStr">
        <is>
          <t>Recive bill and GRN already</t>
        </is>
      </c>
      <c r="X305" s="5" t="n"/>
      <c r="Y305" s="3" t="n">
        <v>45558</v>
      </c>
      <c r="Z305" s="3" t="n"/>
      <c r="AA305" s="17">
        <f>IF(RawDataGenPO[[#This Row],[Date Gen PO]]="","",RawDataGenPO[[#This Row],[Date recive bill]]-RawDataGenPO[[#This Row],[Date Gen PO]])</f>
        <v/>
      </c>
      <c r="AB305" s="16">
        <f>IF(RawDataGenPO[[#This Row],[GRN-PO date]]&gt;RawDataGenPO[[#This Row],[Lead time delivery (day)]],"over deliverry","Ontime")</f>
        <v/>
      </c>
      <c r="AC305" s="168" t="n"/>
    </row>
    <row r="306" ht="15" customFormat="1" customHeight="1" s="125">
      <c r="A306" s="5">
        <f>ROW()-ROW(RawDataGenPO[[#Headers],[No.]])</f>
        <v/>
      </c>
      <c r="B306" s="7" t="inlineStr">
        <is>
          <t>Expent  cost</t>
        </is>
      </c>
      <c r="C306" s="275" t="n">
        <v>45541</v>
      </c>
      <c r="D306" s="276" t="n"/>
      <c r="E306" s="276" t="n"/>
      <c r="F306" s="275" t="n">
        <v>45541</v>
      </c>
      <c r="G306" s="5" t="inlineStr">
        <is>
          <t>PR2425-03189</t>
        </is>
      </c>
      <c r="H306" s="5" t="inlineStr">
        <is>
          <t xml:space="preserve">PO2425-03493 </t>
        </is>
      </c>
      <c r="I306" s="290">
        <f>IF(RawDataGenPO[[#This Row],[PO No.]]="","",RawDataGenPO[[#This Row],[DMY Create PR]]+7)</f>
        <v/>
      </c>
      <c r="J306" s="290" t="n"/>
      <c r="K306" s="20" t="n">
        <v>20</v>
      </c>
      <c r="L306" s="5" t="inlineStr">
        <is>
          <t>SFST34000128</t>
        </is>
      </c>
      <c r="M306" s="7" t="inlineStr">
        <is>
          <t>Consumable part for MN</t>
        </is>
      </c>
      <c r="N306" s="7" t="inlineStr">
        <is>
          <t>Machanical part</t>
        </is>
      </c>
      <c r="O306" s="11" t="n">
        <v>1</v>
      </c>
      <c r="P306" s="178" t="inlineStr">
        <is>
          <t>Chrome-plated brass nipple CITY 1/2 inch</t>
        </is>
      </c>
      <c r="Q306" s="298" t="n">
        <v>10</v>
      </c>
      <c r="R306" s="5" t="inlineStr">
        <is>
          <t>PCS.</t>
        </is>
      </c>
      <c r="S306" s="284">
        <f>RawDataGenPO[[#This Row],[Total price]]/RawDataGenPO[[#This Row],[Qty'']]</f>
        <v/>
      </c>
      <c r="T306" s="297" t="n">
        <v>600</v>
      </c>
      <c r="U306" s="161" t="inlineStr">
        <is>
          <t>Puneet Approval</t>
        </is>
      </c>
      <c r="V306" s="7" t="inlineStr">
        <is>
          <t>V1000529 - 168 Supply</t>
        </is>
      </c>
      <c r="W306" s="5" t="inlineStr">
        <is>
          <t>Recive bill and GRN already</t>
        </is>
      </c>
      <c r="X306" s="5" t="n"/>
      <c r="Y306" s="3" t="n">
        <v>45568</v>
      </c>
      <c r="Z306" s="3" t="n"/>
      <c r="AA306" s="17">
        <f>IF(RawDataGenPO[[#This Row],[Date Gen PO]]="","",RawDataGenPO[[#This Row],[Date recive bill]]-RawDataGenPO[[#This Row],[Date Gen PO]])</f>
        <v/>
      </c>
      <c r="AB306" s="16">
        <f>IF(RawDataGenPO[[#This Row],[GRN-PO date]]&gt;RawDataGenPO[[#This Row],[Lead time delivery (day)]],"over deliverry","Ontime")</f>
        <v/>
      </c>
      <c r="AC306" s="168" t="n"/>
    </row>
    <row r="307" ht="15" customFormat="1" customHeight="1" s="125">
      <c r="A307" s="5">
        <f>ROW()-ROW(RawDataGenPO[[#Headers],[No.]])</f>
        <v/>
      </c>
      <c r="B307" s="7" t="inlineStr">
        <is>
          <t>Expent  cost</t>
        </is>
      </c>
      <c r="C307" s="275" t="n">
        <v>45541</v>
      </c>
      <c r="D307" s="276" t="n"/>
      <c r="E307" s="276" t="n"/>
      <c r="F307" s="275" t="n">
        <v>45541</v>
      </c>
      <c r="G307" s="5" t="inlineStr">
        <is>
          <t>PR2425-03204</t>
        </is>
      </c>
      <c r="H307" s="5" t="inlineStr">
        <is>
          <t xml:space="preserve">PO2425-03494 </t>
        </is>
      </c>
      <c r="I307" s="290">
        <f>IF(RawDataGenPO[[#This Row],[PO No.]]="","",RawDataGenPO[[#This Row],[DMY Create PR]]+7)</f>
        <v/>
      </c>
      <c r="J307" s="290" t="n"/>
      <c r="K307" s="20" t="n">
        <v>15</v>
      </c>
      <c r="L307" s="5" t="inlineStr">
        <is>
          <t>SFST81000050</t>
        </is>
      </c>
      <c r="M307" s="7" t="inlineStr">
        <is>
          <t>Electrical system in PD area</t>
        </is>
      </c>
      <c r="N307" s="7" t="inlineStr">
        <is>
          <t>Eletrical part</t>
        </is>
      </c>
      <c r="O307" s="11" t="n">
        <v>1</v>
      </c>
      <c r="P307" s="10" t="inlineStr">
        <is>
          <t>HACO" UPVC connector (white), size 20 mm</t>
        </is>
      </c>
      <c r="Q307" s="206" t="n">
        <v>100</v>
      </c>
      <c r="R307" s="5" t="inlineStr">
        <is>
          <t>PCS.</t>
        </is>
      </c>
      <c r="S307" s="284">
        <f>RawDataGenPO[[#This Row],[Total price]]/RawDataGenPO[[#This Row],[Qty'']]</f>
        <v/>
      </c>
      <c r="T307" s="306" t="n">
        <v>480</v>
      </c>
      <c r="U307" s="161" t="inlineStr">
        <is>
          <t>Puneet Approval</t>
        </is>
      </c>
      <c r="V307" s="7" t="inlineStr">
        <is>
          <t>V1000276 - SN. ELECTRIC AND SUPPLY CO., LTD.</t>
        </is>
      </c>
      <c r="W307" s="5" t="inlineStr">
        <is>
          <t>Recive bill and GRN already</t>
        </is>
      </c>
      <c r="X307" s="5" t="n"/>
      <c r="Y307" s="3" t="n">
        <v>45559</v>
      </c>
      <c r="Z307" s="3" t="n"/>
      <c r="AA307" s="17">
        <f>IF(RawDataGenPO[[#This Row],[Date Gen PO]]="","",RawDataGenPO[[#This Row],[Date recive bill]]-RawDataGenPO[[#This Row],[Date Gen PO]])</f>
        <v/>
      </c>
      <c r="AB307" s="16">
        <f>IF(RawDataGenPO[[#This Row],[GRN-PO date]]&gt;RawDataGenPO[[#This Row],[Lead time delivery (day)]],"over deliverry","Ontime")</f>
        <v/>
      </c>
      <c r="AC307" s="168" t="n"/>
    </row>
    <row r="308" ht="15" customFormat="1" customHeight="1" s="125">
      <c r="A308" s="5">
        <f>ROW()-ROW(RawDataGenPO[[#Headers],[No.]])</f>
        <v/>
      </c>
      <c r="B308" s="7" t="inlineStr">
        <is>
          <t>Expent  cost</t>
        </is>
      </c>
      <c r="C308" s="275" t="n">
        <v>45541</v>
      </c>
      <c r="D308" s="276" t="n"/>
      <c r="E308" s="276" t="n"/>
      <c r="F308" s="275" t="n">
        <v>45541</v>
      </c>
      <c r="G308" s="5" t="inlineStr">
        <is>
          <t>PR2425-03204</t>
        </is>
      </c>
      <c r="H308" s="5" t="inlineStr">
        <is>
          <t xml:space="preserve">PO2425-03494 </t>
        </is>
      </c>
      <c r="I308" s="290">
        <f>IF(RawDataGenPO[[#This Row],[PO No.]]="","",RawDataGenPO[[#This Row],[DMY Create PR]]+7)</f>
        <v/>
      </c>
      <c r="J308" s="290" t="n"/>
      <c r="K308" s="20" t="n">
        <v>15</v>
      </c>
      <c r="L308" s="5" t="inlineStr">
        <is>
          <t>SFST81000050</t>
        </is>
      </c>
      <c r="M308" s="7" t="inlineStr">
        <is>
          <t>Electrical system in PD area</t>
        </is>
      </c>
      <c r="N308" s="7" t="inlineStr">
        <is>
          <t>Eletrical part</t>
        </is>
      </c>
      <c r="O308" s="11" t="n">
        <v>2</v>
      </c>
      <c r="P308" s="10" t="inlineStr">
        <is>
          <t>HACO" UPVC connector (white), size 25 mm</t>
        </is>
      </c>
      <c r="Q308" s="206" t="n">
        <v>50</v>
      </c>
      <c r="R308" s="5" t="inlineStr">
        <is>
          <t>PCS.</t>
        </is>
      </c>
      <c r="S308" s="284">
        <f>RawDataGenPO[[#This Row],[Total price]]/RawDataGenPO[[#This Row],[Qty'']]</f>
        <v/>
      </c>
      <c r="T308" s="306" t="n">
        <v>300</v>
      </c>
      <c r="U308" s="161" t="inlineStr">
        <is>
          <t>Puneet Approval</t>
        </is>
      </c>
      <c r="V308" s="7" t="inlineStr">
        <is>
          <t>V1000276 - SN. ELECTRIC AND SUPPLY CO., LTD.</t>
        </is>
      </c>
      <c r="W308" s="5" t="inlineStr">
        <is>
          <t>Recive bill and GRN already</t>
        </is>
      </c>
      <c r="X308" s="5" t="n"/>
      <c r="Y308" s="3" t="n">
        <v>45559</v>
      </c>
      <c r="Z308" s="3" t="n"/>
      <c r="AA308" s="17">
        <f>IF(RawDataGenPO[[#This Row],[Date Gen PO]]="","",RawDataGenPO[[#This Row],[Date recive bill]]-RawDataGenPO[[#This Row],[Date Gen PO]])</f>
        <v/>
      </c>
      <c r="AB308" s="16">
        <f>IF(RawDataGenPO[[#This Row],[GRN-PO date]]&gt;RawDataGenPO[[#This Row],[Lead time delivery (day)]],"over deliverry","Ontime")</f>
        <v/>
      </c>
      <c r="AC308" s="168" t="n"/>
    </row>
    <row r="309" ht="15" customFormat="1" customHeight="1" s="125">
      <c r="A309" s="5">
        <f>ROW()-ROW(RawDataGenPO[[#Headers],[No.]])</f>
        <v/>
      </c>
      <c r="B309" s="7" t="inlineStr">
        <is>
          <t>Expent  cost</t>
        </is>
      </c>
      <c r="C309" s="275" t="n">
        <v>45541</v>
      </c>
      <c r="D309" s="276" t="n"/>
      <c r="E309" s="276" t="n"/>
      <c r="F309" s="275" t="n">
        <v>45541</v>
      </c>
      <c r="G309" s="5" t="inlineStr">
        <is>
          <t>PR2425-03204</t>
        </is>
      </c>
      <c r="H309" s="5" t="inlineStr">
        <is>
          <t xml:space="preserve">PO2425-03494 </t>
        </is>
      </c>
      <c r="I309" s="290">
        <f>IF(RawDataGenPO[[#This Row],[PO No.]]="","",RawDataGenPO[[#This Row],[DMY Create PR]]+7)</f>
        <v/>
      </c>
      <c r="J309" s="290" t="n"/>
      <c r="K309" s="20" t="n">
        <v>15</v>
      </c>
      <c r="L309" s="5" t="inlineStr">
        <is>
          <t>SFST81000050</t>
        </is>
      </c>
      <c r="M309" s="7" t="inlineStr">
        <is>
          <t>Electrical system in PD area</t>
        </is>
      </c>
      <c r="N309" s="7" t="inlineStr">
        <is>
          <t>Eletrical part</t>
        </is>
      </c>
      <c r="O309" s="11" t="n">
        <v>3</v>
      </c>
      <c r="P309" s="10" t="inlineStr">
        <is>
          <t>HACO" straight UPVC connector (white), size 25 mm</t>
        </is>
      </c>
      <c r="Q309" s="206" t="n">
        <v>50</v>
      </c>
      <c r="R309" s="5" t="inlineStr">
        <is>
          <t>PCS.</t>
        </is>
      </c>
      <c r="S309" s="284">
        <f>RawDataGenPO[[#This Row],[Total price]]/RawDataGenPO[[#This Row],[Qty'']]</f>
        <v/>
      </c>
      <c r="T309" s="306" t="n">
        <v>180</v>
      </c>
      <c r="U309" s="161" t="inlineStr">
        <is>
          <t>Puneet Approval</t>
        </is>
      </c>
      <c r="V309" s="7" t="inlineStr">
        <is>
          <t>V1000276 - SN. ELECTRIC AND SUPPLY CO., LTD.</t>
        </is>
      </c>
      <c r="W309" s="5" t="inlineStr">
        <is>
          <t>Recive bill and GRN already</t>
        </is>
      </c>
      <c r="X309" s="5" t="n"/>
      <c r="Y309" s="3" t="n">
        <v>45559</v>
      </c>
      <c r="Z309" s="3" t="n"/>
      <c r="AA309" s="17">
        <f>IF(RawDataGenPO[[#This Row],[Date Gen PO]]="","",RawDataGenPO[[#This Row],[Date recive bill]]-RawDataGenPO[[#This Row],[Date Gen PO]])</f>
        <v/>
      </c>
      <c r="AB309" s="16">
        <f>IF(RawDataGenPO[[#This Row],[GRN-PO date]]&gt;RawDataGenPO[[#This Row],[Lead time delivery (day)]],"over deliverry","Ontime")</f>
        <v/>
      </c>
      <c r="AC309" s="168" t="n"/>
    </row>
    <row r="310" ht="15" customFormat="1" customHeight="1" s="125">
      <c r="A310" s="5">
        <f>ROW()-ROW(RawDataGenPO[[#Headers],[No.]])</f>
        <v/>
      </c>
      <c r="B310" s="7" t="inlineStr">
        <is>
          <t>Expent  cost</t>
        </is>
      </c>
      <c r="C310" s="275" t="n">
        <v>45541</v>
      </c>
      <c r="D310" s="276" t="n"/>
      <c r="E310" s="276" t="n"/>
      <c r="F310" s="275" t="n">
        <v>45541</v>
      </c>
      <c r="G310" s="5" t="inlineStr">
        <is>
          <t>PR2425-03204</t>
        </is>
      </c>
      <c r="H310" s="5" t="inlineStr">
        <is>
          <t xml:space="preserve">PO2425-03494 </t>
        </is>
      </c>
      <c r="I310" s="290">
        <f>IF(RawDataGenPO[[#This Row],[PO No.]]="","",RawDataGenPO[[#This Row],[DMY Create PR]]+7)</f>
        <v/>
      </c>
      <c r="J310" s="290" t="n"/>
      <c r="K310" s="20" t="n">
        <v>15</v>
      </c>
      <c r="L310" s="5" t="inlineStr">
        <is>
          <t>SFST81000050</t>
        </is>
      </c>
      <c r="M310" s="7" t="inlineStr">
        <is>
          <t>Electrical system in PD area</t>
        </is>
      </c>
      <c r="N310" s="7" t="inlineStr">
        <is>
          <t>Eletrical part</t>
        </is>
      </c>
      <c r="O310" s="11" t="n">
        <v>4</v>
      </c>
      <c r="P310" s="10" t="inlineStr">
        <is>
          <t>HACO" corrugated flexible conduit (white), size 25 mm</t>
        </is>
      </c>
      <c r="Q310" s="206" t="n">
        <v>1</v>
      </c>
      <c r="R310" s="5" t="inlineStr">
        <is>
          <t>PCS.</t>
        </is>
      </c>
      <c r="S310" s="284">
        <f>RawDataGenPO[[#This Row],[Total price]]/RawDataGenPO[[#This Row],[Qty'']]</f>
        <v/>
      </c>
      <c r="T310" s="306" t="n">
        <v>660</v>
      </c>
      <c r="U310" s="161" t="inlineStr">
        <is>
          <t>Puneet Approval</t>
        </is>
      </c>
      <c r="V310" s="7" t="inlineStr">
        <is>
          <t>V1000276 - SN. ELECTRIC AND SUPPLY CO., LTD.</t>
        </is>
      </c>
      <c r="W310" s="5" t="inlineStr">
        <is>
          <t>Recive bill and GRN already</t>
        </is>
      </c>
      <c r="X310" s="5" t="n"/>
      <c r="Y310" s="3" t="n">
        <v>45559</v>
      </c>
      <c r="Z310" s="3" t="n"/>
      <c r="AA310" s="17">
        <f>IF(RawDataGenPO[[#This Row],[Date Gen PO]]="","",RawDataGenPO[[#This Row],[Date recive bill]]-RawDataGenPO[[#This Row],[Date Gen PO]])</f>
        <v/>
      </c>
      <c r="AB310" s="16">
        <f>IF(RawDataGenPO[[#This Row],[GRN-PO date]]&gt;RawDataGenPO[[#This Row],[Lead time delivery (day)]],"over deliverry","Ontime")</f>
        <v/>
      </c>
      <c r="AC310" s="168" t="n"/>
    </row>
    <row r="311" ht="15" customFormat="1" customHeight="1" s="125">
      <c r="A311" s="5">
        <f>ROW()-ROW(RawDataGenPO[[#Headers],[No.]])</f>
        <v/>
      </c>
      <c r="B311" s="7" t="inlineStr">
        <is>
          <t>Expent  cost</t>
        </is>
      </c>
      <c r="C311" s="275" t="n">
        <v>45541</v>
      </c>
      <c r="D311" s="276" t="n"/>
      <c r="E311" s="276" t="n"/>
      <c r="F311" s="275" t="n">
        <v>45541</v>
      </c>
      <c r="G311" s="5" t="inlineStr">
        <is>
          <t>PR2425-03204</t>
        </is>
      </c>
      <c r="H311" s="200" t="inlineStr">
        <is>
          <t xml:space="preserve">PO2425-03494 </t>
        </is>
      </c>
      <c r="I311" s="290">
        <f>IF(RawDataGenPO[[#This Row],[PO No.]]="","",RawDataGenPO[[#This Row],[DMY Create PR]]+7)</f>
        <v/>
      </c>
      <c r="J311" s="290" t="n"/>
      <c r="K311" s="20" t="n">
        <v>15</v>
      </c>
      <c r="L311" s="5" t="inlineStr">
        <is>
          <t>SFST81000050</t>
        </is>
      </c>
      <c r="M311" s="7" t="inlineStr">
        <is>
          <t>Electrical system in PD area</t>
        </is>
      </c>
      <c r="N311" s="7" t="inlineStr">
        <is>
          <t>Eletrical part</t>
        </is>
      </c>
      <c r="O311" s="11" t="n">
        <v>5</v>
      </c>
      <c r="P311" s="10" t="inlineStr">
        <is>
          <t>NANO" surface box size 4x4" (grey)</t>
        </is>
      </c>
      <c r="Q311" s="189" t="n">
        <v>10</v>
      </c>
      <c r="R311" s="5" t="inlineStr">
        <is>
          <t>PCS.</t>
        </is>
      </c>
      <c r="S311" s="284">
        <f>RawDataGenPO[[#This Row],[Total price]]/RawDataGenPO[[#This Row],[Qty'']]</f>
        <v/>
      </c>
      <c r="T311" s="303" t="n">
        <v>370</v>
      </c>
      <c r="U311" s="161" t="inlineStr">
        <is>
          <t>Puneet Approval</t>
        </is>
      </c>
      <c r="V311" s="7" t="inlineStr">
        <is>
          <t>V1000276 - SN. ELECTRIC AND SUPPLY CO., LTD.</t>
        </is>
      </c>
      <c r="W311" s="5" t="inlineStr">
        <is>
          <t>Recive bill and GRN already</t>
        </is>
      </c>
      <c r="X311" s="5" t="n"/>
      <c r="Y311" s="3" t="n">
        <v>45559</v>
      </c>
      <c r="Z311" s="3" t="n"/>
      <c r="AA311" s="17">
        <f>IF(RawDataGenPO[[#This Row],[Date Gen PO]]="","",RawDataGenPO[[#This Row],[Date recive bill]]-RawDataGenPO[[#This Row],[Date Gen PO]])</f>
        <v/>
      </c>
      <c r="AB311" s="16">
        <f>IF(RawDataGenPO[[#This Row],[GRN-PO date]]&gt;RawDataGenPO[[#This Row],[Lead time delivery (day)]],"over deliverry","Ontime")</f>
        <v/>
      </c>
      <c r="AC311" s="168" t="n"/>
    </row>
    <row r="312" ht="15" customFormat="1" customHeight="1" s="125">
      <c r="A312" s="5">
        <f>ROW()-ROW(RawDataGenPO[[#Headers],[No.]])</f>
        <v/>
      </c>
      <c r="B312" s="7" t="inlineStr">
        <is>
          <t>Expent  cost</t>
        </is>
      </c>
      <c r="C312" s="275" t="n">
        <v>45541</v>
      </c>
      <c r="D312" s="276" t="n"/>
      <c r="E312" s="276" t="n"/>
      <c r="F312" s="275" t="n">
        <v>45541</v>
      </c>
      <c r="G312" s="5" t="inlineStr">
        <is>
          <t>PR2425-03204</t>
        </is>
      </c>
      <c r="H312" s="200" t="inlineStr">
        <is>
          <t xml:space="preserve">PO2425-03494 </t>
        </is>
      </c>
      <c r="I312" s="290">
        <f>IF(RawDataGenPO[[#This Row],[PO No.]]="","",RawDataGenPO[[#This Row],[DMY Create PR]]+7)</f>
        <v/>
      </c>
      <c r="J312" s="290" t="n"/>
      <c r="K312" s="20" t="n">
        <v>15</v>
      </c>
      <c r="L312" s="5" t="inlineStr">
        <is>
          <t>SFST81000050</t>
        </is>
      </c>
      <c r="M312" s="7" t="inlineStr">
        <is>
          <t>Electrical system in PD area</t>
        </is>
      </c>
      <c r="N312" s="7" t="inlineStr">
        <is>
          <t>Eletrical part</t>
        </is>
      </c>
      <c r="O312" s="11" t="n">
        <v>6</v>
      </c>
      <c r="P312" s="10" t="inlineStr">
        <is>
          <t>NANO" surface box size 2x4" (grey)</t>
        </is>
      </c>
      <c r="Q312" s="189" t="n">
        <v>10</v>
      </c>
      <c r="R312" s="5" t="inlineStr">
        <is>
          <t>PCS.</t>
        </is>
      </c>
      <c r="S312" s="284">
        <f>RawDataGenPO[[#This Row],[Total price]]/RawDataGenPO[[#This Row],[Qty'']]</f>
        <v/>
      </c>
      <c r="T312" s="303" t="n">
        <v>200</v>
      </c>
      <c r="U312" s="161" t="inlineStr">
        <is>
          <t>Puneet Approval</t>
        </is>
      </c>
      <c r="V312" s="7" t="inlineStr">
        <is>
          <t>V1000276 - SN. ELECTRIC AND SUPPLY CO., LTD.</t>
        </is>
      </c>
      <c r="W312" s="5" t="inlineStr">
        <is>
          <t>Recive bill and GRN already</t>
        </is>
      </c>
      <c r="X312" s="5" t="n"/>
      <c r="Y312" s="3" t="n">
        <v>45559</v>
      </c>
      <c r="Z312" s="3" t="n"/>
      <c r="AA312" s="17">
        <f>IF(RawDataGenPO[[#This Row],[Date Gen PO]]="","",RawDataGenPO[[#This Row],[Date recive bill]]-RawDataGenPO[[#This Row],[Date Gen PO]])</f>
        <v/>
      </c>
      <c r="AB312" s="16">
        <f>IF(RawDataGenPO[[#This Row],[GRN-PO date]]&gt;RawDataGenPO[[#This Row],[Lead time delivery (day)]],"over deliverry","Ontime")</f>
        <v/>
      </c>
      <c r="AC312" s="168" t="n"/>
    </row>
    <row r="313" ht="15" customFormat="1" customHeight="1" s="125">
      <c r="A313" s="5">
        <f>ROW()-ROW(RawDataGenPO[[#Headers],[No.]])</f>
        <v/>
      </c>
      <c r="B313" s="7" t="inlineStr">
        <is>
          <t>Expent  cost</t>
        </is>
      </c>
      <c r="C313" s="275" t="n">
        <v>45541</v>
      </c>
      <c r="D313" s="276" t="n"/>
      <c r="E313" s="276" t="n"/>
      <c r="F313" s="275" t="n">
        <v>45541</v>
      </c>
      <c r="G313" s="5" t="inlineStr">
        <is>
          <t>PR2425-03204</t>
        </is>
      </c>
      <c r="H313" s="200" t="inlineStr">
        <is>
          <t xml:space="preserve">PO2425-03494 </t>
        </is>
      </c>
      <c r="I313" s="290">
        <f>IF(RawDataGenPO[[#This Row],[PO No.]]="","",RawDataGenPO[[#This Row],[DMY Create PR]]+7)</f>
        <v/>
      </c>
      <c r="J313" s="290" t="n"/>
      <c r="K313" s="20" t="n">
        <v>15</v>
      </c>
      <c r="L313" s="5" t="inlineStr">
        <is>
          <t>SFST81000050</t>
        </is>
      </c>
      <c r="M313" s="7" t="inlineStr">
        <is>
          <t>Electrical system in PD area</t>
        </is>
      </c>
      <c r="N313" s="7" t="inlineStr">
        <is>
          <t>Eletrical part</t>
        </is>
      </c>
      <c r="O313" s="11" t="n">
        <v>7</v>
      </c>
      <c r="P313" s="10" t="inlineStr">
        <is>
          <t>HACO" UPVC pipe (white), size 25 mm</t>
        </is>
      </c>
      <c r="Q313" s="189" t="n">
        <v>10</v>
      </c>
      <c r="R313" s="5" t="inlineStr">
        <is>
          <t>PCS.</t>
        </is>
      </c>
      <c r="S313" s="284">
        <f>RawDataGenPO[[#This Row],[Total price]]/RawDataGenPO[[#This Row],[Qty'']]</f>
        <v/>
      </c>
      <c r="T313" s="303" t="n">
        <v>600</v>
      </c>
      <c r="U313" s="161" t="inlineStr">
        <is>
          <t>Puneet Approval</t>
        </is>
      </c>
      <c r="V313" s="7" t="inlineStr">
        <is>
          <t>V1000276 - SN. ELECTRIC AND SUPPLY CO., LTD.</t>
        </is>
      </c>
      <c r="W313" s="5" t="inlineStr">
        <is>
          <t>Recive bill and GRN already</t>
        </is>
      </c>
      <c r="X313" s="5" t="n"/>
      <c r="Y313" s="3" t="n">
        <v>45559</v>
      </c>
      <c r="Z313" s="3" t="n"/>
      <c r="AA313" s="17">
        <f>IF(RawDataGenPO[[#This Row],[Date Gen PO]]="","",RawDataGenPO[[#This Row],[Date recive bill]]-RawDataGenPO[[#This Row],[Date Gen PO]])</f>
        <v/>
      </c>
      <c r="AB313" s="16">
        <f>IF(RawDataGenPO[[#This Row],[GRN-PO date]]&gt;RawDataGenPO[[#This Row],[Lead time delivery (day)]],"over deliverry","Ontime")</f>
        <v/>
      </c>
      <c r="AC313" s="168" t="n"/>
    </row>
    <row r="314" ht="15" customFormat="1" customHeight="1" s="125">
      <c r="A314" s="5">
        <f>ROW()-ROW(RawDataGenPO[[#Headers],[No.]])</f>
        <v/>
      </c>
      <c r="B314" s="7" t="inlineStr">
        <is>
          <t>Expent  cost</t>
        </is>
      </c>
      <c r="C314" s="275" t="n">
        <v>45541</v>
      </c>
      <c r="D314" s="276" t="n"/>
      <c r="E314" s="276" t="n"/>
      <c r="F314" s="275" t="n">
        <v>45541</v>
      </c>
      <c r="G314" s="5" t="inlineStr">
        <is>
          <t>PR2425-03204</t>
        </is>
      </c>
      <c r="H314" s="200" t="inlineStr">
        <is>
          <t xml:space="preserve">PO2425-03494 </t>
        </is>
      </c>
      <c r="I314" s="290">
        <f>IF(RawDataGenPO[[#This Row],[PO No.]]="","",RawDataGenPO[[#This Row],[DMY Create PR]]+7)</f>
        <v/>
      </c>
      <c r="J314" s="290" t="n"/>
      <c r="K314" s="20" t="n">
        <v>15</v>
      </c>
      <c r="L314" s="5" t="inlineStr">
        <is>
          <t>SFST81000050</t>
        </is>
      </c>
      <c r="M314" s="7" t="inlineStr">
        <is>
          <t>Electrical system in PD area</t>
        </is>
      </c>
      <c r="N314" s="7" t="inlineStr">
        <is>
          <t>Eletrical part</t>
        </is>
      </c>
      <c r="O314" s="11" t="n">
        <v>8</v>
      </c>
      <c r="P314" s="191" t="inlineStr">
        <is>
          <t>YAZAKI" THW electrical wire 1x2.5 SQ.mm (white)</t>
        </is>
      </c>
      <c r="Q314" s="189" t="n">
        <v>1</v>
      </c>
      <c r="R314" s="5" t="inlineStr">
        <is>
          <t>PCS.</t>
        </is>
      </c>
      <c r="S314" s="284">
        <f>RawDataGenPO[[#This Row],[Total price]]/RawDataGenPO[[#This Row],[Qty'']]</f>
        <v/>
      </c>
      <c r="T314" s="303" t="n">
        <v>1070</v>
      </c>
      <c r="U314" s="161" t="inlineStr">
        <is>
          <t>Puneet Approval</t>
        </is>
      </c>
      <c r="V314" s="7" t="inlineStr">
        <is>
          <t>V1000276 - SN. ELECTRIC AND SUPPLY CO., LTD.</t>
        </is>
      </c>
      <c r="W314" s="5" t="inlineStr">
        <is>
          <t>Recive bill and GRN already</t>
        </is>
      </c>
      <c r="X314" s="5" t="n"/>
      <c r="Y314" s="3" t="n">
        <v>45559</v>
      </c>
      <c r="Z314" s="3" t="n"/>
      <c r="AA314" s="17">
        <f>IF(RawDataGenPO[[#This Row],[Date Gen PO]]="","",RawDataGenPO[[#This Row],[Date recive bill]]-RawDataGenPO[[#This Row],[Date Gen PO]])</f>
        <v/>
      </c>
      <c r="AB314" s="16">
        <f>IF(RawDataGenPO[[#This Row],[GRN-PO date]]&gt;RawDataGenPO[[#This Row],[Lead time delivery (day)]],"over deliverry","Ontime")</f>
        <v/>
      </c>
      <c r="AC314" s="168" t="n"/>
    </row>
    <row r="315" ht="15" customFormat="1" customHeight="1" s="125">
      <c r="A315" s="5">
        <f>ROW()-ROW(RawDataGenPO[[#Headers],[No.]])</f>
        <v/>
      </c>
      <c r="B315" s="7" t="inlineStr">
        <is>
          <t>Expent  cost</t>
        </is>
      </c>
      <c r="C315" s="275" t="n">
        <v>45541</v>
      </c>
      <c r="D315" s="276" t="n"/>
      <c r="E315" s="276" t="n"/>
      <c r="F315" s="275" t="n">
        <v>45541</v>
      </c>
      <c r="G315" s="5" t="inlineStr">
        <is>
          <t>PR2425-03204</t>
        </is>
      </c>
      <c r="H315" s="200" t="inlineStr">
        <is>
          <t xml:space="preserve">PO2425-03494 </t>
        </is>
      </c>
      <c r="I315" s="290">
        <f>IF(RawDataGenPO[[#This Row],[PO No.]]="","",RawDataGenPO[[#This Row],[DMY Create PR]]+7)</f>
        <v/>
      </c>
      <c r="J315" s="290" t="n"/>
      <c r="K315" s="20" t="n">
        <v>15</v>
      </c>
      <c r="L315" s="5" t="inlineStr">
        <is>
          <t>SFST81000050</t>
        </is>
      </c>
      <c r="M315" s="7" t="inlineStr">
        <is>
          <t>Electrical system in PD area</t>
        </is>
      </c>
      <c r="N315" s="7" t="inlineStr">
        <is>
          <t>Eletrical part</t>
        </is>
      </c>
      <c r="O315" s="11" t="n">
        <v>9</v>
      </c>
      <c r="P315" s="191" t="inlineStr">
        <is>
          <t>HACO" saddle clamp for UPVC pipe (white), size 25 mm</t>
        </is>
      </c>
      <c r="Q315" s="189" t="n">
        <v>100</v>
      </c>
      <c r="R315" s="5" t="inlineStr">
        <is>
          <t>PCS.</t>
        </is>
      </c>
      <c r="S315" s="284">
        <f>RawDataGenPO[[#This Row],[Total price]]/RawDataGenPO[[#This Row],[Qty'']]</f>
        <v/>
      </c>
      <c r="T315" s="303" t="n">
        <v>320</v>
      </c>
      <c r="U315" s="161" t="inlineStr">
        <is>
          <t>Puneet Approval</t>
        </is>
      </c>
      <c r="V315" s="7" t="inlineStr">
        <is>
          <t>V1000276 - SN. ELECTRIC AND SUPPLY CO., LTD.</t>
        </is>
      </c>
      <c r="W315" s="5" t="inlineStr">
        <is>
          <t>Recive bill and GRN already</t>
        </is>
      </c>
      <c r="X315" s="5" t="n"/>
      <c r="Y315" s="3" t="n">
        <v>45559</v>
      </c>
      <c r="Z315" s="3" t="n"/>
      <c r="AA315" s="17">
        <f>IF(RawDataGenPO[[#This Row],[Date Gen PO]]="","",RawDataGenPO[[#This Row],[Date recive bill]]-RawDataGenPO[[#This Row],[Date Gen PO]])</f>
        <v/>
      </c>
      <c r="AB315" s="16">
        <f>IF(RawDataGenPO[[#This Row],[GRN-PO date]]&gt;RawDataGenPO[[#This Row],[Lead time delivery (day)]],"over deliverry","Ontime")</f>
        <v/>
      </c>
      <c r="AC315" s="168" t="n"/>
    </row>
    <row r="316" ht="30" customFormat="1" customHeight="1" s="125">
      <c r="A316" s="5">
        <f>ROW()-ROW(RawDataGenPO[[#Headers],[No.]])</f>
        <v/>
      </c>
      <c r="B316" s="7" t="inlineStr">
        <is>
          <t>Expent  cost</t>
        </is>
      </c>
      <c r="C316" s="275" t="n">
        <v>45541</v>
      </c>
      <c r="D316" s="276" t="n"/>
      <c r="E316" s="276" t="n"/>
      <c r="F316" s="275" t="n">
        <v>45541</v>
      </c>
      <c r="G316" s="5" t="inlineStr">
        <is>
          <t>PR2425-03199</t>
        </is>
      </c>
      <c r="H316" s="200" t="inlineStr">
        <is>
          <t>PO2425-03495</t>
        </is>
      </c>
      <c r="I316" s="290">
        <f>IF(RawDataGenPO[[#This Row],[PO No.]]="","",RawDataGenPO[[#This Row],[DMY Create PR]]+7)</f>
        <v/>
      </c>
      <c r="J316" s="290" t="n"/>
      <c r="K316" s="20" t="n">
        <v>15</v>
      </c>
      <c r="L316" s="5" t="inlineStr">
        <is>
          <t>SFST81000050</t>
        </is>
      </c>
      <c r="M316" s="7" t="inlineStr">
        <is>
          <t>Electrical system in PD area</t>
        </is>
      </c>
      <c r="N316" s="7" t="inlineStr">
        <is>
          <t>Eletrical part</t>
        </is>
      </c>
      <c r="O316" s="11" t="n">
        <v>1</v>
      </c>
      <c r="P316" s="191" t="inlineStr">
        <is>
          <t>LED siren light (SUNMOON)
- model NB-1101A-J, size 4 inch (red)</t>
        </is>
      </c>
      <c r="Q316" s="277" t="n">
        <v>5</v>
      </c>
      <c r="R316" s="5" t="inlineStr">
        <is>
          <t>Pcs.</t>
        </is>
      </c>
      <c r="S316" s="284">
        <f>RawDataGenPO[[#This Row],[Total price]]/RawDataGenPO[[#This Row],[Qty'']]</f>
        <v/>
      </c>
      <c r="T316" s="285" t="n">
        <v>1750</v>
      </c>
      <c r="U316" s="161" t="inlineStr">
        <is>
          <t>Puneet Approval</t>
        </is>
      </c>
      <c r="V316" s="7" t="inlineStr">
        <is>
          <t>V1000276 - SN. ELECTRIC AND SUPPLY CO., LTD.</t>
        </is>
      </c>
      <c r="W316" s="5" t="inlineStr">
        <is>
          <t>Recive bill and GRN already</t>
        </is>
      </c>
      <c r="X316" s="5" t="n"/>
      <c r="Y316" s="3" t="n">
        <v>45559</v>
      </c>
      <c r="Z316" s="3" t="n"/>
      <c r="AA316" s="17">
        <f>IF(RawDataGenPO[[#This Row],[Date Gen PO]]="","",RawDataGenPO[[#This Row],[Date recive bill]]-RawDataGenPO[[#This Row],[Date Gen PO]])</f>
        <v/>
      </c>
      <c r="AB316" s="16">
        <f>IF(RawDataGenPO[[#This Row],[GRN-PO date]]&gt;RawDataGenPO[[#This Row],[Lead time delivery (day)]],"over deliverry","Ontime")</f>
        <v/>
      </c>
      <c r="AC316" s="168" t="n"/>
    </row>
    <row r="317" ht="30" customFormat="1" customHeight="1" s="125">
      <c r="A317" s="5">
        <f>ROW()-ROW(RawDataGenPO[[#Headers],[No.]])</f>
        <v/>
      </c>
      <c r="B317" s="7" t="inlineStr">
        <is>
          <t>Expent  cost</t>
        </is>
      </c>
      <c r="C317" s="275" t="n">
        <v>45541</v>
      </c>
      <c r="D317" s="321" t="n"/>
      <c r="E317" s="321" t="n"/>
      <c r="F317" s="275" t="n">
        <v>45541</v>
      </c>
      <c r="G317" s="5" t="inlineStr">
        <is>
          <t>PR2425-03199</t>
        </is>
      </c>
      <c r="H317" s="200" t="inlineStr">
        <is>
          <t>PO2425-03495</t>
        </is>
      </c>
      <c r="I317" s="290">
        <f>IF(RawDataGenPO[[#This Row],[PO No.]]="","",RawDataGenPO[[#This Row],[DMY Create PR]]+7)</f>
        <v/>
      </c>
      <c r="J317" s="290" t="n"/>
      <c r="K317" s="20" t="n">
        <v>15</v>
      </c>
      <c r="L317" s="5" t="inlineStr">
        <is>
          <t>SFST81000050</t>
        </is>
      </c>
      <c r="M317" s="7" t="inlineStr">
        <is>
          <t>Electrical system in PD area</t>
        </is>
      </c>
      <c r="N317" s="7" t="inlineStr">
        <is>
          <t>Eletrical part</t>
        </is>
      </c>
      <c r="O317" s="11" t="n">
        <v>2</v>
      </c>
      <c r="P317" s="191" t="inlineStr">
        <is>
          <t>Flexible corrugated conduit white "CLIPSAL" (UPVC)
- size 20 mm (50 m/roll)</t>
        </is>
      </c>
      <c r="Q317" s="277" t="n">
        <v>1</v>
      </c>
      <c r="R317" s="5" t="inlineStr">
        <is>
          <t>Pcs.</t>
        </is>
      </c>
      <c r="S317" s="284">
        <f>RawDataGenPO[[#This Row],[Total price]]/RawDataGenPO[[#This Row],[Qty'']]</f>
        <v/>
      </c>
      <c r="T317" s="285" t="n">
        <v>645</v>
      </c>
      <c r="U317" s="161" t="inlineStr">
        <is>
          <t>Puneet Approval</t>
        </is>
      </c>
      <c r="V317" s="7" t="inlineStr">
        <is>
          <t>V1000276 - SN. ELECTRIC AND SUPPLY CO., LTD.</t>
        </is>
      </c>
      <c r="W317" s="5" t="inlineStr">
        <is>
          <t>Recive bill and GRN already</t>
        </is>
      </c>
      <c r="X317" s="5" t="n"/>
      <c r="Y317" s="3" t="n">
        <v>45559</v>
      </c>
      <c r="Z317" s="3" t="n"/>
      <c r="AA317" s="17">
        <f>IF(RawDataGenPO[[#This Row],[Date Gen PO]]="","",RawDataGenPO[[#This Row],[Date recive bill]]-RawDataGenPO[[#This Row],[Date Gen PO]])</f>
        <v/>
      </c>
      <c r="AB317" s="16">
        <f>IF(RawDataGenPO[[#This Row],[GRN-PO date]]&gt;RawDataGenPO[[#This Row],[Lead time delivery (day)]],"over deliverry","Ontime")</f>
        <v/>
      </c>
      <c r="AC317" s="168" t="n"/>
    </row>
    <row r="318" ht="30" customFormat="1" customHeight="1" s="125">
      <c r="A318" s="5">
        <f>ROW()-ROW(RawDataGenPO[[#Headers],[No.]])</f>
        <v/>
      </c>
      <c r="B318" s="7" t="inlineStr">
        <is>
          <t>Expent  cost</t>
        </is>
      </c>
      <c r="C318" s="275" t="n">
        <v>45541</v>
      </c>
      <c r="D318" s="321" t="n"/>
      <c r="E318" s="321" t="n"/>
      <c r="F318" s="275" t="n">
        <v>45541</v>
      </c>
      <c r="G318" s="5" t="inlineStr">
        <is>
          <t>PR2425-03182</t>
        </is>
      </c>
      <c r="H318" s="200" t="inlineStr">
        <is>
          <t>PO2425-03496</t>
        </is>
      </c>
      <c r="I318" s="290">
        <f>IF(RawDataGenPO[[#This Row],[PO No.]]="","",RawDataGenPO[[#This Row],[DMY Create PR]]+7)</f>
        <v/>
      </c>
      <c r="J318" s="290" t="n"/>
      <c r="K318" s="20">
        <f>IF(RawDataGenPO[[#This Row],[PO No.]]="","",10)</f>
        <v/>
      </c>
      <c r="L318" s="5" t="inlineStr">
        <is>
          <t>SFST81000050</t>
        </is>
      </c>
      <c r="M318" s="7" t="inlineStr">
        <is>
          <t>Electrical system in PD area</t>
        </is>
      </c>
      <c r="N318" s="7" t="inlineStr">
        <is>
          <t>Eletrical part</t>
        </is>
      </c>
      <c r="O318" s="11" t="n">
        <v>1</v>
      </c>
      <c r="P318" s="191" t="inlineStr">
        <is>
          <t>MITSUBISHI", TYPE SP-QR,1/2HP(0.4Kw), Frame 80M 220V,4P, Split phase start single induction motor</t>
        </is>
      </c>
      <c r="Q318" s="277" t="n">
        <v>2</v>
      </c>
      <c r="R318" s="204" t="inlineStr">
        <is>
          <t>PCS.</t>
        </is>
      </c>
      <c r="S318" s="320">
        <f>RawDataGenPO[[#This Row],[Total price]]/RawDataGenPO[[#This Row],[Qty'']]</f>
        <v/>
      </c>
      <c r="T318" s="285" t="n">
        <v>6400</v>
      </c>
      <c r="U318" s="161" t="inlineStr">
        <is>
          <t>Puneet Approval</t>
        </is>
      </c>
      <c r="V318" s="7" t="inlineStr">
        <is>
          <t>V1000481 - JW Tech Co., Ltd.</t>
        </is>
      </c>
      <c r="W318" s="5" t="inlineStr">
        <is>
          <t>Recive bill and GRN already</t>
        </is>
      </c>
      <c r="X318" s="5" t="n"/>
      <c r="Y318" s="3" t="n">
        <v>45554</v>
      </c>
      <c r="Z318" s="3" t="n"/>
      <c r="AA318" s="17">
        <f>IF(RawDataGenPO[[#This Row],[Date Gen PO]]="","",RawDataGenPO[[#This Row],[Date recive bill]]-RawDataGenPO[[#This Row],[Date Gen PO]])</f>
        <v/>
      </c>
      <c r="AB318" s="16">
        <f>IF(RawDataGenPO[[#This Row],[GRN-PO date]]&gt;RawDataGenPO[[#This Row],[Lead time delivery (day)]],"over deliverry","Ontime")</f>
        <v/>
      </c>
      <c r="AC318" s="168" t="n"/>
    </row>
    <row r="319" ht="15" customFormat="1" customHeight="1" s="125">
      <c r="A319" s="5">
        <f>ROW()-ROW(RawDataGenPO[[#Headers],[No.]])</f>
        <v/>
      </c>
      <c r="B319" s="7" t="inlineStr">
        <is>
          <t>Expent  cost</t>
        </is>
      </c>
      <c r="C319" s="275" t="n">
        <v>45541</v>
      </c>
      <c r="D319" s="321" t="n"/>
      <c r="E319" s="321" t="n"/>
      <c r="F319" s="275" t="n">
        <v>45541</v>
      </c>
      <c r="G319" s="5" t="inlineStr">
        <is>
          <t>PR2425-03202</t>
        </is>
      </c>
      <c r="H319" s="200" t="inlineStr">
        <is>
          <t xml:space="preserve">PO2425-03497 </t>
        </is>
      </c>
      <c r="I319" s="290">
        <f>IF(RawDataGenPO[[#This Row],[PO No.]]="","",RawDataGenPO[[#This Row],[DMY Create PR]]+7)</f>
        <v/>
      </c>
      <c r="J319" s="290" t="n"/>
      <c r="K319" s="20">
        <f>IF(RawDataGenPO[[#This Row],[PO No.]]="","",10)</f>
        <v/>
      </c>
      <c r="L319" s="5" t="inlineStr">
        <is>
          <t>SFST34000159</t>
        </is>
      </c>
      <c r="M319" s="7" t="inlineStr">
        <is>
          <t>Consumable part for MN</t>
        </is>
      </c>
      <c r="N319" s="7" t="inlineStr">
        <is>
          <t>Consumable part</t>
        </is>
      </c>
      <c r="O319" s="11" t="n">
        <v>1</v>
      </c>
      <c r="P319" s="191" t="inlineStr">
        <is>
          <t>Multipurpose liquid 500 ml, SONAX</t>
        </is>
      </c>
      <c r="Q319" s="277" t="n">
        <v>12</v>
      </c>
      <c r="R319" s="5" t="inlineStr">
        <is>
          <t>PCS.</t>
        </is>
      </c>
      <c r="S319" s="284">
        <f>RawDataGenPO[[#This Row],[Total price]]/RawDataGenPO[[#This Row],[Qty'']]</f>
        <v/>
      </c>
      <c r="T319" s="285" t="n">
        <v>1560</v>
      </c>
      <c r="U319" s="161" t="inlineStr">
        <is>
          <t>Puneet Approval</t>
        </is>
      </c>
      <c r="V319" s="7" t="inlineStr">
        <is>
          <t>V1000306 - Inter Supply (1992) Co., Ltd.</t>
        </is>
      </c>
      <c r="W319" s="5" t="inlineStr">
        <is>
          <t>Recive bill and GRN already</t>
        </is>
      </c>
      <c r="X319" s="5" t="n"/>
      <c r="Y319" s="3" t="n">
        <v>45558</v>
      </c>
      <c r="Z319" s="3" t="n"/>
      <c r="AA319" s="17">
        <f>IF(RawDataGenPO[[#This Row],[Date Gen PO]]="","",RawDataGenPO[[#This Row],[Date recive bill]]-RawDataGenPO[[#This Row],[Date Gen PO]])</f>
        <v/>
      </c>
      <c r="AB319" s="16">
        <f>IF(RawDataGenPO[[#This Row],[GRN-PO date]]&gt;RawDataGenPO[[#This Row],[Lead time delivery (day)]],"over deliverry","Ontime")</f>
        <v/>
      </c>
      <c r="AC319" s="168" t="n"/>
    </row>
    <row r="320" ht="15" customFormat="1" customHeight="1" s="125">
      <c r="A320" s="5">
        <f>ROW()-ROW(RawDataGenPO[[#Headers],[No.]])</f>
        <v/>
      </c>
      <c r="B320" s="7" t="inlineStr">
        <is>
          <t>Expent  cost</t>
        </is>
      </c>
      <c r="C320" s="275" t="n">
        <v>45541</v>
      </c>
      <c r="D320" s="321" t="n"/>
      <c r="E320" s="321" t="n"/>
      <c r="F320" s="275" t="n">
        <v>45541</v>
      </c>
      <c r="G320" s="5" t="inlineStr">
        <is>
          <t>PR2425-03203</t>
        </is>
      </c>
      <c r="H320" s="200" t="inlineStr">
        <is>
          <t>PO2425-03498</t>
        </is>
      </c>
      <c r="I320" s="290">
        <f>IF(RawDataGenPO[[#This Row],[PO No.]]="","",RawDataGenPO[[#This Row],[DMY Create PR]]+7)</f>
        <v/>
      </c>
      <c r="J320" s="290" t="n"/>
      <c r="K320" s="20">
        <f>IF(RawDataGenPO[[#This Row],[PO No.]]="","",10)</f>
        <v/>
      </c>
      <c r="L320" s="5" t="inlineStr">
        <is>
          <t>SFST34000063</t>
        </is>
      </c>
      <c r="M320" s="7" t="inlineStr">
        <is>
          <t>Consumable part for MN</t>
        </is>
      </c>
      <c r="N320" s="7" t="inlineStr">
        <is>
          <t>Consumable part</t>
        </is>
      </c>
      <c r="O320" s="11" t="n">
        <v>1</v>
      </c>
      <c r="P320" s="191" t="inlineStr">
        <is>
          <t>"Ruamthong", RT465-3/4HP,380V ,50Hz, 3PH , Motor fan</t>
        </is>
      </c>
      <c r="Q320" s="277" t="n">
        <v>5</v>
      </c>
      <c r="R320" s="5" t="inlineStr">
        <is>
          <t>PCS.</t>
        </is>
      </c>
      <c r="S320" s="284">
        <f>RawDataGenPO[[#This Row],[Total price]]/RawDataGenPO[[#This Row],[Qty'']]</f>
        <v/>
      </c>
      <c r="T320" s="285" t="n">
        <v>19408.9</v>
      </c>
      <c r="U320" s="161" t="inlineStr">
        <is>
          <t>Puneet Approval</t>
        </is>
      </c>
      <c r="V320" s="7" t="inlineStr">
        <is>
          <t>V1000308 - PLUG'N GO (THAILAND) CO., LTD.</t>
        </is>
      </c>
      <c r="W320" s="5" t="inlineStr">
        <is>
          <t>Recive bill and GRN already</t>
        </is>
      </c>
      <c r="X320" s="5" t="n"/>
      <c r="Y320" s="3" t="n">
        <v>45554</v>
      </c>
      <c r="Z320" s="3" t="n"/>
      <c r="AA320" s="17">
        <f>IF(RawDataGenPO[[#This Row],[Date Gen PO]]="","",RawDataGenPO[[#This Row],[Date recive bill]]-RawDataGenPO[[#This Row],[Date Gen PO]])</f>
        <v/>
      </c>
      <c r="AB320" s="16">
        <f>IF(RawDataGenPO[[#This Row],[GRN-PO date]]&gt;RawDataGenPO[[#This Row],[Lead time delivery (day)]],"over deliverry","Ontime")</f>
        <v/>
      </c>
      <c r="AC320" s="168" t="n"/>
    </row>
    <row r="321" ht="15" customFormat="1" customHeight="1" s="125">
      <c r="A321" s="5">
        <f>ROW()-ROW(RawDataGenPO[[#Headers],[No.]])</f>
        <v/>
      </c>
      <c r="B321" s="7" t="inlineStr">
        <is>
          <t>Expent  cost</t>
        </is>
      </c>
      <c r="C321" s="275" t="n">
        <v>45541</v>
      </c>
      <c r="D321" s="321" t="n"/>
      <c r="E321" s="321" t="n"/>
      <c r="F321" s="275" t="n">
        <v>45541</v>
      </c>
      <c r="G321" s="5" t="inlineStr">
        <is>
          <t>PR2425-03203</t>
        </is>
      </c>
      <c r="H321" s="200" t="inlineStr">
        <is>
          <t>PO2425-03498</t>
        </is>
      </c>
      <c r="I321" s="290">
        <f>IF(RawDataGenPO[[#This Row],[PO No.]]="","",RawDataGenPO[[#This Row],[DMY Create PR]]+7)</f>
        <v/>
      </c>
      <c r="J321" s="290" t="n"/>
      <c r="K321" s="20">
        <f>IF(RawDataGenPO[[#This Row],[PO No.]]="","",10)</f>
        <v/>
      </c>
      <c r="L321" s="5" t="inlineStr">
        <is>
          <t>SFST34000064</t>
        </is>
      </c>
      <c r="M321" s="7" t="inlineStr">
        <is>
          <t>Consumable part for MN</t>
        </is>
      </c>
      <c r="N321" s="7" t="inlineStr">
        <is>
          <t>Consumable part</t>
        </is>
      </c>
      <c r="O321" s="11" t="n">
        <v>2</v>
      </c>
      <c r="P321" s="191" t="inlineStr">
        <is>
          <t>"Ruamthong", RT490-61-24, 380V, 3PH , 1HP, Motor fan</t>
        </is>
      </c>
      <c r="Q321" s="277" t="n">
        <v>2</v>
      </c>
      <c r="R321" s="5" t="inlineStr">
        <is>
          <t>PCS.</t>
        </is>
      </c>
      <c r="S321" s="284">
        <f>RawDataGenPO[[#This Row],[Total price]]/RawDataGenPO[[#This Row],[Qty'']]</f>
        <v/>
      </c>
      <c r="T321" s="285" t="n">
        <v>9071.959999999999</v>
      </c>
      <c r="U321" s="161" t="inlineStr">
        <is>
          <t>Puneet Approval</t>
        </is>
      </c>
      <c r="V321" s="7" t="inlineStr">
        <is>
          <t>V1000308 - PLUG'N GO (THAILAND) CO., LTD.</t>
        </is>
      </c>
      <c r="W321" s="5" t="inlineStr">
        <is>
          <t>Recive bill and GRN already</t>
        </is>
      </c>
      <c r="X321" s="5" t="n"/>
      <c r="Y321" s="3" t="n">
        <v>45554</v>
      </c>
      <c r="Z321" s="3" t="n"/>
      <c r="AA321" s="17">
        <f>IF(RawDataGenPO[[#This Row],[Date Gen PO]]="","",RawDataGenPO[[#This Row],[Date recive bill]]-RawDataGenPO[[#This Row],[Date Gen PO]])</f>
        <v/>
      </c>
      <c r="AB321" s="16">
        <f>IF(RawDataGenPO[[#This Row],[GRN-PO date]]&gt;RawDataGenPO[[#This Row],[Lead time delivery (day)]],"over deliverry","Ontime")</f>
        <v/>
      </c>
      <c r="AC321" s="168" t="n"/>
    </row>
    <row r="322" ht="30" customFormat="1" customHeight="1" s="125">
      <c r="A322" s="5">
        <f>ROW()-ROW(RawDataGenPO[[#Headers],[No.]])</f>
        <v/>
      </c>
      <c r="B322" s="7" t="inlineStr">
        <is>
          <t>CAPEX  (Unbudget)</t>
        </is>
      </c>
      <c r="C322" s="275" t="n">
        <v>45547</v>
      </c>
      <c r="D322" s="321" t="n"/>
      <c r="E322" s="321" t="n"/>
      <c r="F322" s="275" t="n">
        <v>45547</v>
      </c>
      <c r="G322" s="5" t="inlineStr">
        <is>
          <t>PR2425-03281</t>
        </is>
      </c>
      <c r="H322" s="200" t="inlineStr">
        <is>
          <t>PO2425-03508</t>
        </is>
      </c>
      <c r="I322" s="290">
        <f>IF(RawDataGenPO[[#This Row],[PO No.]]="","",RawDataGenPO[[#This Row],[DMY Create PR]]+7)</f>
        <v/>
      </c>
      <c r="J322" s="290" t="n"/>
      <c r="K322" s="20" t="n">
        <v>15</v>
      </c>
      <c r="L322" s="5" t="inlineStr">
        <is>
          <t>SFST82000007</t>
        </is>
      </c>
      <c r="M322" s="7" t="inlineStr">
        <is>
          <t>PD Machine</t>
        </is>
      </c>
      <c r="N322" s="7" t="inlineStr">
        <is>
          <t>Condencer Unit No.33 (Ice Maker)</t>
        </is>
      </c>
      <c r="O322" s="11" t="n">
        <v>1</v>
      </c>
      <c r="P322" s="191" t="inlineStr">
        <is>
          <t>BITZER" Semi 4HE-18Y;w/ CH+EO+CMRC02</t>
        </is>
      </c>
      <c r="Q322" s="277" t="n">
        <v>1</v>
      </c>
      <c r="R322" s="5" t="inlineStr">
        <is>
          <t>PCS.</t>
        </is>
      </c>
      <c r="S322" s="284">
        <f>RawDataGenPO[[#This Row],[Total price]]/RawDataGenPO[[#This Row],[Qty'']]</f>
        <v/>
      </c>
      <c r="T322" s="285" t="n">
        <v>130000</v>
      </c>
      <c r="U322" s="161" t="inlineStr">
        <is>
          <t>Puneet Approval</t>
        </is>
      </c>
      <c r="V322" s="33" t="inlineStr">
        <is>
          <t>V1000652 - HARN ENGINEERING SOLUTIONS PUBLIC COMPANY LIMITED</t>
        </is>
      </c>
      <c r="W322" s="5" t="inlineStr">
        <is>
          <t>Recive bill and GRN already</t>
        </is>
      </c>
      <c r="X322" s="5" t="n"/>
      <c r="Y322" s="3" t="n">
        <v>45567</v>
      </c>
      <c r="Z322" s="3" t="n"/>
      <c r="AA322" s="17">
        <f>IF(RawDataGenPO[[#This Row],[Date Gen PO]]="","",RawDataGenPO[[#This Row],[Date recive bill]]-RawDataGenPO[[#This Row],[Date Gen PO]])</f>
        <v/>
      </c>
      <c r="AB322" s="16">
        <f>IF(RawDataGenPO[[#This Row],[GRN-PO date]]&gt;RawDataGenPO[[#This Row],[Lead time delivery (day)]],"over deliverry","Ontime")</f>
        <v/>
      </c>
      <c r="AC322" s="168" t="n"/>
    </row>
    <row r="323" ht="15" customFormat="1" customHeight="1" s="125">
      <c r="A323" s="5">
        <f>ROW()-ROW(RawDataGenPO[[#Headers],[No.]])</f>
        <v/>
      </c>
      <c r="B323" s="7" t="inlineStr">
        <is>
          <t>Expent  cost</t>
        </is>
      </c>
      <c r="C323" s="275" t="n">
        <v>45545</v>
      </c>
      <c r="D323" s="321" t="n"/>
      <c r="E323" s="321" t="n"/>
      <c r="F323" s="275" t="n">
        <v>45545</v>
      </c>
      <c r="G323" s="5" t="inlineStr">
        <is>
          <t>PR2425-03268</t>
        </is>
      </c>
      <c r="H323" s="200" t="inlineStr">
        <is>
          <t>PO2425-03509</t>
        </is>
      </c>
      <c r="I323" s="290">
        <f>IF(RawDataGenPO[[#This Row],[PO No.]]="","",RawDataGenPO[[#This Row],[DMY Create PR]]+7)</f>
        <v/>
      </c>
      <c r="J323" s="290" t="n"/>
      <c r="K323" s="20" t="n">
        <v>30</v>
      </c>
      <c r="L323" s="5" t="inlineStr">
        <is>
          <t>SFST81000048</t>
        </is>
      </c>
      <c r="M323" s="7" t="inlineStr">
        <is>
          <t>PD Machine</t>
        </is>
      </c>
      <c r="N323" s="7" t="inlineStr">
        <is>
          <t>X-Ray machine No.1</t>
        </is>
      </c>
      <c r="O323" s="11" t="n">
        <v>1</v>
      </c>
      <c r="P323" s="191" t="inlineStr">
        <is>
          <t>Flat Belt: Seamless: 430:1678</t>
        </is>
      </c>
      <c r="Q323" s="277" t="n">
        <v>1</v>
      </c>
      <c r="R323" s="5" t="inlineStr">
        <is>
          <t>JOB</t>
        </is>
      </c>
      <c r="S323" s="284">
        <f>RawDataGenPO[[#This Row],[Total price]]/RawDataGenPO[[#This Row],[Qty'']]</f>
        <v/>
      </c>
      <c r="T323" s="285" t="n">
        <v>50220</v>
      </c>
      <c r="U323" s="161" t="inlineStr">
        <is>
          <t>Puneet Approval</t>
        </is>
      </c>
      <c r="V323" s="7" t="inlineStr">
        <is>
          <t>V1000097 - ISHIDA (THAILAND) CO.,LTD.</t>
        </is>
      </c>
      <c r="W323" s="5" t="inlineStr">
        <is>
          <t>Recive bill and GRN already</t>
        </is>
      </c>
      <c r="X323" s="5" t="n"/>
      <c r="Y323" s="3" t="n">
        <v>45582</v>
      </c>
      <c r="Z323" s="3" t="n"/>
      <c r="AA323" s="17">
        <f>IF(RawDataGenPO[[#This Row],[Date Gen PO]]="","",RawDataGenPO[[#This Row],[Date recive bill]]-RawDataGenPO[[#This Row],[Date Gen PO]])</f>
        <v/>
      </c>
      <c r="AB323" s="16">
        <f>IF(RawDataGenPO[[#This Row],[GRN-PO date]]&gt;RawDataGenPO[[#This Row],[Lead time delivery (day)]],"over deliverry","Ontime")</f>
        <v/>
      </c>
      <c r="AC323" s="168" t="n"/>
    </row>
    <row r="324" ht="15" customFormat="1" customHeight="1" s="125">
      <c r="A324" s="5">
        <f>ROW()-ROW(RawDataGenPO[[#Headers],[No.]])</f>
        <v/>
      </c>
      <c r="B324" s="7" t="inlineStr">
        <is>
          <t>Expent  cost</t>
        </is>
      </c>
      <c r="C324" s="275" t="n">
        <v>45545</v>
      </c>
      <c r="D324" s="321" t="n"/>
      <c r="E324" s="321" t="n"/>
      <c r="F324" s="275" t="n">
        <v>45545</v>
      </c>
      <c r="G324" s="5" t="inlineStr">
        <is>
          <t>PR2425-03268</t>
        </is>
      </c>
      <c r="H324" s="200" t="inlineStr">
        <is>
          <t>PO2425-03509</t>
        </is>
      </c>
      <c r="I324" s="290">
        <f>IF(RawDataGenPO[[#This Row],[PO No.]]="","",RawDataGenPO[[#This Row],[DMY Create PR]]+7)</f>
        <v/>
      </c>
      <c r="J324" s="290" t="n"/>
      <c r="K324" s="20" t="n">
        <v>30</v>
      </c>
      <c r="L324" s="5" t="inlineStr">
        <is>
          <t>SFST81000048</t>
        </is>
      </c>
      <c r="M324" s="7" t="inlineStr">
        <is>
          <t>PD Machine</t>
        </is>
      </c>
      <c r="N324" s="7" t="inlineStr">
        <is>
          <t>X-Ray machine No.1</t>
        </is>
      </c>
      <c r="O324" s="11" t="n">
        <v>2</v>
      </c>
      <c r="P324" s="191" t="inlineStr">
        <is>
          <t>Sensor: PDA :-N:</t>
        </is>
      </c>
      <c r="Q324" s="277" t="n">
        <v>1</v>
      </c>
      <c r="R324" s="5" t="inlineStr">
        <is>
          <t>JOB</t>
        </is>
      </c>
      <c r="S324" s="284">
        <f>RawDataGenPO[[#This Row],[Total price]]/RawDataGenPO[[#This Row],[Qty'']]</f>
        <v/>
      </c>
      <c r="T324" s="285" t="n">
        <v>193050</v>
      </c>
      <c r="U324" s="161" t="inlineStr">
        <is>
          <t>Puneet Approval</t>
        </is>
      </c>
      <c r="V324" s="7" t="inlineStr">
        <is>
          <t>V1000097 - ISHIDA (THAILAND) CO.,LTD.</t>
        </is>
      </c>
      <c r="W324" s="5" t="inlineStr">
        <is>
          <t>Recive bill and GRN already</t>
        </is>
      </c>
      <c r="X324" s="5" t="n"/>
      <c r="Y324" s="3" t="n">
        <v>45582</v>
      </c>
      <c r="Z324" s="3" t="n"/>
      <c r="AA324" s="17">
        <f>IF(RawDataGenPO[[#This Row],[Date Gen PO]]="","",RawDataGenPO[[#This Row],[Date recive bill]]-RawDataGenPO[[#This Row],[Date Gen PO]])</f>
        <v/>
      </c>
      <c r="AB324" s="16">
        <f>IF(RawDataGenPO[[#This Row],[GRN-PO date]]&gt;RawDataGenPO[[#This Row],[Lead time delivery (day)]],"over deliverry","Ontime")</f>
        <v/>
      </c>
      <c r="AC324" s="168" t="n"/>
    </row>
    <row r="325" ht="30" customFormat="1" customHeight="1" s="125">
      <c r="A325" s="5">
        <f>ROW()-ROW(RawDataGenPO[[#Headers],[No.]])</f>
        <v/>
      </c>
      <c r="B325" s="7" t="inlineStr">
        <is>
          <t>Expent  cost</t>
        </is>
      </c>
      <c r="C325" s="275" t="n">
        <v>45542</v>
      </c>
      <c r="D325" s="321" t="n"/>
      <c r="E325" s="321" t="n"/>
      <c r="F325" s="275" t="n">
        <v>45542</v>
      </c>
      <c r="G325" s="5" t="inlineStr">
        <is>
          <t>PR2425-03231</t>
        </is>
      </c>
      <c r="H325" s="200" t="inlineStr">
        <is>
          <t xml:space="preserve">PO2425-03510 </t>
        </is>
      </c>
      <c r="I325" s="290">
        <f>IF(RawDataGenPO[[#This Row],[PO No.]]="","",RawDataGenPO[[#This Row],[DMY Create PR]]+7)</f>
        <v/>
      </c>
      <c r="J325" s="290" t="n"/>
      <c r="K325" s="20">
        <f>IF(RawDataGenPO[[#This Row],[PO No.]]="","",10)</f>
        <v/>
      </c>
      <c r="L325" s="5" t="inlineStr">
        <is>
          <t>SFST81000050</t>
        </is>
      </c>
      <c r="M325" s="7" t="inlineStr">
        <is>
          <t>Tool and Equipment  Engineering</t>
        </is>
      </c>
      <c r="N325" s="7" t="inlineStr">
        <is>
          <t>Cevil jobs</t>
        </is>
      </c>
      <c r="O325" s="11" t="n">
        <v>1</v>
      </c>
      <c r="P325" s="191" t="inlineStr">
        <is>
          <t>"Flexible" waterproof flexible metal conduit, grey, size 1-1/2", length 8 m (280 THB per meter)</t>
        </is>
      </c>
      <c r="Q325" s="277" t="n">
        <v>1</v>
      </c>
      <c r="R325" s="5" t="inlineStr">
        <is>
          <t>ROLL</t>
        </is>
      </c>
      <c r="S325" s="284">
        <f>RawDataGenPO[[#This Row],[Total price]]/RawDataGenPO[[#This Row],[Qty'']]</f>
        <v/>
      </c>
      <c r="T325" s="285" t="n">
        <v>2240</v>
      </c>
      <c r="U325" s="161" t="inlineStr">
        <is>
          <t>Puneet Approval</t>
        </is>
      </c>
      <c r="V325" s="7" t="inlineStr">
        <is>
          <t>V1000259 - JJP SUPPLY CO., LTD</t>
        </is>
      </c>
      <c r="W325" s="5" t="inlineStr">
        <is>
          <t>Recive bill and GRN already</t>
        </is>
      </c>
      <c r="X325" s="5" t="n"/>
      <c r="Y325" s="3" t="n">
        <v>45559</v>
      </c>
      <c r="Z325" s="3" t="n"/>
      <c r="AA325" s="17">
        <f>IF(RawDataGenPO[[#This Row],[Date Gen PO]]="","",RawDataGenPO[[#This Row],[Date recive bill]]-RawDataGenPO[[#This Row],[Date Gen PO]])</f>
        <v/>
      </c>
      <c r="AB325" s="16">
        <f>IF(RawDataGenPO[[#This Row],[GRN-PO date]]&gt;RawDataGenPO[[#This Row],[Lead time delivery (day)]],"over deliverry","Ontime")</f>
        <v/>
      </c>
      <c r="AC325" s="168" t="n"/>
    </row>
    <row r="326" ht="15" customFormat="1" customHeight="1" s="125">
      <c r="A326" s="5">
        <f>ROW()-ROW(RawDataGenPO[[#Headers],[No.]])</f>
        <v/>
      </c>
      <c r="B326" s="7" t="inlineStr">
        <is>
          <t>Expent  cost</t>
        </is>
      </c>
      <c r="C326" s="275" t="n">
        <v>45542</v>
      </c>
      <c r="D326" s="321" t="n"/>
      <c r="E326" s="321" t="n"/>
      <c r="F326" s="275" t="n">
        <v>45542</v>
      </c>
      <c r="G326" s="5" t="inlineStr">
        <is>
          <t xml:space="preserve">PR2425-03232 </t>
        </is>
      </c>
      <c r="H326" s="200" t="inlineStr">
        <is>
          <t>PO2425-03511</t>
        </is>
      </c>
      <c r="I326" s="290">
        <f>IF(RawDataGenPO[[#This Row],[PO No.]]="","",RawDataGenPO[[#This Row],[DMY Create PR]]+7)</f>
        <v/>
      </c>
      <c r="J326" s="290" t="n"/>
      <c r="K326" s="20" t="n">
        <v>30</v>
      </c>
      <c r="L326" s="5" t="inlineStr">
        <is>
          <t>SFST34000171</t>
        </is>
      </c>
      <c r="M326" s="7" t="inlineStr">
        <is>
          <t>Consumable part for MN</t>
        </is>
      </c>
      <c r="N326" s="7" t="inlineStr">
        <is>
          <t>Cevil jobs</t>
        </is>
      </c>
      <c r="O326" s="11" t="n">
        <v>1</v>
      </c>
      <c r="P326" s="191" t="inlineStr">
        <is>
          <t>Straight stainless steel male fitting 1/2 inch (150 mm)</t>
        </is>
      </c>
      <c r="Q326" s="277" t="n">
        <v>5</v>
      </c>
      <c r="R326" s="5" t="inlineStr">
        <is>
          <t>PCS.</t>
        </is>
      </c>
      <c r="S326" s="284">
        <f>RawDataGenPO[[#This Row],[Total price]]/RawDataGenPO[[#This Row],[Qty'']]</f>
        <v/>
      </c>
      <c r="T326" s="285" t="n">
        <v>500</v>
      </c>
      <c r="U326" s="161" t="inlineStr">
        <is>
          <t>Puneet Approval</t>
        </is>
      </c>
      <c r="V326" s="7" t="inlineStr">
        <is>
          <t>V1000284 - SABPAYANIT INTER GROUP CO., LTD.</t>
        </is>
      </c>
      <c r="W326" s="5" t="inlineStr">
        <is>
          <t>Recive bill and GRN already</t>
        </is>
      </c>
      <c r="X326" s="5" t="n"/>
      <c r="Y326" s="3" t="n">
        <v>45569</v>
      </c>
      <c r="Z326" s="3" t="n"/>
      <c r="AA326" s="17">
        <f>IF(RawDataGenPO[[#This Row],[Date Gen PO]]="","",RawDataGenPO[[#This Row],[Date recive bill]]-RawDataGenPO[[#This Row],[Date Gen PO]])</f>
        <v/>
      </c>
      <c r="AB326" s="16">
        <f>IF(RawDataGenPO[[#This Row],[GRN-PO date]]&gt;RawDataGenPO[[#This Row],[Lead time delivery (day)]],"over deliverry","Ontime")</f>
        <v/>
      </c>
      <c r="AC326" s="168" t="n"/>
    </row>
    <row r="327" ht="15" customFormat="1" customHeight="1" s="125">
      <c r="A327" s="5">
        <f>ROW()-ROW(RawDataGenPO[[#Headers],[No.]])</f>
        <v/>
      </c>
      <c r="B327" s="7" t="inlineStr">
        <is>
          <t>Expent  cost</t>
        </is>
      </c>
      <c r="C327" s="275" t="n">
        <v>45542</v>
      </c>
      <c r="D327" s="276" t="n"/>
      <c r="E327" s="276" t="n"/>
      <c r="F327" s="275" t="n">
        <v>45542</v>
      </c>
      <c r="G327" s="5" t="inlineStr">
        <is>
          <t xml:space="preserve">PR2425-03232 </t>
        </is>
      </c>
      <c r="H327" s="200" t="inlineStr">
        <is>
          <t>PO2425-03511</t>
        </is>
      </c>
      <c r="I327" s="290">
        <f>IF(RawDataGenPO[[#This Row],[PO No.]]="","",RawDataGenPO[[#This Row],[DMY Create PR]]+7)</f>
        <v/>
      </c>
      <c r="J327" s="290" t="n"/>
      <c r="K327" s="20" t="n">
        <v>25</v>
      </c>
      <c r="L327" s="5" t="inlineStr">
        <is>
          <t>SFST34000172</t>
        </is>
      </c>
      <c r="M327" s="7" t="inlineStr">
        <is>
          <t>Consumable part for MN</t>
        </is>
      </c>
      <c r="N327" s="7" t="inlineStr">
        <is>
          <t>Cevil jobs</t>
        </is>
      </c>
      <c r="O327" s="11" t="n">
        <v>2</v>
      </c>
      <c r="P327" s="191" t="inlineStr">
        <is>
          <t>Straight stainless steel male fitting 3/4 inch (150 mm)</t>
        </is>
      </c>
      <c r="Q327" s="277" t="n">
        <v>5</v>
      </c>
      <c r="R327" s="5" t="inlineStr">
        <is>
          <t>PCS.</t>
        </is>
      </c>
      <c r="S327" s="284">
        <f>RawDataGenPO[[#This Row],[Total price]]/RawDataGenPO[[#This Row],[Qty'']]</f>
        <v/>
      </c>
      <c r="T327" s="285" t="n">
        <v>650</v>
      </c>
      <c r="U327" s="161" t="inlineStr">
        <is>
          <t>Puneet Approval</t>
        </is>
      </c>
      <c r="V327" s="7" t="inlineStr">
        <is>
          <t>V1000284 - SABPAYANIT INTER GROUP CO., LTD.</t>
        </is>
      </c>
      <c r="W327" s="5" t="inlineStr">
        <is>
          <t>Recive bill and GRN already</t>
        </is>
      </c>
      <c r="X327" s="5" t="n"/>
      <c r="Y327" s="3" t="n">
        <v>45569</v>
      </c>
      <c r="Z327" s="3" t="n"/>
      <c r="AA327" s="17">
        <f>IF(RawDataGenPO[[#This Row],[Date Gen PO]]="","",RawDataGenPO[[#This Row],[Date recive bill]]-RawDataGenPO[[#This Row],[Date Gen PO]])</f>
        <v/>
      </c>
      <c r="AB327" s="16">
        <f>IF(RawDataGenPO[[#This Row],[GRN-PO date]]&gt;RawDataGenPO[[#This Row],[Lead time delivery (day)]],"over deliverry","Ontime")</f>
        <v/>
      </c>
      <c r="AC327" s="168" t="n"/>
    </row>
    <row r="328" ht="15" customFormat="1" customHeight="1" s="125">
      <c r="A328" s="5">
        <f>ROW()-ROW(RawDataGenPO[[#Headers],[No.]])</f>
        <v/>
      </c>
      <c r="B328" s="7" t="inlineStr">
        <is>
          <t>Expent  cost</t>
        </is>
      </c>
      <c r="C328" s="275" t="n">
        <v>45542</v>
      </c>
      <c r="D328" s="276" t="n"/>
      <c r="E328" s="276" t="n"/>
      <c r="F328" s="275" t="n">
        <v>45542</v>
      </c>
      <c r="G328" s="5" t="inlineStr">
        <is>
          <t>PR2425-03235</t>
        </is>
      </c>
      <c r="H328" s="200" t="inlineStr">
        <is>
          <t xml:space="preserve">PO2425-03515 </t>
        </is>
      </c>
      <c r="I328" s="290">
        <f>IF(RawDataGenPO[[#This Row],[PO No.]]="","",RawDataGenPO[[#This Row],[DMY Create PR]]+7)</f>
        <v/>
      </c>
      <c r="J328" s="290" t="n"/>
      <c r="K328" s="20">
        <f>IF(RawDataGenPO[[#This Row],[PO No.]]="","",10)</f>
        <v/>
      </c>
      <c r="L328" s="5" t="inlineStr">
        <is>
          <t>SFST34000160</t>
        </is>
      </c>
      <c r="M328" s="7" t="inlineStr">
        <is>
          <t>Consumable part for MN</t>
        </is>
      </c>
      <c r="N328" s="7" t="inlineStr">
        <is>
          <t>Cevil jobs</t>
        </is>
      </c>
      <c r="O328" s="11" t="n">
        <v>1</v>
      </c>
      <c r="P328" s="10" t="inlineStr">
        <is>
          <t>Threebond gasket sealant (Threebond 1104 NEO PLUS)</t>
        </is>
      </c>
      <c r="Q328" s="277" t="n">
        <v>8</v>
      </c>
      <c r="R328" s="5" t="inlineStr">
        <is>
          <t>PCS.</t>
        </is>
      </c>
      <c r="S328" s="284">
        <f>RawDataGenPO[[#This Row],[Total price]]/RawDataGenPO[[#This Row],[Qty'']]</f>
        <v/>
      </c>
      <c r="T328" s="285" t="n">
        <v>720</v>
      </c>
      <c r="U328" s="161" t="inlineStr">
        <is>
          <t>Puneet Approval</t>
        </is>
      </c>
      <c r="V328" s="7" t="inlineStr">
        <is>
          <t>V1000306 - Inter Supply (1992) Co., Ltd.</t>
        </is>
      </c>
      <c r="W328" s="5" t="inlineStr">
        <is>
          <t>Recive bill and GRN already</t>
        </is>
      </c>
      <c r="X328" s="5" t="n"/>
      <c r="Y328" s="3" t="n">
        <v>45558</v>
      </c>
      <c r="Z328" s="3" t="n"/>
      <c r="AA328" s="17">
        <f>IF(RawDataGenPO[[#This Row],[Date Gen PO]]="","",RawDataGenPO[[#This Row],[Date recive bill]]-RawDataGenPO[[#This Row],[Date Gen PO]])</f>
        <v/>
      </c>
      <c r="AB328" s="16">
        <f>IF(RawDataGenPO[[#This Row],[GRN-PO date]]&gt;RawDataGenPO[[#This Row],[Lead time delivery (day)]],"over deliverry","Ontime")</f>
        <v/>
      </c>
      <c r="AC328" s="168" t="n"/>
    </row>
    <row r="329" ht="15" customFormat="1" customHeight="1" s="125">
      <c r="A329" s="5">
        <f>ROW()-ROW(RawDataGenPO[[#Headers],[No.]])</f>
        <v/>
      </c>
      <c r="B329" s="7" t="inlineStr">
        <is>
          <t>Expent  cost</t>
        </is>
      </c>
      <c r="C329" s="275" t="n">
        <v>45541</v>
      </c>
      <c r="D329" s="276" t="n"/>
      <c r="E329" s="276" t="n"/>
      <c r="F329" s="275" t="n">
        <v>45541</v>
      </c>
      <c r="G329" s="5" t="inlineStr">
        <is>
          <t xml:space="preserve">PR2425-03193 </t>
        </is>
      </c>
      <c r="H329" s="200" t="inlineStr">
        <is>
          <t>PO2425-03519</t>
        </is>
      </c>
      <c r="I329" s="290">
        <f>IF(RawDataGenPO[[#This Row],[PO No.]]="","",RawDataGenPO[[#This Row],[DMY Create PR]]+7)</f>
        <v/>
      </c>
      <c r="J329" s="290" t="n"/>
      <c r="K329" s="20">
        <f>IF(RawDataGenPO[[#This Row],[PO No.]]="","",10)</f>
        <v/>
      </c>
      <c r="L329" s="196" t="inlineStr">
        <is>
          <t>SFST34000001</t>
        </is>
      </c>
      <c r="M329" s="7" t="inlineStr">
        <is>
          <t>Consumable part for MN</t>
        </is>
      </c>
      <c r="N329" s="7" t="inlineStr">
        <is>
          <t>Cevil jobs</t>
        </is>
      </c>
      <c r="O329" s="11" t="n">
        <v>1</v>
      </c>
      <c r="P329" s="201" t="inlineStr">
        <is>
          <t>Brass male-thread fitting, 1/2"</t>
        </is>
      </c>
      <c r="Q329" s="196" t="n">
        <v>6</v>
      </c>
      <c r="R329" s="5" t="inlineStr">
        <is>
          <t>PCS.</t>
        </is>
      </c>
      <c r="S329" s="284">
        <f>RawDataGenPO[[#This Row],[Total price]]/RawDataGenPO[[#This Row],[Qty'']]</f>
        <v/>
      </c>
      <c r="T329" s="303" t="n">
        <v>252</v>
      </c>
      <c r="U329" s="161" t="inlineStr">
        <is>
          <t>Puneet Approval</t>
        </is>
      </c>
      <c r="V329" s="33" t="inlineStr">
        <is>
          <t>V1000306 - Inter Supply (1992) Co., Ltd.</t>
        </is>
      </c>
      <c r="W329" s="5" t="inlineStr">
        <is>
          <t>Recive bill and GRN already</t>
        </is>
      </c>
      <c r="X329" s="5" t="n"/>
      <c r="Y329" s="3" t="n">
        <v>45558</v>
      </c>
      <c r="Z329" s="3" t="n"/>
      <c r="AA329" s="17">
        <f>IF(RawDataGenPO[[#This Row],[Date Gen PO]]="","",RawDataGenPO[[#This Row],[Date recive bill]]-RawDataGenPO[[#This Row],[Date Gen PO]])</f>
        <v/>
      </c>
      <c r="AB329" s="16">
        <f>IF(RawDataGenPO[[#This Row],[GRN-PO date]]&gt;RawDataGenPO[[#This Row],[Lead time delivery (day)]],"over deliverry","Ontime")</f>
        <v/>
      </c>
      <c r="AC329" s="168" t="n"/>
    </row>
    <row r="330" ht="15" customFormat="1" customHeight="1" s="125">
      <c r="A330" s="5">
        <f>ROW()-ROW(RawDataGenPO[[#Headers],[No.]])</f>
        <v/>
      </c>
      <c r="B330" s="7" t="inlineStr">
        <is>
          <t>Expent  cost</t>
        </is>
      </c>
      <c r="C330" s="275" t="n">
        <v>45541</v>
      </c>
      <c r="D330" s="276" t="n"/>
      <c r="E330" s="276" t="n"/>
      <c r="F330" s="275" t="n">
        <v>45541</v>
      </c>
      <c r="G330" s="5" t="inlineStr">
        <is>
          <t xml:space="preserve">PR2425-03193 </t>
        </is>
      </c>
      <c r="H330" s="200" t="inlineStr">
        <is>
          <t>PO2425-03519</t>
        </is>
      </c>
      <c r="I330" s="290">
        <f>IF(RawDataGenPO[[#This Row],[PO No.]]="","",RawDataGenPO[[#This Row],[DMY Create PR]]+7)</f>
        <v/>
      </c>
      <c r="J330" s="290" t="n"/>
      <c r="K330" s="20">
        <f>IF(RawDataGenPO[[#This Row],[PO No.]]="","",10)</f>
        <v/>
      </c>
      <c r="L330" s="196" t="inlineStr">
        <is>
          <t>SFST34000002</t>
        </is>
      </c>
      <c r="M330" s="7" t="inlineStr">
        <is>
          <t>Consumable part for MN</t>
        </is>
      </c>
      <c r="N330" s="7" t="inlineStr">
        <is>
          <t>Cevil jobs</t>
        </is>
      </c>
      <c r="O330" s="11" t="n">
        <v>2</v>
      </c>
      <c r="P330" s="201" t="inlineStr">
        <is>
          <t>Brass male-thread fitting, 3/4"</t>
        </is>
      </c>
      <c r="Q330" s="202" t="n">
        <v>5</v>
      </c>
      <c r="R330" s="5" t="inlineStr">
        <is>
          <t>PCS.</t>
        </is>
      </c>
      <c r="S330" s="284">
        <f>RawDataGenPO[[#This Row],[Total price]]/RawDataGenPO[[#This Row],[Qty'']]</f>
        <v/>
      </c>
      <c r="T330" s="303" t="n">
        <v>300</v>
      </c>
      <c r="U330" s="161" t="inlineStr">
        <is>
          <t>Puneet Approval</t>
        </is>
      </c>
      <c r="V330" s="33" t="inlineStr">
        <is>
          <t>V1000306 - Inter Supply (1992) Co., Ltd.</t>
        </is>
      </c>
      <c r="W330" s="5" t="inlineStr">
        <is>
          <t>Recive bill and GRN already</t>
        </is>
      </c>
      <c r="X330" s="5" t="n"/>
      <c r="Y330" s="3" t="n">
        <v>45558</v>
      </c>
      <c r="Z330" s="3" t="n"/>
      <c r="AA330" s="17">
        <f>IF(RawDataGenPO[[#This Row],[Date Gen PO]]="","",RawDataGenPO[[#This Row],[Date recive bill]]-RawDataGenPO[[#This Row],[Date Gen PO]])</f>
        <v/>
      </c>
      <c r="AB330" s="16">
        <f>IF(RawDataGenPO[[#This Row],[GRN-PO date]]&gt;RawDataGenPO[[#This Row],[Lead time delivery (day)]],"over deliverry","Ontime")</f>
        <v/>
      </c>
      <c r="AC330" s="168" t="n"/>
    </row>
    <row r="331" ht="15" customFormat="1" customHeight="1" s="125">
      <c r="A331" s="5">
        <f>ROW()-ROW(RawDataGenPO[[#Headers],[No.]])</f>
        <v/>
      </c>
      <c r="B331" s="7" t="inlineStr">
        <is>
          <t>Expent  cost</t>
        </is>
      </c>
      <c r="C331" s="275" t="n">
        <v>45541</v>
      </c>
      <c r="D331" s="276" t="n"/>
      <c r="E331" s="276" t="n"/>
      <c r="F331" s="275" t="n">
        <v>45541</v>
      </c>
      <c r="G331" s="5" t="inlineStr">
        <is>
          <t xml:space="preserve">PR2425-03193 </t>
        </is>
      </c>
      <c r="H331" s="200" t="inlineStr">
        <is>
          <t>PO2425-03519</t>
        </is>
      </c>
      <c r="I331" s="290">
        <f>IF(RawDataGenPO[[#This Row],[PO No.]]="","",RawDataGenPO[[#This Row],[DMY Create PR]]+7)</f>
        <v/>
      </c>
      <c r="J331" s="290" t="n"/>
      <c r="K331" s="20">
        <f>IF(RawDataGenPO[[#This Row],[PO No.]]="","",10)</f>
        <v/>
      </c>
      <c r="L331" s="196" t="inlineStr">
        <is>
          <t>SFST34000003</t>
        </is>
      </c>
      <c r="M331" s="7" t="inlineStr">
        <is>
          <t>Consumable part for MN</t>
        </is>
      </c>
      <c r="N331" s="7" t="inlineStr">
        <is>
          <t>Cevil jobs</t>
        </is>
      </c>
      <c r="O331" s="11" t="n">
        <v>3</v>
      </c>
      <c r="P331" s="201" t="inlineStr">
        <is>
          <t>Brass male-thread fitting, 1"</t>
        </is>
      </c>
      <c r="Q331" s="202" t="n">
        <v>5</v>
      </c>
      <c r="R331" s="5" t="inlineStr">
        <is>
          <t>PCS.</t>
        </is>
      </c>
      <c r="S331" s="284">
        <f>RawDataGenPO[[#This Row],[Total price]]/RawDataGenPO[[#This Row],[Qty'']]</f>
        <v/>
      </c>
      <c r="T331" s="303" t="n">
        <v>480</v>
      </c>
      <c r="U331" s="161" t="inlineStr">
        <is>
          <t>Puneet Approval</t>
        </is>
      </c>
      <c r="V331" s="33" t="inlineStr">
        <is>
          <t>V1000306 - Inter Supply (1992) Co., Ltd.</t>
        </is>
      </c>
      <c r="W331" s="5" t="inlineStr">
        <is>
          <t>Recive bill and GRN already</t>
        </is>
      </c>
      <c r="X331" s="5" t="n"/>
      <c r="Y331" s="3" t="n">
        <v>45558</v>
      </c>
      <c r="Z331" s="3" t="n"/>
      <c r="AA331" s="17">
        <f>IF(RawDataGenPO[[#This Row],[Date Gen PO]]="","",RawDataGenPO[[#This Row],[Date recive bill]]-RawDataGenPO[[#This Row],[Date Gen PO]])</f>
        <v/>
      </c>
      <c r="AB331" s="16">
        <f>IF(RawDataGenPO[[#This Row],[GRN-PO date]]&gt;RawDataGenPO[[#This Row],[Lead time delivery (day)]],"over deliverry","Ontime")</f>
        <v/>
      </c>
      <c r="AC331" s="168" t="n"/>
    </row>
    <row r="332" ht="15" customFormat="1" customHeight="1" s="125">
      <c r="A332" s="5">
        <f>ROW()-ROW(RawDataGenPO[[#Headers],[No.]])</f>
        <v/>
      </c>
      <c r="B332" s="7" t="inlineStr">
        <is>
          <t>Expent  cost</t>
        </is>
      </c>
      <c r="C332" s="275" t="n">
        <v>45541</v>
      </c>
      <c r="D332" s="276" t="n"/>
      <c r="E332" s="276" t="n"/>
      <c r="F332" s="275" t="n">
        <v>45541</v>
      </c>
      <c r="G332" s="5" t="inlineStr">
        <is>
          <t xml:space="preserve">PR2425-03193 </t>
        </is>
      </c>
      <c r="H332" s="200" t="inlineStr">
        <is>
          <t>PO2425-03519</t>
        </is>
      </c>
      <c r="I332" s="290">
        <f>IF(RawDataGenPO[[#This Row],[PO No.]]="","",RawDataGenPO[[#This Row],[DMY Create PR]]+7)</f>
        <v/>
      </c>
      <c r="J332" s="290" t="n"/>
      <c r="K332" s="20">
        <f>IF(RawDataGenPO[[#This Row],[PO No.]]="","",10)</f>
        <v/>
      </c>
      <c r="L332" s="196" t="inlineStr">
        <is>
          <t>SFST34000004</t>
        </is>
      </c>
      <c r="M332" s="7" t="inlineStr">
        <is>
          <t>Consumable part for MN</t>
        </is>
      </c>
      <c r="N332" s="7" t="inlineStr">
        <is>
          <t>Cevil jobs</t>
        </is>
      </c>
      <c r="O332" s="11" t="n">
        <v>4</v>
      </c>
      <c r="P332" s="201" t="inlineStr">
        <is>
          <t>PVC male-thread fitting, 1/2"</t>
        </is>
      </c>
      <c r="Q332" s="202" t="n">
        <v>6</v>
      </c>
      <c r="R332" s="5" t="inlineStr">
        <is>
          <t>PCS.</t>
        </is>
      </c>
      <c r="S332" s="284">
        <f>RawDataGenPO[[#This Row],[Total price]]/RawDataGenPO[[#This Row],[Qty'']]</f>
        <v/>
      </c>
      <c r="T332" s="303" t="n">
        <v>18</v>
      </c>
      <c r="U332" s="161" t="inlineStr">
        <is>
          <t>Puneet Approval</t>
        </is>
      </c>
      <c r="V332" s="33" t="inlineStr">
        <is>
          <t>V1000306 - Inter Supply (1992) Co., Ltd.</t>
        </is>
      </c>
      <c r="W332" s="5" t="inlineStr">
        <is>
          <t>Recive bill and GRN already</t>
        </is>
      </c>
      <c r="X332" s="5" t="n"/>
      <c r="Y332" s="3" t="n">
        <v>45558</v>
      </c>
      <c r="Z332" s="3" t="n"/>
      <c r="AA332" s="17">
        <f>IF(RawDataGenPO[[#This Row],[Date Gen PO]]="","",RawDataGenPO[[#This Row],[Date recive bill]]-RawDataGenPO[[#This Row],[Date Gen PO]])</f>
        <v/>
      </c>
      <c r="AB332" s="16">
        <f>IF(RawDataGenPO[[#This Row],[GRN-PO date]]&gt;RawDataGenPO[[#This Row],[Lead time delivery (day)]],"over deliverry","Ontime")</f>
        <v/>
      </c>
      <c r="AC332" s="168" t="n"/>
    </row>
    <row r="333" ht="15" customFormat="1" customHeight="1" s="125">
      <c r="A333" s="5">
        <f>ROW()-ROW(RawDataGenPO[[#Headers],[No.]])</f>
        <v/>
      </c>
      <c r="B333" s="7" t="inlineStr">
        <is>
          <t>Expent  cost</t>
        </is>
      </c>
      <c r="C333" s="275" t="n">
        <v>45541</v>
      </c>
      <c r="D333" s="276" t="n"/>
      <c r="E333" s="276" t="n"/>
      <c r="F333" s="275" t="n">
        <v>45541</v>
      </c>
      <c r="G333" s="5" t="inlineStr">
        <is>
          <t xml:space="preserve">PR2425-03193 </t>
        </is>
      </c>
      <c r="H333" s="200" t="inlineStr">
        <is>
          <t>PO2425-03519</t>
        </is>
      </c>
      <c r="I333" s="290">
        <f>IF(RawDataGenPO[[#This Row],[PO No.]]="","",RawDataGenPO[[#This Row],[DMY Create PR]]+7)</f>
        <v/>
      </c>
      <c r="J333" s="290" t="n"/>
      <c r="K333" s="20">
        <f>IF(RawDataGenPO[[#This Row],[PO No.]]="","",10)</f>
        <v/>
      </c>
      <c r="L333" s="196" t="inlineStr">
        <is>
          <t>SFST34000006</t>
        </is>
      </c>
      <c r="M333" s="7" t="inlineStr">
        <is>
          <t>Consumable part for MN</t>
        </is>
      </c>
      <c r="N333" s="7" t="inlineStr">
        <is>
          <t>Cevil jobs</t>
        </is>
      </c>
      <c r="O333" s="11" t="n">
        <v>5</v>
      </c>
      <c r="P333" s="201" t="inlineStr">
        <is>
          <t>PVC male-thread fitting, 1"</t>
        </is>
      </c>
      <c r="Q333" s="202" t="n">
        <v>5</v>
      </c>
      <c r="R333" s="5" t="inlineStr">
        <is>
          <t>PCS.</t>
        </is>
      </c>
      <c r="S333" s="284">
        <f>RawDataGenPO[[#This Row],[Total price]]/RawDataGenPO[[#This Row],[Qty'']]</f>
        <v/>
      </c>
      <c r="T333" s="303" t="n">
        <v>30</v>
      </c>
      <c r="U333" s="161" t="inlineStr">
        <is>
          <t>Puneet Approval</t>
        </is>
      </c>
      <c r="V333" s="33" t="inlineStr">
        <is>
          <t>V1000306 - Inter Supply (1992) Co., Ltd.</t>
        </is>
      </c>
      <c r="W333" s="5" t="inlineStr">
        <is>
          <t>Recive bill and GRN already</t>
        </is>
      </c>
      <c r="X333" s="5" t="n"/>
      <c r="Y333" s="3" t="n">
        <v>45558</v>
      </c>
      <c r="Z333" s="3" t="n"/>
      <c r="AA333" s="17">
        <f>IF(RawDataGenPO[[#This Row],[Date Gen PO]]="","",RawDataGenPO[[#This Row],[Date recive bill]]-RawDataGenPO[[#This Row],[Date Gen PO]])</f>
        <v/>
      </c>
      <c r="AB333" s="16">
        <f>IF(RawDataGenPO[[#This Row],[GRN-PO date]]&gt;RawDataGenPO[[#This Row],[Lead time delivery (day)]],"over deliverry","Ontime")</f>
        <v/>
      </c>
      <c r="AC333" s="168" t="n"/>
    </row>
    <row r="334" ht="15" customFormat="1" customHeight="1" s="125">
      <c r="A334" s="5">
        <f>ROW()-ROW(RawDataGenPO[[#Headers],[No.]])</f>
        <v/>
      </c>
      <c r="B334" s="7" t="inlineStr">
        <is>
          <t>Expent  cost</t>
        </is>
      </c>
      <c r="C334" s="275" t="n">
        <v>45541</v>
      </c>
      <c r="D334" s="276" t="n"/>
      <c r="E334" s="276" t="n"/>
      <c r="F334" s="275" t="n">
        <v>45541</v>
      </c>
      <c r="G334" s="5" t="inlineStr">
        <is>
          <t xml:space="preserve">PR2425-03193 </t>
        </is>
      </c>
      <c r="H334" s="200" t="inlineStr">
        <is>
          <t>PO2425-03519</t>
        </is>
      </c>
      <c r="I334" s="290">
        <f>IF(RawDataGenPO[[#This Row],[PO No.]]="","",RawDataGenPO[[#This Row],[DMY Create PR]]+7)</f>
        <v/>
      </c>
      <c r="J334" s="290" t="n"/>
      <c r="K334" s="20">
        <f>IF(RawDataGenPO[[#This Row],[PO No.]]="","",10)</f>
        <v/>
      </c>
      <c r="L334" s="196" t="inlineStr">
        <is>
          <t>SFST34000007</t>
        </is>
      </c>
      <c r="M334" s="7" t="inlineStr">
        <is>
          <t>Consumable part for MN</t>
        </is>
      </c>
      <c r="N334" s="7" t="inlineStr">
        <is>
          <t>Cevil jobs</t>
        </is>
      </c>
      <c r="O334" s="11" t="n">
        <v>6</v>
      </c>
      <c r="P334" s="201" t="inlineStr">
        <is>
          <t>PVC straight female-thread fitting, 1/2"</t>
        </is>
      </c>
      <c r="Q334" s="202" t="n">
        <v>10</v>
      </c>
      <c r="R334" s="5" t="inlineStr">
        <is>
          <t>PCS.</t>
        </is>
      </c>
      <c r="S334" s="284">
        <f>RawDataGenPO[[#This Row],[Total price]]/RawDataGenPO[[#This Row],[Qty'']]</f>
        <v/>
      </c>
      <c r="T334" s="303" t="n">
        <v>35</v>
      </c>
      <c r="U334" s="161" t="inlineStr">
        <is>
          <t>Puneet Approval</t>
        </is>
      </c>
      <c r="V334" s="33" t="inlineStr">
        <is>
          <t>V1000306 - Inter Supply (1992) Co., Ltd.</t>
        </is>
      </c>
      <c r="W334" s="5" t="inlineStr">
        <is>
          <t>Recive bill and GRN already</t>
        </is>
      </c>
      <c r="X334" s="5" t="n"/>
      <c r="Y334" s="3" t="n">
        <v>45558</v>
      </c>
      <c r="Z334" s="3" t="n"/>
      <c r="AA334" s="17">
        <f>IF(RawDataGenPO[[#This Row],[Date Gen PO]]="","",RawDataGenPO[[#This Row],[Date recive bill]]-RawDataGenPO[[#This Row],[Date Gen PO]])</f>
        <v/>
      </c>
      <c r="AB334" s="16">
        <f>IF(RawDataGenPO[[#This Row],[GRN-PO date]]&gt;RawDataGenPO[[#This Row],[Lead time delivery (day)]],"over deliverry","Ontime")</f>
        <v/>
      </c>
      <c r="AC334" s="168" t="n"/>
    </row>
    <row r="335" ht="15" customFormat="1" customHeight="1" s="125">
      <c r="A335" s="5">
        <f>ROW()-ROW(RawDataGenPO[[#Headers],[No.]])</f>
        <v/>
      </c>
      <c r="B335" s="7" t="inlineStr">
        <is>
          <t>Expent  cost</t>
        </is>
      </c>
      <c r="C335" s="275" t="n">
        <v>45541</v>
      </c>
      <c r="D335" s="276" t="n"/>
      <c r="E335" s="276" t="n"/>
      <c r="F335" s="275" t="n">
        <v>45541</v>
      </c>
      <c r="G335" s="5" t="inlineStr">
        <is>
          <t xml:space="preserve">PR2425-03193 </t>
        </is>
      </c>
      <c r="H335" s="200" t="inlineStr">
        <is>
          <t>PO2425-03519</t>
        </is>
      </c>
      <c r="I335" s="290">
        <f>IF(RawDataGenPO[[#This Row],[PO No.]]="","",RawDataGenPO[[#This Row],[DMY Create PR]]+7)</f>
        <v/>
      </c>
      <c r="J335" s="290" t="n"/>
      <c r="K335" s="20">
        <f>IF(RawDataGenPO[[#This Row],[PO No.]]="","",10)</f>
        <v/>
      </c>
      <c r="L335" s="196" t="inlineStr">
        <is>
          <t>SFST34000009</t>
        </is>
      </c>
      <c r="M335" s="7" t="inlineStr">
        <is>
          <t>Consumable part for MN</t>
        </is>
      </c>
      <c r="N335" s="7" t="inlineStr">
        <is>
          <t>Cevil jobs</t>
        </is>
      </c>
      <c r="O335" s="11" t="n">
        <v>7</v>
      </c>
      <c r="P335" s="201" t="inlineStr">
        <is>
          <t>PVC straight female-thread fitting, 1"</t>
        </is>
      </c>
      <c r="Q335" s="202" t="n">
        <v>5</v>
      </c>
      <c r="R335" s="5" t="inlineStr">
        <is>
          <t>PCS.</t>
        </is>
      </c>
      <c r="S335" s="284">
        <f>RawDataGenPO[[#This Row],[Total price]]/RawDataGenPO[[#This Row],[Qty'']]</f>
        <v/>
      </c>
      <c r="T335" s="303" t="n">
        <v>40</v>
      </c>
      <c r="U335" s="161" t="inlineStr">
        <is>
          <t>Puneet Approval</t>
        </is>
      </c>
      <c r="V335" s="33" t="inlineStr">
        <is>
          <t>V1000306 - Inter Supply (1992) Co., Ltd.</t>
        </is>
      </c>
      <c r="W335" s="5" t="inlineStr">
        <is>
          <t>Recive bill and GRN already</t>
        </is>
      </c>
      <c r="X335" s="5" t="n"/>
      <c r="Y335" s="3" t="n">
        <v>45558</v>
      </c>
      <c r="Z335" s="3" t="n"/>
      <c r="AA335" s="17">
        <f>IF(RawDataGenPO[[#This Row],[Date Gen PO]]="","",RawDataGenPO[[#This Row],[Date recive bill]]-RawDataGenPO[[#This Row],[Date Gen PO]])</f>
        <v/>
      </c>
      <c r="AB335" s="16">
        <f>IF(RawDataGenPO[[#This Row],[GRN-PO date]]&gt;RawDataGenPO[[#This Row],[Lead time delivery (day)]],"over deliverry","Ontime")</f>
        <v/>
      </c>
      <c r="AC335" s="168" t="n"/>
    </row>
    <row r="336" ht="15" customFormat="1" customHeight="1" s="125">
      <c r="A336" s="5">
        <f>ROW()-ROW(RawDataGenPO[[#Headers],[No.]])</f>
        <v/>
      </c>
      <c r="B336" s="7" t="inlineStr">
        <is>
          <t>Expent  cost</t>
        </is>
      </c>
      <c r="C336" s="275" t="n">
        <v>45541</v>
      </c>
      <c r="D336" s="276" t="n"/>
      <c r="E336" s="276" t="n"/>
      <c r="F336" s="275" t="n">
        <v>45541</v>
      </c>
      <c r="G336" s="5" t="inlineStr">
        <is>
          <t xml:space="preserve">PR2425-03193 </t>
        </is>
      </c>
      <c r="H336" s="200" t="inlineStr">
        <is>
          <t>PO2425-03519</t>
        </is>
      </c>
      <c r="I336" s="290">
        <f>IF(RawDataGenPO[[#This Row],[PO No.]]="","",RawDataGenPO[[#This Row],[DMY Create PR]]+7)</f>
        <v/>
      </c>
      <c r="J336" s="290" t="n"/>
      <c r="K336" s="20">
        <f>IF(RawDataGenPO[[#This Row],[PO No.]]="","",10)</f>
        <v/>
      </c>
      <c r="L336" s="196" t="inlineStr">
        <is>
          <t>SFST34000010</t>
        </is>
      </c>
      <c r="M336" s="7" t="inlineStr">
        <is>
          <t>Consumable part for MN</t>
        </is>
      </c>
      <c r="N336" s="7" t="inlineStr">
        <is>
          <t>Cevil jobs</t>
        </is>
      </c>
      <c r="O336" s="11" t="n">
        <v>8</v>
      </c>
      <c r="P336" s="201" t="inlineStr">
        <is>
          <t>PVC straight fitting with brass female thread, 1/2"</t>
        </is>
      </c>
      <c r="Q336" s="196" t="n">
        <v>10</v>
      </c>
      <c r="R336" s="5" t="inlineStr">
        <is>
          <t>PCS.</t>
        </is>
      </c>
      <c r="S336" s="284">
        <f>RawDataGenPO[[#This Row],[Total price]]/RawDataGenPO[[#This Row],[Qty'']]</f>
        <v/>
      </c>
      <c r="T336" s="303" t="n">
        <v>320</v>
      </c>
      <c r="U336" s="161" t="inlineStr">
        <is>
          <t>Puneet Approval</t>
        </is>
      </c>
      <c r="V336" s="33" t="inlineStr">
        <is>
          <t>V1000306 - Inter Supply (1992) Co., Ltd.</t>
        </is>
      </c>
      <c r="W336" s="5" t="inlineStr">
        <is>
          <t>Recive bill and GRN already</t>
        </is>
      </c>
      <c r="X336" s="5" t="n"/>
      <c r="Y336" s="3" t="n">
        <v>45558</v>
      </c>
      <c r="Z336" s="3" t="n"/>
      <c r="AA336" s="17">
        <f>IF(RawDataGenPO[[#This Row],[Date Gen PO]]="","",RawDataGenPO[[#This Row],[Date recive bill]]-RawDataGenPO[[#This Row],[Date Gen PO]])</f>
        <v/>
      </c>
      <c r="AB336" s="16">
        <f>IF(RawDataGenPO[[#This Row],[GRN-PO date]]&gt;RawDataGenPO[[#This Row],[Lead time delivery (day)]],"over deliverry","Ontime")</f>
        <v/>
      </c>
      <c r="AC336" s="168" t="n"/>
    </row>
    <row r="337" ht="15" customFormat="1" customHeight="1" s="125">
      <c r="A337" s="5">
        <f>ROW()-ROW(RawDataGenPO[[#Headers],[No.]])</f>
        <v/>
      </c>
      <c r="B337" s="7" t="inlineStr">
        <is>
          <t>Expent  cost</t>
        </is>
      </c>
      <c r="C337" s="275" t="n">
        <v>45541</v>
      </c>
      <c r="D337" s="276" t="n"/>
      <c r="E337" s="276" t="n"/>
      <c r="F337" s="275" t="n">
        <v>45541</v>
      </c>
      <c r="G337" s="5" t="inlineStr">
        <is>
          <t xml:space="preserve">PR2425-03193 </t>
        </is>
      </c>
      <c r="H337" s="200" t="inlineStr">
        <is>
          <t>PO2425-03519</t>
        </is>
      </c>
      <c r="I337" s="290">
        <f>IF(RawDataGenPO[[#This Row],[PO No.]]="","",RawDataGenPO[[#This Row],[DMY Create PR]]+7)</f>
        <v/>
      </c>
      <c r="J337" s="290" t="n"/>
      <c r="K337" s="20">
        <f>IF(RawDataGenPO[[#This Row],[PO No.]]="","",10)</f>
        <v/>
      </c>
      <c r="L337" s="196" t="inlineStr">
        <is>
          <t>SFST34000013</t>
        </is>
      </c>
      <c r="M337" s="7" t="inlineStr">
        <is>
          <t>Consumable part for MN</t>
        </is>
      </c>
      <c r="N337" s="7" t="inlineStr">
        <is>
          <t>Cevil jobs</t>
        </is>
      </c>
      <c r="O337" s="11" t="n">
        <v>9</v>
      </c>
      <c r="P337" s="201" t="inlineStr">
        <is>
          <t>PVC male-thread plug, 1/2"</t>
        </is>
      </c>
      <c r="Q337" s="196" t="n">
        <v>10</v>
      </c>
      <c r="R337" s="5" t="inlineStr">
        <is>
          <t>PCS.</t>
        </is>
      </c>
      <c r="S337" s="284">
        <f>RawDataGenPO[[#This Row],[Total price]]/RawDataGenPO[[#This Row],[Qty'']]</f>
        <v/>
      </c>
      <c r="T337" s="303" t="n">
        <v>18</v>
      </c>
      <c r="U337" s="161" t="inlineStr">
        <is>
          <t>Puneet Approval</t>
        </is>
      </c>
      <c r="V337" s="33" t="inlineStr">
        <is>
          <t>V1000306 - Inter Supply (1992) Co., Ltd.</t>
        </is>
      </c>
      <c r="W337" s="5" t="inlineStr">
        <is>
          <t>Recive bill and GRN already</t>
        </is>
      </c>
      <c r="X337" s="5" t="n"/>
      <c r="Y337" s="3" t="n">
        <v>45558</v>
      </c>
      <c r="Z337" s="3" t="n"/>
      <c r="AA337" s="17">
        <f>IF(RawDataGenPO[[#This Row],[Date Gen PO]]="","",RawDataGenPO[[#This Row],[Date recive bill]]-RawDataGenPO[[#This Row],[Date Gen PO]])</f>
        <v/>
      </c>
      <c r="AB337" s="16">
        <f>IF(RawDataGenPO[[#This Row],[GRN-PO date]]&gt;RawDataGenPO[[#This Row],[Lead time delivery (day)]],"over deliverry","Ontime")</f>
        <v/>
      </c>
      <c r="AC337" s="168" t="n"/>
    </row>
    <row r="338" ht="15" customFormat="1" customHeight="1" s="125">
      <c r="A338" s="5">
        <f>ROW()-ROW(RawDataGenPO[[#Headers],[No.]])</f>
        <v/>
      </c>
      <c r="B338" s="7" t="inlineStr">
        <is>
          <t>Expent  cost</t>
        </is>
      </c>
      <c r="C338" s="275" t="n">
        <v>45541</v>
      </c>
      <c r="D338" s="276" t="n"/>
      <c r="E338" s="276" t="n"/>
      <c r="F338" s="275" t="n">
        <v>45541</v>
      </c>
      <c r="G338" s="5" t="inlineStr">
        <is>
          <t xml:space="preserve">PR2425-03193 </t>
        </is>
      </c>
      <c r="H338" s="200" t="inlineStr">
        <is>
          <t>PO2425-03519</t>
        </is>
      </c>
      <c r="I338" s="290">
        <f>IF(RawDataGenPO[[#This Row],[PO No.]]="","",RawDataGenPO[[#This Row],[DMY Create PR]]+7)</f>
        <v/>
      </c>
      <c r="J338" s="290" t="n"/>
      <c r="K338" s="20">
        <f>IF(RawDataGenPO[[#This Row],[PO No.]]="","",10)</f>
        <v/>
      </c>
      <c r="L338" s="196" t="inlineStr">
        <is>
          <t>SFST34000016</t>
        </is>
      </c>
      <c r="M338" s="7" t="inlineStr">
        <is>
          <t>Consumable part for MN</t>
        </is>
      </c>
      <c r="N338" s="7" t="inlineStr">
        <is>
          <t>Cevil jobs</t>
        </is>
      </c>
      <c r="O338" s="11" t="n">
        <v>10</v>
      </c>
      <c r="P338" s="201" t="inlineStr">
        <is>
          <t>PVC straight fitting, 1/2"</t>
        </is>
      </c>
      <c r="Q338" s="196" t="n">
        <v>10</v>
      </c>
      <c r="R338" s="5" t="inlineStr">
        <is>
          <t>PCS.</t>
        </is>
      </c>
      <c r="S338" s="284">
        <f>RawDataGenPO[[#This Row],[Total price]]/RawDataGenPO[[#This Row],[Qty'']]</f>
        <v/>
      </c>
      <c r="T338" s="303" t="n">
        <v>30</v>
      </c>
      <c r="U338" s="161" t="inlineStr">
        <is>
          <t>Puneet Approval</t>
        </is>
      </c>
      <c r="V338" s="33" t="inlineStr">
        <is>
          <t>V1000306 - Inter Supply (1992) Co., Ltd.</t>
        </is>
      </c>
      <c r="W338" s="5" t="inlineStr">
        <is>
          <t>Recive bill and GRN already</t>
        </is>
      </c>
      <c r="X338" s="5" t="n"/>
      <c r="Y338" s="3" t="n">
        <v>45558</v>
      </c>
      <c r="Z338" s="3" t="n"/>
      <c r="AA338" s="17">
        <f>IF(RawDataGenPO[[#This Row],[Date Gen PO]]="","",RawDataGenPO[[#This Row],[Date recive bill]]-RawDataGenPO[[#This Row],[Date Gen PO]])</f>
        <v/>
      </c>
      <c r="AB338" s="16">
        <f>IF(RawDataGenPO[[#This Row],[GRN-PO date]]&gt;RawDataGenPO[[#This Row],[Lead time delivery (day)]],"over deliverry","Ontime")</f>
        <v/>
      </c>
      <c r="AC338" s="168" t="n"/>
    </row>
    <row r="339" ht="15" customFormat="1" customHeight="1" s="125">
      <c r="A339" s="5">
        <f>ROW()-ROW(RawDataGenPO[[#Headers],[No.]])</f>
        <v/>
      </c>
      <c r="B339" s="7" t="inlineStr">
        <is>
          <t>Expent  cost</t>
        </is>
      </c>
      <c r="C339" s="275" t="n">
        <v>45541</v>
      </c>
      <c r="D339" s="276" t="n"/>
      <c r="E339" s="276" t="n"/>
      <c r="F339" s="275" t="n">
        <v>45541</v>
      </c>
      <c r="G339" s="5" t="inlineStr">
        <is>
          <t xml:space="preserve">PR2425-03193 </t>
        </is>
      </c>
      <c r="H339" s="200" t="inlineStr">
        <is>
          <t>PO2425-03519</t>
        </is>
      </c>
      <c r="I339" s="290">
        <f>IF(RawDataGenPO[[#This Row],[PO No.]]="","",RawDataGenPO[[#This Row],[DMY Create PR]]+7)</f>
        <v/>
      </c>
      <c r="J339" s="290" t="n"/>
      <c r="K339" s="20">
        <f>IF(RawDataGenPO[[#This Row],[PO No.]]="","",10)</f>
        <v/>
      </c>
      <c r="L339" s="196" t="inlineStr">
        <is>
          <t>SFST34000018</t>
        </is>
      </c>
      <c r="M339" s="7" t="inlineStr">
        <is>
          <t>Consumable part for MN</t>
        </is>
      </c>
      <c r="N339" s="7" t="inlineStr">
        <is>
          <t>Cevil jobs</t>
        </is>
      </c>
      <c r="O339" s="11" t="n">
        <v>11</v>
      </c>
      <c r="P339" s="201" t="inlineStr">
        <is>
          <t>PVC straight fitting, 1"</t>
        </is>
      </c>
      <c r="Q339" s="196" t="n">
        <v>5</v>
      </c>
      <c r="R339" s="5" t="inlineStr">
        <is>
          <t>PCS.</t>
        </is>
      </c>
      <c r="S339" s="284">
        <f>RawDataGenPO[[#This Row],[Total price]]/RawDataGenPO[[#This Row],[Qty'']]</f>
        <v/>
      </c>
      <c r="T339" s="303" t="n">
        <v>32.5</v>
      </c>
      <c r="U339" s="161" t="inlineStr">
        <is>
          <t>Puneet Approval</t>
        </is>
      </c>
      <c r="V339" s="33" t="inlineStr">
        <is>
          <t>V1000306 - Inter Supply (1992) Co., Ltd.</t>
        </is>
      </c>
      <c r="W339" s="5" t="inlineStr">
        <is>
          <t>Recive bill and GRN already</t>
        </is>
      </c>
      <c r="X339" s="5" t="n"/>
      <c r="Y339" s="3" t="n">
        <v>45558</v>
      </c>
      <c r="Z339" s="3" t="n"/>
      <c r="AA339" s="17">
        <f>IF(RawDataGenPO[[#This Row],[Date Gen PO]]="","",RawDataGenPO[[#This Row],[Date recive bill]]-RawDataGenPO[[#This Row],[Date Gen PO]])</f>
        <v/>
      </c>
      <c r="AB339" s="16">
        <f>IF(RawDataGenPO[[#This Row],[GRN-PO date]]&gt;RawDataGenPO[[#This Row],[Lead time delivery (day)]],"over deliverry","Ontime")</f>
        <v/>
      </c>
      <c r="AC339" s="168" t="n"/>
    </row>
    <row r="340" ht="15" customFormat="1" customHeight="1" s="125">
      <c r="A340" s="5">
        <f>ROW()-ROW(RawDataGenPO[[#Headers],[No.]])</f>
        <v/>
      </c>
      <c r="B340" s="7" t="inlineStr">
        <is>
          <t>Expent  cost</t>
        </is>
      </c>
      <c r="C340" s="275" t="n">
        <v>45541</v>
      </c>
      <c r="D340" s="276" t="n"/>
      <c r="E340" s="276" t="n"/>
      <c r="F340" s="275" t="n">
        <v>45541</v>
      </c>
      <c r="G340" s="5" t="inlineStr">
        <is>
          <t xml:space="preserve">PR2425-03193 </t>
        </is>
      </c>
      <c r="H340" s="200" t="inlineStr">
        <is>
          <t>PO2425-03519</t>
        </is>
      </c>
      <c r="I340" s="290">
        <f>IF(RawDataGenPO[[#This Row],[PO No.]]="","",RawDataGenPO[[#This Row],[DMY Create PR]]+7)</f>
        <v/>
      </c>
      <c r="J340" s="290" t="n"/>
      <c r="K340" s="20">
        <f>IF(RawDataGenPO[[#This Row],[PO No.]]="","",10)</f>
        <v/>
      </c>
      <c r="L340" s="196" t="inlineStr">
        <is>
          <t>SFST34000019</t>
        </is>
      </c>
      <c r="M340" s="7" t="inlineStr">
        <is>
          <t>Consumable part for MN</t>
        </is>
      </c>
      <c r="N340" s="7" t="inlineStr">
        <is>
          <t>Cevil jobs</t>
        </is>
      </c>
      <c r="O340" s="11" t="n">
        <v>12</v>
      </c>
      <c r="P340" s="201" t="inlineStr">
        <is>
          <t>PVC 90-degree elbow, 1/2"</t>
        </is>
      </c>
      <c r="Q340" s="196" t="n">
        <v>10</v>
      </c>
      <c r="R340" s="5" t="inlineStr">
        <is>
          <t>PCS.</t>
        </is>
      </c>
      <c r="S340" s="284">
        <f>RawDataGenPO[[#This Row],[Total price]]/RawDataGenPO[[#This Row],[Qty'']]</f>
        <v/>
      </c>
      <c r="T340" s="303" t="n">
        <v>37</v>
      </c>
      <c r="U340" s="161" t="inlineStr">
        <is>
          <t>Puneet Approval</t>
        </is>
      </c>
      <c r="V340" s="33" t="inlineStr">
        <is>
          <t>V1000306 - Inter Supply (1992) Co., Ltd.</t>
        </is>
      </c>
      <c r="W340" s="5" t="inlineStr">
        <is>
          <t>Recive bill and GRN already</t>
        </is>
      </c>
      <c r="X340" s="5" t="n"/>
      <c r="Y340" s="3" t="n">
        <v>45558</v>
      </c>
      <c r="Z340" s="3" t="n"/>
      <c r="AA340" s="17">
        <f>IF(RawDataGenPO[[#This Row],[Date Gen PO]]="","",RawDataGenPO[[#This Row],[Date recive bill]]-RawDataGenPO[[#This Row],[Date Gen PO]])</f>
        <v/>
      </c>
      <c r="AB340" s="16">
        <f>IF(RawDataGenPO[[#This Row],[GRN-PO date]]&gt;RawDataGenPO[[#This Row],[Lead time delivery (day)]],"over deliverry","Ontime")</f>
        <v/>
      </c>
      <c r="AC340" s="168" t="n"/>
    </row>
    <row r="341" ht="15" customFormat="1" customHeight="1" s="125">
      <c r="A341" s="5">
        <f>ROW()-ROW(RawDataGenPO[[#Headers],[No.]])</f>
        <v/>
      </c>
      <c r="B341" s="7" t="inlineStr">
        <is>
          <t>Expent  cost</t>
        </is>
      </c>
      <c r="C341" s="275" t="n">
        <v>45541</v>
      </c>
      <c r="D341" s="276" t="n"/>
      <c r="E341" s="276" t="n"/>
      <c r="F341" s="275" t="n">
        <v>45541</v>
      </c>
      <c r="G341" s="5" t="inlineStr">
        <is>
          <t xml:space="preserve">PR2425-03193 </t>
        </is>
      </c>
      <c r="H341" s="200" t="inlineStr">
        <is>
          <t>PO2425-03519</t>
        </is>
      </c>
      <c r="I341" s="290">
        <f>IF(RawDataGenPO[[#This Row],[PO No.]]="","",RawDataGenPO[[#This Row],[DMY Create PR]]+7)</f>
        <v/>
      </c>
      <c r="J341" s="290" t="n"/>
      <c r="K341" s="20">
        <f>IF(RawDataGenPO[[#This Row],[PO No.]]="","",10)</f>
        <v/>
      </c>
      <c r="L341" s="196" t="inlineStr">
        <is>
          <t>SFST34000021</t>
        </is>
      </c>
      <c r="M341" s="7" t="inlineStr">
        <is>
          <t>Consumable part for MN</t>
        </is>
      </c>
      <c r="N341" s="7" t="inlineStr">
        <is>
          <t>Cevil jobs</t>
        </is>
      </c>
      <c r="O341" s="11" t="n">
        <v>13</v>
      </c>
      <c r="P341" s="201" t="inlineStr">
        <is>
          <t>PVC 90-degree elbow, 1"</t>
        </is>
      </c>
      <c r="Q341" s="196" t="n">
        <v>6</v>
      </c>
      <c r="R341" s="5" t="inlineStr">
        <is>
          <t>PCS.</t>
        </is>
      </c>
      <c r="S341" s="284">
        <f>RawDataGenPO[[#This Row],[Total price]]/RawDataGenPO[[#This Row],[Qty'']]</f>
        <v/>
      </c>
      <c r="T341" s="303" t="n">
        <v>54</v>
      </c>
      <c r="U341" s="161" t="inlineStr">
        <is>
          <t>Puneet Approval</t>
        </is>
      </c>
      <c r="V341" s="33" t="inlineStr">
        <is>
          <t>V1000306 - Inter Supply (1992) Co., Ltd.</t>
        </is>
      </c>
      <c r="W341" s="5" t="inlineStr">
        <is>
          <t>Recive bill and GRN already</t>
        </is>
      </c>
      <c r="X341" s="5" t="n"/>
      <c r="Y341" s="3" t="n">
        <v>45558</v>
      </c>
      <c r="Z341" s="3" t="n"/>
      <c r="AA341" s="17">
        <f>IF(RawDataGenPO[[#This Row],[Date Gen PO]]="","",RawDataGenPO[[#This Row],[Date recive bill]]-RawDataGenPO[[#This Row],[Date Gen PO]])</f>
        <v/>
      </c>
      <c r="AB341" s="16">
        <f>IF(RawDataGenPO[[#This Row],[GRN-PO date]]&gt;RawDataGenPO[[#This Row],[Lead time delivery (day)]],"over deliverry","Ontime")</f>
        <v/>
      </c>
      <c r="AC341" s="168" t="n"/>
    </row>
    <row r="342" ht="15" customFormat="1" customHeight="1" s="125">
      <c r="A342" s="5">
        <f>ROW()-ROW(RawDataGenPO[[#Headers],[No.]])</f>
        <v/>
      </c>
      <c r="B342" s="7" t="inlineStr">
        <is>
          <t>Expent  cost</t>
        </is>
      </c>
      <c r="C342" s="275" t="n">
        <v>45541</v>
      </c>
      <c r="D342" s="276" t="n"/>
      <c r="E342" s="276" t="n"/>
      <c r="F342" s="275" t="n">
        <v>45541</v>
      </c>
      <c r="G342" s="5" t="inlineStr">
        <is>
          <t xml:space="preserve">PR2425-03193 </t>
        </is>
      </c>
      <c r="H342" s="200" t="inlineStr">
        <is>
          <t>PO2425-03519</t>
        </is>
      </c>
      <c r="I342" s="290">
        <f>IF(RawDataGenPO[[#This Row],[PO No.]]="","",RawDataGenPO[[#This Row],[DMY Create PR]]+7)</f>
        <v/>
      </c>
      <c r="J342" s="290" t="n"/>
      <c r="K342" s="20">
        <f>IF(RawDataGenPO[[#This Row],[PO No.]]="","",10)</f>
        <v/>
      </c>
      <c r="L342" s="196" t="inlineStr">
        <is>
          <t>SFST34000022</t>
        </is>
      </c>
      <c r="M342" s="7" t="inlineStr">
        <is>
          <t>Consumable part for MN</t>
        </is>
      </c>
      <c r="N342" s="7" t="inlineStr">
        <is>
          <t>Cevil jobs</t>
        </is>
      </c>
      <c r="O342" s="11" t="n">
        <v>14</v>
      </c>
      <c r="P342" s="201" t="inlineStr">
        <is>
          <t>PVC tee fitting, 1/2"</t>
        </is>
      </c>
      <c r="Q342" s="196" t="n">
        <v>10</v>
      </c>
      <c r="R342" s="5" t="inlineStr">
        <is>
          <t>PCS.</t>
        </is>
      </c>
      <c r="S342" s="284">
        <f>RawDataGenPO[[#This Row],[Total price]]/RawDataGenPO[[#This Row],[Qty'']]</f>
        <v/>
      </c>
      <c r="T342" s="303" t="n">
        <v>50</v>
      </c>
      <c r="U342" s="161" t="inlineStr">
        <is>
          <t>Puneet Approval</t>
        </is>
      </c>
      <c r="V342" s="33" t="inlineStr">
        <is>
          <t>V1000306 - Inter Supply (1992) Co., Ltd.</t>
        </is>
      </c>
      <c r="W342" s="5" t="inlineStr">
        <is>
          <t>Recive bill and GRN already</t>
        </is>
      </c>
      <c r="X342" s="5" t="n"/>
      <c r="Y342" s="3" t="n">
        <v>45558</v>
      </c>
      <c r="Z342" s="3" t="n"/>
      <c r="AA342" s="17">
        <f>IF(RawDataGenPO[[#This Row],[Date Gen PO]]="","",RawDataGenPO[[#This Row],[Date recive bill]]-RawDataGenPO[[#This Row],[Date Gen PO]])</f>
        <v/>
      </c>
      <c r="AB342" s="16">
        <f>IF(RawDataGenPO[[#This Row],[GRN-PO date]]&gt;RawDataGenPO[[#This Row],[Lead time delivery (day)]],"over deliverry","Ontime")</f>
        <v/>
      </c>
      <c r="AC342" s="168" t="n"/>
    </row>
    <row r="343" ht="15" customFormat="1" customHeight="1" s="125">
      <c r="A343" s="5">
        <f>ROW()-ROW(RawDataGenPO[[#Headers],[No.]])</f>
        <v/>
      </c>
      <c r="B343" s="7" t="inlineStr">
        <is>
          <t>Expent  cost</t>
        </is>
      </c>
      <c r="C343" s="275" t="n">
        <v>45542</v>
      </c>
      <c r="D343" s="276" t="n"/>
      <c r="E343" s="276" t="n"/>
      <c r="F343" s="275" t="n">
        <v>45542</v>
      </c>
      <c r="G343" s="5" t="inlineStr">
        <is>
          <t>PR2425-03229</t>
        </is>
      </c>
      <c r="H343" s="200" t="inlineStr">
        <is>
          <t>PO2425-03531</t>
        </is>
      </c>
      <c r="I343" s="290">
        <f>IF(RawDataGenPO[[#This Row],[PO No.]]="","",RawDataGenPO[[#This Row],[DMY Create PR]]+7)</f>
        <v/>
      </c>
      <c r="J343" s="290" t="n"/>
      <c r="K343" s="20">
        <f>IF(RawDataGenPO[[#This Row],[PO No.]]="","",10)</f>
        <v/>
      </c>
      <c r="L343" s="5" t="inlineStr">
        <is>
          <t>SFST34000170</t>
        </is>
      </c>
      <c r="M343" s="7" t="inlineStr">
        <is>
          <t>Consumable part for MN</t>
        </is>
      </c>
      <c r="N343" s="7" t="inlineStr">
        <is>
          <t>Air Compressor No.2</t>
        </is>
      </c>
      <c r="O343" s="11" t="n">
        <v>1</v>
      </c>
      <c r="P343" s="10" t="inlineStr">
        <is>
          <t>DANFOSS", KP1, 060-1101, Pressure Switch</t>
        </is>
      </c>
      <c r="Q343" s="277" t="n">
        <v>2</v>
      </c>
      <c r="R343" s="5" t="inlineStr">
        <is>
          <t>pcs.</t>
        </is>
      </c>
      <c r="S343" s="284">
        <f>RawDataGenPO[[#This Row],[Total price]]/RawDataGenPO[[#This Row],[Qty'']]</f>
        <v/>
      </c>
      <c r="T343" s="285" t="n">
        <v>1900</v>
      </c>
      <c r="U343" s="161" t="inlineStr">
        <is>
          <t>Puneet Approval</t>
        </is>
      </c>
      <c r="V343" s="7" t="inlineStr">
        <is>
          <t xml:space="preserve"> V1000310 - BOONBAWORN ENGINEERING CO., LTD</t>
        </is>
      </c>
      <c r="W343" s="5" t="inlineStr">
        <is>
          <t>Recive bill and GRN already</t>
        </is>
      </c>
      <c r="X343" s="5" t="n"/>
      <c r="Y343" s="3" t="n">
        <v>45554</v>
      </c>
      <c r="Z343" s="3" t="n"/>
      <c r="AA343" s="17">
        <f>IF(RawDataGenPO[[#This Row],[Date Gen PO]]="","",RawDataGenPO[[#This Row],[Date recive bill]]-RawDataGenPO[[#This Row],[Date Gen PO]])</f>
        <v/>
      </c>
      <c r="AB343" s="16">
        <f>IF(RawDataGenPO[[#This Row],[GRN-PO date]]&gt;RawDataGenPO[[#This Row],[Lead time delivery (day)]],"over deliverry","Ontime")</f>
        <v/>
      </c>
      <c r="AC343" s="168" t="n"/>
    </row>
    <row r="344" ht="15" customFormat="1" customHeight="1" s="125">
      <c r="A344" s="5">
        <f>ROW()-ROW(RawDataGenPO[[#Headers],[No.]])</f>
        <v/>
      </c>
      <c r="B344" s="7" t="inlineStr">
        <is>
          <t>Expent  cost</t>
        </is>
      </c>
      <c r="C344" s="275" t="n">
        <v>45542</v>
      </c>
      <c r="D344" s="276" t="n"/>
      <c r="E344" s="276" t="n"/>
      <c r="F344" s="275" t="n">
        <v>45542</v>
      </c>
      <c r="G344" s="5" t="inlineStr">
        <is>
          <t>PR2425-03230</t>
        </is>
      </c>
      <c r="H344" s="200" t="inlineStr">
        <is>
          <t>PO2425-03532</t>
        </is>
      </c>
      <c r="I344" s="290">
        <f>IF(RawDataGenPO[[#This Row],[PO No.]]="","",RawDataGenPO[[#This Row],[DMY Create PR]]+7)</f>
        <v/>
      </c>
      <c r="J344" s="290" t="n"/>
      <c r="K344" s="20">
        <f>IF(RawDataGenPO[[#This Row],[PO No.]]="","",10)</f>
        <v/>
      </c>
      <c r="L344" s="5" t="inlineStr">
        <is>
          <t>SFST81000050</t>
        </is>
      </c>
      <c r="M344" s="7" t="inlineStr">
        <is>
          <t>Tool and Equipment  Engineering</t>
        </is>
      </c>
      <c r="N344" s="7" t="inlineStr">
        <is>
          <t>Electrical jobs</t>
        </is>
      </c>
      <c r="O344" s="11" t="n">
        <v>1</v>
      </c>
      <c r="P344" s="10" t="inlineStr">
        <is>
          <t>Twin grounded outlet "Panasonic" model WEG-15929</t>
        </is>
      </c>
      <c r="Q344" s="277" t="n">
        <v>6</v>
      </c>
      <c r="R344" s="5" t="inlineStr">
        <is>
          <t>PCS.</t>
        </is>
      </c>
      <c r="S344" s="284">
        <f>RawDataGenPO[[#This Row],[Total price]]/RawDataGenPO[[#This Row],[Qty'']]</f>
        <v/>
      </c>
      <c r="T344" s="285" t="n">
        <v>690</v>
      </c>
      <c r="U344" s="161" t="inlineStr">
        <is>
          <t>Puneet Approval</t>
        </is>
      </c>
      <c r="V344" s="7" t="inlineStr">
        <is>
          <t>V1000276 - SN. ELECTRIC AND SUPPLY CO., LTD.</t>
        </is>
      </c>
      <c r="W344" s="5" t="inlineStr">
        <is>
          <t>Recive bill and GRN already</t>
        </is>
      </c>
      <c r="X344" s="5" t="n"/>
      <c r="Y344" s="3" t="n">
        <v>45559</v>
      </c>
      <c r="Z344" s="3" t="n"/>
      <c r="AA344" s="17">
        <f>IF(RawDataGenPO[[#This Row],[Date Gen PO]]="","",RawDataGenPO[[#This Row],[Date recive bill]]-RawDataGenPO[[#This Row],[Date Gen PO]])</f>
        <v/>
      </c>
      <c r="AB344" s="16">
        <f>IF(RawDataGenPO[[#This Row],[GRN-PO date]]&gt;RawDataGenPO[[#This Row],[Lead time delivery (day)]],"over deliverry","Ontime")</f>
        <v/>
      </c>
      <c r="AC344" s="168" t="n"/>
    </row>
    <row r="345" ht="15" customFormat="1" customHeight="1" s="125">
      <c r="A345" s="5">
        <f>ROW()-ROW(RawDataGenPO[[#Headers],[No.]])</f>
        <v/>
      </c>
      <c r="B345" s="7" t="inlineStr">
        <is>
          <t>Expent  cost</t>
        </is>
      </c>
      <c r="C345" s="275" t="n">
        <v>45542</v>
      </c>
      <c r="D345" s="276" t="n"/>
      <c r="E345" s="276" t="n"/>
      <c r="F345" s="275" t="n">
        <v>45542</v>
      </c>
      <c r="G345" s="5" t="inlineStr">
        <is>
          <t>PR2425-03230</t>
        </is>
      </c>
      <c r="H345" s="200" t="inlineStr">
        <is>
          <t>PO2425-03532</t>
        </is>
      </c>
      <c r="I345" s="290">
        <f>IF(RawDataGenPO[[#This Row],[PO No.]]="","",RawDataGenPO[[#This Row],[DMY Create PR]]+7)</f>
        <v/>
      </c>
      <c r="J345" s="290" t="n"/>
      <c r="K345" s="20">
        <f>IF(RawDataGenPO[[#This Row],[PO No.]]="","",10)</f>
        <v/>
      </c>
      <c r="L345" s="5" t="inlineStr">
        <is>
          <t>SFST81000050</t>
        </is>
      </c>
      <c r="M345" s="7" t="inlineStr">
        <is>
          <t>Tool and Equipment  Engineering</t>
        </is>
      </c>
      <c r="N345" s="7" t="inlineStr">
        <is>
          <t>Electrical jobs</t>
        </is>
      </c>
      <c r="O345" s="11" t="n">
        <v>2</v>
      </c>
      <c r="P345" s="10" t="inlineStr">
        <is>
          <t>3-gang cover plate "Panasonic" model WEG6801-3WK</t>
        </is>
      </c>
      <c r="Q345" s="277" t="n">
        <v>6</v>
      </c>
      <c r="R345" s="5" t="inlineStr">
        <is>
          <t>PCS.</t>
        </is>
      </c>
      <c r="S345" s="284">
        <f>RawDataGenPO[[#This Row],[Total price]]/RawDataGenPO[[#This Row],[Qty'']]</f>
        <v/>
      </c>
      <c r="T345" s="285" t="n">
        <v>114</v>
      </c>
      <c r="U345" s="161" t="inlineStr">
        <is>
          <t>Puneet Approval</t>
        </is>
      </c>
      <c r="V345" s="7" t="inlineStr">
        <is>
          <t>V1000276 - SN. ELECTRIC AND SUPPLY CO., LTD.</t>
        </is>
      </c>
      <c r="W345" s="5" t="inlineStr">
        <is>
          <t>Recive bill and GRN already</t>
        </is>
      </c>
      <c r="X345" s="5" t="n"/>
      <c r="Y345" s="3" t="n">
        <v>45559</v>
      </c>
      <c r="Z345" s="3" t="n"/>
      <c r="AA345" s="17">
        <f>IF(RawDataGenPO[[#This Row],[Date Gen PO]]="","",RawDataGenPO[[#This Row],[Date recive bill]]-RawDataGenPO[[#This Row],[Date Gen PO]])</f>
        <v/>
      </c>
      <c r="AB345" s="16">
        <f>IF(RawDataGenPO[[#This Row],[GRN-PO date]]&gt;RawDataGenPO[[#This Row],[Lead time delivery (day)]],"over deliverry","Ontime")</f>
        <v/>
      </c>
      <c r="AC345" s="168" t="n"/>
    </row>
    <row r="346" ht="15" customFormat="1" customHeight="1" s="125">
      <c r="A346" s="5">
        <f>ROW()-ROW(RawDataGenPO[[#Headers],[No.]])</f>
        <v/>
      </c>
      <c r="B346" s="7" t="inlineStr">
        <is>
          <t>Expent  cost</t>
        </is>
      </c>
      <c r="C346" s="275" t="n">
        <v>45542</v>
      </c>
      <c r="D346" s="276" t="n"/>
      <c r="E346" s="276" t="n"/>
      <c r="F346" s="275" t="n">
        <v>45542</v>
      </c>
      <c r="G346" s="5" t="inlineStr">
        <is>
          <t>PR2425-03230</t>
        </is>
      </c>
      <c r="H346" s="200" t="inlineStr">
        <is>
          <t>PO2425-03532</t>
        </is>
      </c>
      <c r="I346" s="290">
        <f>IF(RawDataGenPO[[#This Row],[PO No.]]="","",RawDataGenPO[[#This Row],[DMY Create PR]]+7)</f>
        <v/>
      </c>
      <c r="J346" s="290" t="n"/>
      <c r="K346" s="20">
        <f>IF(RawDataGenPO[[#This Row],[PO No.]]="","",10)</f>
        <v/>
      </c>
      <c r="L346" s="5" t="inlineStr">
        <is>
          <t>SFST81000050</t>
        </is>
      </c>
      <c r="M346" s="7" t="inlineStr">
        <is>
          <t>Tool and Equipment  Engineering</t>
        </is>
      </c>
      <c r="N346" s="7" t="inlineStr">
        <is>
          <t>Electrical jobs</t>
        </is>
      </c>
      <c r="O346" s="11" t="n">
        <v>3</v>
      </c>
      <c r="P346" s="10" t="inlineStr">
        <is>
          <t>Dai To Shi surface box, ABS grade A, size 2x4 inch, white</t>
        </is>
      </c>
      <c r="Q346" s="277" t="n">
        <v>6</v>
      </c>
      <c r="R346" s="5" t="inlineStr">
        <is>
          <t>PCS.</t>
        </is>
      </c>
      <c r="S346" s="284">
        <f>RawDataGenPO[[#This Row],[Total price]]/RawDataGenPO[[#This Row],[Qty'']]</f>
        <v/>
      </c>
      <c r="T346" s="285" t="n">
        <v>60</v>
      </c>
      <c r="U346" s="161" t="inlineStr">
        <is>
          <t>Puneet Approval</t>
        </is>
      </c>
      <c r="V346" s="7" t="inlineStr">
        <is>
          <t>V1000276 - SN. ELECTRIC AND SUPPLY CO., LTD.</t>
        </is>
      </c>
      <c r="W346" s="5" t="inlineStr">
        <is>
          <t>Recive bill and GRN already</t>
        </is>
      </c>
      <c r="X346" s="5" t="n"/>
      <c r="Y346" s="3" t="n">
        <v>45559</v>
      </c>
      <c r="Z346" s="3" t="n"/>
      <c r="AA346" s="17">
        <f>IF(RawDataGenPO[[#This Row],[Date Gen PO]]="","",RawDataGenPO[[#This Row],[Date recive bill]]-RawDataGenPO[[#This Row],[Date Gen PO]])</f>
        <v/>
      </c>
      <c r="AB346" s="16">
        <f>IF(RawDataGenPO[[#This Row],[GRN-PO date]]&gt;RawDataGenPO[[#This Row],[Lead time delivery (day)]],"over deliverry","Ontime")</f>
        <v/>
      </c>
      <c r="AC346" s="168" t="n"/>
    </row>
    <row r="347" ht="30" customFormat="1" customHeight="1" s="125">
      <c r="A347" s="5">
        <f>ROW()-ROW(RawDataGenPO[[#Headers],[No.]])</f>
        <v/>
      </c>
      <c r="B347" s="7" t="inlineStr">
        <is>
          <t>Expent  cost</t>
        </is>
      </c>
      <c r="C347" s="275" t="n">
        <v>45542</v>
      </c>
      <c r="D347" s="276" t="n"/>
      <c r="E347" s="276" t="n"/>
      <c r="F347" s="275" t="n">
        <v>45542</v>
      </c>
      <c r="G347" s="5" t="inlineStr">
        <is>
          <t>PR2425-03230</t>
        </is>
      </c>
      <c r="H347" s="200" t="inlineStr">
        <is>
          <t>PO2425-03532</t>
        </is>
      </c>
      <c r="I347" s="290">
        <f>IF(RawDataGenPO[[#This Row],[PO No.]]="","",RawDataGenPO[[#This Row],[DMY Create PR]]+7)</f>
        <v/>
      </c>
      <c r="J347" s="290" t="n"/>
      <c r="K347" s="20">
        <f>IF(RawDataGenPO[[#This Row],[PO No.]]="","",10)</f>
        <v/>
      </c>
      <c r="L347" s="5" t="inlineStr">
        <is>
          <t>SFST81000050</t>
        </is>
      </c>
      <c r="M347" s="7" t="inlineStr">
        <is>
          <t>Tool and Equipment  Engineering</t>
        </is>
      </c>
      <c r="N347" s="7" t="inlineStr">
        <is>
          <t>Electrical jobs</t>
        </is>
      </c>
      <c r="O347" s="11" t="n">
        <v>4</v>
      </c>
      <c r="P347" s="10" t="inlineStr">
        <is>
          <t>Curved self-adhesive cable trunking model FD30
size 8H x 30 mm, length 2 m</t>
        </is>
      </c>
      <c r="Q347" s="277" t="n">
        <v>2</v>
      </c>
      <c r="R347" s="5" t="inlineStr">
        <is>
          <t>PCS.</t>
        </is>
      </c>
      <c r="S347" s="284">
        <f>RawDataGenPO[[#This Row],[Total price]]/RawDataGenPO[[#This Row],[Qty'']]</f>
        <v/>
      </c>
      <c r="T347" s="285" t="n">
        <v>220</v>
      </c>
      <c r="U347" s="161" t="inlineStr">
        <is>
          <t>Puneet Approval</t>
        </is>
      </c>
      <c r="V347" s="7" t="inlineStr">
        <is>
          <t>V1000276 - SN. ELECTRIC AND SUPPLY CO., LTD.</t>
        </is>
      </c>
      <c r="W347" s="5" t="inlineStr">
        <is>
          <t>Recive bill and GRN already</t>
        </is>
      </c>
      <c r="X347" s="5" t="n"/>
      <c r="Y347" s="3" t="n">
        <v>45559</v>
      </c>
      <c r="Z347" s="3" t="n"/>
      <c r="AA347" s="17">
        <f>IF(RawDataGenPO[[#This Row],[Date Gen PO]]="","",RawDataGenPO[[#This Row],[Date recive bill]]-RawDataGenPO[[#This Row],[Date Gen PO]])</f>
        <v/>
      </c>
      <c r="AB347" s="16">
        <f>IF(RawDataGenPO[[#This Row],[GRN-PO date]]&gt;RawDataGenPO[[#This Row],[Lead time delivery (day)]],"over deliverry","Ontime")</f>
        <v/>
      </c>
      <c r="AC347" s="168" t="n"/>
    </row>
    <row r="348" ht="15" customFormat="1" customHeight="1" s="125">
      <c r="A348" s="5">
        <f>ROW()-ROW(RawDataGenPO[[#Headers],[No.]])</f>
        <v/>
      </c>
      <c r="B348" s="7" t="inlineStr">
        <is>
          <t>Expent  cost</t>
        </is>
      </c>
      <c r="C348" s="275" t="n">
        <v>45542</v>
      </c>
      <c r="D348" s="276" t="n"/>
      <c r="E348" s="276" t="n"/>
      <c r="F348" s="275" t="n">
        <v>45542</v>
      </c>
      <c r="G348" s="5" t="inlineStr">
        <is>
          <t>PR2425-03230</t>
        </is>
      </c>
      <c r="H348" s="200" t="inlineStr">
        <is>
          <t>PO2425-03533</t>
        </is>
      </c>
      <c r="I348" s="290">
        <f>IF(RawDataGenPO[[#This Row],[PO No.]]="","",RawDataGenPO[[#This Row],[DMY Create PR]]+7)</f>
        <v/>
      </c>
      <c r="J348" s="290" t="n"/>
      <c r="K348" s="20">
        <f>IF(RawDataGenPO[[#This Row],[PO No.]]="","",10)</f>
        <v/>
      </c>
      <c r="L348" s="5" t="inlineStr">
        <is>
          <t>SFST81000050</t>
        </is>
      </c>
      <c r="M348" s="7" t="inlineStr">
        <is>
          <t>Tool and Equipment  Engineering</t>
        </is>
      </c>
      <c r="N348" s="7" t="inlineStr">
        <is>
          <t>Electrical jobs</t>
        </is>
      </c>
      <c r="O348" s="11" t="n">
        <v>1</v>
      </c>
      <c r="P348" s="10" t="inlineStr">
        <is>
          <t>Self-adhesive cable trunking "PRI" model T4, length 2 m</t>
        </is>
      </c>
      <c r="Q348" s="277" t="n">
        <v>12</v>
      </c>
      <c r="R348" s="5" t="inlineStr">
        <is>
          <t>PCS.</t>
        </is>
      </c>
      <c r="S348" s="284">
        <f>RawDataGenPO[[#This Row],[Total price]]/RawDataGenPO[[#This Row],[Qty'']]</f>
        <v/>
      </c>
      <c r="T348" s="285" t="n">
        <v>900</v>
      </c>
      <c r="U348" s="161" t="inlineStr">
        <is>
          <t>Puneet Approval</t>
        </is>
      </c>
      <c r="V348" s="7" t="inlineStr">
        <is>
          <t>V1000259 - JJP SUPPLY CO., LTD</t>
        </is>
      </c>
      <c r="W348" s="5" t="inlineStr">
        <is>
          <t>Recive bill and GRN already</t>
        </is>
      </c>
      <c r="X348" s="5" t="n"/>
      <c r="Y348" s="3" t="n">
        <v>45559</v>
      </c>
      <c r="Z348" s="3" t="n"/>
      <c r="AA348" s="17">
        <f>IF(RawDataGenPO[[#This Row],[Date Gen PO]]="","",RawDataGenPO[[#This Row],[Date recive bill]]-RawDataGenPO[[#This Row],[Date Gen PO]])</f>
        <v/>
      </c>
      <c r="AB348" s="16">
        <f>IF(RawDataGenPO[[#This Row],[GRN-PO date]]&gt;RawDataGenPO[[#This Row],[Lead time delivery (day)]],"over deliverry","Ontime")</f>
        <v/>
      </c>
      <c r="AC348" s="168" t="n"/>
    </row>
    <row r="349" ht="15" customFormat="1" customHeight="1" s="125">
      <c r="A349" s="5">
        <f>ROW()-ROW(RawDataGenPO[[#Headers],[No.]])</f>
        <v/>
      </c>
      <c r="B349" s="7" t="inlineStr">
        <is>
          <t>Expent  cost</t>
        </is>
      </c>
      <c r="C349" s="275" t="n">
        <v>45542</v>
      </c>
      <c r="D349" s="276" t="n"/>
      <c r="E349" s="276" t="n"/>
      <c r="F349" s="275" t="n">
        <v>45542</v>
      </c>
      <c r="G349" s="5" t="inlineStr">
        <is>
          <t>PR2425-03223</t>
        </is>
      </c>
      <c r="H349" s="5" t="inlineStr">
        <is>
          <t>PO2425-03534</t>
        </is>
      </c>
      <c r="I349" s="290">
        <f>IF(RawDataGenPO[[#This Row],[PO No.]]="","",RawDataGenPO[[#This Row],[DMY Create PR]]+7)</f>
        <v/>
      </c>
      <c r="J349" s="290" t="n"/>
      <c r="K349" s="20" t="n">
        <v>15</v>
      </c>
      <c r="L349" s="5" t="inlineStr">
        <is>
          <t>SFST81000050</t>
        </is>
      </c>
      <c r="M349" s="7" t="inlineStr">
        <is>
          <t>Tool and Equipment  Engineering</t>
        </is>
      </c>
      <c r="N349" s="7" t="inlineStr">
        <is>
          <t>Electrical jobs</t>
        </is>
      </c>
      <c r="O349" s="11" t="n">
        <v>1</v>
      </c>
      <c r="P349" s="10" t="inlineStr">
        <is>
          <t>Bticino" twin grounded outlet with safety shutters, M9025G</t>
        </is>
      </c>
      <c r="Q349" s="277" t="n">
        <v>10</v>
      </c>
      <c r="R349" s="5" t="inlineStr">
        <is>
          <t>PCS.</t>
        </is>
      </c>
      <c r="S349" s="284">
        <f>RawDataGenPO[[#This Row],[Total price]]/RawDataGenPO[[#This Row],[Qty'']]</f>
        <v/>
      </c>
      <c r="T349" s="285" t="n">
        <v>1250</v>
      </c>
      <c r="U349" s="161" t="inlineStr">
        <is>
          <t>Puneet Approval</t>
        </is>
      </c>
      <c r="V349" s="7" t="inlineStr">
        <is>
          <t>V1000276 - SN. ELECTRIC AND SUPPLY CO., LTD.</t>
        </is>
      </c>
      <c r="W349" s="5" t="inlineStr">
        <is>
          <t>Recive bill and GRN already</t>
        </is>
      </c>
      <c r="X349" s="5" t="n"/>
      <c r="Y349" s="3" t="n">
        <v>45560</v>
      </c>
      <c r="Z349" s="3" t="n"/>
      <c r="AA349" s="17">
        <f>IF(RawDataGenPO[[#This Row],[Date Gen PO]]="","",RawDataGenPO[[#This Row],[Date recive bill]]-RawDataGenPO[[#This Row],[Date Gen PO]])</f>
        <v/>
      </c>
      <c r="AB349" s="16">
        <f>IF(RawDataGenPO[[#This Row],[GRN-PO date]]&gt;RawDataGenPO[[#This Row],[Lead time delivery (day)]],"over deliverry","Ontime")</f>
        <v/>
      </c>
      <c r="AC349" s="168" t="n"/>
    </row>
    <row r="350" ht="15" customFormat="1" customHeight="1" s="125">
      <c r="A350" s="5">
        <f>ROW()-ROW(RawDataGenPO[[#Headers],[No.]])</f>
        <v/>
      </c>
      <c r="B350" s="7" t="inlineStr">
        <is>
          <t>Expent  cost</t>
        </is>
      </c>
      <c r="C350" s="275" t="n">
        <v>45542</v>
      </c>
      <c r="D350" s="276" t="n"/>
      <c r="E350" s="276" t="n"/>
      <c r="F350" s="275" t="n">
        <v>45542</v>
      </c>
      <c r="G350" s="5" t="inlineStr">
        <is>
          <t>PR2425-03223</t>
        </is>
      </c>
      <c r="H350" s="5" t="inlineStr">
        <is>
          <t>PO2425-03534</t>
        </is>
      </c>
      <c r="I350" s="290">
        <f>IF(RawDataGenPO[[#This Row],[PO No.]]="","",RawDataGenPO[[#This Row],[DMY Create PR]]+7)</f>
        <v/>
      </c>
      <c r="J350" s="290" t="n"/>
      <c r="K350" s="20" t="n">
        <v>15</v>
      </c>
      <c r="L350" s="5" t="inlineStr">
        <is>
          <t>SFST81000050</t>
        </is>
      </c>
      <c r="M350" s="7" t="inlineStr">
        <is>
          <t>Tool and Equipment  Engineering</t>
        </is>
      </c>
      <c r="N350" s="7" t="inlineStr">
        <is>
          <t>Electrical jobs</t>
        </is>
      </c>
      <c r="O350" s="11" t="n">
        <v>2</v>
      </c>
      <c r="P350" s="10" t="inlineStr">
        <is>
          <t>HACO" waterproof angled recessed socket 5P 32A #4252-6V</t>
        </is>
      </c>
      <c r="Q350" s="277" t="n">
        <v>6</v>
      </c>
      <c r="R350" s="5" t="inlineStr">
        <is>
          <t>PCS.</t>
        </is>
      </c>
      <c r="S350" s="284">
        <f>RawDataGenPO[[#This Row],[Total price]]/RawDataGenPO[[#This Row],[Qty'']]</f>
        <v/>
      </c>
      <c r="T350" s="285" t="n">
        <v>2400</v>
      </c>
      <c r="U350" s="161" t="inlineStr">
        <is>
          <t>Puneet Approval</t>
        </is>
      </c>
      <c r="V350" s="7" t="inlineStr">
        <is>
          <t>V1000276 - SN. ELECTRIC AND SUPPLY CO., LTD.</t>
        </is>
      </c>
      <c r="W350" s="5" t="inlineStr">
        <is>
          <t>Recive bill and GRN already</t>
        </is>
      </c>
      <c r="X350" s="5" t="n"/>
      <c r="Y350" s="3" t="n">
        <v>45560</v>
      </c>
      <c r="Z350" s="3" t="n"/>
      <c r="AA350" s="17">
        <f>IF(RawDataGenPO[[#This Row],[Date Gen PO]]="","",RawDataGenPO[[#This Row],[Date recive bill]]-RawDataGenPO[[#This Row],[Date Gen PO]])</f>
        <v/>
      </c>
      <c r="AB350" s="16">
        <f>IF(RawDataGenPO[[#This Row],[GRN-PO date]]&gt;RawDataGenPO[[#This Row],[Lead time delivery (day)]],"over deliverry","Ontime")</f>
        <v/>
      </c>
      <c r="AC350" s="168" t="n"/>
    </row>
    <row r="351" ht="15" customFormat="1" customHeight="1" s="125">
      <c r="A351" s="5">
        <f>ROW()-ROW(RawDataGenPO[[#Headers],[No.]])</f>
        <v/>
      </c>
      <c r="B351" s="7" t="inlineStr">
        <is>
          <t>Expent  cost</t>
        </is>
      </c>
      <c r="C351" s="275" t="n">
        <v>45542</v>
      </c>
      <c r="D351" s="276" t="n"/>
      <c r="E351" s="276" t="n"/>
      <c r="F351" s="275" t="n">
        <v>45542</v>
      </c>
      <c r="G351" s="5" t="inlineStr">
        <is>
          <t>PR2425-03223</t>
        </is>
      </c>
      <c r="H351" s="5" t="inlineStr">
        <is>
          <t>PO2425-03534</t>
        </is>
      </c>
      <c r="I351" s="290">
        <f>IF(RawDataGenPO[[#This Row],[PO No.]]="","",RawDataGenPO[[#This Row],[DMY Create PR]]+7)</f>
        <v/>
      </c>
      <c r="J351" s="290" t="n"/>
      <c r="K351" s="20" t="n">
        <v>15</v>
      </c>
      <c r="L351" s="5" t="inlineStr">
        <is>
          <t>SFST81000050</t>
        </is>
      </c>
      <c r="M351" s="7" t="inlineStr">
        <is>
          <t>Tool and Equipment  Engineering</t>
        </is>
      </c>
      <c r="N351" s="7" t="inlineStr">
        <is>
          <t>Electrical jobs</t>
        </is>
      </c>
      <c r="O351" s="11" t="n">
        <v>3</v>
      </c>
      <c r="P351" s="10" t="inlineStr">
        <is>
          <t>HACO" waterproof male power plug 5P 32A #0252-6V</t>
        </is>
      </c>
      <c r="Q351" s="277" t="n">
        <v>6</v>
      </c>
      <c r="R351" s="5" t="inlineStr">
        <is>
          <t>PCS.</t>
        </is>
      </c>
      <c r="S351" s="284">
        <f>RawDataGenPO[[#This Row],[Total price]]/RawDataGenPO[[#This Row],[Qty'']]</f>
        <v/>
      </c>
      <c r="T351" s="285" t="n">
        <v>2310</v>
      </c>
      <c r="U351" s="161" t="inlineStr">
        <is>
          <t>Puneet Approval</t>
        </is>
      </c>
      <c r="V351" s="7" t="inlineStr">
        <is>
          <t>V1000276 - SN. ELECTRIC AND SUPPLY CO., LTD.</t>
        </is>
      </c>
      <c r="W351" s="5" t="inlineStr">
        <is>
          <t>Recive bill and GRN already</t>
        </is>
      </c>
      <c r="X351" s="5" t="n"/>
      <c r="Y351" s="3" t="n">
        <v>45560</v>
      </c>
      <c r="Z351" s="3" t="n"/>
      <c r="AA351" s="17">
        <f>IF(RawDataGenPO[[#This Row],[Date Gen PO]]="","",RawDataGenPO[[#This Row],[Date recive bill]]-RawDataGenPO[[#This Row],[Date Gen PO]])</f>
        <v/>
      </c>
      <c r="AB351" s="16">
        <f>IF(RawDataGenPO[[#This Row],[GRN-PO date]]&gt;RawDataGenPO[[#This Row],[Lead time delivery (day)]],"over deliverry","Ontime")</f>
        <v/>
      </c>
      <c r="AC351" s="168" t="n"/>
    </row>
    <row r="352" ht="15" customFormat="1" customHeight="1" s="125">
      <c r="A352" s="5">
        <f>ROW()-ROW(RawDataGenPO[[#Headers],[No.]])</f>
        <v/>
      </c>
      <c r="B352" s="7" t="inlineStr">
        <is>
          <t>Expent  cost</t>
        </is>
      </c>
      <c r="C352" s="275" t="n">
        <v>45542</v>
      </c>
      <c r="D352" s="276" t="n"/>
      <c r="E352" s="276" t="n"/>
      <c r="F352" s="275" t="n">
        <v>45542</v>
      </c>
      <c r="G352" s="5" t="inlineStr">
        <is>
          <t>PR2425-03221</t>
        </is>
      </c>
      <c r="H352" s="5" t="inlineStr">
        <is>
          <t>PO2425-03536</t>
        </is>
      </c>
      <c r="I352" s="290">
        <f>IF(RawDataGenPO[[#This Row],[PO No.]]="","",RawDataGenPO[[#This Row],[DMY Create PR]]+7)</f>
        <v/>
      </c>
      <c r="J352" s="290" t="n"/>
      <c r="K352" s="20" t="n">
        <v>20</v>
      </c>
      <c r="L352" s="5" t="inlineStr">
        <is>
          <t>SFST81000050</t>
        </is>
      </c>
      <c r="M352" s="7" t="inlineStr">
        <is>
          <t>Tool and Equipment  Engineering</t>
        </is>
      </c>
      <c r="N352" s="7" t="inlineStr">
        <is>
          <t>Cevil jobs</t>
        </is>
      </c>
      <c r="O352" s="11" t="n">
        <v>1</v>
      </c>
      <c r="P352" s="10" t="inlineStr">
        <is>
          <t>Tiger Super mixed cement for masonry, plastering, casting, 40 kg</t>
        </is>
      </c>
      <c r="Q352" s="277" t="n">
        <v>2</v>
      </c>
      <c r="R352" s="5" t="inlineStr">
        <is>
          <t>PCS.</t>
        </is>
      </c>
      <c r="S352" s="284">
        <f>RawDataGenPO[[#This Row],[Total price]]/RawDataGenPO[[#This Row],[Qty'']]</f>
        <v/>
      </c>
      <c r="T352" s="285" t="n">
        <v>490</v>
      </c>
      <c r="U352" s="161" t="inlineStr">
        <is>
          <t>Puneet Approval</t>
        </is>
      </c>
      <c r="V352" s="7" t="inlineStr">
        <is>
          <t>V1000259 - JJP SUPPLY CO., LTD</t>
        </is>
      </c>
      <c r="W352" s="5" t="inlineStr">
        <is>
          <t>Recive bill and GRN already</t>
        </is>
      </c>
      <c r="X352" s="5" t="n"/>
      <c r="Y352" s="3" t="n">
        <v>45569</v>
      </c>
      <c r="Z352" s="3" t="n"/>
      <c r="AA352" s="17">
        <f>IF(RawDataGenPO[[#This Row],[Date Gen PO]]="","",RawDataGenPO[[#This Row],[Date recive bill]]-RawDataGenPO[[#This Row],[Date Gen PO]])</f>
        <v/>
      </c>
      <c r="AB352" s="16">
        <f>IF(RawDataGenPO[[#This Row],[GRN-PO date]]&gt;RawDataGenPO[[#This Row],[Lead time delivery (day)]],"over deliverry","Ontime")</f>
        <v/>
      </c>
      <c r="AC352" s="168" t="n"/>
    </row>
    <row r="353" ht="15" customFormat="1" customHeight="1" s="125">
      <c r="A353" s="5">
        <f>ROW()-ROW(RawDataGenPO[[#Headers],[No.]])</f>
        <v/>
      </c>
      <c r="B353" s="7" t="inlineStr">
        <is>
          <t>Expent  cost</t>
        </is>
      </c>
      <c r="C353" s="275" t="n">
        <v>45541</v>
      </c>
      <c r="D353" s="276" t="n"/>
      <c r="E353" s="276" t="n"/>
      <c r="F353" s="275" t="n">
        <v>45541</v>
      </c>
      <c r="G353" s="5" t="inlineStr">
        <is>
          <t>PR2425-03219</t>
        </is>
      </c>
      <c r="H353" s="5" t="inlineStr">
        <is>
          <t>PO2425-03537</t>
        </is>
      </c>
      <c r="I353" s="290">
        <f>IF(RawDataGenPO[[#This Row],[PO No.]]="","",RawDataGenPO[[#This Row],[DMY Create PR]]+7)</f>
        <v/>
      </c>
      <c r="J353" s="290" t="n"/>
      <c r="K353" s="20" t="n">
        <v>15</v>
      </c>
      <c r="L353" s="5" t="inlineStr">
        <is>
          <t>SFST81000050</t>
        </is>
      </c>
      <c r="M353" s="7" t="inlineStr">
        <is>
          <t>Tool and Equipment  Engineering</t>
        </is>
      </c>
      <c r="N353" s="7" t="inlineStr">
        <is>
          <t>Cevil jobs</t>
        </is>
      </c>
      <c r="O353" s="11" t="n">
        <v>1</v>
      </c>
      <c r="P353" s="10" t="inlineStr">
        <is>
          <t>2-fold locking hasp, stainless steel 304, size 4 inch</t>
        </is>
      </c>
      <c r="Q353" s="277" t="n">
        <v>10</v>
      </c>
      <c r="R353" s="5" t="inlineStr">
        <is>
          <t>PCS.</t>
        </is>
      </c>
      <c r="S353" s="284">
        <f>RawDataGenPO[[#This Row],[Total price]]/RawDataGenPO[[#This Row],[Qty'']]</f>
        <v/>
      </c>
      <c r="T353" s="285" t="n">
        <v>1250</v>
      </c>
      <c r="U353" s="161" t="inlineStr">
        <is>
          <t>Puneet Approval</t>
        </is>
      </c>
      <c r="V353" s="7" t="inlineStr">
        <is>
          <t>V1000259 - JJP SUPPLY CO., LTD</t>
        </is>
      </c>
      <c r="W353" s="5" t="inlineStr">
        <is>
          <t>Recive bill and GRN already</t>
        </is>
      </c>
      <c r="X353" s="5" t="n"/>
      <c r="Y353" s="3" t="n">
        <v>45559</v>
      </c>
      <c r="Z353" s="3" t="n"/>
      <c r="AA353" s="17">
        <f>IF(RawDataGenPO[[#This Row],[Date Gen PO]]="","",RawDataGenPO[[#This Row],[Date recive bill]]-RawDataGenPO[[#This Row],[Date Gen PO]])</f>
        <v/>
      </c>
      <c r="AB353" s="16">
        <f>IF(RawDataGenPO[[#This Row],[GRN-PO date]]&gt;RawDataGenPO[[#This Row],[Lead time delivery (day)]],"over deliverry","Ontime")</f>
        <v/>
      </c>
      <c r="AC353" s="168" t="n"/>
    </row>
    <row r="354" ht="15" customFormat="1" customHeight="1" s="125">
      <c r="A354" s="5">
        <f>ROW()-ROW(RawDataGenPO[[#Headers],[No.]])</f>
        <v/>
      </c>
      <c r="B354" s="7" t="inlineStr">
        <is>
          <t>Expent  cost</t>
        </is>
      </c>
      <c r="C354" s="275" t="n">
        <v>45545</v>
      </c>
      <c r="D354" s="276" t="n"/>
      <c r="E354" s="276" t="n"/>
      <c r="F354" s="275" t="n">
        <v>45545</v>
      </c>
      <c r="G354" s="5" t="inlineStr">
        <is>
          <t>PR2425-03271</t>
        </is>
      </c>
      <c r="H354" s="5" t="inlineStr">
        <is>
          <t>PO2425-03539</t>
        </is>
      </c>
      <c r="I354" s="290">
        <f>IF(RawDataGenPO[[#This Row],[PO No.]]="","",RawDataGenPO[[#This Row],[DMY Create PR]]+7)</f>
        <v/>
      </c>
      <c r="J354" s="290" t="n"/>
      <c r="K354" s="20">
        <f>IF(RawDataGenPO[[#This Row],[PO No.]]="","",10)</f>
        <v/>
      </c>
      <c r="L354" s="5" t="inlineStr">
        <is>
          <t>SFST81000048</t>
        </is>
      </c>
      <c r="M354" s="7" t="inlineStr">
        <is>
          <t>PD Machine</t>
        </is>
      </c>
      <c r="N354" s="7" t="inlineStr">
        <is>
          <t>Condencer Unit No.33 (Ice Maker)</t>
        </is>
      </c>
      <c r="O354" s="11" t="n">
        <v>1</v>
      </c>
      <c r="P354" s="10" t="inlineStr">
        <is>
          <t>Emerson oil separator 1 1/8 IN#4-wz 55889</t>
        </is>
      </c>
      <c r="Q354" s="277" t="n">
        <v>1</v>
      </c>
      <c r="R354" s="5" t="inlineStr">
        <is>
          <t>JOB</t>
        </is>
      </c>
      <c r="S354" s="284">
        <f>RawDataGenPO[[#This Row],[Total price]]/RawDataGenPO[[#This Row],[Qty'']]</f>
        <v/>
      </c>
      <c r="T354" s="303" t="n">
        <v>5500</v>
      </c>
      <c r="U354" s="161" t="inlineStr">
        <is>
          <t>Puneet Approval</t>
        </is>
      </c>
      <c r="V354" s="7" t="inlineStr">
        <is>
          <t>V1000654 - A AND B REFRIGERATION CO., LTD.</t>
        </is>
      </c>
      <c r="W354" s="5" t="inlineStr">
        <is>
          <t>Recive bill and GRN already</t>
        </is>
      </c>
      <c r="X354" s="5" t="n"/>
      <c r="Y354" s="3" t="n">
        <v>45560</v>
      </c>
      <c r="Z354" s="3" t="n"/>
      <c r="AA354" s="17">
        <f>IF(RawDataGenPO[[#This Row],[Date Gen PO]]="","",RawDataGenPO[[#This Row],[Date recive bill]]-RawDataGenPO[[#This Row],[Date Gen PO]])</f>
        <v/>
      </c>
      <c r="AB354" s="16">
        <f>IF(RawDataGenPO[[#This Row],[GRN-PO date]]&gt;RawDataGenPO[[#This Row],[Lead time delivery (day)]],"over deliverry","Ontime")</f>
        <v/>
      </c>
      <c r="AC354" s="168" t="n"/>
    </row>
    <row r="355" ht="15" customFormat="1" customHeight="1" s="125">
      <c r="A355" s="5">
        <f>ROW()-ROW(RawDataGenPO[[#Headers],[No.]])</f>
        <v/>
      </c>
      <c r="B355" s="7" t="inlineStr">
        <is>
          <t>Expent  cost</t>
        </is>
      </c>
      <c r="C355" s="275" t="n">
        <v>45545</v>
      </c>
      <c r="D355" s="276" t="n"/>
      <c r="E355" s="276" t="n"/>
      <c r="F355" s="275" t="n">
        <v>45545</v>
      </c>
      <c r="G355" s="5" t="inlineStr">
        <is>
          <t>PR2425-03271</t>
        </is>
      </c>
      <c r="H355" s="5" t="inlineStr">
        <is>
          <t>PO2425-03539</t>
        </is>
      </c>
      <c r="I355" s="290">
        <f>IF(RawDataGenPO[[#This Row],[PO No.]]="","",RawDataGenPO[[#This Row],[DMY Create PR]]+7)</f>
        <v/>
      </c>
      <c r="J355" s="290" t="n"/>
      <c r="K355" s="20">
        <f>IF(RawDataGenPO[[#This Row],[PO No.]]="","",10)</f>
        <v/>
      </c>
      <c r="L355" s="5" t="inlineStr">
        <is>
          <t>SFST81000048</t>
        </is>
      </c>
      <c r="M355" s="7" t="inlineStr">
        <is>
          <t>PD Machine</t>
        </is>
      </c>
      <c r="N355" s="7" t="inlineStr">
        <is>
          <t>Condencer Unit No.33 (Ice Maker)</t>
        </is>
      </c>
      <c r="O355" s="11" t="n">
        <v>2</v>
      </c>
      <c r="P355" s="10" t="inlineStr">
        <is>
          <t>DANFOSS check valve NRV 28S 1  1/8 In #020-1021</t>
        </is>
      </c>
      <c r="Q355" s="277" t="n">
        <v>1</v>
      </c>
      <c r="R355" s="5" t="inlineStr">
        <is>
          <t>JOB</t>
        </is>
      </c>
      <c r="S355" s="284">
        <f>RawDataGenPO[[#This Row],[Total price]]/RawDataGenPO[[#This Row],[Qty'']]</f>
        <v/>
      </c>
      <c r="T355" s="303" t="n">
        <v>4000</v>
      </c>
      <c r="U355" s="161" t="inlineStr">
        <is>
          <t>Puneet Approval</t>
        </is>
      </c>
      <c r="V355" s="7" t="inlineStr">
        <is>
          <t>V1000654 - A AND B REFRIGERATION CO., LTD.</t>
        </is>
      </c>
      <c r="W355" s="5" t="inlineStr">
        <is>
          <t>Recive bill and GRN already</t>
        </is>
      </c>
      <c r="X355" s="5" t="n"/>
      <c r="Y355" s="3" t="n">
        <v>45560</v>
      </c>
      <c r="Z355" s="3" t="n"/>
      <c r="AA355" s="17">
        <f>IF(RawDataGenPO[[#This Row],[Date Gen PO]]="","",RawDataGenPO[[#This Row],[Date recive bill]]-RawDataGenPO[[#This Row],[Date Gen PO]])</f>
        <v/>
      </c>
      <c r="AB355" s="16">
        <f>IF(RawDataGenPO[[#This Row],[GRN-PO date]]&gt;RawDataGenPO[[#This Row],[Lead time delivery (day)]],"over deliverry","Ontime")</f>
        <v/>
      </c>
      <c r="AC355" s="168" t="n"/>
    </row>
    <row r="356" ht="15" customFormat="1" customHeight="1" s="125">
      <c r="A356" s="5">
        <f>ROW()-ROW(RawDataGenPO[[#Headers],[No.]])</f>
        <v/>
      </c>
      <c r="B356" s="7" t="inlineStr">
        <is>
          <t>Expent  cost</t>
        </is>
      </c>
      <c r="C356" s="275" t="n">
        <v>45545</v>
      </c>
      <c r="D356" s="276" t="n"/>
      <c r="E356" s="276" t="n"/>
      <c r="F356" s="275" t="n">
        <v>45545</v>
      </c>
      <c r="G356" s="5" t="inlineStr">
        <is>
          <t>PR2425-03271</t>
        </is>
      </c>
      <c r="H356" s="5" t="inlineStr">
        <is>
          <t>PO2425-03539</t>
        </is>
      </c>
      <c r="I356" s="290">
        <f>IF(RawDataGenPO[[#This Row],[PO No.]]="","",RawDataGenPO[[#This Row],[DMY Create PR]]+7)</f>
        <v/>
      </c>
      <c r="J356" s="290" t="n"/>
      <c r="K356" s="20">
        <f>IF(RawDataGenPO[[#This Row],[PO No.]]="","",10)</f>
        <v/>
      </c>
      <c r="L356" s="5" t="inlineStr">
        <is>
          <t>SFST81000048</t>
        </is>
      </c>
      <c r="M356" s="7" t="inlineStr">
        <is>
          <t>PD Machine</t>
        </is>
      </c>
      <c r="N356" s="7" t="inlineStr">
        <is>
          <t>Condencer Unit No.33 (Ice Maker)</t>
        </is>
      </c>
      <c r="O356" s="11" t="n">
        <v>3</v>
      </c>
      <c r="P356" s="10" t="inlineStr">
        <is>
          <t>DANFOSS drier model 48F</t>
        </is>
      </c>
      <c r="Q356" s="277" t="n">
        <v>1</v>
      </c>
      <c r="R356" s="5" t="inlineStr">
        <is>
          <t>JOB</t>
        </is>
      </c>
      <c r="S356" s="284">
        <f>RawDataGenPO[[#This Row],[Total price]]/RawDataGenPO[[#This Row],[Qty'']]</f>
        <v/>
      </c>
      <c r="T356" s="303" t="n">
        <v>1800</v>
      </c>
      <c r="U356" s="161" t="inlineStr">
        <is>
          <t>Puneet Approval</t>
        </is>
      </c>
      <c r="V356" s="7" t="inlineStr">
        <is>
          <t>V1000654 - A AND B REFRIGERATION CO., LTD.</t>
        </is>
      </c>
      <c r="W356" s="5" t="inlineStr">
        <is>
          <t>Recive bill and GRN already</t>
        </is>
      </c>
      <c r="X356" s="5" t="n"/>
      <c r="Y356" s="3" t="n">
        <v>45560</v>
      </c>
      <c r="Z356" s="3" t="n"/>
      <c r="AA356" s="17">
        <f>IF(RawDataGenPO[[#This Row],[Date Gen PO]]="","",RawDataGenPO[[#This Row],[Date recive bill]]-RawDataGenPO[[#This Row],[Date Gen PO]])</f>
        <v/>
      </c>
      <c r="AB356" s="16">
        <f>IF(RawDataGenPO[[#This Row],[GRN-PO date]]&gt;RawDataGenPO[[#This Row],[Lead time delivery (day)]],"over deliverry","Ontime")</f>
        <v/>
      </c>
      <c r="AC356" s="168" t="n"/>
    </row>
    <row r="357" ht="15" customFormat="1" customHeight="1" s="125">
      <c r="A357" s="5">
        <f>ROW()-ROW(RawDataGenPO[[#Headers],[No.]])</f>
        <v/>
      </c>
      <c r="B357" s="7" t="inlineStr">
        <is>
          <t>Expent  cost</t>
        </is>
      </c>
      <c r="C357" s="275" t="n">
        <v>45545</v>
      </c>
      <c r="D357" s="276" t="n"/>
      <c r="E357" s="276" t="n"/>
      <c r="F357" s="275" t="n">
        <v>45545</v>
      </c>
      <c r="G357" s="5" t="inlineStr">
        <is>
          <t>PR2425-03271</t>
        </is>
      </c>
      <c r="H357" s="5" t="inlineStr">
        <is>
          <t>PO2425-03539</t>
        </is>
      </c>
      <c r="I357" s="290">
        <f>IF(RawDataGenPO[[#This Row],[PO No.]]="","",RawDataGenPO[[#This Row],[DMY Create PR]]+7)</f>
        <v/>
      </c>
      <c r="J357" s="290" t="n"/>
      <c r="K357" s="20">
        <f>IF(RawDataGenPO[[#This Row],[PO No.]]="","",10)</f>
        <v/>
      </c>
      <c r="L357" s="5" t="inlineStr">
        <is>
          <t>SFST81000048</t>
        </is>
      </c>
      <c r="M357" s="7" t="inlineStr">
        <is>
          <t>PD Machine</t>
        </is>
      </c>
      <c r="N357" s="7" t="inlineStr">
        <is>
          <t>Condencer Unit No.33 (Ice Maker)</t>
        </is>
      </c>
      <c r="O357" s="11" t="n">
        <v>4</v>
      </c>
      <c r="P357" s="10" t="inlineStr">
        <is>
          <t>DANFOSS Pressure control 1/4 N KP15</t>
        </is>
      </c>
      <c r="Q357" s="277" t="n">
        <v>1</v>
      </c>
      <c r="R357" s="5" t="inlineStr">
        <is>
          <t>JOB</t>
        </is>
      </c>
      <c r="S357" s="284">
        <f>RawDataGenPO[[#This Row],[Total price]]/RawDataGenPO[[#This Row],[Qty'']]</f>
        <v/>
      </c>
      <c r="T357" s="303" t="n">
        <v>4500</v>
      </c>
      <c r="U357" s="161" t="inlineStr">
        <is>
          <t>Puneet Approval</t>
        </is>
      </c>
      <c r="V357" s="7" t="inlineStr">
        <is>
          <t>V1000654 - A AND B REFRIGERATION CO., LTD.</t>
        </is>
      </c>
      <c r="W357" s="5" t="inlineStr">
        <is>
          <t>Recive bill and GRN already</t>
        </is>
      </c>
      <c r="X357" s="5" t="n"/>
      <c r="Y357" s="3" t="n">
        <v>45560</v>
      </c>
      <c r="Z357" s="3" t="n"/>
      <c r="AA357" s="17">
        <f>IF(RawDataGenPO[[#This Row],[Date Gen PO]]="","",RawDataGenPO[[#This Row],[Date recive bill]]-RawDataGenPO[[#This Row],[Date Gen PO]])</f>
        <v/>
      </c>
      <c r="AB357" s="16">
        <f>IF(RawDataGenPO[[#This Row],[GRN-PO date]]&gt;RawDataGenPO[[#This Row],[Lead time delivery (day)]],"over deliverry","Ontime")</f>
        <v/>
      </c>
      <c r="AC357" s="168" t="n"/>
    </row>
    <row r="358" ht="15" customFormat="1" customHeight="1" s="125">
      <c r="A358" s="5">
        <f>ROW()-ROW(RawDataGenPO[[#Headers],[No.]])</f>
        <v/>
      </c>
      <c r="B358" s="7" t="inlineStr">
        <is>
          <t>Expent  cost</t>
        </is>
      </c>
      <c r="C358" s="275" t="n">
        <v>45545</v>
      </c>
      <c r="D358" s="276" t="n"/>
      <c r="E358" s="276" t="n"/>
      <c r="F358" s="275" t="n">
        <v>45545</v>
      </c>
      <c r="G358" s="5" t="inlineStr">
        <is>
          <t>PR2425-03271</t>
        </is>
      </c>
      <c r="H358" s="5" t="inlineStr">
        <is>
          <t>PO2425-03539</t>
        </is>
      </c>
      <c r="I358" s="290">
        <f>IF(RawDataGenPO[[#This Row],[PO No.]]="","",RawDataGenPO[[#This Row],[DMY Create PR]]+7)</f>
        <v/>
      </c>
      <c r="J358" s="290" t="n"/>
      <c r="K358" s="20">
        <f>IF(RawDataGenPO[[#This Row],[PO No.]]="","",10)</f>
        <v/>
      </c>
      <c r="L358" s="5" t="inlineStr">
        <is>
          <t>SFST81000048</t>
        </is>
      </c>
      <c r="M358" s="7" t="inlineStr">
        <is>
          <t>PD Machine</t>
        </is>
      </c>
      <c r="N358" s="7" t="inlineStr">
        <is>
          <t>Condencer Unit No.33 (Ice Maker)</t>
        </is>
      </c>
      <c r="O358" s="11" t="n">
        <v>5</v>
      </c>
      <c r="P358" s="10" t="inlineStr">
        <is>
          <t>DANFOSS differental oil pressure control MP55</t>
        </is>
      </c>
      <c r="Q358" s="277" t="n">
        <v>1</v>
      </c>
      <c r="R358" s="5" t="inlineStr">
        <is>
          <t>JOB</t>
        </is>
      </c>
      <c r="S358" s="284">
        <f>RawDataGenPO[[#This Row],[Total price]]/RawDataGenPO[[#This Row],[Qty'']]</f>
        <v/>
      </c>
      <c r="T358" s="303" t="n">
        <v>5700</v>
      </c>
      <c r="U358" s="161" t="inlineStr">
        <is>
          <t>Puneet Approval</t>
        </is>
      </c>
      <c r="V358" s="7" t="inlineStr">
        <is>
          <t>V1000654 - A AND B REFRIGERATION CO., LTD.</t>
        </is>
      </c>
      <c r="W358" s="5" t="inlineStr">
        <is>
          <t>Recive bill and GRN already</t>
        </is>
      </c>
      <c r="X358" s="5" t="n"/>
      <c r="Y358" s="3" t="n">
        <v>45560</v>
      </c>
      <c r="Z358" s="3" t="n"/>
      <c r="AA358" s="17">
        <f>IF(RawDataGenPO[[#This Row],[Date Gen PO]]="","",RawDataGenPO[[#This Row],[Date recive bill]]-RawDataGenPO[[#This Row],[Date Gen PO]])</f>
        <v/>
      </c>
      <c r="AB358" s="16">
        <f>IF(RawDataGenPO[[#This Row],[GRN-PO date]]&gt;RawDataGenPO[[#This Row],[Lead time delivery (day)]],"over deliverry","Ontime")</f>
        <v/>
      </c>
      <c r="AC358" s="168" t="n"/>
    </row>
    <row r="359" ht="15" customFormat="1" customHeight="1" s="125">
      <c r="A359" s="5">
        <f>ROW()-ROW(RawDataGenPO[[#Headers],[No.]])</f>
        <v/>
      </c>
      <c r="B359" s="7" t="inlineStr">
        <is>
          <t>Expent  cost</t>
        </is>
      </c>
      <c r="C359" s="275" t="n">
        <v>45545</v>
      </c>
      <c r="D359" s="276" t="n"/>
      <c r="E359" s="276" t="n"/>
      <c r="F359" s="275" t="n">
        <v>45545</v>
      </c>
      <c r="G359" s="5" t="inlineStr">
        <is>
          <t>PR2425-03271</t>
        </is>
      </c>
      <c r="H359" s="5" t="inlineStr">
        <is>
          <t>PO2425-03539</t>
        </is>
      </c>
      <c r="I359" s="290">
        <f>IF(RawDataGenPO[[#This Row],[PO No.]]="","",RawDataGenPO[[#This Row],[DMY Create PR]]+7)</f>
        <v/>
      </c>
      <c r="J359" s="290" t="n"/>
      <c r="K359" s="20">
        <f>IF(RawDataGenPO[[#This Row],[PO No.]]="","",10)</f>
        <v/>
      </c>
      <c r="L359" s="5" t="inlineStr">
        <is>
          <t>SFST81000048</t>
        </is>
      </c>
      <c r="M359" s="7" t="inlineStr">
        <is>
          <t>PD Machine</t>
        </is>
      </c>
      <c r="N359" s="7" t="inlineStr">
        <is>
          <t>Condencer Unit No.33 (Ice Maker)</t>
        </is>
      </c>
      <c r="O359" s="11" t="n">
        <v>6</v>
      </c>
      <c r="P359" s="10" t="inlineStr">
        <is>
          <t>Refrigerant freon F9000 for system flushing</t>
        </is>
      </c>
      <c r="Q359" s="277" t="n">
        <v>1</v>
      </c>
      <c r="R359" s="5" t="inlineStr">
        <is>
          <t>JOB</t>
        </is>
      </c>
      <c r="S359" s="284">
        <f>RawDataGenPO[[#This Row],[Total price]]/RawDataGenPO[[#This Row],[Qty'']]</f>
        <v/>
      </c>
      <c r="T359" s="303" t="n">
        <v>4500</v>
      </c>
      <c r="U359" s="161" t="inlineStr">
        <is>
          <t>Puneet Approval</t>
        </is>
      </c>
      <c r="V359" s="7" t="inlineStr">
        <is>
          <t>V1000654 - A AND B REFRIGERATION CO., LTD.</t>
        </is>
      </c>
      <c r="W359" s="5" t="inlineStr">
        <is>
          <t>Recive bill and GRN already</t>
        </is>
      </c>
      <c r="X359" s="5" t="n"/>
      <c r="Y359" s="3" t="n">
        <v>45560</v>
      </c>
      <c r="Z359" s="3" t="n"/>
      <c r="AA359" s="17">
        <f>IF(RawDataGenPO[[#This Row],[Date Gen PO]]="","",RawDataGenPO[[#This Row],[Date recive bill]]-RawDataGenPO[[#This Row],[Date Gen PO]])</f>
        <v/>
      </c>
      <c r="AB359" s="16">
        <f>IF(RawDataGenPO[[#This Row],[GRN-PO date]]&gt;RawDataGenPO[[#This Row],[Lead time delivery (day)]],"over deliverry","Ontime")</f>
        <v/>
      </c>
      <c r="AC359" s="168" t="n"/>
    </row>
    <row r="360" ht="15" customFormat="1" customHeight="1" s="125">
      <c r="A360" s="5">
        <f>ROW()-ROW(RawDataGenPO[[#Headers],[No.]])</f>
        <v/>
      </c>
      <c r="B360" s="7" t="inlineStr">
        <is>
          <t>Expent  cost</t>
        </is>
      </c>
      <c r="C360" s="275" t="n">
        <v>45545</v>
      </c>
      <c r="D360" s="276" t="n"/>
      <c r="E360" s="276" t="n"/>
      <c r="F360" s="275" t="n">
        <v>45545</v>
      </c>
      <c r="G360" s="5" t="inlineStr">
        <is>
          <t>PR2425-03271</t>
        </is>
      </c>
      <c r="H360" s="5" t="inlineStr">
        <is>
          <t>PO2425-03539</t>
        </is>
      </c>
      <c r="I360" s="290">
        <f>IF(RawDataGenPO[[#This Row],[PO No.]]="","",RawDataGenPO[[#This Row],[DMY Create PR]]+7)</f>
        <v/>
      </c>
      <c r="J360" s="290" t="n"/>
      <c r="K360" s="20">
        <f>IF(RawDataGenPO[[#This Row],[PO No.]]="","",10)</f>
        <v/>
      </c>
      <c r="L360" s="5" t="inlineStr">
        <is>
          <t>SFST81000048</t>
        </is>
      </c>
      <c r="M360" s="7" t="inlineStr">
        <is>
          <t>PD Machine</t>
        </is>
      </c>
      <c r="N360" s="7" t="inlineStr">
        <is>
          <t>Condencer Unit No.33 (Ice Maker)</t>
        </is>
      </c>
      <c r="O360" s="11" t="n">
        <v>7</v>
      </c>
      <c r="P360" s="10" t="inlineStr">
        <is>
          <t>N2</t>
        </is>
      </c>
      <c r="Q360" s="277" t="n">
        <v>1</v>
      </c>
      <c r="R360" s="5" t="inlineStr">
        <is>
          <t>JOB</t>
        </is>
      </c>
      <c r="S360" s="284">
        <f>RawDataGenPO[[#This Row],[Total price]]/RawDataGenPO[[#This Row],[Qty'']]</f>
        <v/>
      </c>
      <c r="T360" s="303" t="n">
        <v>1500</v>
      </c>
      <c r="U360" s="161" t="inlineStr">
        <is>
          <t>Puneet Approval</t>
        </is>
      </c>
      <c r="V360" s="7" t="inlineStr">
        <is>
          <t>V1000654 - A AND B REFRIGERATION CO., LTD.</t>
        </is>
      </c>
      <c r="W360" s="5" t="inlineStr">
        <is>
          <t>Recive bill and GRN already</t>
        </is>
      </c>
      <c r="X360" s="5" t="n"/>
      <c r="Y360" s="3" t="n">
        <v>45560</v>
      </c>
      <c r="Z360" s="3" t="n"/>
      <c r="AA360" s="17">
        <f>IF(RawDataGenPO[[#This Row],[Date Gen PO]]="","",RawDataGenPO[[#This Row],[Date recive bill]]-RawDataGenPO[[#This Row],[Date Gen PO]])</f>
        <v/>
      </c>
      <c r="AB360" s="16">
        <f>IF(RawDataGenPO[[#This Row],[GRN-PO date]]&gt;RawDataGenPO[[#This Row],[Lead time delivery (day)]],"over deliverry","Ontime")</f>
        <v/>
      </c>
      <c r="AC360" s="168" t="n"/>
    </row>
    <row r="361" ht="15" customFormat="1" customHeight="1" s="125">
      <c r="A361" s="5">
        <f>ROW()-ROW(RawDataGenPO[[#Headers],[No.]])</f>
        <v/>
      </c>
      <c r="B361" s="7" t="inlineStr">
        <is>
          <t>Expent  cost</t>
        </is>
      </c>
      <c r="C361" s="275" t="n">
        <v>45545</v>
      </c>
      <c r="D361" s="276" t="n"/>
      <c r="E361" s="276" t="n"/>
      <c r="F361" s="275" t="n">
        <v>45545</v>
      </c>
      <c r="G361" s="5" t="inlineStr">
        <is>
          <t>PR2425-03271</t>
        </is>
      </c>
      <c r="H361" s="5" t="inlineStr">
        <is>
          <t>PO2425-03539</t>
        </is>
      </c>
      <c r="I361" s="290">
        <f>IF(RawDataGenPO[[#This Row],[PO No.]]="","",RawDataGenPO[[#This Row],[DMY Create PR]]+7)</f>
        <v/>
      </c>
      <c r="J361" s="290" t="n"/>
      <c r="K361" s="20">
        <f>IF(RawDataGenPO[[#This Row],[PO No.]]="","",10)</f>
        <v/>
      </c>
      <c r="L361" s="5" t="inlineStr">
        <is>
          <t>SFST81000048</t>
        </is>
      </c>
      <c r="M361" s="7" t="inlineStr">
        <is>
          <t>PD Machine</t>
        </is>
      </c>
      <c r="N361" s="7" t="inlineStr">
        <is>
          <t>Condencer Unit No.33 (Ice Maker)</t>
        </is>
      </c>
      <c r="O361" s="11" t="n">
        <v>8</v>
      </c>
      <c r="P361" s="10" t="inlineStr">
        <is>
          <t>ALCO/EMERSON filter drier Flare -5/8 in ADK</t>
        </is>
      </c>
      <c r="Q361" s="277" t="n">
        <v>1</v>
      </c>
      <c r="R361" s="5" t="inlineStr">
        <is>
          <t>JOB</t>
        </is>
      </c>
      <c r="S361" s="284">
        <f>RawDataGenPO[[#This Row],[Total price]]/RawDataGenPO[[#This Row],[Qty'']]</f>
        <v/>
      </c>
      <c r="T361" s="303" t="n">
        <v>1500</v>
      </c>
      <c r="U361" s="161" t="inlineStr">
        <is>
          <t>Puneet Approval</t>
        </is>
      </c>
      <c r="V361" s="7" t="inlineStr">
        <is>
          <t>V1000654 - A AND B REFRIGERATION CO., LTD.</t>
        </is>
      </c>
      <c r="W361" s="5" t="inlineStr">
        <is>
          <t>Recive bill and GRN already</t>
        </is>
      </c>
      <c r="X361" s="5" t="n"/>
      <c r="Y361" s="3" t="n">
        <v>45560</v>
      </c>
      <c r="Z361" s="3" t="n"/>
      <c r="AA361" s="17">
        <f>IF(RawDataGenPO[[#This Row],[Date Gen PO]]="","",RawDataGenPO[[#This Row],[Date recive bill]]-RawDataGenPO[[#This Row],[Date Gen PO]])</f>
        <v/>
      </c>
      <c r="AB361" s="16">
        <f>IF(RawDataGenPO[[#This Row],[GRN-PO date]]&gt;RawDataGenPO[[#This Row],[Lead time delivery (day)]],"over deliverry","Ontime")</f>
        <v/>
      </c>
      <c r="AC361" s="168" t="n"/>
    </row>
    <row r="362" ht="15" customFormat="1" customHeight="1" s="125">
      <c r="A362" s="5">
        <f>ROW()-ROW(RawDataGenPO[[#Headers],[No.]])</f>
        <v/>
      </c>
      <c r="B362" s="7" t="inlineStr">
        <is>
          <t>Expent  cost</t>
        </is>
      </c>
      <c r="C362" s="275" t="n">
        <v>45545</v>
      </c>
      <c r="D362" s="276" t="n"/>
      <c r="E362" s="276" t="n"/>
      <c r="F362" s="275" t="n">
        <v>45545</v>
      </c>
      <c r="G362" s="5" t="inlineStr">
        <is>
          <t>PR2425-03271</t>
        </is>
      </c>
      <c r="H362" s="5" t="inlineStr">
        <is>
          <t>PO2425-03539</t>
        </is>
      </c>
      <c r="I362" s="290">
        <f>IF(RawDataGenPO[[#This Row],[PO No.]]="","",RawDataGenPO[[#This Row],[DMY Create PR]]+7)</f>
        <v/>
      </c>
      <c r="J362" s="290" t="n"/>
      <c r="K362" s="20">
        <f>IF(RawDataGenPO[[#This Row],[PO No.]]="","",10)</f>
        <v/>
      </c>
      <c r="L362" s="5" t="inlineStr">
        <is>
          <t>SFST81000048</t>
        </is>
      </c>
      <c r="M362" s="7" t="inlineStr">
        <is>
          <t>PD Machine</t>
        </is>
      </c>
      <c r="N362" s="7" t="inlineStr">
        <is>
          <t>Condencer Unit No.33 (Ice Maker)</t>
        </is>
      </c>
      <c r="O362" s="11" t="n">
        <v>9</v>
      </c>
      <c r="P362" s="10" t="inlineStr">
        <is>
          <t>Welding rod for copper elbows and copper fittings</t>
        </is>
      </c>
      <c r="Q362" s="277" t="n">
        <v>1</v>
      </c>
      <c r="R362" s="5" t="inlineStr">
        <is>
          <t>JOB</t>
        </is>
      </c>
      <c r="S362" s="284">
        <f>RawDataGenPO[[#This Row],[Total price]]/RawDataGenPO[[#This Row],[Qty'']]</f>
        <v/>
      </c>
      <c r="T362" s="303" t="n">
        <v>1500</v>
      </c>
      <c r="U362" s="161" t="inlineStr">
        <is>
          <t>Puneet Approval</t>
        </is>
      </c>
      <c r="V362" s="7" t="inlineStr">
        <is>
          <t>V1000654 - A AND B REFRIGERATION CO., LTD.</t>
        </is>
      </c>
      <c r="W362" s="5" t="inlineStr">
        <is>
          <t>Recive bill and GRN already</t>
        </is>
      </c>
      <c r="X362" s="5" t="n"/>
      <c r="Y362" s="3" t="n">
        <v>45560</v>
      </c>
      <c r="Z362" s="3" t="n"/>
      <c r="AA362" s="17">
        <f>IF(RawDataGenPO[[#This Row],[Date Gen PO]]="","",RawDataGenPO[[#This Row],[Date recive bill]]-RawDataGenPO[[#This Row],[Date Gen PO]])</f>
        <v/>
      </c>
      <c r="AB362" s="16">
        <f>IF(RawDataGenPO[[#This Row],[GRN-PO date]]&gt;RawDataGenPO[[#This Row],[Lead time delivery (day)]],"over deliverry","Ontime")</f>
        <v/>
      </c>
      <c r="AC362" s="168" t="n"/>
    </row>
    <row r="363" ht="15" customFormat="1" customHeight="1" s="125">
      <c r="A363" s="5">
        <f>ROW()-ROW(RawDataGenPO[[#Headers],[No.]])</f>
        <v/>
      </c>
      <c r="B363" s="7" t="inlineStr">
        <is>
          <t>Expent  cost</t>
        </is>
      </c>
      <c r="C363" s="275" t="n">
        <v>45541</v>
      </c>
      <c r="D363" s="276" t="n"/>
      <c r="E363" s="276" t="n"/>
      <c r="F363" s="275" t="n">
        <v>45541</v>
      </c>
      <c r="G363" s="5" t="inlineStr">
        <is>
          <t>PR2425-03186</t>
        </is>
      </c>
      <c r="H363" s="5" t="inlineStr">
        <is>
          <t xml:space="preserve">PO2425-03540 </t>
        </is>
      </c>
      <c r="I363" s="290">
        <f>IF(RawDataGenPO[[#This Row],[PO No.]]="","",RawDataGenPO[[#This Row],[DMY Create PR]]+7)</f>
        <v/>
      </c>
      <c r="J363" s="290" t="n"/>
      <c r="K363" s="20" t="n">
        <v>30</v>
      </c>
      <c r="L363" s="5" t="inlineStr">
        <is>
          <t>SFST81000050</t>
        </is>
      </c>
      <c r="M363" s="7" t="inlineStr">
        <is>
          <t>Electrical system out  PD area</t>
        </is>
      </c>
      <c r="N363" s="7" t="inlineStr">
        <is>
          <t>Eletrical part</t>
        </is>
      </c>
      <c r="O363" s="11" t="n">
        <v>1</v>
      </c>
      <c r="P363" s="10" t="inlineStr">
        <is>
          <t>Stainless steel 304 ear-lokt buckle 12 mm, tooth type</t>
        </is>
      </c>
      <c r="Q363" s="189" t="n">
        <v>40</v>
      </c>
      <c r="R363" s="5" t="inlineStr">
        <is>
          <t>PCS.</t>
        </is>
      </c>
      <c r="S363" s="284">
        <f>RawDataGenPO[[#This Row],[Total price]]/RawDataGenPO[[#This Row],[Qty'']]</f>
        <v/>
      </c>
      <c r="T363" s="188" t="n">
        <v>1440</v>
      </c>
      <c r="U363" s="161" t="inlineStr">
        <is>
          <t>Puneet Approval</t>
        </is>
      </c>
      <c r="V363" s="7" t="inlineStr">
        <is>
          <t>V1000529 - 168 Supply</t>
        </is>
      </c>
      <c r="W363" s="5" t="inlineStr">
        <is>
          <t>Recive bill and GRN already</t>
        </is>
      </c>
      <c r="X363" s="5" t="n"/>
      <c r="Y363" s="3" t="n">
        <v>45568</v>
      </c>
      <c r="Z363" s="3" t="n"/>
      <c r="AA363" s="17">
        <f>IF(RawDataGenPO[[#This Row],[Date Gen PO]]="","",RawDataGenPO[[#This Row],[Date recive bill]]-RawDataGenPO[[#This Row],[Date Gen PO]])</f>
        <v/>
      </c>
      <c r="AB363" s="16">
        <f>IF(RawDataGenPO[[#This Row],[GRN-PO date]]&gt;RawDataGenPO[[#This Row],[Lead time delivery (day)]],"over deliverry","Ontime")</f>
        <v/>
      </c>
      <c r="AC363" s="168" t="n"/>
    </row>
    <row r="364" ht="15" customFormat="1" customHeight="1" s="125">
      <c r="A364" s="5">
        <f>ROW()-ROW(RawDataGenPO[[#Headers],[No.]])</f>
        <v/>
      </c>
      <c r="B364" s="7" t="inlineStr">
        <is>
          <t>Expent  cost</t>
        </is>
      </c>
      <c r="C364" s="275" t="n">
        <v>45541</v>
      </c>
      <c r="D364" s="276" t="n"/>
      <c r="E364" s="276" t="n"/>
      <c r="F364" s="275" t="n">
        <v>45541</v>
      </c>
      <c r="G364" s="5" t="inlineStr">
        <is>
          <t>PR2425-03186</t>
        </is>
      </c>
      <c r="H364" s="5" t="inlineStr">
        <is>
          <t xml:space="preserve">PO2425-03540 </t>
        </is>
      </c>
      <c r="I364" s="290">
        <f>IF(RawDataGenPO[[#This Row],[PO No.]]="","",RawDataGenPO[[#This Row],[DMY Create PR]]+7)</f>
        <v/>
      </c>
      <c r="J364" s="290" t="n"/>
      <c r="K364" s="20" t="n">
        <v>30</v>
      </c>
      <c r="L364" s="5" t="inlineStr">
        <is>
          <t>SFST81000050</t>
        </is>
      </c>
      <c r="M364" s="7" t="inlineStr">
        <is>
          <t>Electrical system out  PD area</t>
        </is>
      </c>
      <c r="N364" s="7" t="inlineStr">
        <is>
          <t>Eletrical part</t>
        </is>
      </c>
      <c r="O364" s="11" t="n">
        <v>2</v>
      </c>
      <c r="P364" s="10" t="inlineStr">
        <is>
          <t>Stainless steel 304 ear-lokt buckle 12 mm, screw type</t>
        </is>
      </c>
      <c r="Q364" s="189" t="n">
        <v>30</v>
      </c>
      <c r="R364" s="5" t="inlineStr">
        <is>
          <t>PCS.</t>
        </is>
      </c>
      <c r="S364" s="284">
        <f>RawDataGenPO[[#This Row],[Total price]]/RawDataGenPO[[#This Row],[Qty'']]</f>
        <v/>
      </c>
      <c r="T364" s="188" t="n">
        <v>1560</v>
      </c>
      <c r="U364" s="161" t="inlineStr">
        <is>
          <t>Puneet Approval</t>
        </is>
      </c>
      <c r="V364" s="7" t="inlineStr">
        <is>
          <t>V1000529 - 168 Supply</t>
        </is>
      </c>
      <c r="W364" s="5" t="inlineStr">
        <is>
          <t>Recive bill and GRN already</t>
        </is>
      </c>
      <c r="X364" s="5" t="n"/>
      <c r="Y364" s="3" t="n">
        <v>45568</v>
      </c>
      <c r="Z364" s="3" t="n"/>
      <c r="AA364" s="17">
        <f>IF(RawDataGenPO[[#This Row],[Date Gen PO]]="","",RawDataGenPO[[#This Row],[Date recive bill]]-RawDataGenPO[[#This Row],[Date Gen PO]])</f>
        <v/>
      </c>
      <c r="AB364" s="16">
        <f>IF(RawDataGenPO[[#This Row],[GRN-PO date]]&gt;RawDataGenPO[[#This Row],[Lead time delivery (day)]],"over deliverry","Ontime")</f>
        <v/>
      </c>
      <c r="AC364" s="168" t="n"/>
    </row>
    <row r="365" ht="15" customFormat="1" customHeight="1" s="125">
      <c r="A365" s="5">
        <f>ROW()-ROW(RawDataGenPO[[#Headers],[No.]])</f>
        <v/>
      </c>
      <c r="B365" s="7" t="inlineStr">
        <is>
          <t>Expent  cost</t>
        </is>
      </c>
      <c r="C365" s="275" t="n">
        <v>45541</v>
      </c>
      <c r="D365" s="276" t="n"/>
      <c r="E365" s="276" t="n"/>
      <c r="F365" s="275" t="n">
        <v>45541</v>
      </c>
      <c r="G365" s="5" t="inlineStr">
        <is>
          <t>PR2425-03186</t>
        </is>
      </c>
      <c r="H365" s="5" t="inlineStr">
        <is>
          <t xml:space="preserve">PO2425-03540 </t>
        </is>
      </c>
      <c r="I365" s="290">
        <f>IF(RawDataGenPO[[#This Row],[PO No.]]="","",RawDataGenPO[[#This Row],[DMY Create PR]]+7)</f>
        <v/>
      </c>
      <c r="J365" s="290" t="n"/>
      <c r="K365" s="20" t="n">
        <v>30</v>
      </c>
      <c r="L365" s="5" t="inlineStr">
        <is>
          <t>SFST81000050</t>
        </is>
      </c>
      <c r="M365" s="7" t="inlineStr">
        <is>
          <t>Electrical system out  PD area</t>
        </is>
      </c>
      <c r="N365" s="7" t="inlineStr">
        <is>
          <t>Eletrical part</t>
        </is>
      </c>
      <c r="O365" s="11" t="n">
        <v>3</v>
      </c>
      <c r="P365" s="10" t="inlineStr">
        <is>
          <t>Stainless steel cable tie 4.6x150 mm, thickness 0.25 mm (50 pcs/pack)</t>
        </is>
      </c>
      <c r="Q365" s="189" t="n">
        <v>2</v>
      </c>
      <c r="R365" s="5" t="inlineStr">
        <is>
          <t>PCS.</t>
        </is>
      </c>
      <c r="S365" s="284">
        <f>RawDataGenPO[[#This Row],[Total price]]/RawDataGenPO[[#This Row],[Qty'']]</f>
        <v/>
      </c>
      <c r="T365" s="190" t="n">
        <v>578</v>
      </c>
      <c r="U365" s="161" t="inlineStr">
        <is>
          <t>Puneet Approval</t>
        </is>
      </c>
      <c r="V365" s="7" t="inlineStr">
        <is>
          <t>V1000529 - 168 Supply</t>
        </is>
      </c>
      <c r="W365" s="5" t="inlineStr">
        <is>
          <t>Recive bill and GRN already</t>
        </is>
      </c>
      <c r="X365" s="5" t="n"/>
      <c r="Y365" s="3" t="n">
        <v>45568</v>
      </c>
      <c r="Z365" s="3" t="n"/>
      <c r="AA365" s="17">
        <f>IF(RawDataGenPO[[#This Row],[Date Gen PO]]="","",RawDataGenPO[[#This Row],[Date recive bill]]-RawDataGenPO[[#This Row],[Date Gen PO]])</f>
        <v/>
      </c>
      <c r="AB365" s="16">
        <f>IF(RawDataGenPO[[#This Row],[GRN-PO date]]&gt;RawDataGenPO[[#This Row],[Lead time delivery (day)]],"over deliverry","Ontime")</f>
        <v/>
      </c>
      <c r="AC365" s="168" t="n"/>
    </row>
    <row r="366" ht="15" customFormat="1" customHeight="1" s="125">
      <c r="A366" s="5">
        <f>ROW()-ROW(RawDataGenPO[[#Headers],[No.]])</f>
        <v/>
      </c>
      <c r="B366" s="7" t="inlineStr">
        <is>
          <t>Expent  cost</t>
        </is>
      </c>
      <c r="C366" s="275" t="n">
        <v>45541</v>
      </c>
      <c r="D366" s="276" t="n"/>
      <c r="E366" s="276" t="n"/>
      <c r="F366" s="275" t="n">
        <v>45541</v>
      </c>
      <c r="G366" s="5" t="inlineStr">
        <is>
          <t>PR2425-03186</t>
        </is>
      </c>
      <c r="H366" s="5" t="inlineStr">
        <is>
          <t xml:space="preserve">PO2425-03540 </t>
        </is>
      </c>
      <c r="I366" s="290">
        <f>IF(RawDataGenPO[[#This Row],[PO No.]]="","",RawDataGenPO[[#This Row],[DMY Create PR]]+7)</f>
        <v/>
      </c>
      <c r="J366" s="290" t="n"/>
      <c r="K366" s="20" t="n">
        <v>30</v>
      </c>
      <c r="L366" s="5" t="inlineStr">
        <is>
          <t>SFST81000050</t>
        </is>
      </c>
      <c r="M366" s="7" t="inlineStr">
        <is>
          <t>Electrical system out  PD area</t>
        </is>
      </c>
      <c r="N366" s="7" t="inlineStr">
        <is>
          <t>Eletrical part</t>
        </is>
      </c>
      <c r="O366" s="11" t="n">
        <v>4</v>
      </c>
      <c r="P366" s="10" t="inlineStr">
        <is>
          <t>Stainless steel banding tool</t>
        </is>
      </c>
      <c r="Q366" s="189" t="n">
        <v>1</v>
      </c>
      <c r="R366" s="5" t="inlineStr">
        <is>
          <t>PCS.</t>
        </is>
      </c>
      <c r="S366" s="284">
        <f>RawDataGenPO[[#This Row],[Total price]]/RawDataGenPO[[#This Row],[Qty'']]</f>
        <v/>
      </c>
      <c r="T366" s="188" t="n">
        <v>1558</v>
      </c>
      <c r="U366" s="161" t="inlineStr">
        <is>
          <t>Puneet Approval</t>
        </is>
      </c>
      <c r="V366" s="7" t="inlineStr">
        <is>
          <t>V1000529 - 168 Supply</t>
        </is>
      </c>
      <c r="W366" s="5" t="inlineStr">
        <is>
          <t>Recive bill and GRN already</t>
        </is>
      </c>
      <c r="X366" s="5" t="n"/>
      <c r="Y366" s="3" t="n">
        <v>45568</v>
      </c>
      <c r="Z366" s="3" t="n"/>
      <c r="AA366" s="17">
        <f>IF(RawDataGenPO[[#This Row],[Date Gen PO]]="","",RawDataGenPO[[#This Row],[Date recive bill]]-RawDataGenPO[[#This Row],[Date Gen PO]])</f>
        <v/>
      </c>
      <c r="AB366" s="16">
        <f>IF(RawDataGenPO[[#This Row],[GRN-PO date]]&gt;RawDataGenPO[[#This Row],[Lead time delivery (day)]],"over deliverry","Ontime")</f>
        <v/>
      </c>
      <c r="AC366" s="168" t="n"/>
    </row>
    <row r="367" ht="15" customFormat="1" customHeight="1" s="125">
      <c r="A367" s="5">
        <f>ROW()-ROW(RawDataGenPO[[#Headers],[No.]])</f>
        <v/>
      </c>
      <c r="B367" s="7" t="inlineStr">
        <is>
          <t>Expent  cost</t>
        </is>
      </c>
      <c r="C367" s="275" t="n">
        <v>45541</v>
      </c>
      <c r="D367" s="276" t="n"/>
      <c r="E367" s="276" t="n"/>
      <c r="F367" s="275" t="n">
        <v>45541</v>
      </c>
      <c r="G367" s="5" t="inlineStr">
        <is>
          <t>PR2425-03186</t>
        </is>
      </c>
      <c r="H367" s="5" t="inlineStr">
        <is>
          <t xml:space="preserve">PO2425-03540 </t>
        </is>
      </c>
      <c r="I367" s="290">
        <f>IF(RawDataGenPO[[#This Row],[PO No.]]="","",RawDataGenPO[[#This Row],[DMY Create PR]]+7)</f>
        <v/>
      </c>
      <c r="J367" s="290" t="n"/>
      <c r="K367" s="20" t="n">
        <v>30</v>
      </c>
      <c r="L367" s="5" t="inlineStr">
        <is>
          <t>SFST81000050</t>
        </is>
      </c>
      <c r="M367" s="7" t="inlineStr">
        <is>
          <t>Electrical system out  PD area</t>
        </is>
      </c>
      <c r="N367" s="7" t="inlineStr">
        <is>
          <t>Eletrical part</t>
        </is>
      </c>
      <c r="O367" s="11" t="n">
        <v>5</v>
      </c>
      <c r="P367" s="10" t="inlineStr">
        <is>
          <t>Stainless steel cable tie tensioning tool (Steel Belt packer) YDBT002</t>
        </is>
      </c>
      <c r="Q367" s="189" t="n">
        <v>1</v>
      </c>
      <c r="R367" s="5" t="inlineStr">
        <is>
          <t>PCS.</t>
        </is>
      </c>
      <c r="S367" s="284">
        <f>RawDataGenPO[[#This Row],[Total price]]/RawDataGenPO[[#This Row],[Qty'']]</f>
        <v/>
      </c>
      <c r="T367" s="188" t="n">
        <v>2140</v>
      </c>
      <c r="U367" s="161" t="inlineStr">
        <is>
          <t>Puneet Approval</t>
        </is>
      </c>
      <c r="V367" s="7" t="inlineStr">
        <is>
          <t>V1000529 - 168 Supply</t>
        </is>
      </c>
      <c r="W367" s="5" t="inlineStr">
        <is>
          <t>Recive bill and GRN already</t>
        </is>
      </c>
      <c r="X367" s="5" t="n"/>
      <c r="Y367" s="3" t="n">
        <v>45568</v>
      </c>
      <c r="Z367" s="3" t="n"/>
      <c r="AA367" s="17">
        <f>IF(RawDataGenPO[[#This Row],[Date Gen PO]]="","",RawDataGenPO[[#This Row],[Date recive bill]]-RawDataGenPO[[#This Row],[Date Gen PO]])</f>
        <v/>
      </c>
      <c r="AB367" s="16">
        <f>IF(RawDataGenPO[[#This Row],[GRN-PO date]]&gt;RawDataGenPO[[#This Row],[Lead time delivery (day)]],"over deliverry","Ontime")</f>
        <v/>
      </c>
      <c r="AC367" s="168" t="n"/>
    </row>
    <row r="368" ht="15" customFormat="1" customHeight="1" s="125">
      <c r="A368" s="5">
        <f>ROW()-ROW(RawDataGenPO[[#Headers],[No.]])</f>
        <v/>
      </c>
      <c r="B368" s="7" t="inlineStr">
        <is>
          <t>Expent  cost</t>
        </is>
      </c>
      <c r="C368" s="275" t="n">
        <v>45541</v>
      </c>
      <c r="D368" s="276" t="n"/>
      <c r="E368" s="276" t="n"/>
      <c r="F368" s="275" t="n">
        <v>45541</v>
      </c>
      <c r="G368" s="5" t="inlineStr">
        <is>
          <t xml:space="preserve">PR2425-03200 </t>
        </is>
      </c>
      <c r="H368" s="5" t="inlineStr">
        <is>
          <t>PO2425-03549</t>
        </is>
      </c>
      <c r="I368" s="290">
        <f>IF(RawDataGenPO[[#This Row],[PO No.]]="","",RawDataGenPO[[#This Row],[DMY Create PR]]+7)</f>
        <v/>
      </c>
      <c r="J368" s="290" t="n"/>
      <c r="K368" s="20">
        <f>IF(RawDataGenPO[[#This Row],[PO No.]]="","",10)</f>
        <v/>
      </c>
      <c r="L368" s="5" t="inlineStr">
        <is>
          <t>SFST81000050</t>
        </is>
      </c>
      <c r="M368" s="7" t="inlineStr">
        <is>
          <t>Electrical system out  PD area</t>
        </is>
      </c>
      <c r="N368" s="7" t="inlineStr">
        <is>
          <t>Water system jobs</t>
        </is>
      </c>
      <c r="O368" s="11" t="n">
        <v>6</v>
      </c>
      <c r="P368" s="10" t="inlineStr">
        <is>
          <t>SIRCA" ACTUATOR DOUBLE ACTING AP03DA</t>
        </is>
      </c>
      <c r="Q368" s="196" t="n">
        <v>2</v>
      </c>
      <c r="R368" s="5" t="inlineStr">
        <is>
          <t>Pcs.</t>
        </is>
      </c>
      <c r="S368" s="284">
        <f>RawDataGenPO[[#This Row],[Total price]]/RawDataGenPO[[#This Row],[Qty'']]</f>
        <v/>
      </c>
      <c r="T368" s="188" t="n">
        <v>6480</v>
      </c>
      <c r="U368" s="161" t="inlineStr">
        <is>
          <t>Puneet Approval</t>
        </is>
      </c>
      <c r="V368" s="7" t="inlineStr">
        <is>
          <t>V1000655 - SRM ENGINEERING 1991 CO., LTD.</t>
        </is>
      </c>
      <c r="W368" s="5" t="inlineStr">
        <is>
          <t>Recive bill and GRN already</t>
        </is>
      </c>
      <c r="X368" s="5" t="n"/>
      <c r="Y368" s="3" t="n">
        <v>45558</v>
      </c>
      <c r="Z368" s="3" t="n"/>
      <c r="AA368" s="17">
        <f>IF(RawDataGenPO[[#This Row],[Date Gen PO]]="","",RawDataGenPO[[#This Row],[Date recive bill]]-RawDataGenPO[[#This Row],[Date Gen PO]])</f>
        <v/>
      </c>
      <c r="AB368" s="16">
        <f>IF(RawDataGenPO[[#This Row],[GRN-PO date]]&gt;RawDataGenPO[[#This Row],[Lead time delivery (day)]],"over deliverry","Ontime")</f>
        <v/>
      </c>
      <c r="AC368" s="168" t="n"/>
    </row>
    <row r="369" ht="15" customFormat="1" customHeight="1" s="125">
      <c r="A369" s="5">
        <f>ROW()-ROW(RawDataGenPO[[#Headers],[No.]])</f>
        <v/>
      </c>
      <c r="B369" s="7" t="inlineStr">
        <is>
          <t>Expent  cost</t>
        </is>
      </c>
      <c r="C369" s="275" t="n">
        <v>45541</v>
      </c>
      <c r="D369" s="276" t="n"/>
      <c r="E369" s="276" t="n"/>
      <c r="F369" s="275" t="n">
        <v>45541</v>
      </c>
      <c r="G369" s="5" t="inlineStr">
        <is>
          <t xml:space="preserve">PR2425-03200 </t>
        </is>
      </c>
      <c r="H369" s="5" t="inlineStr">
        <is>
          <t>PO2425-03549</t>
        </is>
      </c>
      <c r="I369" s="290">
        <f>IF(RawDataGenPO[[#This Row],[PO No.]]="","",RawDataGenPO[[#This Row],[DMY Create PR]]+7)</f>
        <v/>
      </c>
      <c r="J369" s="290" t="n"/>
      <c r="K369" s="20">
        <f>IF(RawDataGenPO[[#This Row],[PO No.]]="","",10)</f>
        <v/>
      </c>
      <c r="L369" s="5" t="inlineStr">
        <is>
          <t>SFST81000050</t>
        </is>
      </c>
      <c r="M369" s="7" t="inlineStr">
        <is>
          <t>Electrical system out  PD area</t>
        </is>
      </c>
      <c r="N369" s="7" t="inlineStr">
        <is>
          <t>Eletrical part</t>
        </is>
      </c>
      <c r="O369" s="11" t="n">
        <v>7</v>
      </c>
      <c r="P369" s="10" t="inlineStr">
        <is>
          <t>SDPC" SOLENOID VALVE 4M310-08 24VDC (with 8 mm fitting)</t>
        </is>
      </c>
      <c r="Q369" s="196" t="n">
        <v>8</v>
      </c>
      <c r="R369" s="5" t="inlineStr">
        <is>
          <t>Pcs.</t>
        </is>
      </c>
      <c r="S369" s="284">
        <f>RawDataGenPO[[#This Row],[Total price]]/RawDataGenPO[[#This Row],[Qty'']]</f>
        <v/>
      </c>
      <c r="T369" s="188" t="n">
        <v>5840</v>
      </c>
      <c r="U369" s="161" t="inlineStr">
        <is>
          <t>Puneet Approval</t>
        </is>
      </c>
      <c r="V369" s="7" t="inlineStr">
        <is>
          <t>V1000655 - SRM ENGINEERING 1991 CO., LTD.</t>
        </is>
      </c>
      <c r="W369" s="5" t="inlineStr">
        <is>
          <t>Recive bill and GRN already</t>
        </is>
      </c>
      <c r="X369" s="5" t="n"/>
      <c r="Y369" s="3" t="n">
        <v>45558</v>
      </c>
      <c r="Z369" s="3" t="n"/>
      <c r="AA369" s="17">
        <f>IF(RawDataGenPO[[#This Row],[Date Gen PO]]="","",RawDataGenPO[[#This Row],[Date recive bill]]-RawDataGenPO[[#This Row],[Date Gen PO]])</f>
        <v/>
      </c>
      <c r="AB369" s="16">
        <f>IF(RawDataGenPO[[#This Row],[GRN-PO date]]&gt;RawDataGenPO[[#This Row],[Lead time delivery (day)]],"over deliverry","Ontime")</f>
        <v/>
      </c>
      <c r="AC369" s="168" t="n"/>
    </row>
    <row r="370" ht="15" customFormat="1" customHeight="1" s="125">
      <c r="A370" s="5">
        <f>ROW()-ROW(RawDataGenPO[[#Headers],[No.]])</f>
        <v/>
      </c>
      <c r="B370" s="7" t="inlineStr">
        <is>
          <t>Expent  cost</t>
        </is>
      </c>
      <c r="C370" s="275" t="n">
        <v>45541</v>
      </c>
      <c r="D370" s="276" t="n"/>
      <c r="E370" s="276" t="n"/>
      <c r="F370" s="275" t="n">
        <v>45541</v>
      </c>
      <c r="G370" s="5" t="inlineStr">
        <is>
          <t xml:space="preserve">PR2425-03200 </t>
        </is>
      </c>
      <c r="H370" s="5" t="inlineStr">
        <is>
          <t>PO2425-03549</t>
        </is>
      </c>
      <c r="I370" s="290">
        <f>IF(RawDataGenPO[[#This Row],[PO No.]]="","",RawDataGenPO[[#This Row],[DMY Create PR]]+7)</f>
        <v/>
      </c>
      <c r="J370" s="290" t="n"/>
      <c r="K370" s="20">
        <f>IF(RawDataGenPO[[#This Row],[PO No.]]="","",10)</f>
        <v/>
      </c>
      <c r="L370" s="5" t="inlineStr">
        <is>
          <t>SFST81000050</t>
        </is>
      </c>
      <c r="M370" s="7" t="inlineStr">
        <is>
          <t>Electrical system out  PD area</t>
        </is>
      </c>
      <c r="N370" s="7" t="inlineStr">
        <is>
          <t>Eletrical part</t>
        </is>
      </c>
      <c r="O370" s="11" t="n">
        <v>8</v>
      </c>
      <c r="P370" s="10" t="inlineStr">
        <is>
          <t>SIRCA" ACTUATOR DOUBLE ACTING AP01DA</t>
        </is>
      </c>
      <c r="Q370" s="196" t="n">
        <v>3</v>
      </c>
      <c r="R370" s="5" t="inlineStr">
        <is>
          <t>Pcs.</t>
        </is>
      </c>
      <c r="S370" s="284">
        <f>RawDataGenPO[[#This Row],[Total price]]/RawDataGenPO[[#This Row],[Qty'']]</f>
        <v/>
      </c>
      <c r="T370" s="188" t="n">
        <v>6900</v>
      </c>
      <c r="U370" s="161" t="inlineStr">
        <is>
          <t>Puneet Approval</t>
        </is>
      </c>
      <c r="V370" s="7" t="inlineStr">
        <is>
          <t>V1000655 - SRM ENGINEERING 1991 CO., LTD.</t>
        </is>
      </c>
      <c r="W370" s="5" t="inlineStr">
        <is>
          <t>Recive bill and GRN already</t>
        </is>
      </c>
      <c r="X370" s="5" t="n"/>
      <c r="Y370" s="3" t="n">
        <v>45558</v>
      </c>
      <c r="Z370" s="3" t="n"/>
      <c r="AA370" s="17">
        <f>IF(RawDataGenPO[[#This Row],[Date Gen PO]]="","",RawDataGenPO[[#This Row],[Date recive bill]]-RawDataGenPO[[#This Row],[Date Gen PO]])</f>
        <v/>
      </c>
      <c r="AB370" s="16">
        <f>IF(RawDataGenPO[[#This Row],[GRN-PO date]]&gt;RawDataGenPO[[#This Row],[Lead time delivery (day)]],"over deliverry","Ontime")</f>
        <v/>
      </c>
      <c r="AC370" s="168" t="n"/>
    </row>
    <row r="371" ht="15" customFormat="1" customHeight="1" s="125">
      <c r="A371" s="5">
        <f>ROW()-ROW(RawDataGenPO[[#Headers],[No.]])</f>
        <v/>
      </c>
      <c r="B371" s="7" t="inlineStr">
        <is>
          <t>Expent  cost</t>
        </is>
      </c>
      <c r="C371" s="275" t="n">
        <v>45541</v>
      </c>
      <c r="D371" s="276" t="n"/>
      <c r="E371" s="276" t="n"/>
      <c r="F371" s="275" t="n">
        <v>45541</v>
      </c>
      <c r="G371" s="5" t="inlineStr">
        <is>
          <t xml:space="preserve">PR2425-03200 </t>
        </is>
      </c>
      <c r="H371" s="5" t="inlineStr">
        <is>
          <t>PO2425-03549</t>
        </is>
      </c>
      <c r="I371" s="290">
        <f>IF(RawDataGenPO[[#This Row],[PO No.]]="","",RawDataGenPO[[#This Row],[DMY Create PR]]+7)</f>
        <v/>
      </c>
      <c r="J371" s="290" t="n"/>
      <c r="K371" s="20">
        <f>IF(RawDataGenPO[[#This Row],[PO No.]]="","",10)</f>
        <v/>
      </c>
      <c r="L371" s="5" t="inlineStr">
        <is>
          <t>SFST81000050</t>
        </is>
      </c>
      <c r="M371" s="7" t="inlineStr">
        <is>
          <t>Electrical system out  PD area</t>
        </is>
      </c>
      <c r="N371" s="7" t="inlineStr">
        <is>
          <t>Eletrical part</t>
        </is>
      </c>
      <c r="O371" s="11" t="n">
        <v>9</v>
      </c>
      <c r="P371" s="10" t="inlineStr">
        <is>
          <t>PARKER" SOLENOID VALVE P-VE7322BDN00-2 COIL 220VAC SIZ</t>
        </is>
      </c>
      <c r="Q371" s="196" t="n">
        <v>2</v>
      </c>
      <c r="R371" s="5" t="inlineStr">
        <is>
          <t>Pcs.</t>
        </is>
      </c>
      <c r="S371" s="284">
        <f>RawDataGenPO[[#This Row],[Total price]]/RawDataGenPO[[#This Row],[Qty'']]</f>
        <v/>
      </c>
      <c r="T371" s="188" t="n">
        <v>8940</v>
      </c>
      <c r="U371" s="161" t="inlineStr">
        <is>
          <t>Puneet Approval</t>
        </is>
      </c>
      <c r="V371" s="7" t="inlineStr">
        <is>
          <t>V1000655 - SRM ENGINEERING 1991 CO., LTD.</t>
        </is>
      </c>
      <c r="W371" s="5" t="inlineStr">
        <is>
          <t>Recive bill and GRN already</t>
        </is>
      </c>
      <c r="X371" s="5" t="n"/>
      <c r="Y371" s="3" t="n">
        <v>45558</v>
      </c>
      <c r="Z371" s="3" t="n"/>
      <c r="AA371" s="17">
        <f>IF(RawDataGenPO[[#This Row],[Date Gen PO]]="","",RawDataGenPO[[#This Row],[Date recive bill]]-RawDataGenPO[[#This Row],[Date Gen PO]])</f>
        <v/>
      </c>
      <c r="AB371" s="16">
        <f>IF(RawDataGenPO[[#This Row],[GRN-PO date]]&gt;RawDataGenPO[[#This Row],[Lead time delivery (day)]],"over deliverry","Ontime")</f>
        <v/>
      </c>
      <c r="AC371" s="168" t="n"/>
    </row>
    <row r="372" ht="15" customFormat="1" customHeight="1" s="125">
      <c r="A372" s="5">
        <f>ROW()-ROW(RawDataGenPO[[#Headers],[No.]])</f>
        <v/>
      </c>
      <c r="B372" s="7" t="inlineStr">
        <is>
          <t>Expent  cost</t>
        </is>
      </c>
      <c r="C372" s="275" t="n">
        <v>45541</v>
      </c>
      <c r="D372" s="276" t="n"/>
      <c r="E372" s="276" t="n"/>
      <c r="F372" s="275" t="n">
        <v>45541</v>
      </c>
      <c r="G372" s="5" t="inlineStr">
        <is>
          <t xml:space="preserve">PR2425-03200 </t>
        </is>
      </c>
      <c r="H372" s="5" t="inlineStr">
        <is>
          <t>PO2425-03549</t>
        </is>
      </c>
      <c r="I372" s="290">
        <f>IF(RawDataGenPO[[#This Row],[PO No.]]="","",RawDataGenPO[[#This Row],[DMY Create PR]]+7)</f>
        <v/>
      </c>
      <c r="J372" s="290" t="n"/>
      <c r="K372" s="20">
        <f>IF(RawDataGenPO[[#This Row],[PO No.]]="","",10)</f>
        <v/>
      </c>
      <c r="L372" s="5" t="inlineStr">
        <is>
          <t>SFST81000050</t>
        </is>
      </c>
      <c r="M372" s="7" t="inlineStr">
        <is>
          <t>Foam &amp; Cleaning solution pump system</t>
        </is>
      </c>
      <c r="N372" s="7" t="inlineStr">
        <is>
          <t>Eletrical part</t>
        </is>
      </c>
      <c r="O372" s="11" t="n">
        <v>10</v>
      </c>
      <c r="P372" s="10" t="inlineStr">
        <is>
          <t>SIRCA" ACTUATOR DOUBLE ACTING AP3.5DA</t>
        </is>
      </c>
      <c r="Q372" s="196" t="n">
        <v>2</v>
      </c>
      <c r="R372" s="5" t="inlineStr">
        <is>
          <t>Pcs.</t>
        </is>
      </c>
      <c r="S372" s="284">
        <f>RawDataGenPO[[#This Row],[Total price]]/RawDataGenPO[[#This Row],[Qty'']]</f>
        <v/>
      </c>
      <c r="T372" s="188" t="n">
        <v>9600</v>
      </c>
      <c r="U372" s="161" t="inlineStr">
        <is>
          <t>Puneet Approval</t>
        </is>
      </c>
      <c r="V372" s="7" t="inlineStr">
        <is>
          <t>V1000655 - SRM ENGINEERING 1991 CO., LTD.</t>
        </is>
      </c>
      <c r="W372" s="5" t="inlineStr">
        <is>
          <t>Recive bill and GRN already</t>
        </is>
      </c>
      <c r="X372" s="5" t="n"/>
      <c r="Y372" s="3" t="n">
        <v>45558</v>
      </c>
      <c r="Z372" s="3" t="n"/>
      <c r="AA372" s="17">
        <f>IF(RawDataGenPO[[#This Row],[Date Gen PO]]="","",RawDataGenPO[[#This Row],[Date recive bill]]-RawDataGenPO[[#This Row],[Date Gen PO]])</f>
        <v/>
      </c>
      <c r="AB372" s="16">
        <f>IF(RawDataGenPO[[#This Row],[GRN-PO date]]&gt;RawDataGenPO[[#This Row],[Lead time delivery (day)]],"over deliverry","Ontime")</f>
        <v/>
      </c>
      <c r="AC372" s="168" t="n"/>
    </row>
    <row r="373" ht="15" customFormat="1" customHeight="1" s="125">
      <c r="A373" s="5">
        <f>ROW()-ROW(RawDataGenPO[[#Headers],[No.]])</f>
        <v/>
      </c>
      <c r="B373" s="7" t="inlineStr">
        <is>
          <t>Expent  cost</t>
        </is>
      </c>
      <c r="C373" s="275" t="n">
        <v>45541</v>
      </c>
      <c r="D373" s="276" t="n"/>
      <c r="E373" s="276" t="n"/>
      <c r="F373" s="275" t="n">
        <v>45541</v>
      </c>
      <c r="G373" s="5" t="inlineStr">
        <is>
          <t xml:space="preserve">PR2425-03200 </t>
        </is>
      </c>
      <c r="H373" s="5" t="inlineStr">
        <is>
          <t>PO2425-03549</t>
        </is>
      </c>
      <c r="I373" s="290">
        <f>IF(RawDataGenPO[[#This Row],[PO No.]]="","",RawDataGenPO[[#This Row],[DMY Create PR]]+7)</f>
        <v/>
      </c>
      <c r="J373" s="290" t="n"/>
      <c r="K373" s="20">
        <f>IF(RawDataGenPO[[#This Row],[PO No.]]="","",10)</f>
        <v/>
      </c>
      <c r="L373" s="5" t="inlineStr">
        <is>
          <t>SFST81000050</t>
        </is>
      </c>
      <c r="M373" s="7" t="inlineStr">
        <is>
          <t>Foam &amp; Cleaning solution pump system</t>
        </is>
      </c>
      <c r="N373" s="7" t="inlineStr">
        <is>
          <t>Foam Pump No.1</t>
        </is>
      </c>
      <c r="O373" s="11" t="n">
        <v>11</v>
      </c>
      <c r="P373" s="10" t="inlineStr">
        <is>
          <t>SIRCA" ACTUATOR DOUBLE ACTING APOODA</t>
        </is>
      </c>
      <c r="Q373" s="196" t="n">
        <v>6</v>
      </c>
      <c r="R373" s="5" t="inlineStr">
        <is>
          <t>Pcs.</t>
        </is>
      </c>
      <c r="S373" s="284">
        <f>RawDataGenPO[[#This Row],[Total price]]/RawDataGenPO[[#This Row],[Qty'']]</f>
        <v/>
      </c>
      <c r="T373" s="188" t="n">
        <v>12900</v>
      </c>
      <c r="U373" s="161" t="inlineStr">
        <is>
          <t>Puneet Approval</t>
        </is>
      </c>
      <c r="V373" s="7" t="inlineStr">
        <is>
          <t>V1000655 - SRM ENGINEERING 1991 CO., LTD.</t>
        </is>
      </c>
      <c r="W373" s="5" t="inlineStr">
        <is>
          <t>Recive bill and GRN already</t>
        </is>
      </c>
      <c r="X373" s="5" t="n"/>
      <c r="Y373" s="3" t="n">
        <v>45558</v>
      </c>
      <c r="Z373" s="3" t="n"/>
      <c r="AA373" s="17">
        <f>IF(RawDataGenPO[[#This Row],[Date Gen PO]]="","",RawDataGenPO[[#This Row],[Date recive bill]]-RawDataGenPO[[#This Row],[Date Gen PO]])</f>
        <v/>
      </c>
      <c r="AB373" s="16">
        <f>IF(RawDataGenPO[[#This Row],[GRN-PO date]]&gt;RawDataGenPO[[#This Row],[Lead time delivery (day)]],"over deliverry","Ontime")</f>
        <v/>
      </c>
      <c r="AC373" s="168" t="n"/>
    </row>
    <row r="374" ht="15" customFormat="1" customHeight="1" s="125">
      <c r="A374" s="5">
        <f>ROW()-ROW(RawDataGenPO[[#Headers],[No.]])</f>
        <v/>
      </c>
      <c r="B374" s="7" t="inlineStr">
        <is>
          <t>Expent  cost</t>
        </is>
      </c>
      <c r="C374" s="275" t="n">
        <v>45545</v>
      </c>
      <c r="D374" s="276" t="n"/>
      <c r="E374" s="276" t="n"/>
      <c r="F374" s="275" t="n">
        <v>45545</v>
      </c>
      <c r="G374" s="5" t="inlineStr">
        <is>
          <t>PR2425-03256</t>
        </is>
      </c>
      <c r="H374" s="5" t="inlineStr">
        <is>
          <t xml:space="preserve">PO2425-03551 </t>
        </is>
      </c>
      <c r="I374" s="290">
        <f>IF(RawDataGenPO[[#This Row],[PO No.]]="","",RawDataGenPO[[#This Row],[DMY Create PR]]+7)</f>
        <v/>
      </c>
      <c r="J374" s="290" t="n"/>
      <c r="K374" s="20" t="n">
        <v>30</v>
      </c>
      <c r="L374" s="5" t="inlineStr">
        <is>
          <t>SFST81000048</t>
        </is>
      </c>
      <c r="M374" s="7" t="inlineStr">
        <is>
          <t>Foam &amp; Cleaning solution pump system</t>
        </is>
      </c>
      <c r="N374" s="7" t="inlineStr">
        <is>
          <t>Water pump for production line cleaning No.1</t>
        </is>
      </c>
      <c r="O374" s="11" t="n">
        <v>1</v>
      </c>
      <c r="P374" s="10" t="inlineStr">
        <is>
          <t>Remove and installation motor pump 7.5 kw. Grundfos</t>
        </is>
      </c>
      <c r="Q374" s="277" t="n">
        <v>1</v>
      </c>
      <c r="R374" s="5" t="inlineStr">
        <is>
          <t>JOB</t>
        </is>
      </c>
      <c r="S374" s="284">
        <f>RawDataGenPO[[#This Row],[Total price]]/RawDataGenPO[[#This Row],[Qty'']]</f>
        <v/>
      </c>
      <c r="T374" s="303" t="n">
        <v>3000</v>
      </c>
      <c r="U374" s="161" t="inlineStr">
        <is>
          <t>Puneet Approval</t>
        </is>
      </c>
      <c r="V374" s="7" t="inlineStr">
        <is>
          <t xml:space="preserve"> V1000659 - SRP Maintenance and Service Co.,Ltd.</t>
        </is>
      </c>
      <c r="W374" s="5" t="inlineStr">
        <is>
          <t>Recive bill and GRN already</t>
        </is>
      </c>
      <c r="X374" s="5" t="n"/>
      <c r="Y374" s="3" t="n">
        <v>45588</v>
      </c>
      <c r="Z374" s="3" t="n"/>
      <c r="AA374" s="17">
        <f>IF(RawDataGenPO[[#This Row],[Date Gen PO]]="","",RawDataGenPO[[#This Row],[Date recive bill]]-RawDataGenPO[[#This Row],[Date Gen PO]])</f>
        <v/>
      </c>
      <c r="AB374" s="16">
        <f>IF(RawDataGenPO[[#This Row],[GRN-PO date]]&gt;RawDataGenPO[[#This Row],[Lead time delivery (day)]],"over deliverry","Ontime")</f>
        <v/>
      </c>
      <c r="AC374" s="168" t="n"/>
    </row>
    <row r="375" ht="15" customFormat="1" customHeight="1" s="125">
      <c r="A375" s="5">
        <f>ROW()-ROW(RawDataGenPO[[#Headers],[No.]])</f>
        <v/>
      </c>
      <c r="B375" s="7" t="inlineStr">
        <is>
          <t>Expent  cost</t>
        </is>
      </c>
      <c r="C375" s="275" t="n">
        <v>45545</v>
      </c>
      <c r="D375" s="276" t="n"/>
      <c r="E375" s="276" t="n"/>
      <c r="F375" s="275" t="n">
        <v>45545</v>
      </c>
      <c r="G375" s="5" t="inlineStr">
        <is>
          <t>PR2425-03256</t>
        </is>
      </c>
      <c r="H375" s="5" t="inlineStr">
        <is>
          <t xml:space="preserve">PO2425-03551 </t>
        </is>
      </c>
      <c r="I375" s="290">
        <f>IF(RawDataGenPO[[#This Row],[PO No.]]="","",RawDataGenPO[[#This Row],[DMY Create PR]]+7)</f>
        <v/>
      </c>
      <c r="J375" s="290" t="n"/>
      <c r="K375" s="20" t="n">
        <v>30</v>
      </c>
      <c r="L375" s="5" t="inlineStr">
        <is>
          <t>SFST81000048</t>
        </is>
      </c>
      <c r="M375" s="7" t="inlineStr">
        <is>
          <t>Foam &amp; Cleaning solution pump system</t>
        </is>
      </c>
      <c r="N375" s="7" t="inlineStr">
        <is>
          <t>Water pump for production line cleaning No.1</t>
        </is>
      </c>
      <c r="O375" s="11" t="n">
        <v>2</v>
      </c>
      <c r="P375" s="10" t="inlineStr">
        <is>
          <t>Overhaul stator motor</t>
        </is>
      </c>
      <c r="Q375" s="277" t="n">
        <v>1</v>
      </c>
      <c r="R375" s="5" t="inlineStr">
        <is>
          <t>JOB</t>
        </is>
      </c>
      <c r="S375" s="284">
        <f>RawDataGenPO[[#This Row],[Total price]]/RawDataGenPO[[#This Row],[Qty'']]</f>
        <v/>
      </c>
      <c r="T375" s="303" t="n">
        <v>2500</v>
      </c>
      <c r="U375" s="161" t="inlineStr">
        <is>
          <t>Puneet Approval</t>
        </is>
      </c>
      <c r="V375" s="7" t="inlineStr">
        <is>
          <t xml:space="preserve"> V1000659 - SRP Maintenance and Service Co.,Ltd.</t>
        </is>
      </c>
      <c r="W375" s="5" t="inlineStr">
        <is>
          <t>Recive bill and GRN already</t>
        </is>
      </c>
      <c r="X375" s="5" t="n"/>
      <c r="Y375" s="3" t="n">
        <v>45588</v>
      </c>
      <c r="Z375" s="3" t="n"/>
      <c r="AA375" s="17">
        <f>IF(RawDataGenPO[[#This Row],[Date Gen PO]]="","",RawDataGenPO[[#This Row],[Date recive bill]]-RawDataGenPO[[#This Row],[Date Gen PO]])</f>
        <v/>
      </c>
      <c r="AB375" s="16">
        <f>IF(RawDataGenPO[[#This Row],[GRN-PO date]]&gt;RawDataGenPO[[#This Row],[Lead time delivery (day)]],"over deliverry","Ontime")</f>
        <v/>
      </c>
      <c r="AC375" s="168" t="n"/>
    </row>
    <row r="376" ht="15" customFormat="1" customHeight="1" s="125">
      <c r="A376" s="5">
        <f>ROW()-ROW(RawDataGenPO[[#Headers],[No.]])</f>
        <v/>
      </c>
      <c r="B376" s="7" t="inlineStr">
        <is>
          <t>Expent  cost</t>
        </is>
      </c>
      <c r="C376" s="275" t="n">
        <v>45545</v>
      </c>
      <c r="D376" s="276" t="n"/>
      <c r="E376" s="276" t="n"/>
      <c r="F376" s="275" t="n">
        <v>45545</v>
      </c>
      <c r="G376" s="5" t="inlineStr">
        <is>
          <t>PR2425-03256</t>
        </is>
      </c>
      <c r="H376" s="5" t="inlineStr">
        <is>
          <t xml:space="preserve">PO2425-03551 </t>
        </is>
      </c>
      <c r="I376" s="290">
        <f>IF(RawDataGenPO[[#This Row],[PO No.]]="","",RawDataGenPO[[#This Row],[DMY Create PR]]+7)</f>
        <v/>
      </c>
      <c r="J376" s="290" t="n"/>
      <c r="K376" s="20" t="n">
        <v>30</v>
      </c>
      <c r="L376" s="5" t="inlineStr">
        <is>
          <t>SFST81000048</t>
        </is>
      </c>
      <c r="M376" s="7" t="inlineStr">
        <is>
          <t>Foam &amp; Cleaning solution pump system</t>
        </is>
      </c>
      <c r="N376" s="7" t="inlineStr">
        <is>
          <t>Water pump for production line cleaning No.1</t>
        </is>
      </c>
      <c r="O376" s="11" t="n">
        <v>3</v>
      </c>
      <c r="P376" s="10" t="inlineStr">
        <is>
          <t>Replace bearing DE</t>
        </is>
      </c>
      <c r="Q376" s="277" t="n">
        <v>1</v>
      </c>
      <c r="R376" s="5" t="inlineStr">
        <is>
          <t>JOB</t>
        </is>
      </c>
      <c r="S376" s="284">
        <f>RawDataGenPO[[#This Row],[Total price]]/RawDataGenPO[[#This Row],[Qty'']]</f>
        <v/>
      </c>
      <c r="T376" s="303" t="n">
        <v>5000</v>
      </c>
      <c r="U376" s="161" t="inlineStr">
        <is>
          <t>Puneet Approval</t>
        </is>
      </c>
      <c r="V376" s="7" t="inlineStr">
        <is>
          <t xml:space="preserve"> V1000659 - SRP Maintenance and Service Co.,Ltd.</t>
        </is>
      </c>
      <c r="W376" s="5" t="inlineStr">
        <is>
          <t>Recive bill and GRN already</t>
        </is>
      </c>
      <c r="X376" s="5" t="n"/>
      <c r="Y376" s="3" t="n">
        <v>45588</v>
      </c>
      <c r="Z376" s="3" t="n"/>
      <c r="AA376" s="17">
        <f>IF(RawDataGenPO[[#This Row],[Date Gen PO]]="","",RawDataGenPO[[#This Row],[Date recive bill]]-RawDataGenPO[[#This Row],[Date Gen PO]])</f>
        <v/>
      </c>
      <c r="AB376" s="16">
        <f>IF(RawDataGenPO[[#This Row],[GRN-PO date]]&gt;RawDataGenPO[[#This Row],[Lead time delivery (day)]],"over deliverry","Ontime")</f>
        <v/>
      </c>
      <c r="AC376" s="168" t="n"/>
    </row>
    <row r="377" ht="15" customFormat="1" customHeight="1" s="125">
      <c r="A377" s="5">
        <f>ROW()-ROW(RawDataGenPO[[#Headers],[No.]])</f>
        <v/>
      </c>
      <c r="B377" s="7" t="inlineStr">
        <is>
          <t>Expent  cost</t>
        </is>
      </c>
      <c r="C377" s="275" t="n">
        <v>45545</v>
      </c>
      <c r="D377" s="276" t="n"/>
      <c r="E377" s="276" t="n"/>
      <c r="F377" s="275" t="n">
        <v>45545</v>
      </c>
      <c r="G377" s="5" t="inlineStr">
        <is>
          <t>PR2425-03256</t>
        </is>
      </c>
      <c r="H377" s="5" t="inlineStr">
        <is>
          <t xml:space="preserve">PO2425-03551 </t>
        </is>
      </c>
      <c r="I377" s="290">
        <f>IF(RawDataGenPO[[#This Row],[PO No.]]="","",RawDataGenPO[[#This Row],[DMY Create PR]]+7)</f>
        <v/>
      </c>
      <c r="J377" s="290" t="n"/>
      <c r="K377" s="20" t="n">
        <v>36</v>
      </c>
      <c r="L377" s="5" t="inlineStr">
        <is>
          <t>SFST81000048</t>
        </is>
      </c>
      <c r="M377" s="7" t="inlineStr">
        <is>
          <t>Foam &amp; Cleaning solution pump system</t>
        </is>
      </c>
      <c r="N377" s="7" t="inlineStr">
        <is>
          <t>Water pump for production line cleaning No.1</t>
        </is>
      </c>
      <c r="O377" s="11" t="n">
        <v>4</v>
      </c>
      <c r="P377" s="10" t="inlineStr">
        <is>
          <t>Replace bearing NDE</t>
        </is>
      </c>
      <c r="Q377" s="277" t="n">
        <v>1</v>
      </c>
      <c r="R377" s="5" t="inlineStr">
        <is>
          <t>JOB</t>
        </is>
      </c>
      <c r="S377" s="284">
        <f>RawDataGenPO[[#This Row],[Total price]]/RawDataGenPO[[#This Row],[Qty'']]</f>
        <v/>
      </c>
      <c r="T377" s="303" t="n">
        <v>1000</v>
      </c>
      <c r="U377" s="161" t="inlineStr">
        <is>
          <t>Puneet Approval</t>
        </is>
      </c>
      <c r="V377" s="7" t="inlineStr">
        <is>
          <t xml:space="preserve"> V1000659 - SRP Maintenance and Service Co.,Ltd.</t>
        </is>
      </c>
      <c r="W377" s="5" t="inlineStr">
        <is>
          <t>Recive bill and GRN already</t>
        </is>
      </c>
      <c r="X377" s="5" t="n"/>
      <c r="Y377" s="3" t="n">
        <v>45588</v>
      </c>
      <c r="Z377" s="3" t="n"/>
      <c r="AA377" s="17">
        <f>IF(RawDataGenPO[[#This Row],[Date Gen PO]]="","",RawDataGenPO[[#This Row],[Date recive bill]]-RawDataGenPO[[#This Row],[Date Gen PO]])</f>
        <v/>
      </c>
      <c r="AB377" s="16">
        <f>IF(RawDataGenPO[[#This Row],[GRN-PO date]]&gt;RawDataGenPO[[#This Row],[Lead time delivery (day)]],"over deliverry","Ontime")</f>
        <v/>
      </c>
      <c r="AC377" s="168" t="n"/>
    </row>
    <row r="378" ht="15" customFormat="1" customHeight="1" s="125">
      <c r="A378" s="5">
        <f>ROW()-ROW(RawDataGenPO[[#Headers],[No.]])</f>
        <v/>
      </c>
      <c r="B378" s="7" t="inlineStr">
        <is>
          <t>Expent  cost</t>
        </is>
      </c>
      <c r="C378" s="275" t="n">
        <v>45545</v>
      </c>
      <c r="D378" s="276" t="n"/>
      <c r="E378" s="276" t="n"/>
      <c r="F378" s="275" t="n">
        <v>45545</v>
      </c>
      <c r="G378" s="5" t="inlineStr">
        <is>
          <t>PR2425-03256</t>
        </is>
      </c>
      <c r="H378" s="5" t="inlineStr">
        <is>
          <t xml:space="preserve">PO2425-03551 </t>
        </is>
      </c>
      <c r="I378" s="290">
        <f>IF(RawDataGenPO[[#This Row],[PO No.]]="","",RawDataGenPO[[#This Row],[DMY Create PR]]+7)</f>
        <v/>
      </c>
      <c r="J378" s="290" t="n"/>
      <c r="K378" s="20" t="n">
        <v>36</v>
      </c>
      <c r="L378" s="5" t="inlineStr">
        <is>
          <t>SFST81000048</t>
        </is>
      </c>
      <c r="M378" s="7" t="inlineStr">
        <is>
          <t>Foam &amp; Cleaning solution pump system</t>
        </is>
      </c>
      <c r="N378" s="7" t="inlineStr">
        <is>
          <t>Water pump for production line cleaning No.1</t>
        </is>
      </c>
      <c r="O378" s="11" t="n">
        <v>5</v>
      </c>
      <c r="P378" s="10" t="inlineStr">
        <is>
          <t>Overhaul pump</t>
        </is>
      </c>
      <c r="Q378" s="277" t="n">
        <v>1</v>
      </c>
      <c r="R378" s="5" t="inlineStr">
        <is>
          <t>JOB</t>
        </is>
      </c>
      <c r="S378" s="284">
        <f>RawDataGenPO[[#This Row],[Total price]]/RawDataGenPO[[#This Row],[Qty'']]</f>
        <v/>
      </c>
      <c r="T378" s="303" t="n">
        <v>5000</v>
      </c>
      <c r="U378" s="161" t="inlineStr">
        <is>
          <t>Puneet Approval</t>
        </is>
      </c>
      <c r="V378" s="7" t="inlineStr">
        <is>
          <t xml:space="preserve"> V1000659 - SRP Maintenance and Service Co.,Ltd.</t>
        </is>
      </c>
      <c r="W378" s="5" t="inlineStr">
        <is>
          <t>Recive bill and GRN already</t>
        </is>
      </c>
      <c r="X378" s="5" t="n"/>
      <c r="Y378" s="3" t="n">
        <v>45588</v>
      </c>
      <c r="Z378" s="3" t="n"/>
      <c r="AA378" s="17">
        <f>IF(RawDataGenPO[[#This Row],[Date Gen PO]]="","",RawDataGenPO[[#This Row],[Date recive bill]]-RawDataGenPO[[#This Row],[Date Gen PO]])</f>
        <v/>
      </c>
      <c r="AB378" s="16">
        <f>IF(RawDataGenPO[[#This Row],[GRN-PO date]]&gt;RawDataGenPO[[#This Row],[Lead time delivery (day)]],"over deliverry","Ontime")</f>
        <v/>
      </c>
      <c r="AC378" s="168" t="n"/>
    </row>
    <row r="379" ht="15" customHeight="1">
      <c r="A379" s="5">
        <f>ROW()-ROW(RawDataGenPO[[#Headers],[No.]])</f>
        <v/>
      </c>
      <c r="B379" s="7" t="inlineStr">
        <is>
          <t>Expent  cost</t>
        </is>
      </c>
      <c r="C379" s="275" t="n">
        <v>45545</v>
      </c>
      <c r="F379" s="275" t="n">
        <v>45545</v>
      </c>
      <c r="G379" s="5" t="inlineStr">
        <is>
          <t>PR2425-03256</t>
        </is>
      </c>
      <c r="H379" s="5" t="inlineStr">
        <is>
          <t xml:space="preserve">PO2425-03551 </t>
        </is>
      </c>
      <c r="I379" s="290">
        <f>IF(RawDataGenPO[[#This Row],[PO No.]]="","",RawDataGenPO[[#This Row],[DMY Create PR]]+7)</f>
        <v/>
      </c>
      <c r="J379" s="290" t="n"/>
      <c r="K379" s="20" t="n">
        <v>36</v>
      </c>
      <c r="L379" s="5" t="inlineStr">
        <is>
          <t>SFST81000048</t>
        </is>
      </c>
      <c r="M379" s="7" t="inlineStr">
        <is>
          <t>Foam &amp; Cleaning solution pump system</t>
        </is>
      </c>
      <c r="N379" s="7" t="inlineStr">
        <is>
          <t>Water pump for production line cleaning No.1</t>
        </is>
      </c>
      <c r="O379" s="11" t="n">
        <v>6</v>
      </c>
      <c r="P379" s="10" t="inlineStr">
        <is>
          <t>Replace Mechanical Seal (Bulk Shaft seal No.96538925)</t>
        </is>
      </c>
      <c r="Q379" s="277" t="n">
        <v>1</v>
      </c>
      <c r="R379" s="5" t="inlineStr">
        <is>
          <t>JOB</t>
        </is>
      </c>
      <c r="S379" s="284">
        <f>RawDataGenPO[[#This Row],[Total price]]/RawDataGenPO[[#This Row],[Qty'']]</f>
        <v/>
      </c>
      <c r="T379" s="303" t="n">
        <v>5000</v>
      </c>
      <c r="U379" s="161" t="inlineStr">
        <is>
          <t>Puneet Approval</t>
        </is>
      </c>
      <c r="V379" s="7" t="inlineStr">
        <is>
          <t xml:space="preserve"> V1000659 - SRP Maintenance and Service Co.,Ltd.</t>
        </is>
      </c>
      <c r="W379" s="5" t="inlineStr">
        <is>
          <t>Recive bill and GRN already</t>
        </is>
      </c>
      <c r="Y379" s="3" t="n">
        <v>45588</v>
      </c>
      <c r="AA379" s="17">
        <f>IF(RawDataGenPO[[#This Row],[Date Gen PO]]="","",RawDataGenPO[[#This Row],[Date recive bill]]-RawDataGenPO[[#This Row],[Date Gen PO]])</f>
        <v/>
      </c>
      <c r="AB379" s="16">
        <f>IF(RawDataGenPO[[#This Row],[GRN-PO date]]&gt;RawDataGenPO[[#This Row],[Lead time delivery (day)]],"over deliverry","Ontime")</f>
        <v/>
      </c>
      <c r="AC379" s="168" t="n"/>
    </row>
    <row r="380" ht="15" customHeight="1">
      <c r="A380" s="5">
        <f>ROW()-ROW(RawDataGenPO[[#Headers],[No.]])</f>
        <v/>
      </c>
      <c r="B380" s="7" t="inlineStr">
        <is>
          <t>Expent  cost</t>
        </is>
      </c>
      <c r="C380" s="275" t="n">
        <v>45545</v>
      </c>
      <c r="F380" s="275" t="n">
        <v>45545</v>
      </c>
      <c r="G380" s="5" t="inlineStr">
        <is>
          <t>PR2425-03256</t>
        </is>
      </c>
      <c r="H380" s="5" t="inlineStr">
        <is>
          <t xml:space="preserve">PO2425-03551 </t>
        </is>
      </c>
      <c r="I380" s="290">
        <f>IF(RawDataGenPO[[#This Row],[PO No.]]="","",RawDataGenPO[[#This Row],[DMY Create PR]]+7)</f>
        <v/>
      </c>
      <c r="J380" s="290" t="n"/>
      <c r="K380" s="20" t="n">
        <v>36</v>
      </c>
      <c r="L380" s="5" t="inlineStr">
        <is>
          <t>SFST81000048</t>
        </is>
      </c>
      <c r="M380" s="7" t="inlineStr">
        <is>
          <t>Foam &amp; Cleaning solution pump system</t>
        </is>
      </c>
      <c r="N380" s="7" t="inlineStr">
        <is>
          <t>Water pump for production line cleaning No.1</t>
        </is>
      </c>
      <c r="O380" s="11" t="n">
        <v>7</v>
      </c>
      <c r="P380" s="10" t="inlineStr">
        <is>
          <t>Replace O-ring (Kit Gaskets No.96509610)</t>
        </is>
      </c>
      <c r="Q380" s="277" t="n">
        <v>1</v>
      </c>
      <c r="R380" s="5" t="inlineStr">
        <is>
          <t>JOB</t>
        </is>
      </c>
      <c r="S380" s="284">
        <f>RawDataGenPO[[#This Row],[Total price]]/RawDataGenPO[[#This Row],[Qty'']]</f>
        <v/>
      </c>
      <c r="T380" s="303" t="n">
        <v>500</v>
      </c>
      <c r="U380" s="161" t="inlineStr">
        <is>
          <t>Puneet Approval</t>
        </is>
      </c>
      <c r="V380" s="7" t="inlineStr">
        <is>
          <t xml:space="preserve"> V1000659 - SRP Maintenance and Service Co.,Ltd.</t>
        </is>
      </c>
      <c r="W380" s="5" t="inlineStr">
        <is>
          <t>Recive bill and GRN already</t>
        </is>
      </c>
      <c r="Y380" s="3" t="n">
        <v>45588</v>
      </c>
      <c r="AA380" s="17">
        <f>IF(RawDataGenPO[[#This Row],[Date Gen PO]]="","",RawDataGenPO[[#This Row],[Date recive bill]]-RawDataGenPO[[#This Row],[Date Gen PO]])</f>
        <v/>
      </c>
      <c r="AB380" s="16">
        <f>IF(RawDataGenPO[[#This Row],[GRN-PO date]]&gt;RawDataGenPO[[#This Row],[Lead time delivery (day)]],"over deliverry","Ontime")</f>
        <v/>
      </c>
      <c r="AC380" s="168" t="n"/>
    </row>
    <row r="381" ht="15" customFormat="1" customHeight="1" s="125">
      <c r="A381" s="5">
        <f>ROW()-ROW(RawDataGenPO[[#Headers],[No.]])</f>
        <v/>
      </c>
      <c r="B381" s="7" t="inlineStr">
        <is>
          <t>Expent  cost</t>
        </is>
      </c>
      <c r="C381" s="275" t="n">
        <v>45545</v>
      </c>
      <c r="D381" s="276" t="n"/>
      <c r="E381" s="276" t="n"/>
      <c r="F381" s="275" t="n">
        <v>45545</v>
      </c>
      <c r="G381" s="5" t="inlineStr">
        <is>
          <t>PR2425-03256</t>
        </is>
      </c>
      <c r="H381" s="5" t="inlineStr">
        <is>
          <t xml:space="preserve">PO2425-03551 </t>
        </is>
      </c>
      <c r="I381" s="290">
        <f>IF(RawDataGenPO[[#This Row],[PO No.]]="","",RawDataGenPO[[#This Row],[DMY Create PR]]+7)</f>
        <v/>
      </c>
      <c r="J381" s="290" t="n"/>
      <c r="K381" s="20" t="n">
        <v>36</v>
      </c>
      <c r="L381" s="5" t="inlineStr">
        <is>
          <t>SFST81000048</t>
        </is>
      </c>
      <c r="M381" s="7" t="inlineStr">
        <is>
          <t>Foam &amp; Cleaning solution pump system</t>
        </is>
      </c>
      <c r="N381" s="7" t="inlineStr">
        <is>
          <t>Water pump for production line cleaning No.1</t>
        </is>
      </c>
      <c r="O381" s="11" t="n">
        <v>8</v>
      </c>
      <c r="P381" s="10" t="inlineStr">
        <is>
          <t>Kit Chamber stack Part no.96491709</t>
        </is>
      </c>
      <c r="Q381" s="277" t="n">
        <v>1</v>
      </c>
      <c r="R381" s="5" t="inlineStr">
        <is>
          <t>JOB</t>
        </is>
      </c>
      <c r="S381" s="284">
        <f>RawDataGenPO[[#This Row],[Total price]]/RawDataGenPO[[#This Row],[Qty'']]</f>
        <v/>
      </c>
      <c r="T381" s="303" t="n">
        <v>30000</v>
      </c>
      <c r="U381" s="161" t="inlineStr">
        <is>
          <t>Puneet Approval</t>
        </is>
      </c>
      <c r="V381" s="7" t="inlineStr">
        <is>
          <t xml:space="preserve"> V1000659 - SRP Maintenance and Service Co.,Ltd.</t>
        </is>
      </c>
      <c r="W381" s="5" t="inlineStr">
        <is>
          <t>Recive bill and GRN already</t>
        </is>
      </c>
      <c r="X381" s="5" t="n"/>
      <c r="Y381" s="3" t="n">
        <v>45588</v>
      </c>
      <c r="Z381" s="3" t="n"/>
      <c r="AA381" s="17">
        <f>IF(RawDataGenPO[[#This Row],[Date Gen PO]]="","",RawDataGenPO[[#This Row],[Date recive bill]]-RawDataGenPO[[#This Row],[Date Gen PO]])</f>
        <v/>
      </c>
      <c r="AB381" s="16">
        <f>IF(RawDataGenPO[[#This Row],[GRN-PO date]]&gt;RawDataGenPO[[#This Row],[Lead time delivery (day)]],"over deliverry","Ontime")</f>
        <v/>
      </c>
      <c r="AC381" s="168" t="n"/>
    </row>
    <row r="382" ht="30" customFormat="1" customHeight="1" s="125">
      <c r="A382" s="5">
        <f>ROW()-ROW(RawDataGenPO[[#Headers],[No.]])</f>
        <v/>
      </c>
      <c r="B382" s="7" t="inlineStr">
        <is>
          <t>Expent  cost</t>
        </is>
      </c>
      <c r="C382" s="275" t="n">
        <v>45541</v>
      </c>
      <c r="D382" s="276" t="n"/>
      <c r="E382" s="276" t="n"/>
      <c r="F382" s="275" t="n">
        <v>45541</v>
      </c>
      <c r="G382" s="5" t="inlineStr">
        <is>
          <t>PR2425-03217</t>
        </is>
      </c>
      <c r="H382" s="5" t="inlineStr">
        <is>
          <t xml:space="preserve">PO2425-03552 </t>
        </is>
      </c>
      <c r="I382" s="290">
        <f>IF(RawDataGenPO[[#This Row],[PO No.]]="","",RawDataGenPO[[#This Row],[DMY Create PR]]+7)</f>
        <v/>
      </c>
      <c r="J382" s="290" t="n"/>
      <c r="K382" s="20" t="n">
        <v>25</v>
      </c>
      <c r="L382" s="5" t="inlineStr">
        <is>
          <t>SFST81000050</t>
        </is>
      </c>
      <c r="M382" s="7" t="inlineStr">
        <is>
          <t>Electrical system in PD area</t>
        </is>
      </c>
      <c r="N382" s="7" t="inlineStr">
        <is>
          <t>Eletrical part</t>
        </is>
      </c>
      <c r="O382" s="11" t="n">
        <v>1</v>
      </c>
      <c r="P382" s="10" t="inlineStr">
        <is>
          <t>Waterproof switchboard cabinet with roof
- size 300x450x250 mm, thickness 1 mm</t>
        </is>
      </c>
      <c r="Q382" s="277" t="n">
        <v>3</v>
      </c>
      <c r="R382" s="5" t="inlineStr">
        <is>
          <t>PCS.</t>
        </is>
      </c>
      <c r="S382" s="284">
        <f>RawDataGenPO[[#This Row],[Total price]]/RawDataGenPO[[#This Row],[Qty'']]</f>
        <v/>
      </c>
      <c r="T382" s="285" t="n">
        <v>7068</v>
      </c>
      <c r="U382" s="161" t="inlineStr">
        <is>
          <t>Puneet Approval</t>
        </is>
      </c>
      <c r="V382" s="33" t="inlineStr">
        <is>
          <t>V1000656 - A.A.&amp;P. THAI ELECTRIC CO., LTD.</t>
        </is>
      </c>
      <c r="W382" s="5" t="inlineStr">
        <is>
          <t>Recive bill and GRN already</t>
        </is>
      </c>
      <c r="X382" s="5" t="n"/>
      <c r="Y382" s="3" t="n">
        <v>45572</v>
      </c>
      <c r="Z382" s="3" t="n"/>
      <c r="AA382" s="17">
        <f>IF(RawDataGenPO[[#This Row],[Date Gen PO]]="","",RawDataGenPO[[#This Row],[Date recive bill]]-RawDataGenPO[[#This Row],[Date Gen PO]])</f>
        <v/>
      </c>
      <c r="AB382" s="16">
        <f>IF(RawDataGenPO[[#This Row],[GRN-PO date]]&gt;RawDataGenPO[[#This Row],[Lead time delivery (day)]],"over deliverry","Ontime")</f>
        <v/>
      </c>
      <c r="AC382" s="168" t="n"/>
    </row>
    <row r="383" ht="15" customFormat="1" customHeight="1" s="125">
      <c r="A383" s="5">
        <f>ROW()-ROW(RawDataGenPO[[#Headers],[No.]])</f>
        <v/>
      </c>
      <c r="B383" s="7" t="inlineStr">
        <is>
          <t>Expent  cost</t>
        </is>
      </c>
      <c r="C383" s="275" t="n">
        <v>45541</v>
      </c>
      <c r="D383" s="276" t="n"/>
      <c r="E383" s="276" t="n"/>
      <c r="F383" s="275" t="n">
        <v>45541</v>
      </c>
      <c r="G383" s="5" t="inlineStr">
        <is>
          <t>PR2425-03186</t>
        </is>
      </c>
      <c r="H383" s="5" t="inlineStr">
        <is>
          <t>PO2425-03607</t>
        </is>
      </c>
      <c r="I383" s="290">
        <f>IF(RawDataGenPO[[#This Row],[PO No.]]="","",RawDataGenPO[[#This Row],[DMY Create PR]]+7)</f>
        <v/>
      </c>
      <c r="J383" s="290" t="n"/>
      <c r="K383" s="20" t="n">
        <v>40</v>
      </c>
      <c r="L383" s="5" t="inlineStr">
        <is>
          <t>SFST81000050</t>
        </is>
      </c>
      <c r="M383" s="7" t="inlineStr">
        <is>
          <t>Electrical system out  PD area</t>
        </is>
      </c>
      <c r="N383" s="7" t="inlineStr">
        <is>
          <t>Eletrical part</t>
        </is>
      </c>
      <c r="O383" s="11" t="n">
        <v>1</v>
      </c>
      <c r="P383" s="10" t="inlineStr">
        <is>
          <t>Snake guard net for 22KV 12M power pole installation (circumference 45x65 cm), green</t>
        </is>
      </c>
      <c r="Q383" s="189" t="n">
        <v>8</v>
      </c>
      <c r="R383" s="5" t="inlineStr">
        <is>
          <t>PCS.</t>
        </is>
      </c>
      <c r="S383" s="284">
        <f>RawDataGenPO[[#This Row],[Total price]]/RawDataGenPO[[#This Row],[Qty'']]</f>
        <v/>
      </c>
      <c r="T383" s="304" t="n">
        <v>2800</v>
      </c>
      <c r="U383" s="161" t="inlineStr">
        <is>
          <t>Puneet Approval</t>
        </is>
      </c>
      <c r="V383" s="7" t="inlineStr">
        <is>
          <t>V1000611 - TANAPHAT ELECTRIC CO., LTD.</t>
        </is>
      </c>
      <c r="W383" s="5" t="inlineStr">
        <is>
          <t>Recive bill and GRN already</t>
        </is>
      </c>
      <c r="X383" s="5" t="n"/>
      <c r="Y383" s="3" t="n">
        <v>45587</v>
      </c>
      <c r="Z383" s="3" t="n"/>
      <c r="AA383" s="17">
        <f>IF(RawDataGenPO[[#This Row],[Date Gen PO]]="","",RawDataGenPO[[#This Row],[Date recive bill]]-RawDataGenPO[[#This Row],[Date Gen PO]])</f>
        <v/>
      </c>
      <c r="AB383" s="16">
        <f>IF(RawDataGenPO[[#This Row],[GRN-PO date]]&gt;RawDataGenPO[[#This Row],[Lead time delivery (day)]],"over deliverry","Ontime")</f>
        <v/>
      </c>
      <c r="AC383" s="168" t="n"/>
    </row>
    <row r="384" ht="15" customFormat="1" customHeight="1" s="125">
      <c r="A384" s="5">
        <f>ROW()-ROW(RawDataGenPO[[#Headers],[No.]])</f>
        <v/>
      </c>
      <c r="B384" s="7" t="inlineStr">
        <is>
          <t>Expent  cost</t>
        </is>
      </c>
      <c r="C384" s="275" t="n">
        <v>45541</v>
      </c>
      <c r="D384" s="276" t="n"/>
      <c r="E384" s="276" t="n"/>
      <c r="F384" s="275" t="n">
        <v>45541</v>
      </c>
      <c r="G384" s="5" t="inlineStr">
        <is>
          <t>PR2425-03186</t>
        </is>
      </c>
      <c r="H384" s="5" t="inlineStr">
        <is>
          <t>PO2425-03607</t>
        </is>
      </c>
      <c r="I384" s="290">
        <f>IF(RawDataGenPO[[#This Row],[PO No.]]="","",RawDataGenPO[[#This Row],[DMY Create PR]]+7)</f>
        <v/>
      </c>
      <c r="J384" s="290" t="n"/>
      <c r="K384" s="20" t="n">
        <v>40</v>
      </c>
      <c r="L384" s="5" t="inlineStr">
        <is>
          <t>SFST81000050</t>
        </is>
      </c>
      <c r="M384" s="7" t="inlineStr">
        <is>
          <t>Electrical system out  PD area</t>
        </is>
      </c>
      <c r="N384" s="7" t="inlineStr">
        <is>
          <t>Eletrical part</t>
        </is>
      </c>
      <c r="O384" s="11" t="n">
        <v>2</v>
      </c>
      <c r="P384" s="10" t="inlineStr">
        <is>
          <t>Snake guard aluminum for 22KV power pole installation (45x95 cm)</t>
        </is>
      </c>
      <c r="Q384" s="189" t="n">
        <v>8</v>
      </c>
      <c r="R384" s="5" t="inlineStr">
        <is>
          <t>PCS.</t>
        </is>
      </c>
      <c r="S384" s="284">
        <f>RawDataGenPO[[#This Row],[Total price]]/RawDataGenPO[[#This Row],[Qty'']]</f>
        <v/>
      </c>
      <c r="T384" s="304" t="n">
        <v>3040</v>
      </c>
      <c r="U384" s="161" t="inlineStr">
        <is>
          <t>Puneet Approval</t>
        </is>
      </c>
      <c r="V384" s="7" t="inlineStr">
        <is>
          <t>V1000611 - TANAPHAT ELECTRIC CO., LTD.</t>
        </is>
      </c>
      <c r="W384" s="5" t="inlineStr">
        <is>
          <t>Recive bill and GRN already</t>
        </is>
      </c>
      <c r="X384" s="5" t="n"/>
      <c r="Y384" s="3" t="n">
        <v>45587</v>
      </c>
      <c r="Z384" s="3" t="n"/>
      <c r="AA384" s="17">
        <f>IF(RawDataGenPO[[#This Row],[Date Gen PO]]="","",RawDataGenPO[[#This Row],[Date recive bill]]-RawDataGenPO[[#This Row],[Date Gen PO]])</f>
        <v/>
      </c>
      <c r="AB384" s="16">
        <f>IF(RawDataGenPO[[#This Row],[GRN-PO date]]&gt;RawDataGenPO[[#This Row],[Lead time delivery (day)]],"over deliverry","Ontime")</f>
        <v/>
      </c>
      <c r="AC384" s="168" t="n"/>
    </row>
    <row r="385" ht="15" customFormat="1" customHeight="1" s="125">
      <c r="A385" s="5">
        <f>ROW()-ROW(RawDataGenPO[[#Headers],[No.]])</f>
        <v/>
      </c>
      <c r="B385" s="7" t="inlineStr">
        <is>
          <t>Expent  cost</t>
        </is>
      </c>
      <c r="C385" s="275" t="n">
        <v>45541</v>
      </c>
      <c r="D385" s="276" t="n"/>
      <c r="E385" s="276" t="n"/>
      <c r="F385" s="275" t="n">
        <v>45541</v>
      </c>
      <c r="G385" s="5" t="inlineStr">
        <is>
          <t>PR2425-03186</t>
        </is>
      </c>
      <c r="H385" s="5" t="inlineStr">
        <is>
          <t>PO2425-03607</t>
        </is>
      </c>
      <c r="I385" s="290">
        <f>IF(RawDataGenPO[[#This Row],[PO No.]]="","",RawDataGenPO[[#This Row],[DMY Create PR]]+7)</f>
        <v/>
      </c>
      <c r="J385" s="290" t="n"/>
      <c r="K385" s="20" t="n">
        <v>40</v>
      </c>
      <c r="L385" s="5" t="inlineStr">
        <is>
          <t>SFST81000050</t>
        </is>
      </c>
      <c r="M385" s="7" t="inlineStr">
        <is>
          <t>Electrical system out  PD area</t>
        </is>
      </c>
      <c r="N385" s="7" t="inlineStr">
        <is>
          <t>Eletrical part</t>
        </is>
      </c>
      <c r="O385" s="11" t="n">
        <v>3</v>
      </c>
      <c r="P385" s="10" t="inlineStr">
        <is>
          <t>Stainless steel 304 cable tie strip, width 1/2 inch, thickness 0.3 mm (30 m/box)</t>
        </is>
      </c>
      <c r="Q385" s="189" t="n">
        <v>1</v>
      </c>
      <c r="R385" s="5" t="inlineStr">
        <is>
          <t>PCS.</t>
        </is>
      </c>
      <c r="S385" s="284">
        <f>RawDataGenPO[[#This Row],[Total price]]/RawDataGenPO[[#This Row],[Qty'']]</f>
        <v/>
      </c>
      <c r="T385" s="304" t="n">
        <v>470</v>
      </c>
      <c r="U385" s="161" t="inlineStr">
        <is>
          <t>Puneet Approval</t>
        </is>
      </c>
      <c r="V385" s="7" t="inlineStr">
        <is>
          <t>V1000611 - TANAPHAT ELECTRIC CO., LTD.</t>
        </is>
      </c>
      <c r="W385" s="5" t="inlineStr">
        <is>
          <t>Recive bill and GRN already</t>
        </is>
      </c>
      <c r="X385" s="5" t="n"/>
      <c r="Y385" s="3" t="n">
        <v>45587</v>
      </c>
      <c r="Z385" s="3" t="n"/>
      <c r="AA385" s="17">
        <f>IF(RawDataGenPO[[#This Row],[Date Gen PO]]="","",RawDataGenPO[[#This Row],[Date recive bill]]-RawDataGenPO[[#This Row],[Date Gen PO]])</f>
        <v/>
      </c>
      <c r="AB385" s="16">
        <f>IF(RawDataGenPO[[#This Row],[GRN-PO date]]&gt;RawDataGenPO[[#This Row],[Lead time delivery (day)]],"over deliverry","Ontime")</f>
        <v/>
      </c>
      <c r="AC385" s="168" t="n"/>
    </row>
    <row r="386" ht="15" customFormat="1" customHeight="1" s="125">
      <c r="A386" s="5">
        <f>ROW()-ROW(RawDataGenPO[[#Headers],[No.]])</f>
        <v/>
      </c>
      <c r="B386" s="7" t="inlineStr">
        <is>
          <t>Expent  cost</t>
        </is>
      </c>
      <c r="C386" s="275" t="n">
        <v>45541</v>
      </c>
      <c r="D386" s="276" t="n"/>
      <c r="E386" s="276" t="n"/>
      <c r="F386" s="275" t="n">
        <v>45541</v>
      </c>
      <c r="G386" s="5" t="inlineStr">
        <is>
          <t>PR2425-03186</t>
        </is>
      </c>
      <c r="H386" s="5" t="inlineStr">
        <is>
          <t>PO2425-03607</t>
        </is>
      </c>
      <c r="I386" s="290">
        <f>IF(RawDataGenPO[[#This Row],[PO No.]]="","",RawDataGenPO[[#This Row],[DMY Create PR]]+7)</f>
        <v/>
      </c>
      <c r="J386" s="290" t="n"/>
      <c r="K386" s="20" t="n">
        <v>40</v>
      </c>
      <c r="L386" s="5" t="inlineStr">
        <is>
          <t>SFST81000085</t>
        </is>
      </c>
      <c r="M386" s="7" t="inlineStr">
        <is>
          <t>Electrical system out  PD area</t>
        </is>
      </c>
      <c r="N386" s="7" t="inlineStr">
        <is>
          <t>Eletrical part</t>
        </is>
      </c>
      <c r="O386" s="11" t="n">
        <v>4</v>
      </c>
      <c r="P386" s="10" t="inlineStr">
        <is>
          <t>General transportation charge</t>
        </is>
      </c>
      <c r="Q386" s="189" t="n">
        <v>1</v>
      </c>
      <c r="R386" s="5" t="inlineStr">
        <is>
          <t>PCS.</t>
        </is>
      </c>
      <c r="S386" s="284">
        <f>RawDataGenPO[[#This Row],[Total price]]/RawDataGenPO[[#This Row],[Qty'']]</f>
        <v/>
      </c>
      <c r="T386" s="304" t="n">
        <v>350</v>
      </c>
      <c r="U386" s="161" t="inlineStr">
        <is>
          <t>Puneet Approval</t>
        </is>
      </c>
      <c r="V386" s="7" t="inlineStr">
        <is>
          <t>V1000611 - TANAPHAT ELECTRIC CO., LTD.</t>
        </is>
      </c>
      <c r="W386" s="5" t="inlineStr">
        <is>
          <t>Recive bill and GRN already</t>
        </is>
      </c>
      <c r="X386" s="5" t="n"/>
      <c r="Y386" s="3" t="n">
        <v>45587</v>
      </c>
      <c r="Z386" s="3" t="n"/>
      <c r="AA386" s="17">
        <f>IF(RawDataGenPO[[#This Row],[Date Gen PO]]="","",RawDataGenPO[[#This Row],[Date recive bill]]-RawDataGenPO[[#This Row],[Date Gen PO]])</f>
        <v/>
      </c>
      <c r="AB386" s="16">
        <f>IF(RawDataGenPO[[#This Row],[GRN-PO date]]&gt;RawDataGenPO[[#This Row],[Lead time delivery (day)]],"over deliverry","Ontime")</f>
        <v/>
      </c>
      <c r="AC386" s="168" t="n"/>
    </row>
    <row r="387" ht="15" customFormat="1" customHeight="1" s="125">
      <c r="A387" s="5">
        <f>ROW()-ROW(RawDataGenPO[[#Headers],[No.]])</f>
        <v/>
      </c>
      <c r="B387" s="7" t="inlineStr">
        <is>
          <t>Expent  cost</t>
        </is>
      </c>
      <c r="C387" s="275" t="n">
        <v>45541</v>
      </c>
      <c r="D387" s="276" t="n"/>
      <c r="E387" s="276" t="n"/>
      <c r="F387" s="275" t="n">
        <v>45541</v>
      </c>
      <c r="G387" s="5" t="inlineStr">
        <is>
          <t>PR2425-03210</t>
        </is>
      </c>
      <c r="H387" s="5" t="inlineStr">
        <is>
          <t xml:space="preserve">PO2425-03624 </t>
        </is>
      </c>
      <c r="I387" s="290">
        <f>IF(RawDataGenPO[[#This Row],[PO No.]]="","",RawDataGenPO[[#This Row],[DMY Create PR]]+7)</f>
        <v/>
      </c>
      <c r="J387" s="290" t="n"/>
      <c r="K387" s="20" t="n">
        <v>25</v>
      </c>
      <c r="L387" s="5" t="inlineStr">
        <is>
          <t>SFST81000050</t>
        </is>
      </c>
      <c r="M387" s="7" t="inlineStr">
        <is>
          <t>Civill jobs (Floor-Wall-Celling-roof)</t>
        </is>
      </c>
      <c r="N387" s="7" t="inlineStr">
        <is>
          <t>Cevil quipment  &amp; Part</t>
        </is>
      </c>
      <c r="O387" s="11" t="n">
        <v>1</v>
      </c>
      <c r="P387" s="10" t="inlineStr">
        <is>
          <t>Rust Oleum" Epoxy 9391+9305 (A+B), white (3.785L)</t>
        </is>
      </c>
      <c r="Q387" s="277" t="n">
        <v>5</v>
      </c>
      <c r="R387" s="5" t="inlineStr">
        <is>
          <t>PCS.</t>
        </is>
      </c>
      <c r="S387" s="284">
        <f>RawDataGenPO[[#This Row],[Total price]]/RawDataGenPO[[#This Row],[Qty'']]</f>
        <v/>
      </c>
      <c r="T387" s="285" t="n">
        <v>7663.55</v>
      </c>
      <c r="U387" s="161" t="inlineStr">
        <is>
          <t>Puneet Approval</t>
        </is>
      </c>
      <c r="V387" s="7" t="inlineStr">
        <is>
          <t xml:space="preserve"> V1000657 - SANGSIAM HARDWARE LTD., PART</t>
        </is>
      </c>
      <c r="W387" s="5" t="inlineStr">
        <is>
          <t>Recive bill and GRN already</t>
        </is>
      </c>
      <c r="X387" s="5" t="n"/>
      <c r="Y387" s="3" t="n">
        <v>45572</v>
      </c>
      <c r="Z387" s="3" t="n"/>
      <c r="AA387" s="17">
        <f>IF(RawDataGenPO[[#This Row],[Date Gen PO]]="","",RawDataGenPO[[#This Row],[Date recive bill]]-RawDataGenPO[[#This Row],[Date Gen PO]])</f>
        <v/>
      </c>
      <c r="AB387" s="16">
        <f>IF(RawDataGenPO[[#This Row],[GRN-PO date]]&gt;RawDataGenPO[[#This Row],[Lead time delivery (day)]],"over deliverry","Ontime")</f>
        <v/>
      </c>
      <c r="AC387" s="168" t="n"/>
    </row>
    <row r="388" ht="15" customFormat="1" customHeight="1" s="125">
      <c r="A388" s="5">
        <f>ROW()-ROW(RawDataGenPO[[#Headers],[No.]])</f>
        <v/>
      </c>
      <c r="B388" s="7" t="inlineStr">
        <is>
          <t>Expent  cost</t>
        </is>
      </c>
      <c r="C388" s="275" t="n">
        <v>45541</v>
      </c>
      <c r="D388" s="276" t="n"/>
      <c r="E388" s="276" t="n"/>
      <c r="F388" s="275" t="n">
        <v>45541</v>
      </c>
      <c r="G388" s="5" t="inlineStr">
        <is>
          <t>PR2425-03210</t>
        </is>
      </c>
      <c r="H388" s="5" t="inlineStr">
        <is>
          <t xml:space="preserve">PO2425-03624 </t>
        </is>
      </c>
      <c r="I388" s="290">
        <f>IF(RawDataGenPO[[#This Row],[PO No.]]="","",RawDataGenPO[[#This Row],[DMY Create PR]]+7)</f>
        <v/>
      </c>
      <c r="J388" s="290" t="n"/>
      <c r="K388" s="20" t="n">
        <v>25</v>
      </c>
      <c r="L388" s="5" t="inlineStr">
        <is>
          <t>SFST81000050</t>
        </is>
      </c>
      <c r="M388" s="7" t="inlineStr">
        <is>
          <t>Civill jobs (Floor-Wall-Celling-roof)</t>
        </is>
      </c>
      <c r="N388" s="7" t="inlineStr">
        <is>
          <t>Cevil quipment  &amp; Part</t>
        </is>
      </c>
      <c r="O388" s="11" t="n">
        <v>2</v>
      </c>
      <c r="P388" s="10" t="inlineStr">
        <is>
          <t>Rust Oleum" Epoxy 9333+9301 (A+B), green (3.785L)</t>
        </is>
      </c>
      <c r="Q388" s="277" t="n">
        <v>4</v>
      </c>
      <c r="R388" s="5" t="inlineStr">
        <is>
          <t>PCS.</t>
        </is>
      </c>
      <c r="S388" s="284">
        <f>RawDataGenPO[[#This Row],[Total price]]/RawDataGenPO[[#This Row],[Qty'']]</f>
        <v/>
      </c>
      <c r="T388" s="285" t="n">
        <v>6616.84</v>
      </c>
      <c r="U388" s="161" t="inlineStr">
        <is>
          <t>Puneet Approval</t>
        </is>
      </c>
      <c r="V388" s="7" t="inlineStr">
        <is>
          <t xml:space="preserve"> V1000657 - SANGSIAM HARDWARE LTD., PART</t>
        </is>
      </c>
      <c r="W388" s="5" t="inlineStr">
        <is>
          <t>Recive bill and GRN already</t>
        </is>
      </c>
      <c r="X388" s="5" t="n"/>
      <c r="Y388" s="3" t="n">
        <v>45572</v>
      </c>
      <c r="Z388" s="3" t="n"/>
      <c r="AA388" s="17">
        <f>IF(RawDataGenPO[[#This Row],[Date Gen PO]]="","",RawDataGenPO[[#This Row],[Date recive bill]]-RawDataGenPO[[#This Row],[Date Gen PO]])</f>
        <v/>
      </c>
      <c r="AB388" s="16">
        <f>IF(RawDataGenPO[[#This Row],[GRN-PO date]]&gt;RawDataGenPO[[#This Row],[Lead time delivery (day)]],"over deliverry","Ontime")</f>
        <v/>
      </c>
      <c r="AC388" s="168" t="n"/>
    </row>
    <row r="389" ht="15" customFormat="1" customHeight="1" s="125">
      <c r="A389" s="5">
        <f>ROW()-ROW(RawDataGenPO[[#Headers],[No.]])</f>
        <v/>
      </c>
      <c r="B389" s="7" t="inlineStr">
        <is>
          <t>Expent  cost</t>
        </is>
      </c>
      <c r="C389" s="275" t="n">
        <v>45541</v>
      </c>
      <c r="D389" s="276" t="n"/>
      <c r="E389" s="276" t="n"/>
      <c r="F389" s="275" t="n">
        <v>45541</v>
      </c>
      <c r="G389" s="5" t="inlineStr">
        <is>
          <t>PR2425-03210</t>
        </is>
      </c>
      <c r="H389" s="5" t="inlineStr">
        <is>
          <t xml:space="preserve">PO2425-03624 </t>
        </is>
      </c>
      <c r="I389" s="290">
        <f>IF(RawDataGenPO[[#This Row],[PO No.]]="","",RawDataGenPO[[#This Row],[DMY Create PR]]+7)</f>
        <v/>
      </c>
      <c r="J389" s="290" t="n"/>
      <c r="K389" s="20" t="n">
        <v>25</v>
      </c>
      <c r="L389" s="5" t="inlineStr">
        <is>
          <t>SFST81000050</t>
        </is>
      </c>
      <c r="M389" s="7" t="inlineStr">
        <is>
          <t>Civill jobs (Floor-Wall-Celling-roof)</t>
        </is>
      </c>
      <c r="N389" s="7" t="inlineStr">
        <is>
          <t>Cevil quipment  &amp; Part</t>
        </is>
      </c>
      <c r="O389" s="11" t="n">
        <v>3</v>
      </c>
      <c r="P389" s="10" t="inlineStr">
        <is>
          <t>Rust Oleum" Epoxy 9325+9301 (A+B), blue (3.785L)</t>
        </is>
      </c>
      <c r="Q389" s="277" t="n">
        <v>1</v>
      </c>
      <c r="R389" s="5" t="inlineStr">
        <is>
          <t>PCS.</t>
        </is>
      </c>
      <c r="S389" s="284">
        <f>RawDataGenPO[[#This Row],[Total price]]/RawDataGenPO[[#This Row],[Qty'']]</f>
        <v/>
      </c>
      <c r="T389" s="285" t="n">
        <v>1654.21</v>
      </c>
      <c r="U389" s="161" t="inlineStr">
        <is>
          <t>Puneet Approval</t>
        </is>
      </c>
      <c r="V389" s="7" t="inlineStr">
        <is>
          <t xml:space="preserve"> V1000657 - SANGSIAM HARDWARE LTD., PART</t>
        </is>
      </c>
      <c r="W389" s="5" t="inlineStr">
        <is>
          <t>Recive bill and GRN already</t>
        </is>
      </c>
      <c r="X389" s="5" t="n"/>
      <c r="Y389" s="3" t="n">
        <v>45572</v>
      </c>
      <c r="Z389" s="3" t="n"/>
      <c r="AA389" s="17">
        <f>IF(RawDataGenPO[[#This Row],[Date Gen PO]]="","",RawDataGenPO[[#This Row],[Date recive bill]]-RawDataGenPO[[#This Row],[Date Gen PO]])</f>
        <v/>
      </c>
      <c r="AB389" s="16">
        <f>IF(RawDataGenPO[[#This Row],[GRN-PO date]]&gt;RawDataGenPO[[#This Row],[Lead time delivery (day)]],"over deliverry","Ontime")</f>
        <v/>
      </c>
      <c r="AC389" s="168" t="n"/>
    </row>
    <row r="390" ht="15" customFormat="1" customHeight="1" s="125">
      <c r="A390" s="5">
        <f>ROW()-ROW(RawDataGenPO[[#Headers],[No.]])</f>
        <v/>
      </c>
      <c r="B390" s="7" t="inlineStr">
        <is>
          <t>Expent  cost</t>
        </is>
      </c>
      <c r="C390" s="275" t="n">
        <v>45541</v>
      </c>
      <c r="D390" s="276" t="n"/>
      <c r="E390" s="276" t="n"/>
      <c r="F390" s="275" t="n">
        <v>45541</v>
      </c>
      <c r="G390" s="5" t="inlineStr">
        <is>
          <t>PR2425-03210</t>
        </is>
      </c>
      <c r="H390" s="5" t="inlineStr">
        <is>
          <t xml:space="preserve">PO2425-03624 </t>
        </is>
      </c>
      <c r="I390" s="290">
        <f>IF(RawDataGenPO[[#This Row],[PO No.]]="","",RawDataGenPO[[#This Row],[DMY Create PR]]+7)</f>
        <v/>
      </c>
      <c r="J390" s="290" t="n"/>
      <c r="K390" s="20" t="n">
        <v>25</v>
      </c>
      <c r="L390" s="5" t="inlineStr">
        <is>
          <t>SFST81000050</t>
        </is>
      </c>
      <c r="M390" s="7" t="inlineStr">
        <is>
          <t>Civill jobs (Floor-Wall-Celling-roof)</t>
        </is>
      </c>
      <c r="N390" s="7" t="inlineStr">
        <is>
          <t>Cevil quipment  &amp; Part</t>
        </is>
      </c>
      <c r="O390" s="11" t="n">
        <v>4</v>
      </c>
      <c r="P390" s="10" t="inlineStr">
        <is>
          <t>Rust Oleum" Thinner No.160 (3.785L.)</t>
        </is>
      </c>
      <c r="Q390" s="277" t="n">
        <v>3</v>
      </c>
      <c r="R390" s="5" t="inlineStr">
        <is>
          <t>PCS.</t>
        </is>
      </c>
      <c r="S390" s="284">
        <f>RawDataGenPO[[#This Row],[Total price]]/RawDataGenPO[[#This Row],[Qty'']]</f>
        <v/>
      </c>
      <c r="T390" s="285" t="n">
        <v>1738.32</v>
      </c>
      <c r="U390" s="161" t="inlineStr">
        <is>
          <t>Puneet Approval</t>
        </is>
      </c>
      <c r="V390" s="7" t="inlineStr">
        <is>
          <t xml:space="preserve"> V1000657 - SANGSIAM HARDWARE LTD., PART</t>
        </is>
      </c>
      <c r="W390" s="5" t="inlineStr">
        <is>
          <t>Recive bill and GRN already</t>
        </is>
      </c>
      <c r="X390" s="5" t="n"/>
      <c r="Y390" s="3" t="n">
        <v>45572</v>
      </c>
      <c r="Z390" s="3" t="n"/>
      <c r="AA390" s="17">
        <f>IF(RawDataGenPO[[#This Row],[Date Gen PO]]="","",RawDataGenPO[[#This Row],[Date recive bill]]-RawDataGenPO[[#This Row],[Date Gen PO]])</f>
        <v/>
      </c>
      <c r="AB390" s="16">
        <f>IF(RawDataGenPO[[#This Row],[GRN-PO date]]&gt;RawDataGenPO[[#This Row],[Lead time delivery (day)]],"over deliverry","Ontime")</f>
        <v/>
      </c>
      <c r="AC390" s="168" t="n"/>
    </row>
    <row r="391" ht="30" customFormat="1" customHeight="1" s="125">
      <c r="A391" s="5">
        <f>ROW()-ROW(RawDataGenPO[[#Headers],[No.]])</f>
        <v/>
      </c>
      <c r="B391" s="7" t="inlineStr">
        <is>
          <t>Expent  cost</t>
        </is>
      </c>
      <c r="C391" s="275" t="n">
        <v>45547</v>
      </c>
      <c r="D391" s="276" t="n"/>
      <c r="E391" s="276" t="n"/>
      <c r="F391" s="275" t="n">
        <v>45547</v>
      </c>
      <c r="G391" s="5" t="inlineStr">
        <is>
          <t>PR2425-03346</t>
        </is>
      </c>
      <c r="H391" s="5" t="inlineStr">
        <is>
          <t>PO2425-03668</t>
        </is>
      </c>
      <c r="I391" s="290">
        <f>IF(RawDataGenPO[[#This Row],[PO No.]]="","",RawDataGenPO[[#This Row],[DMY Create PR]]+7)</f>
        <v/>
      </c>
      <c r="J391" s="290" t="n"/>
      <c r="K391" s="20" t="n">
        <v>60</v>
      </c>
      <c r="L391" s="5" t="inlineStr">
        <is>
          <t>SFST81000064</t>
        </is>
      </c>
      <c r="M391" s="7" t="inlineStr">
        <is>
          <t>Annual cost</t>
        </is>
      </c>
      <c r="N391" s="7" t="inlineStr">
        <is>
          <t>Fire Pump System</t>
        </is>
      </c>
      <c r="O391" s="11" t="n">
        <v>1</v>
      </c>
      <c r="P391" s="10" t="inlineStr">
        <is>
          <t>Testing and certification service fee for fire protection system (Fire Pump)
- annual 2024</t>
        </is>
      </c>
      <c r="Q391" s="277" t="n">
        <v>1</v>
      </c>
      <c r="R391" s="5" t="inlineStr">
        <is>
          <t>JOB.</t>
        </is>
      </c>
      <c r="S391" s="284">
        <f>RawDataGenPO[[#This Row],[Total price]]/RawDataGenPO[[#This Row],[Qty'']]</f>
        <v/>
      </c>
      <c r="T391" s="285" t="n">
        <v>18000</v>
      </c>
      <c r="U391" s="161" t="inlineStr">
        <is>
          <t>Puneet Approval</t>
        </is>
      </c>
      <c r="V391" s="7" t="inlineStr">
        <is>
          <t>V1000653 - Inspector Consultant Plus Co., Ltd.</t>
        </is>
      </c>
      <c r="W391" s="5" t="inlineStr">
        <is>
          <t>Recive bill and GRN already</t>
        </is>
      </c>
      <c r="X391" s="5" t="n"/>
      <c r="Y391" s="3" t="n">
        <v>45609</v>
      </c>
      <c r="Z391" s="3" t="n"/>
      <c r="AA391" s="17">
        <f>IF(RawDataGenPO[[#This Row],[Date Gen PO]]="","",RawDataGenPO[[#This Row],[Date recive bill]]-RawDataGenPO[[#This Row],[Date Gen PO]])</f>
        <v/>
      </c>
      <c r="AB391" s="16">
        <f>IF(RawDataGenPO[[#This Row],[GRN-PO date]]&gt;RawDataGenPO[[#This Row],[Lead time delivery (day)]],"over deliverry","Ontime")</f>
        <v/>
      </c>
      <c r="AC391" s="168" t="n"/>
    </row>
    <row r="392" ht="15" customFormat="1" customHeight="1" s="125">
      <c r="A392" s="5">
        <f>ROW()-ROW(RawDataGenPO[[#Headers],[No.]])</f>
        <v/>
      </c>
      <c r="B392" s="7" t="inlineStr">
        <is>
          <t>Expent  cost</t>
        </is>
      </c>
      <c r="C392" s="275" t="n">
        <v>45547</v>
      </c>
      <c r="D392" s="276" t="n"/>
      <c r="E392" s="276" t="n"/>
      <c r="F392" s="275" t="n">
        <v>45547</v>
      </c>
      <c r="G392" s="5" t="inlineStr">
        <is>
          <t>PR2425-03344</t>
        </is>
      </c>
      <c r="H392" s="5" t="inlineStr">
        <is>
          <t>PO2425-03669</t>
        </is>
      </c>
      <c r="I392" s="290">
        <f>IF(RawDataGenPO[[#This Row],[PO No.]]="","",RawDataGenPO[[#This Row],[DMY Create PR]]+7)</f>
        <v/>
      </c>
      <c r="J392" s="290" t="n"/>
      <c r="K392" s="20" t="n">
        <v>160</v>
      </c>
      <c r="L392" s="5" t="inlineStr">
        <is>
          <t>SFST81000064</t>
        </is>
      </c>
      <c r="M392" s="7" t="inlineStr">
        <is>
          <t>Annual cost</t>
        </is>
      </c>
      <c r="N392" s="7" t="inlineStr">
        <is>
          <t>Safety  annual jobs</t>
        </is>
      </c>
      <c r="O392" s="11" t="n">
        <v>4</v>
      </c>
      <c r="P392" s="10" t="inlineStr">
        <is>
          <t>Annual renewal testing service fee for LPG usage site</t>
        </is>
      </c>
      <c r="Q392" s="277" t="n">
        <v>1</v>
      </c>
      <c r="R392" s="5" t="inlineStr">
        <is>
          <t>JOB.</t>
        </is>
      </c>
      <c r="S392" s="284">
        <f>RawDataGenPO[[#This Row],[Total price]]/RawDataGenPO[[#This Row],[Qty'']]</f>
        <v/>
      </c>
      <c r="T392" s="285" t="n">
        <v>10000</v>
      </c>
      <c r="U392" s="161" t="inlineStr">
        <is>
          <t>Puneet Approval</t>
        </is>
      </c>
      <c r="V392" s="7" t="inlineStr">
        <is>
          <t>V1000145 - Ratchaphruek Engineering Co., Ltd.</t>
        </is>
      </c>
      <c r="W392" s="5" t="inlineStr">
        <is>
          <t>Recive bill and GRN already</t>
        </is>
      </c>
      <c r="X392" s="5" t="n"/>
      <c r="Y392" s="3" t="n">
        <v>45708</v>
      </c>
      <c r="Z392" s="3" t="n"/>
      <c r="AA392" s="17">
        <f>IF(RawDataGenPO[[#This Row],[Date Gen PO]]="","",RawDataGenPO[[#This Row],[Date recive bill]]-RawDataGenPO[[#This Row],[Date Gen PO]])</f>
        <v/>
      </c>
      <c r="AB392" s="16">
        <f>IF(RawDataGenPO[[#This Row],[GRN-PO date]]&gt;RawDataGenPO[[#This Row],[Lead time delivery (day)]],"over deliverry","Ontime")</f>
        <v/>
      </c>
      <c r="AC392" s="168" t="n"/>
    </row>
    <row r="393" ht="30" customFormat="1" customHeight="1" s="125">
      <c r="A393" s="5">
        <f>ROW()-ROW(RawDataGenPO[[#Headers],[No.]])</f>
        <v/>
      </c>
      <c r="B393" s="7" t="inlineStr">
        <is>
          <t>Expent  cost</t>
        </is>
      </c>
      <c r="C393" s="275" t="n">
        <v>45547</v>
      </c>
      <c r="D393" s="276" t="n"/>
      <c r="E393" s="276" t="n"/>
      <c r="F393" s="275" t="n">
        <v>45547</v>
      </c>
      <c r="G393" s="5" t="inlineStr">
        <is>
          <t>PR2425-03344</t>
        </is>
      </c>
      <c r="H393" s="5" t="inlineStr">
        <is>
          <t>PO2425-03669</t>
        </is>
      </c>
      <c r="I393" s="290">
        <f>IF(RawDataGenPO[[#This Row],[PO No.]]="","",RawDataGenPO[[#This Row],[DMY Create PR]]+7)</f>
        <v/>
      </c>
      <c r="J393" s="290" t="n"/>
      <c r="K393" s="20" t="n">
        <v>60</v>
      </c>
      <c r="L393" s="5" t="inlineStr">
        <is>
          <t>SFST81000064</t>
        </is>
      </c>
      <c r="M393" s="7" t="inlineStr">
        <is>
          <t>Annual cost</t>
        </is>
      </c>
      <c r="N393" s="7" t="inlineStr">
        <is>
          <t>Inspect cost</t>
        </is>
      </c>
      <c r="O393" s="11" t="n">
        <v>5</v>
      </c>
      <c r="P393" s="10" t="inlineStr">
        <is>
          <t>Coordination fee with provincial energy officials
- including license application submission for the gas usage site</t>
        </is>
      </c>
      <c r="Q393" s="277" t="n">
        <v>1</v>
      </c>
      <c r="R393" s="5" t="inlineStr">
        <is>
          <t>JOB.</t>
        </is>
      </c>
      <c r="S393" s="284">
        <f>RawDataGenPO[[#This Row],[Total price]]/RawDataGenPO[[#This Row],[Qty'']]</f>
        <v/>
      </c>
      <c r="T393" s="285" t="n">
        <v>15000</v>
      </c>
      <c r="U393" s="161" t="inlineStr">
        <is>
          <t>Puneet Approval</t>
        </is>
      </c>
      <c r="V393" s="7" t="inlineStr">
        <is>
          <t>V1000145 - Ratchaphruek Engineering Co., Ltd.</t>
        </is>
      </c>
      <c r="W393" s="5" t="inlineStr">
        <is>
          <t>Recive bill and GRN already</t>
        </is>
      </c>
      <c r="X393" s="5" t="n"/>
      <c r="Y393" s="3" t="n">
        <v>45608</v>
      </c>
      <c r="Z393" s="3" t="n"/>
      <c r="AA393" s="17">
        <f>IF(RawDataGenPO[[#This Row],[Date Gen PO]]="","",RawDataGenPO[[#This Row],[Date recive bill]]-RawDataGenPO[[#This Row],[Date Gen PO]])</f>
        <v/>
      </c>
      <c r="AB393" s="16">
        <f>IF(RawDataGenPO[[#This Row],[GRN-PO date]]&gt;RawDataGenPO[[#This Row],[Lead time delivery (day)]],"over deliverry","Ontime")</f>
        <v/>
      </c>
      <c r="AC393" s="168" t="n"/>
    </row>
    <row r="394" ht="55.79999923706055" customFormat="1" customHeight="1" s="125">
      <c r="A394" s="5">
        <f>ROW()-ROW(RawDataGenPO[[#Headers],[No.]])</f>
        <v/>
      </c>
      <c r="B394" s="7" t="inlineStr">
        <is>
          <t>Expent  cost</t>
        </is>
      </c>
      <c r="C394" s="275" t="n">
        <v>45547</v>
      </c>
      <c r="D394" s="276" t="n"/>
      <c r="E394" s="276" t="n"/>
      <c r="F394" s="275" t="n">
        <v>45547</v>
      </c>
      <c r="G394" s="5" t="inlineStr">
        <is>
          <t>PR2425-03349</t>
        </is>
      </c>
      <c r="H394" s="5" t="inlineStr">
        <is>
          <t>PO2425-03674</t>
        </is>
      </c>
      <c r="I394" s="290">
        <f>IF(RawDataGenPO[[#This Row],[PO No.]]="","",RawDataGenPO[[#This Row],[DMY Create PR]]+7)</f>
        <v/>
      </c>
      <c r="J394" s="290" t="n"/>
      <c r="K394" s="20" t="n">
        <v>30</v>
      </c>
      <c r="L394" s="5" t="inlineStr">
        <is>
          <t>SFST81000064</t>
        </is>
      </c>
      <c r="M394" s="7" t="inlineStr">
        <is>
          <t>Annual cost</t>
        </is>
      </c>
      <c r="N394" s="7" t="inlineStr">
        <is>
          <t>Electrical jobs</t>
        </is>
      </c>
      <c r="O394" s="11" t="n">
        <v>1</v>
      </c>
      <c r="P394" s="74" t="inlineStr">
        <is>
          <t>Transformer inspection
- PM for 1250 KVA transformer, 3 EA
- PM for 630 KVA transformer, 1 EA
- PM for 100 KVA transformer, 1 EA</t>
        </is>
      </c>
      <c r="Q394" s="277" t="n">
        <v>1</v>
      </c>
      <c r="R394" s="5" t="inlineStr">
        <is>
          <t>JOB.</t>
        </is>
      </c>
      <c r="S394" s="284">
        <f>RawDataGenPO[[#This Row],[Total price]]/RawDataGenPO[[#This Row],[Qty'']]</f>
        <v/>
      </c>
      <c r="T394" s="285" t="n">
        <v>17000</v>
      </c>
      <c r="U394" s="161" t="inlineStr">
        <is>
          <t>Puneet Approval</t>
        </is>
      </c>
      <c r="V394" s="7" t="inlineStr">
        <is>
          <t>V1000188 - PHONGPIMARN ELECTRIC CO.,LTD.</t>
        </is>
      </c>
      <c r="W394" s="5" t="inlineStr">
        <is>
          <t>Recive bill and GRN already</t>
        </is>
      </c>
      <c r="X394" s="5" t="n"/>
      <c r="Y394" s="3" t="n">
        <v>45580</v>
      </c>
      <c r="Z394" s="3" t="n"/>
      <c r="AA394" s="17">
        <f>IF(RawDataGenPO[[#This Row],[Date Gen PO]]="","",RawDataGenPO[[#This Row],[Date recive bill]]-RawDataGenPO[[#This Row],[Date Gen PO]])</f>
        <v/>
      </c>
      <c r="AB394" s="16">
        <f>IF(RawDataGenPO[[#This Row],[GRN-PO date]]&gt;RawDataGenPO[[#This Row],[Lead time delivery (day)]],"over deliverry","Ontime")</f>
        <v/>
      </c>
      <c r="AC394" s="168" t="n"/>
    </row>
    <row r="395" ht="15" customFormat="1" customHeight="1" s="125">
      <c r="A395" s="5">
        <f>ROW()-ROW(RawDataGenPO[[#Headers],[No.]])</f>
        <v/>
      </c>
      <c r="B395" s="7" t="inlineStr">
        <is>
          <t>Expent  cost</t>
        </is>
      </c>
      <c r="C395" s="275" t="n">
        <v>45547</v>
      </c>
      <c r="D395" s="276" t="n"/>
      <c r="E395" s="276" t="n"/>
      <c r="F395" s="275" t="n">
        <v>45547</v>
      </c>
      <c r="G395" s="5" t="inlineStr">
        <is>
          <t>PR2425-03349</t>
        </is>
      </c>
      <c r="H395" s="5" t="inlineStr">
        <is>
          <t>PO2425-03674</t>
        </is>
      </c>
      <c r="I395" s="290">
        <f>IF(RawDataGenPO[[#This Row],[PO No.]]="","",RawDataGenPO[[#This Row],[DMY Create PR]]+7)</f>
        <v/>
      </c>
      <c r="J395" s="290" t="n"/>
      <c r="K395" s="20" t="n">
        <v>30</v>
      </c>
      <c r="L395" s="5" t="inlineStr">
        <is>
          <t>SFST81000064</t>
        </is>
      </c>
      <c r="M395" s="7" t="inlineStr">
        <is>
          <t>Annual cost</t>
        </is>
      </c>
      <c r="N395" s="7" t="inlineStr">
        <is>
          <t>Inspect cost</t>
        </is>
      </c>
      <c r="O395" s="11" t="n">
        <v>2</v>
      </c>
      <c r="P395" s="10" t="inlineStr">
        <is>
          <t>Transformer PM certification letter</t>
        </is>
      </c>
      <c r="Q395" s="277" t="n">
        <v>1</v>
      </c>
      <c r="R395" s="5" t="inlineStr">
        <is>
          <t>JOB.</t>
        </is>
      </c>
      <c r="S395" s="284">
        <f>RawDataGenPO[[#This Row],[Total price]]/RawDataGenPO[[#This Row],[Qty'']]</f>
        <v/>
      </c>
      <c r="T395" s="285" t="n">
        <v>5000</v>
      </c>
      <c r="U395" s="161" t="inlineStr">
        <is>
          <t>Puneet Approval</t>
        </is>
      </c>
      <c r="V395" s="7" t="inlineStr">
        <is>
          <t>V1000188 - PHONGPIMARN ELECTRIC CO.,LTD.</t>
        </is>
      </c>
      <c r="W395" s="5" t="inlineStr">
        <is>
          <t>Recive bill and GRN already</t>
        </is>
      </c>
      <c r="X395" s="5" t="n"/>
      <c r="Y395" s="3" t="n">
        <v>45580</v>
      </c>
      <c r="Z395" s="3" t="n"/>
      <c r="AA395" s="17">
        <f>IF(RawDataGenPO[[#This Row],[Date Gen PO]]="","",RawDataGenPO[[#This Row],[Date recive bill]]-RawDataGenPO[[#This Row],[Date Gen PO]])</f>
        <v/>
      </c>
      <c r="AB395" s="16">
        <f>IF(RawDataGenPO[[#This Row],[GRN-PO date]]&gt;RawDataGenPO[[#This Row],[Lead time delivery (day)]],"over deliverry","Ontime")</f>
        <v/>
      </c>
      <c r="AC395" s="168" t="n"/>
    </row>
    <row r="396" ht="15" customFormat="1" customHeight="1" s="125">
      <c r="A396" s="5">
        <f>ROW()-ROW(RawDataGenPO[[#Headers],[No.]])</f>
        <v/>
      </c>
      <c r="B396" s="7" t="inlineStr">
        <is>
          <t>Expent  cost</t>
        </is>
      </c>
      <c r="C396" s="275" t="n">
        <v>45547</v>
      </c>
      <c r="D396" s="276" t="n"/>
      <c r="E396" s="276" t="n"/>
      <c r="F396" s="275" t="n">
        <v>45547</v>
      </c>
      <c r="G396" s="5" t="inlineStr">
        <is>
          <t>PR2425-03349</t>
        </is>
      </c>
      <c r="H396" s="5" t="inlineStr">
        <is>
          <t>PO2425-03674</t>
        </is>
      </c>
      <c r="I396" s="290">
        <f>IF(RawDataGenPO[[#This Row],[PO No.]]="","",RawDataGenPO[[#This Row],[DMY Create PR]]+7)</f>
        <v/>
      </c>
      <c r="J396" s="290" t="n"/>
      <c r="K396" s="20" t="n">
        <v>30</v>
      </c>
      <c r="L396" s="5" t="inlineStr">
        <is>
          <t>SFST81000064</t>
        </is>
      </c>
      <c r="M396" s="7" t="inlineStr">
        <is>
          <t>Annual cost</t>
        </is>
      </c>
      <c r="N396" s="7" t="inlineStr">
        <is>
          <t>Inspect cost</t>
        </is>
      </c>
      <c r="O396" s="11" t="n">
        <v>3</v>
      </c>
      <c r="P396" s="10" t="inlineStr">
        <is>
          <t>Vehicle, travel, and processing charges</t>
        </is>
      </c>
      <c r="Q396" s="277" t="n">
        <v>1</v>
      </c>
      <c r="R396" s="5" t="inlineStr">
        <is>
          <t>JOB.</t>
        </is>
      </c>
      <c r="S396" s="284">
        <f>RawDataGenPO[[#This Row],[Total price]]/RawDataGenPO[[#This Row],[Qty'']]</f>
        <v/>
      </c>
      <c r="T396" s="285" t="n">
        <v>5000</v>
      </c>
      <c r="U396" s="161" t="inlineStr">
        <is>
          <t>Puneet Approval</t>
        </is>
      </c>
      <c r="V396" s="7" t="inlineStr">
        <is>
          <t>V1000188 - PHONGPIMARN ELECTRIC CO.,LTD.</t>
        </is>
      </c>
      <c r="W396" s="5" t="inlineStr">
        <is>
          <t>Recive bill and GRN already</t>
        </is>
      </c>
      <c r="X396" s="5" t="n"/>
      <c r="Y396" s="3" t="n">
        <v>45580</v>
      </c>
      <c r="Z396" s="3" t="n"/>
      <c r="AA396" s="17">
        <f>IF(RawDataGenPO[[#This Row],[Date Gen PO]]="","",RawDataGenPO[[#This Row],[Date recive bill]]-RawDataGenPO[[#This Row],[Date Gen PO]])</f>
        <v/>
      </c>
      <c r="AB396" s="16">
        <f>IF(RawDataGenPO[[#This Row],[GRN-PO date]]&gt;RawDataGenPO[[#This Row],[Lead time delivery (day)]],"over deliverry","Ontime")</f>
        <v/>
      </c>
      <c r="AC396" s="168" t="n"/>
    </row>
    <row r="397" ht="30" customFormat="1" customHeight="1" s="125">
      <c r="A397" s="5">
        <f>ROW()-ROW(RawDataGenPO[[#Headers],[No.]])</f>
        <v/>
      </c>
      <c r="B397" s="7" t="inlineStr">
        <is>
          <t>Expent  cost</t>
        </is>
      </c>
      <c r="C397" s="275" t="n">
        <v>45552</v>
      </c>
      <c r="D397" s="276" t="n"/>
      <c r="E397" s="276" t="n"/>
      <c r="F397" s="275" t="n">
        <v>45552</v>
      </c>
      <c r="G397" s="5" t="inlineStr">
        <is>
          <t xml:space="preserve">PR2425-03444 </t>
        </is>
      </c>
      <c r="H397" s="5" t="inlineStr">
        <is>
          <t>PO2425-03711</t>
        </is>
      </c>
      <c r="I397" s="290">
        <f>IF(RawDataGenPO[[#This Row],[PO No.]]="","",RawDataGenPO[[#This Row],[DMY Create PR]]+7)</f>
        <v/>
      </c>
      <c r="J397" s="290" t="n"/>
      <c r="K397" s="20" t="n">
        <v>30</v>
      </c>
      <c r="L397" s="5" t="inlineStr">
        <is>
          <t>SFST34000177</t>
        </is>
      </c>
      <c r="M397" s="7" t="inlineStr">
        <is>
          <t>Consumable part for MN</t>
        </is>
      </c>
      <c r="N397" s="7" t="inlineStr">
        <is>
          <t>Condencer Unit No.22 (COLD7)</t>
        </is>
      </c>
      <c r="O397" s="11" t="n">
        <v>1</v>
      </c>
      <c r="P397" s="10" t="inlineStr">
        <is>
          <t>Compressor: BITZER" Semi 4HE-18Y;w/ CH+EO+CMRC02</t>
        </is>
      </c>
      <c r="Q397" s="277" t="n">
        <v>1</v>
      </c>
      <c r="R397" s="5" t="inlineStr">
        <is>
          <t>PCS.</t>
        </is>
      </c>
      <c r="S397" s="284">
        <f>RawDataGenPO[[#This Row],[Total price]]/RawDataGenPO[[#This Row],[Qty'']]</f>
        <v/>
      </c>
      <c r="T397" s="285" t="n">
        <v>130000</v>
      </c>
      <c r="U397" s="161" t="inlineStr">
        <is>
          <t>Puneet Approval</t>
        </is>
      </c>
      <c r="V397" s="33" t="inlineStr">
        <is>
          <t xml:space="preserve"> V1000652 - HARN ENGINEERING SOLUTIONS PUBLIC COMPANY LIMITED</t>
        </is>
      </c>
      <c r="W397" s="5" t="inlineStr">
        <is>
          <t>Recive bill and GRN already</t>
        </is>
      </c>
      <c r="X397" s="5" t="n"/>
      <c r="Y397" s="3" t="n">
        <v>45572</v>
      </c>
      <c r="Z397" s="3" t="n"/>
      <c r="AA397" s="17">
        <f>IF(RawDataGenPO[[#This Row],[Date Gen PO]]="","",RawDataGenPO[[#This Row],[Date recive bill]]-RawDataGenPO[[#This Row],[Date Gen PO]])</f>
        <v/>
      </c>
      <c r="AB397" s="16">
        <f>IF(RawDataGenPO[[#This Row],[GRN-PO date]]&gt;RawDataGenPO[[#This Row],[Lead time delivery (day)]],"over deliverry","Ontime")</f>
        <v/>
      </c>
      <c r="AC397" s="168" t="n"/>
    </row>
    <row r="398" ht="15" customFormat="1" customHeight="1" s="125">
      <c r="A398" s="5">
        <f>ROW()-ROW(RawDataGenPO[[#Headers],[No.]])</f>
        <v/>
      </c>
      <c r="B398" s="7" t="inlineStr">
        <is>
          <t>Expent  cost</t>
        </is>
      </c>
      <c r="C398" s="275" t="n">
        <v>45554</v>
      </c>
      <c r="D398" s="276" t="n"/>
      <c r="E398" s="276" t="n"/>
      <c r="F398" s="275" t="n">
        <v>45554</v>
      </c>
      <c r="G398" s="5" t="inlineStr">
        <is>
          <t>PR2425-03467</t>
        </is>
      </c>
      <c r="H398" s="5" t="inlineStr">
        <is>
          <t>PO2425-03762</t>
        </is>
      </c>
      <c r="I398" s="290" t="n">
        <v>45555</v>
      </c>
      <c r="J398" s="290" t="n"/>
      <c r="K398" s="20">
        <f>IF(RawDataGenPO[[#This Row],[PO No.]]="","",10)</f>
        <v/>
      </c>
      <c r="L398" s="5" t="inlineStr">
        <is>
          <t>SFST34000183</t>
        </is>
      </c>
      <c r="M398" s="7" t="inlineStr">
        <is>
          <t>Consumable part for MN</t>
        </is>
      </c>
      <c r="N398" s="7" t="inlineStr">
        <is>
          <t>Eletrical part</t>
        </is>
      </c>
      <c r="O398" s="11" t="n">
        <v>1</v>
      </c>
      <c r="P398" s="10" t="inlineStr">
        <is>
          <t>Plastic  Box (Nano) Size:205:151x198x96mm.</t>
        </is>
      </c>
      <c r="Q398" s="277" t="n">
        <v>20</v>
      </c>
      <c r="R398" s="5" t="inlineStr">
        <is>
          <t>PCS.</t>
        </is>
      </c>
      <c r="S398" s="284">
        <f>RawDataGenPO[[#This Row],[Total price]]/RawDataGenPO[[#This Row],[Qty'']]</f>
        <v/>
      </c>
      <c r="T398" s="285" t="n">
        <v>1840</v>
      </c>
      <c r="U398" s="161" t="inlineStr">
        <is>
          <t>Puneet Approval</t>
        </is>
      </c>
      <c r="V398" s="7" t="inlineStr">
        <is>
          <t>V1000276 - SN. ELECTRIC AND SUPPLY CO., LTD.</t>
        </is>
      </c>
      <c r="W398" s="5" t="inlineStr">
        <is>
          <t>Recive bill and GRN already</t>
        </is>
      </c>
      <c r="X398" s="5" t="n"/>
      <c r="Y398" s="3" t="n">
        <v>45560</v>
      </c>
      <c r="Z398" s="3" t="n"/>
      <c r="AA398" s="17">
        <f>IF(RawDataGenPO[[#This Row],[Date Gen PO]]="","",RawDataGenPO[[#This Row],[Date recive bill]]-RawDataGenPO[[#This Row],[Date Gen PO]])</f>
        <v/>
      </c>
      <c r="AB398" s="16">
        <f>IF(RawDataGenPO[[#This Row],[GRN-PO date]]&gt;RawDataGenPO[[#This Row],[Lead time delivery (day)]],"over deliverry","Ontime")</f>
        <v/>
      </c>
      <c r="AC398" s="168" t="n"/>
    </row>
    <row r="399" ht="15" customFormat="1" customHeight="1" s="125">
      <c r="A399" s="5">
        <f>ROW()-ROW(RawDataGenPO[[#Headers],[No.]])</f>
        <v/>
      </c>
      <c r="B399" s="7" t="inlineStr">
        <is>
          <t>Expent  cost</t>
        </is>
      </c>
      <c r="C399" s="275" t="n">
        <v>45554</v>
      </c>
      <c r="D399" s="276" t="n"/>
      <c r="E399" s="276" t="n"/>
      <c r="F399" s="275" t="n">
        <v>45554</v>
      </c>
      <c r="G399" s="5" t="inlineStr">
        <is>
          <t>PR2425-03467</t>
        </is>
      </c>
      <c r="H399" s="5" t="inlineStr">
        <is>
          <t>PO2425-03762</t>
        </is>
      </c>
      <c r="I399" s="290" t="n">
        <v>45555</v>
      </c>
      <c r="J399" s="290" t="n"/>
      <c r="K399" s="20">
        <f>IF(RawDataGenPO[[#This Row],[PO No.]]="","",10)</f>
        <v/>
      </c>
      <c r="L399" s="5" t="inlineStr">
        <is>
          <t>SFST34000183</t>
        </is>
      </c>
      <c r="M399" s="7" t="inlineStr">
        <is>
          <t>Consumable part for MN</t>
        </is>
      </c>
      <c r="N399" s="7" t="inlineStr">
        <is>
          <t>Eletrical part</t>
        </is>
      </c>
      <c r="O399" s="11" t="n">
        <v>2</v>
      </c>
      <c r="P399" s="10" t="inlineStr">
        <is>
          <t>Plastic Box (Nano) Size : 200 x300x104.5mm.</t>
        </is>
      </c>
      <c r="Q399" s="277" t="n">
        <v>8</v>
      </c>
      <c r="R399" s="5" t="inlineStr">
        <is>
          <t>PCS.</t>
        </is>
      </c>
      <c r="S399" s="284">
        <f>RawDataGenPO[[#This Row],[Total price]]/RawDataGenPO[[#This Row],[Qty'']]</f>
        <v/>
      </c>
      <c r="T399" s="285" t="n">
        <v>1160</v>
      </c>
      <c r="U399" s="161" t="inlineStr">
        <is>
          <t>Puneet Approval</t>
        </is>
      </c>
      <c r="V399" s="7" t="inlineStr">
        <is>
          <t>V1000276 - SN. ELECTRIC AND SUPPLY CO., LTD.</t>
        </is>
      </c>
      <c r="W399" s="5" t="inlineStr">
        <is>
          <t>Recive bill and GRN already</t>
        </is>
      </c>
      <c r="X399" s="5" t="n"/>
      <c r="Y399" s="3" t="n">
        <v>45560</v>
      </c>
      <c r="Z399" s="3" t="n"/>
      <c r="AA399" s="17">
        <f>IF(RawDataGenPO[[#This Row],[Date Gen PO]]="","",RawDataGenPO[[#This Row],[Date recive bill]]-RawDataGenPO[[#This Row],[Date Gen PO]])</f>
        <v/>
      </c>
      <c r="AB399" s="16">
        <f>IF(RawDataGenPO[[#This Row],[GRN-PO date]]&gt;RawDataGenPO[[#This Row],[Lead time delivery (day)]],"over deliverry","Ontime")</f>
        <v/>
      </c>
      <c r="AC399" s="168" t="n"/>
    </row>
    <row r="400" ht="15" customFormat="1" customHeight="1" s="125">
      <c r="A400" s="5">
        <f>ROW()-ROW(RawDataGenPO[[#Headers],[No.]])</f>
        <v/>
      </c>
      <c r="B400" s="7" t="inlineStr">
        <is>
          <t>Expent  cost</t>
        </is>
      </c>
      <c r="C400" s="275" t="n">
        <v>45552</v>
      </c>
      <c r="D400" s="276" t="n"/>
      <c r="E400" s="276" t="n"/>
      <c r="F400" s="275" t="n">
        <v>45552</v>
      </c>
      <c r="G400" s="5" t="inlineStr">
        <is>
          <t>PR2425-03433</t>
        </is>
      </c>
      <c r="H400" s="5" t="inlineStr">
        <is>
          <t>PO2425-03763</t>
        </is>
      </c>
      <c r="I400" s="290">
        <f>IF(RawDataGenPO[[#This Row],[PO No.]]="","",RawDataGenPO[[#This Row],[DMY Create PR]]+7)</f>
        <v/>
      </c>
      <c r="J400" s="290" t="n"/>
      <c r="K400" s="20">
        <f>IF(RawDataGenPO[[#This Row],[PO No.]]="","",10)</f>
        <v/>
      </c>
      <c r="L400" s="5" t="inlineStr">
        <is>
          <t>SFST34000173</t>
        </is>
      </c>
      <c r="M400" s="7" t="inlineStr">
        <is>
          <t>Consumable part for MN</t>
        </is>
      </c>
      <c r="N400" s="7" t="inlineStr">
        <is>
          <t>Cooling system jobs</t>
        </is>
      </c>
      <c r="O400" s="11" t="n">
        <v>1</v>
      </c>
      <c r="P400" s="10" t="inlineStr">
        <is>
          <t>Copper elbow 45 degrees, 1-1/8"</t>
        </is>
      </c>
      <c r="Q400" s="277" t="n">
        <v>3</v>
      </c>
      <c r="R400" s="5" t="inlineStr">
        <is>
          <t>PCS.</t>
        </is>
      </c>
      <c r="S400" s="284">
        <f>RawDataGenPO[[#This Row],[Total price]]/RawDataGenPO[[#This Row],[Qty'']]</f>
        <v/>
      </c>
      <c r="T400" s="285" t="n">
        <v>570</v>
      </c>
      <c r="U400" s="161" t="inlineStr">
        <is>
          <t>Puneet Approval</t>
        </is>
      </c>
      <c r="V400" s="7" t="inlineStr">
        <is>
          <t>V1000529 - 168 Supply</t>
        </is>
      </c>
      <c r="W400" s="5" t="inlineStr">
        <is>
          <t>Recive bill and GRN already</t>
        </is>
      </c>
      <c r="X400" s="5" t="n"/>
      <c r="Y400" s="3" t="n">
        <v>45568</v>
      </c>
      <c r="Z400" s="3" t="n"/>
      <c r="AA400" s="17">
        <f>IF(RawDataGenPO[[#This Row],[Date Gen PO]]="","",RawDataGenPO[[#This Row],[Date recive bill]]-RawDataGenPO[[#This Row],[Date Gen PO]])</f>
        <v/>
      </c>
      <c r="AB400" s="16">
        <f>IF(RawDataGenPO[[#This Row],[GRN-PO date]]&gt;RawDataGenPO[[#This Row],[Lead time delivery (day)]],"over deliverry","Ontime")</f>
        <v/>
      </c>
      <c r="AC400" s="168" t="n"/>
    </row>
    <row r="401" ht="15" customHeight="1">
      <c r="A401" s="5">
        <f>ROW()-ROW(RawDataGenPO[[#Headers],[No.]])</f>
        <v/>
      </c>
      <c r="B401" s="7" t="inlineStr">
        <is>
          <t>Expent  cost</t>
        </is>
      </c>
      <c r="C401" s="275" t="n">
        <v>45552</v>
      </c>
      <c r="F401" s="275" t="n">
        <v>45552</v>
      </c>
      <c r="G401" s="5" t="inlineStr">
        <is>
          <t>PR2425-03433</t>
        </is>
      </c>
      <c r="H401" s="5" t="inlineStr">
        <is>
          <t>PO2425-03763</t>
        </is>
      </c>
      <c r="I401" s="290">
        <f>IF(RawDataGenPO[[#This Row],[PO No.]]="","",RawDataGenPO[[#This Row],[DMY Create PR]]+7)</f>
        <v/>
      </c>
      <c r="J401" s="290" t="n"/>
      <c r="K401" s="20">
        <f>IF(RawDataGenPO[[#This Row],[PO No.]]="","",10)</f>
        <v/>
      </c>
      <c r="L401" s="5" t="inlineStr">
        <is>
          <t>SFST34000181</t>
        </is>
      </c>
      <c r="M401" s="7" t="inlineStr">
        <is>
          <t>Consumable part for MN</t>
        </is>
      </c>
      <c r="N401" s="7" t="inlineStr">
        <is>
          <t>Cooling system jobs</t>
        </is>
      </c>
      <c r="O401" s="11" t="n">
        <v>2</v>
      </c>
      <c r="P401" s="10" t="inlineStr">
        <is>
          <t>Copper tee fitting 1-1/8"</t>
        </is>
      </c>
      <c r="Q401" s="277" t="n">
        <v>3</v>
      </c>
      <c r="R401" s="5" t="inlineStr">
        <is>
          <t>PCS.</t>
        </is>
      </c>
      <c r="S401" s="284">
        <f>RawDataGenPO[[#This Row],[Total price]]/RawDataGenPO[[#This Row],[Qty'']]</f>
        <v/>
      </c>
      <c r="T401" s="285" t="n">
        <v>510</v>
      </c>
      <c r="U401" s="161" t="inlineStr">
        <is>
          <t>Puneet Approval</t>
        </is>
      </c>
      <c r="V401" s="7" t="inlineStr">
        <is>
          <t>V1000529 - 168 Supply</t>
        </is>
      </c>
      <c r="W401" s="5" t="inlineStr">
        <is>
          <t>Recive bill and GRN already</t>
        </is>
      </c>
      <c r="Y401" s="3" t="n">
        <v>45568</v>
      </c>
      <c r="AA401" s="17">
        <f>IF(RawDataGenPO[[#This Row],[Date Gen PO]]="","",RawDataGenPO[[#This Row],[Date recive bill]]-RawDataGenPO[[#This Row],[Date Gen PO]])</f>
        <v/>
      </c>
      <c r="AB401" s="16">
        <f>IF(RawDataGenPO[[#This Row],[GRN-PO date]]&gt;RawDataGenPO[[#This Row],[Lead time delivery (day)]],"over deliverry","Ontime")</f>
        <v/>
      </c>
      <c r="AC401" s="168" t="n"/>
    </row>
    <row r="402" ht="15" customFormat="1" customHeight="1" s="125">
      <c r="A402" s="5">
        <f>ROW()-ROW(RawDataGenPO[[#Headers],[No.]])</f>
        <v/>
      </c>
      <c r="B402" s="7" t="inlineStr">
        <is>
          <t>Expent  cost</t>
        </is>
      </c>
      <c r="C402" s="275" t="n">
        <v>45552</v>
      </c>
      <c r="D402" s="276" t="n"/>
      <c r="E402" s="276" t="n"/>
      <c r="F402" s="275" t="n">
        <v>45552</v>
      </c>
      <c r="G402" s="5" t="inlineStr">
        <is>
          <t>PR2425-03433</t>
        </is>
      </c>
      <c r="H402" s="5" t="inlineStr">
        <is>
          <t>PO2425-03764</t>
        </is>
      </c>
      <c r="I402" s="290">
        <f>IF(RawDataGenPO[[#This Row],[PO No.]]="","",RawDataGenPO[[#This Row],[DMY Create PR]]+7)</f>
        <v/>
      </c>
      <c r="J402" s="290" t="n"/>
      <c r="K402" s="20">
        <f>IF(RawDataGenPO[[#This Row],[PO No.]]="","",10)</f>
        <v/>
      </c>
      <c r="L402" s="5" t="inlineStr">
        <is>
          <t>SFST34000163</t>
        </is>
      </c>
      <c r="M402" s="7" t="inlineStr">
        <is>
          <t>Consumable part for MN</t>
        </is>
      </c>
      <c r="N402" s="7" t="inlineStr">
        <is>
          <t>Cooling system jobs</t>
        </is>
      </c>
      <c r="O402" s="11" t="n">
        <v>1</v>
      </c>
      <c r="P402" s="198" t="inlineStr">
        <is>
          <t>Copper elbow 90 degrees, size 1-3/8"</t>
        </is>
      </c>
      <c r="Q402" s="189" t="n">
        <v>3</v>
      </c>
      <c r="R402" s="5" t="inlineStr">
        <is>
          <t>PCS.</t>
        </is>
      </c>
      <c r="S402" s="284">
        <f>RawDataGenPO[[#This Row],[Total price]]/RawDataGenPO[[#This Row],[Qty'']]</f>
        <v/>
      </c>
      <c r="T402" s="303" t="n">
        <v>375</v>
      </c>
      <c r="U402" s="161" t="inlineStr">
        <is>
          <t>Puneet Approval</t>
        </is>
      </c>
      <c r="V402" s="7" t="inlineStr">
        <is>
          <t>V1000603 - TM SUKSAP TRADING LIMITED PARTNERSHIP</t>
        </is>
      </c>
      <c r="W402" s="5" t="inlineStr">
        <is>
          <t>Recive bill and GRN already</t>
        </is>
      </c>
      <c r="X402" s="5" t="n"/>
      <c r="Y402" s="3" t="n">
        <v>45559</v>
      </c>
      <c r="Z402" s="3" t="n"/>
      <c r="AA402" s="17">
        <f>IF(RawDataGenPO[[#This Row],[Date Gen PO]]="","",RawDataGenPO[[#This Row],[Date recive bill]]-RawDataGenPO[[#This Row],[Date Gen PO]])</f>
        <v/>
      </c>
      <c r="AB402" s="16">
        <f>IF(RawDataGenPO[[#This Row],[GRN-PO date]]&gt;RawDataGenPO[[#This Row],[Lead time delivery (day)]],"over deliverry","Ontime")</f>
        <v/>
      </c>
      <c r="AC402" s="168" t="n"/>
    </row>
    <row r="403" ht="15" customFormat="1" customHeight="1" s="125">
      <c r="A403" s="5">
        <f>ROW()-ROW(RawDataGenPO[[#Headers],[No.]])</f>
        <v/>
      </c>
      <c r="B403" s="7" t="inlineStr">
        <is>
          <t>Expent  cost</t>
        </is>
      </c>
      <c r="C403" s="275" t="n">
        <v>45552</v>
      </c>
      <c r="D403" s="276" t="n"/>
      <c r="E403" s="276" t="n"/>
      <c r="F403" s="275" t="n">
        <v>45552</v>
      </c>
      <c r="G403" s="5" t="inlineStr">
        <is>
          <t>PR2425-03433</t>
        </is>
      </c>
      <c r="H403" s="32" t="inlineStr">
        <is>
          <t>PO2425-03764</t>
        </is>
      </c>
      <c r="I403" s="290">
        <f>IF(RawDataGenPO[[#This Row],[PO No.]]="","",RawDataGenPO[[#This Row],[DMY Create PR]]+7)</f>
        <v/>
      </c>
      <c r="J403" s="290" t="n"/>
      <c r="K403" s="20">
        <f>IF(RawDataGenPO[[#This Row],[PO No.]]="","",10)</f>
        <v/>
      </c>
      <c r="L403" s="5" t="inlineStr">
        <is>
          <t>SFST34000164</t>
        </is>
      </c>
      <c r="M403" s="7" t="inlineStr">
        <is>
          <t>Consumable part for MN</t>
        </is>
      </c>
      <c r="N403" s="7" t="inlineStr">
        <is>
          <t>Cooling system jobs</t>
        </is>
      </c>
      <c r="O403" s="11" t="n">
        <v>2</v>
      </c>
      <c r="P403" s="198" t="inlineStr">
        <is>
          <t>Copper elbow 90 degrees, size 1-1/8"</t>
        </is>
      </c>
      <c r="Q403" s="189" t="n">
        <v>3</v>
      </c>
      <c r="R403" s="5" t="inlineStr">
        <is>
          <t>PCS.</t>
        </is>
      </c>
      <c r="S403" s="284">
        <f>RawDataGenPO[[#This Row],[Total price]]/RawDataGenPO[[#This Row],[Qty'']]</f>
        <v/>
      </c>
      <c r="T403" s="303" t="n">
        <v>210</v>
      </c>
      <c r="U403" s="161" t="inlineStr">
        <is>
          <t>Puneet Approval</t>
        </is>
      </c>
      <c r="V403" s="7" t="inlineStr">
        <is>
          <t>V1000603 - TM SUKSAP TRADING LIMITED PARTNERSHIP</t>
        </is>
      </c>
      <c r="W403" s="5" t="inlineStr">
        <is>
          <t>Recive bill and GRN already</t>
        </is>
      </c>
      <c r="X403" s="5" t="n"/>
      <c r="Y403" s="3" t="n">
        <v>45559</v>
      </c>
      <c r="Z403" s="3" t="n"/>
      <c r="AA403" s="17">
        <f>IF(RawDataGenPO[[#This Row],[Date Gen PO]]="","",RawDataGenPO[[#This Row],[Date recive bill]]-RawDataGenPO[[#This Row],[Date Gen PO]])</f>
        <v/>
      </c>
      <c r="AB403" s="16">
        <f>IF(RawDataGenPO[[#This Row],[GRN-PO date]]&gt;RawDataGenPO[[#This Row],[Lead time delivery (day)]],"over deliverry","Ontime")</f>
        <v/>
      </c>
      <c r="AC403" s="168" t="n"/>
    </row>
    <row r="404" ht="15" customFormat="1" customHeight="1" s="125">
      <c r="A404" s="5">
        <f>ROW()-ROW(RawDataGenPO[[#Headers],[No.]])</f>
        <v/>
      </c>
      <c r="B404" s="7" t="inlineStr">
        <is>
          <t>Expent  cost</t>
        </is>
      </c>
      <c r="C404" s="275" t="n">
        <v>45552</v>
      </c>
      <c r="D404" s="276" t="n"/>
      <c r="E404" s="276" t="n"/>
      <c r="F404" s="275" t="n">
        <v>45552</v>
      </c>
      <c r="G404" s="5" t="inlineStr">
        <is>
          <t>PR2425-03433</t>
        </is>
      </c>
      <c r="H404" s="32" t="inlineStr">
        <is>
          <t>PO2425-03764</t>
        </is>
      </c>
      <c r="I404" s="290">
        <f>IF(RawDataGenPO[[#This Row],[PO No.]]="","",RawDataGenPO[[#This Row],[DMY Create PR]]+7)</f>
        <v/>
      </c>
      <c r="J404" s="290" t="n"/>
      <c r="K404" s="20">
        <f>IF(RawDataGenPO[[#This Row],[PO No.]]="","",10)</f>
        <v/>
      </c>
      <c r="L404" s="5" t="inlineStr">
        <is>
          <t>SFST34000165</t>
        </is>
      </c>
      <c r="M404" s="7" t="inlineStr">
        <is>
          <t>Consumable part for MN</t>
        </is>
      </c>
      <c r="N404" s="7" t="inlineStr">
        <is>
          <t>Cooling system jobs</t>
        </is>
      </c>
      <c r="O404" s="11" t="n">
        <v>3</v>
      </c>
      <c r="P404" s="198" t="inlineStr">
        <is>
          <t>Copper elbow 90 degrees, size 3/4"</t>
        </is>
      </c>
      <c r="Q404" s="189" t="n">
        <v>3</v>
      </c>
      <c r="R404" s="5" t="inlineStr">
        <is>
          <t>PCS.</t>
        </is>
      </c>
      <c r="S404" s="284">
        <f>RawDataGenPO[[#This Row],[Total price]]/RawDataGenPO[[#This Row],[Qty'']]</f>
        <v/>
      </c>
      <c r="T404" s="303" t="n">
        <v>120</v>
      </c>
      <c r="U404" s="161" t="inlineStr">
        <is>
          <t>Puneet Approval</t>
        </is>
      </c>
      <c r="V404" s="7" t="inlineStr">
        <is>
          <t>V1000603 - TM SUKSAP TRADING LIMITED PARTNERSHIP</t>
        </is>
      </c>
      <c r="W404" s="5" t="inlineStr">
        <is>
          <t>Recive bill and GRN already</t>
        </is>
      </c>
      <c r="X404" s="5" t="n"/>
      <c r="Y404" s="3" t="n">
        <v>45559</v>
      </c>
      <c r="Z404" s="3" t="n"/>
      <c r="AA404" s="17">
        <f>IF(RawDataGenPO[[#This Row],[Date Gen PO]]="","",RawDataGenPO[[#This Row],[Date recive bill]]-RawDataGenPO[[#This Row],[Date Gen PO]])</f>
        <v/>
      </c>
      <c r="AB404" s="16">
        <f>IF(RawDataGenPO[[#This Row],[GRN-PO date]]&gt;RawDataGenPO[[#This Row],[Lead time delivery (day)]],"over deliverry","Ontime")</f>
        <v/>
      </c>
      <c r="AC404" s="168" t="n"/>
    </row>
    <row r="405" ht="15" customFormat="1" customHeight="1" s="125">
      <c r="A405" s="5">
        <f>ROW()-ROW(RawDataGenPO[[#Headers],[No.]])</f>
        <v/>
      </c>
      <c r="B405" s="7" t="inlineStr">
        <is>
          <t>Expent  cost</t>
        </is>
      </c>
      <c r="C405" s="275" t="n">
        <v>45552</v>
      </c>
      <c r="D405" s="276" t="n"/>
      <c r="E405" s="276" t="n"/>
      <c r="F405" s="275" t="n">
        <v>45552</v>
      </c>
      <c r="G405" s="5" t="inlineStr">
        <is>
          <t>PR2425-03433</t>
        </is>
      </c>
      <c r="H405" s="32" t="inlineStr">
        <is>
          <t>PO2425-03764</t>
        </is>
      </c>
      <c r="I405" s="290">
        <f>IF(RawDataGenPO[[#This Row],[PO No.]]="","",RawDataGenPO[[#This Row],[DMY Create PR]]+7)</f>
        <v/>
      </c>
      <c r="J405" s="290" t="n"/>
      <c r="K405" s="20">
        <f>IF(RawDataGenPO[[#This Row],[PO No.]]="","",10)</f>
        <v/>
      </c>
      <c r="L405" s="5" t="inlineStr">
        <is>
          <t>SFST34000166</t>
        </is>
      </c>
      <c r="M405" s="7" t="inlineStr">
        <is>
          <t>Consumable part for MN</t>
        </is>
      </c>
      <c r="N405" s="7" t="inlineStr">
        <is>
          <t>Cooling system jobs</t>
        </is>
      </c>
      <c r="O405" s="11" t="n">
        <v>4</v>
      </c>
      <c r="P405" s="198" t="inlineStr">
        <is>
          <t>Straight copper coupling, size 1-3/8"</t>
        </is>
      </c>
      <c r="Q405" s="189" t="n">
        <v>3</v>
      </c>
      <c r="R405" s="5" t="inlineStr">
        <is>
          <t>PCS.</t>
        </is>
      </c>
      <c r="S405" s="284">
        <f>RawDataGenPO[[#This Row],[Total price]]/RawDataGenPO[[#This Row],[Qty'']]</f>
        <v/>
      </c>
      <c r="T405" s="303" t="n">
        <v>270</v>
      </c>
      <c r="U405" s="161" t="inlineStr">
        <is>
          <t>Puneet Approval</t>
        </is>
      </c>
      <c r="V405" s="7" t="inlineStr">
        <is>
          <t>V1000603 - TM SUKSAP TRADING LIMITED PARTNERSHIP</t>
        </is>
      </c>
      <c r="W405" s="5" t="inlineStr">
        <is>
          <t>Recive bill and GRN already</t>
        </is>
      </c>
      <c r="X405" s="5" t="n"/>
      <c r="Y405" s="3" t="n">
        <v>45559</v>
      </c>
      <c r="Z405" s="3" t="n"/>
      <c r="AA405" s="17">
        <f>IF(RawDataGenPO[[#This Row],[Date Gen PO]]="","",RawDataGenPO[[#This Row],[Date recive bill]]-RawDataGenPO[[#This Row],[Date Gen PO]])</f>
        <v/>
      </c>
      <c r="AB405" s="16">
        <f>IF(RawDataGenPO[[#This Row],[GRN-PO date]]&gt;RawDataGenPO[[#This Row],[Lead time delivery (day)]],"over deliverry","Ontime")</f>
        <v/>
      </c>
      <c r="AC405" s="168" t="n"/>
    </row>
    <row r="406" ht="15" customFormat="1" customHeight="1" s="125">
      <c r="A406" s="5">
        <f>ROW()-ROW(RawDataGenPO[[#Headers],[No.]])</f>
        <v/>
      </c>
      <c r="B406" s="7" t="inlineStr">
        <is>
          <t>Expent  cost</t>
        </is>
      </c>
      <c r="C406" s="275" t="n">
        <v>45552</v>
      </c>
      <c r="D406" s="276" t="n"/>
      <c r="E406" s="276" t="n"/>
      <c r="F406" s="275" t="n">
        <v>45552</v>
      </c>
      <c r="G406" s="5" t="inlineStr">
        <is>
          <t>PR2425-03433</t>
        </is>
      </c>
      <c r="H406" s="32" t="inlineStr">
        <is>
          <t>PO2425-03764</t>
        </is>
      </c>
      <c r="I406" s="290">
        <f>IF(RawDataGenPO[[#This Row],[PO No.]]="","",RawDataGenPO[[#This Row],[DMY Create PR]]+7)</f>
        <v/>
      </c>
      <c r="J406" s="290" t="n"/>
      <c r="K406" s="20">
        <f>IF(RawDataGenPO[[#This Row],[PO No.]]="","",10)</f>
        <v/>
      </c>
      <c r="L406" s="5" t="inlineStr">
        <is>
          <t>SFST34000167</t>
        </is>
      </c>
      <c r="M406" s="7" t="inlineStr">
        <is>
          <t>Consumable part for MN</t>
        </is>
      </c>
      <c r="N406" s="7" t="inlineStr">
        <is>
          <t>Cooling system jobs</t>
        </is>
      </c>
      <c r="O406" s="11" t="n">
        <v>5</v>
      </c>
      <c r="P406" s="198" t="inlineStr">
        <is>
          <t>Straight copper coupling, size 1-1/8"</t>
        </is>
      </c>
      <c r="Q406" s="189" t="n">
        <v>3</v>
      </c>
      <c r="R406" s="5" t="inlineStr">
        <is>
          <t>PCS.</t>
        </is>
      </c>
      <c r="S406" s="284">
        <f>RawDataGenPO[[#This Row],[Total price]]/RawDataGenPO[[#This Row],[Qty'']]</f>
        <v/>
      </c>
      <c r="T406" s="303" t="n">
        <v>210</v>
      </c>
      <c r="U406" s="161" t="inlineStr">
        <is>
          <t>Puneet Approval</t>
        </is>
      </c>
      <c r="V406" s="7" t="inlineStr">
        <is>
          <t>V1000603 - TM SUKSAP TRADING LIMITED PARTNERSHIP</t>
        </is>
      </c>
      <c r="W406" s="5" t="inlineStr">
        <is>
          <t>Recive bill and GRN already</t>
        </is>
      </c>
      <c r="X406" s="5" t="n"/>
      <c r="Y406" s="3" t="n">
        <v>45559</v>
      </c>
      <c r="Z406" s="3" t="n"/>
      <c r="AA406" s="17">
        <f>IF(RawDataGenPO[[#This Row],[Date Gen PO]]="","",RawDataGenPO[[#This Row],[Date recive bill]]-RawDataGenPO[[#This Row],[Date Gen PO]])</f>
        <v/>
      </c>
      <c r="AB406" s="16">
        <f>IF(RawDataGenPO[[#This Row],[GRN-PO date]]&gt;RawDataGenPO[[#This Row],[Lead time delivery (day)]],"over deliverry","Ontime")</f>
        <v/>
      </c>
      <c r="AC406" s="168" t="n"/>
    </row>
    <row r="407" ht="15" customFormat="1" customHeight="1" s="125">
      <c r="A407" s="5">
        <f>ROW()-ROW(RawDataGenPO[[#Headers],[No.]])</f>
        <v/>
      </c>
      <c r="B407" s="7" t="inlineStr">
        <is>
          <t>Expent  cost</t>
        </is>
      </c>
      <c r="C407" s="275" t="n">
        <v>45552</v>
      </c>
      <c r="D407" s="276" t="n"/>
      <c r="E407" s="276" t="n"/>
      <c r="F407" s="275" t="n">
        <v>45552</v>
      </c>
      <c r="G407" s="5" t="inlineStr">
        <is>
          <t>PR2425-03433</t>
        </is>
      </c>
      <c r="H407" s="32" t="inlineStr">
        <is>
          <t>PO2425-03764</t>
        </is>
      </c>
      <c r="I407" s="290">
        <f>IF(RawDataGenPO[[#This Row],[PO No.]]="","",RawDataGenPO[[#This Row],[DMY Create PR]]+7)</f>
        <v/>
      </c>
      <c r="J407" s="290" t="n"/>
      <c r="K407" s="20">
        <f>IF(RawDataGenPO[[#This Row],[PO No.]]="","",10)</f>
        <v/>
      </c>
      <c r="L407" s="5" t="inlineStr">
        <is>
          <t>SFST34000168</t>
        </is>
      </c>
      <c r="M407" s="7" t="inlineStr">
        <is>
          <t>Consumable part for MN</t>
        </is>
      </c>
      <c r="N407" s="7" t="inlineStr">
        <is>
          <t>Cooling system jobs</t>
        </is>
      </c>
      <c r="O407" s="11" t="n">
        <v>6</v>
      </c>
      <c r="P407" s="198" t="inlineStr">
        <is>
          <t>Straight copper coupling, size 3/4"</t>
        </is>
      </c>
      <c r="Q407" s="189" t="n">
        <v>3</v>
      </c>
      <c r="R407" s="5" t="inlineStr">
        <is>
          <t>PCS.</t>
        </is>
      </c>
      <c r="S407" s="284">
        <f>RawDataGenPO[[#This Row],[Total price]]/RawDataGenPO[[#This Row],[Qty'']]</f>
        <v/>
      </c>
      <c r="T407" s="303" t="n">
        <v>135</v>
      </c>
      <c r="U407" s="161" t="inlineStr">
        <is>
          <t>Puneet Approval</t>
        </is>
      </c>
      <c r="V407" s="7" t="inlineStr">
        <is>
          <t>V1000603 - TM SUKSAP TRADING LIMITED PARTNERSHIP</t>
        </is>
      </c>
      <c r="W407" s="5" t="inlineStr">
        <is>
          <t>Recive bill and GRN already</t>
        </is>
      </c>
      <c r="X407" s="5" t="n"/>
      <c r="Y407" s="3" t="n">
        <v>45559</v>
      </c>
      <c r="Z407" s="3" t="n"/>
      <c r="AA407" s="17">
        <f>IF(RawDataGenPO[[#This Row],[Date Gen PO]]="","",RawDataGenPO[[#This Row],[Date recive bill]]-RawDataGenPO[[#This Row],[Date Gen PO]])</f>
        <v/>
      </c>
      <c r="AB407" s="16">
        <f>IF(RawDataGenPO[[#This Row],[GRN-PO date]]&gt;RawDataGenPO[[#This Row],[Lead time delivery (day)]],"over deliverry","Ontime")</f>
        <v/>
      </c>
      <c r="AC407" s="168" t="n"/>
    </row>
    <row r="408" ht="15" customFormat="1" customHeight="1" s="125">
      <c r="A408" s="5">
        <f>ROW()-ROW(RawDataGenPO[[#Headers],[No.]])</f>
        <v/>
      </c>
      <c r="B408" s="7" t="inlineStr">
        <is>
          <t>Expent  cost</t>
        </is>
      </c>
      <c r="C408" s="275" t="n">
        <v>45552</v>
      </c>
      <c r="D408" s="276" t="n"/>
      <c r="E408" s="276" t="n"/>
      <c r="F408" s="275" t="n">
        <v>45552</v>
      </c>
      <c r="G408" s="5" t="inlineStr">
        <is>
          <t>PR2425-03417</t>
        </is>
      </c>
      <c r="H408" s="5" t="inlineStr">
        <is>
          <t>PO2425-03765</t>
        </is>
      </c>
      <c r="I408" s="290">
        <f>IF(RawDataGenPO[[#This Row],[PO No.]]="","",RawDataGenPO[[#This Row],[DMY Create PR]]+7)</f>
        <v/>
      </c>
      <c r="J408" s="290" t="n"/>
      <c r="K408" s="20" t="n">
        <v>50</v>
      </c>
      <c r="L408" s="5" t="inlineStr">
        <is>
          <t>SFST34000179</t>
        </is>
      </c>
      <c r="M408" s="7" t="inlineStr">
        <is>
          <t>Consumable part for MN</t>
        </is>
      </c>
      <c r="N408" s="7" t="inlineStr">
        <is>
          <t>Water system jobs</t>
        </is>
      </c>
      <c r="O408" s="11" t="n">
        <v>1</v>
      </c>
      <c r="P408" s="10" t="inlineStr">
        <is>
          <t>Water Hardness Indicator 100 ml.</t>
        </is>
      </c>
      <c r="Q408" s="277" t="n">
        <v>5</v>
      </c>
      <c r="R408" s="5" t="inlineStr">
        <is>
          <t>PCS.</t>
        </is>
      </c>
      <c r="S408" s="284">
        <f>RawDataGenPO[[#This Row],[Total price]]/RawDataGenPO[[#This Row],[Qty'']]</f>
        <v/>
      </c>
      <c r="T408" s="285" t="n">
        <v>3750</v>
      </c>
      <c r="U408" s="161" t="inlineStr">
        <is>
          <t>Puneet Approval</t>
        </is>
      </c>
      <c r="V408" s="7" t="inlineStr">
        <is>
          <t xml:space="preserve"> V1000215 - AQUACHEME COMPANY LIMITED</t>
        </is>
      </c>
      <c r="W408" s="5" t="inlineStr">
        <is>
          <t>Recive bill and GRN already</t>
        </is>
      </c>
      <c r="X408" s="5" t="n"/>
      <c r="Y408" s="3" t="n">
        <v>45603</v>
      </c>
      <c r="Z408" s="3" t="n"/>
      <c r="AA408" s="17">
        <f>IF(RawDataGenPO[[#This Row],[Date Gen PO]]="","",RawDataGenPO[[#This Row],[Date recive bill]]-RawDataGenPO[[#This Row],[Date Gen PO]])</f>
        <v/>
      </c>
      <c r="AB408" s="16">
        <f>IF(RawDataGenPO[[#This Row],[GRN-PO date]]&gt;RawDataGenPO[[#This Row],[Lead time delivery (day)]],"over deliverry","Ontime")</f>
        <v/>
      </c>
      <c r="AC408" s="168" t="n"/>
    </row>
    <row r="409" ht="30" customFormat="1" customHeight="1" s="125">
      <c r="A409" s="5">
        <f>ROW()-ROW(RawDataGenPO[[#Headers],[No.]])</f>
        <v/>
      </c>
      <c r="B409" s="7" t="inlineStr">
        <is>
          <t>Expent  cost</t>
        </is>
      </c>
      <c r="C409" s="275" t="n">
        <v>45547</v>
      </c>
      <c r="D409" s="276" t="n"/>
      <c r="E409" s="276" t="n"/>
      <c r="F409" s="275" t="n">
        <v>45547</v>
      </c>
      <c r="G409" s="5" t="inlineStr">
        <is>
          <t>PR2425-03334</t>
        </is>
      </c>
      <c r="H409" s="5" t="inlineStr">
        <is>
          <t>PO2425-03766</t>
        </is>
      </c>
      <c r="I409" s="290">
        <f>IF(RawDataGenPO[[#This Row],[PO No.]]="","",RawDataGenPO[[#This Row],[DMY Create PR]]+7)</f>
        <v/>
      </c>
      <c r="J409" s="290" t="n"/>
      <c r="K409" s="20" t="n">
        <v>30</v>
      </c>
      <c r="L409" s="5" t="inlineStr">
        <is>
          <t>SFST81000050</t>
        </is>
      </c>
      <c r="M409" s="7" t="inlineStr">
        <is>
          <t>Tool and Equipment  Engineering</t>
        </is>
      </c>
      <c r="N409" s="7" t="inlineStr">
        <is>
          <t>Cevil quipment  &amp; Part</t>
        </is>
      </c>
      <c r="O409" s="11" t="n">
        <v>1</v>
      </c>
      <c r="P409" s="10" t="inlineStr">
        <is>
          <t>Super Premium air-conditioner cleaning cover, size 2x3 m
for air conditioners 12,000 - 24,000 BTU</t>
        </is>
      </c>
      <c r="Q409" s="277" t="n">
        <v>1</v>
      </c>
      <c r="R409" s="5" t="inlineStr">
        <is>
          <t>PCS.</t>
        </is>
      </c>
      <c r="S409" s="284">
        <f>RawDataGenPO[[#This Row],[Total price]]/RawDataGenPO[[#This Row],[Qty'']]</f>
        <v/>
      </c>
      <c r="T409" s="285" t="n">
        <v>525</v>
      </c>
      <c r="U409" s="161" t="inlineStr">
        <is>
          <t>Puneet Approval</t>
        </is>
      </c>
      <c r="V409" s="7" t="inlineStr">
        <is>
          <t>V1000306 - Inter Supply (1992) Co., Ltd.</t>
        </is>
      </c>
      <c r="W409" s="5" t="inlineStr">
        <is>
          <t>Recive bill and GRN already</t>
        </is>
      </c>
      <c r="X409" s="5" t="n"/>
      <c r="Y409" s="3" t="n">
        <v>45566</v>
      </c>
      <c r="Z409" s="3" t="n"/>
      <c r="AA409" s="17">
        <f>IF(RawDataGenPO[[#This Row],[Date Gen PO]]="","",RawDataGenPO[[#This Row],[Date recive bill]]-RawDataGenPO[[#This Row],[Date Gen PO]])</f>
        <v/>
      </c>
      <c r="AB409" s="16">
        <f>IF(RawDataGenPO[[#This Row],[GRN-PO date]]&gt;RawDataGenPO[[#This Row],[Lead time delivery (day)]],"over deliverry","Ontime")</f>
        <v/>
      </c>
      <c r="AC409" s="168" t="n"/>
    </row>
    <row r="410" ht="30" customFormat="1" customHeight="1" s="125">
      <c r="A410" s="5">
        <f>ROW()-ROW(RawDataGenPO[[#Headers],[No.]])</f>
        <v/>
      </c>
      <c r="B410" s="7" t="inlineStr">
        <is>
          <t>Expent  cost</t>
        </is>
      </c>
      <c r="C410" s="275" t="n">
        <v>45547</v>
      </c>
      <c r="D410" s="276" t="n"/>
      <c r="E410" s="276" t="n"/>
      <c r="F410" s="275" t="n">
        <v>45547</v>
      </c>
      <c r="G410" s="5" t="inlineStr">
        <is>
          <t>PR2425-03334</t>
        </is>
      </c>
      <c r="H410" s="5" t="inlineStr">
        <is>
          <t>PO2425-03766</t>
        </is>
      </c>
      <c r="I410" s="290">
        <f>IF(RawDataGenPO[[#This Row],[PO No.]]="","",RawDataGenPO[[#This Row],[DMY Create PR]]+7)</f>
        <v/>
      </c>
      <c r="J410" s="290" t="n"/>
      <c r="K410" s="20" t="n">
        <v>30</v>
      </c>
      <c r="L410" s="5" t="inlineStr">
        <is>
          <t>SFST81000050</t>
        </is>
      </c>
      <c r="M410" s="7" t="inlineStr">
        <is>
          <t>Tool and Equipment  Engineering</t>
        </is>
      </c>
      <c r="N410" s="7" t="inlineStr">
        <is>
          <t>Cevil quipment  &amp; Part</t>
        </is>
      </c>
      <c r="O410" s="11" t="n">
        <v>2</v>
      </c>
      <c r="P410" s="10" t="inlineStr">
        <is>
          <t>Super Premium air-conditioner cleaning cover, size 3x4 m
- for air conditioners 24,000 - 60,000 BTU</t>
        </is>
      </c>
      <c r="Q410" s="277" t="n">
        <v>1</v>
      </c>
      <c r="R410" s="5" t="inlineStr">
        <is>
          <t>PCS.</t>
        </is>
      </c>
      <c r="S410" s="284">
        <f>RawDataGenPO[[#This Row],[Total price]]/RawDataGenPO[[#This Row],[Qty'']]</f>
        <v/>
      </c>
      <c r="T410" s="285" t="n">
        <v>785</v>
      </c>
      <c r="U410" s="161" t="inlineStr">
        <is>
          <t>Puneet Approval</t>
        </is>
      </c>
      <c r="V410" s="7" t="inlineStr">
        <is>
          <t>V1000603 - TM SUKSAP TRADING LIMITED PARTNERSHIP</t>
        </is>
      </c>
      <c r="W410" s="5" t="inlineStr">
        <is>
          <t>Recive bill and GRN already</t>
        </is>
      </c>
      <c r="X410" s="5" t="n"/>
      <c r="Y410" s="3" t="n">
        <v>45566</v>
      </c>
      <c r="Z410" s="3" t="n"/>
      <c r="AA410" s="17">
        <f>IF(RawDataGenPO[[#This Row],[Date Gen PO]]="","",RawDataGenPO[[#This Row],[Date recive bill]]-RawDataGenPO[[#This Row],[Date Gen PO]])</f>
        <v/>
      </c>
      <c r="AB410" s="16">
        <f>IF(RawDataGenPO[[#This Row],[GRN-PO date]]&gt;RawDataGenPO[[#This Row],[Lead time delivery (day)]],"over deliverry","Ontime")</f>
        <v/>
      </c>
      <c r="AC410" s="168" t="n"/>
    </row>
    <row r="411" ht="15" customFormat="1" customHeight="1" s="125">
      <c r="A411" s="5">
        <f>ROW()-ROW(RawDataGenPO[[#Headers],[No.]])</f>
        <v/>
      </c>
      <c r="B411" s="7" t="inlineStr">
        <is>
          <t>Expent  cost</t>
        </is>
      </c>
      <c r="C411" s="275" t="n">
        <v>45547</v>
      </c>
      <c r="D411" s="276" t="n"/>
      <c r="E411" s="276" t="n"/>
      <c r="F411" s="275" t="n">
        <v>45547</v>
      </c>
      <c r="G411" s="5" t="inlineStr">
        <is>
          <t>PR2425-03334</t>
        </is>
      </c>
      <c r="H411" s="5" t="inlineStr">
        <is>
          <t>PO2425-03766</t>
        </is>
      </c>
      <c r="I411" s="290">
        <f>IF(RawDataGenPO[[#This Row],[PO No.]]="","",RawDataGenPO[[#This Row],[DMY Create PR]]+7)</f>
        <v/>
      </c>
      <c r="J411" s="290" t="n"/>
      <c r="K411" s="20" t="n">
        <v>30</v>
      </c>
      <c r="L411" s="5" t="inlineStr">
        <is>
          <t>SFST81000050</t>
        </is>
      </c>
      <c r="M411" s="7" t="inlineStr">
        <is>
          <t>Consumable part for MN</t>
        </is>
      </c>
      <c r="N411" s="7" t="inlineStr">
        <is>
          <t>Cevil quipment  &amp; Part</t>
        </is>
      </c>
      <c r="O411" s="11" t="n">
        <v>3</v>
      </c>
      <c r="P411" s="10" t="inlineStr">
        <is>
          <t>K-220-9" white pail, 20 liters</t>
        </is>
      </c>
      <c r="Q411" s="277" t="n">
        <v>2</v>
      </c>
      <c r="R411" s="5" t="inlineStr">
        <is>
          <t>PCS.</t>
        </is>
      </c>
      <c r="S411" s="284">
        <f>RawDataGenPO[[#This Row],[Total price]]/RawDataGenPO[[#This Row],[Qty'']]</f>
        <v/>
      </c>
      <c r="T411" s="285" t="n">
        <v>540</v>
      </c>
      <c r="U411" s="161" t="inlineStr">
        <is>
          <t>Puneet Approval</t>
        </is>
      </c>
      <c r="V411" s="7" t="inlineStr">
        <is>
          <t>V1000603 - TM SUKSAP TRADING LIMITED PARTNERSHIP</t>
        </is>
      </c>
      <c r="W411" s="5" t="inlineStr">
        <is>
          <t>Recive bill and GRN already</t>
        </is>
      </c>
      <c r="X411" s="5" t="n"/>
      <c r="Y411" s="3" t="n">
        <v>45566</v>
      </c>
      <c r="Z411" s="3" t="n"/>
      <c r="AA411" s="17">
        <f>IF(RawDataGenPO[[#This Row],[Date Gen PO]]="","",RawDataGenPO[[#This Row],[Date recive bill]]-RawDataGenPO[[#This Row],[Date Gen PO]])</f>
        <v/>
      </c>
      <c r="AB411" s="16">
        <f>IF(RawDataGenPO[[#This Row],[GRN-PO date]]&gt;RawDataGenPO[[#This Row],[Lead time delivery (day)]],"over deliverry","Ontime")</f>
        <v/>
      </c>
      <c r="AC411" s="168" t="n"/>
    </row>
    <row r="412" ht="15" customFormat="1" customHeight="1" s="125">
      <c r="A412" s="5">
        <f>ROW()-ROW(RawDataGenPO[[#Headers],[No.]])</f>
        <v/>
      </c>
      <c r="B412" s="7" t="inlineStr">
        <is>
          <t>Expent  cost</t>
        </is>
      </c>
      <c r="C412" s="275" t="n">
        <v>45547</v>
      </c>
      <c r="D412" s="276" t="n"/>
      <c r="E412" s="276" t="n"/>
      <c r="F412" s="275" t="n">
        <v>45547</v>
      </c>
      <c r="G412" s="5" t="inlineStr">
        <is>
          <t>PR2425-03331</t>
        </is>
      </c>
      <c r="H412" s="5" t="inlineStr">
        <is>
          <t>PO2425-03767</t>
        </is>
      </c>
      <c r="I412" s="290">
        <f>IF(RawDataGenPO[[#This Row],[PO No.]]="","",RawDataGenPO[[#This Row],[DMY Create PR]]+7)</f>
        <v/>
      </c>
      <c r="J412" s="290" t="n"/>
      <c r="K412" s="20" t="n">
        <v>30</v>
      </c>
      <c r="L412" s="5" t="inlineStr">
        <is>
          <t>SFST81000050</t>
        </is>
      </c>
      <c r="M412" s="7" t="inlineStr">
        <is>
          <t>Consumable part for MN</t>
        </is>
      </c>
      <c r="N412" s="7" t="inlineStr">
        <is>
          <t>Cevil quipment  &amp; Part</t>
        </is>
      </c>
      <c r="O412" s="11" t="n">
        <v>1</v>
      </c>
      <c r="P412" s="10" t="inlineStr">
        <is>
          <t>TOA enamel paint #G100 white, gallon (3.785 liters)</t>
        </is>
      </c>
      <c r="Q412" s="196" t="n">
        <v>2</v>
      </c>
      <c r="R412" s="5" t="inlineStr">
        <is>
          <t>DRM.</t>
        </is>
      </c>
      <c r="S412" s="284">
        <f>RawDataGenPO[[#This Row],[Total price]]/RawDataGenPO[[#This Row],[Qty'']]</f>
        <v/>
      </c>
      <c r="T412" s="188" t="n">
        <v>1236</v>
      </c>
      <c r="U412" s="161" t="inlineStr">
        <is>
          <t>Puneet Approval</t>
        </is>
      </c>
      <c r="V412" s="7" t="inlineStr">
        <is>
          <t>V1000306 - Inter Supply (1992) Co., Ltd.</t>
        </is>
      </c>
      <c r="W412" s="5" t="inlineStr">
        <is>
          <t>Recive bill and GRN already</t>
        </is>
      </c>
      <c r="X412" s="5" t="n"/>
      <c r="Y412" s="3" t="n">
        <v>45575</v>
      </c>
      <c r="Z412" s="3" t="n"/>
      <c r="AA412" s="17">
        <f>IF(RawDataGenPO[[#This Row],[Date Gen PO]]="","",RawDataGenPO[[#This Row],[Date recive bill]]-RawDataGenPO[[#This Row],[Date Gen PO]])</f>
        <v/>
      </c>
      <c r="AB412" s="16">
        <f>IF(RawDataGenPO[[#This Row],[GRN-PO date]]&gt;RawDataGenPO[[#This Row],[Lead time delivery (day)]],"over deliverry","Ontime")</f>
        <v/>
      </c>
      <c r="AC412" s="168" t="n"/>
    </row>
    <row r="413" ht="15" customFormat="1" customHeight="1" s="125">
      <c r="A413" s="5">
        <f>ROW()-ROW(RawDataGenPO[[#Headers],[No.]])</f>
        <v/>
      </c>
      <c r="B413" s="7" t="inlineStr">
        <is>
          <t>Expent  cost</t>
        </is>
      </c>
      <c r="C413" s="275" t="n">
        <v>45547</v>
      </c>
      <c r="D413" s="276" t="n"/>
      <c r="E413" s="276" t="n"/>
      <c r="F413" s="275" t="n">
        <v>45547</v>
      </c>
      <c r="G413" s="5" t="inlineStr">
        <is>
          <t>PR2425-03331</t>
        </is>
      </c>
      <c r="H413" s="5" t="inlineStr">
        <is>
          <t>PO2425-03767</t>
        </is>
      </c>
      <c r="I413" s="290">
        <f>IF(RawDataGenPO[[#This Row],[PO No.]]="","",RawDataGenPO[[#This Row],[DMY Create PR]]+7)</f>
        <v/>
      </c>
      <c r="J413" s="290" t="n"/>
      <c r="K413" s="20" t="n">
        <v>30</v>
      </c>
      <c r="L413" s="5" t="inlineStr">
        <is>
          <t>SFST81000050</t>
        </is>
      </c>
      <c r="M413" s="7" t="inlineStr">
        <is>
          <t>Consumable part for MN</t>
        </is>
      </c>
      <c r="N413" s="7" t="inlineStr">
        <is>
          <t>Cevil quipment  &amp; Part</t>
        </is>
      </c>
      <c r="O413" s="11" t="n">
        <v>2</v>
      </c>
      <c r="P413" s="10" t="inlineStr">
        <is>
          <t>TOA enamel paint #G252 red, gallon (3.785 liters)</t>
        </is>
      </c>
      <c r="Q413" s="196" t="n">
        <v>2</v>
      </c>
      <c r="R413" s="5" t="inlineStr">
        <is>
          <t>DRM.</t>
        </is>
      </c>
      <c r="S413" s="284">
        <f>RawDataGenPO[[#This Row],[Total price]]/RawDataGenPO[[#This Row],[Qty'']]</f>
        <v/>
      </c>
      <c r="T413" s="188" t="n">
        <v>1236</v>
      </c>
      <c r="U413" s="161" t="inlineStr">
        <is>
          <t>Puneet Approval</t>
        </is>
      </c>
      <c r="V413" s="7" t="inlineStr">
        <is>
          <t>V1000306 - Inter Supply (1992) Co., Ltd.</t>
        </is>
      </c>
      <c r="W413" s="5" t="inlineStr">
        <is>
          <t>Recive bill and GRN already</t>
        </is>
      </c>
      <c r="X413" s="5" t="n"/>
      <c r="Y413" s="3" t="n">
        <v>45575</v>
      </c>
      <c r="Z413" s="3" t="n"/>
      <c r="AA413" s="17">
        <f>IF(RawDataGenPO[[#This Row],[Date Gen PO]]="","",RawDataGenPO[[#This Row],[Date recive bill]]-RawDataGenPO[[#This Row],[Date Gen PO]])</f>
        <v/>
      </c>
      <c r="AB413" s="16">
        <f>IF(RawDataGenPO[[#This Row],[GRN-PO date]]&gt;RawDataGenPO[[#This Row],[Lead time delivery (day)]],"over deliverry","Ontime")</f>
        <v/>
      </c>
      <c r="AC413" s="168" t="n"/>
    </row>
    <row r="414" ht="15" customFormat="1" customHeight="1" s="125">
      <c r="A414" s="5">
        <f>ROW()-ROW(RawDataGenPO[[#Headers],[No.]])</f>
        <v/>
      </c>
      <c r="B414" s="7" t="inlineStr">
        <is>
          <t>Expent  cost</t>
        </is>
      </c>
      <c r="C414" s="275" t="n">
        <v>45547</v>
      </c>
      <c r="D414" s="276" t="n"/>
      <c r="E414" s="276" t="n"/>
      <c r="F414" s="275" t="n">
        <v>45547</v>
      </c>
      <c r="G414" s="5" t="inlineStr">
        <is>
          <t>PR2425-03331</t>
        </is>
      </c>
      <c r="H414" s="5" t="inlineStr">
        <is>
          <t>PO2425-03767</t>
        </is>
      </c>
      <c r="I414" s="290">
        <f>IF(RawDataGenPO[[#This Row],[PO No.]]="","",RawDataGenPO[[#This Row],[DMY Create PR]]+7)</f>
        <v/>
      </c>
      <c r="J414" s="290" t="n"/>
      <c r="K414" s="20" t="n">
        <v>30</v>
      </c>
      <c r="L414" s="5" t="inlineStr">
        <is>
          <t>SFST81000050</t>
        </is>
      </c>
      <c r="M414" s="7" t="inlineStr">
        <is>
          <t>Consumable part for MN</t>
        </is>
      </c>
      <c r="N414" s="7" t="inlineStr">
        <is>
          <t>Cevil quipment  &amp; Part</t>
        </is>
      </c>
      <c r="O414" s="11" t="n">
        <v>3</v>
      </c>
      <c r="P414" s="10" t="inlineStr">
        <is>
          <t>TOA enamel paint #G160 yellow, gallon (3.785 liters)</t>
        </is>
      </c>
      <c r="Q414" s="196" t="n">
        <v>2</v>
      </c>
      <c r="R414" s="5" t="inlineStr">
        <is>
          <t>DRM.</t>
        </is>
      </c>
      <c r="S414" s="284">
        <f>RawDataGenPO[[#This Row],[Total price]]/RawDataGenPO[[#This Row],[Qty'']]</f>
        <v/>
      </c>
      <c r="T414" s="188" t="n">
        <v>1236</v>
      </c>
      <c r="U414" s="161" t="inlineStr">
        <is>
          <t>Puneet Approval</t>
        </is>
      </c>
      <c r="V414" s="7" t="inlineStr">
        <is>
          <t>V1000306 - Inter Supply (1992) Co., Ltd.</t>
        </is>
      </c>
      <c r="W414" s="5" t="inlineStr">
        <is>
          <t>Recive bill and GRN already</t>
        </is>
      </c>
      <c r="X414" s="5" t="n"/>
      <c r="Y414" s="3" t="n">
        <v>45575</v>
      </c>
      <c r="Z414" s="3" t="n"/>
      <c r="AA414" s="17">
        <f>IF(RawDataGenPO[[#This Row],[Date Gen PO]]="","",RawDataGenPO[[#This Row],[Date recive bill]]-RawDataGenPO[[#This Row],[Date Gen PO]])</f>
        <v/>
      </c>
      <c r="AB414" s="16">
        <f>IF(RawDataGenPO[[#This Row],[GRN-PO date]]&gt;RawDataGenPO[[#This Row],[Lead time delivery (day)]],"over deliverry","Ontime")</f>
        <v/>
      </c>
      <c r="AC414" s="168" t="n"/>
    </row>
    <row r="415" ht="15" customFormat="1" customHeight="1" s="125">
      <c r="A415" s="5">
        <f>ROW()-ROW(RawDataGenPO[[#Headers],[No.]])</f>
        <v/>
      </c>
      <c r="B415" s="7" t="inlineStr">
        <is>
          <t>Expent  cost</t>
        </is>
      </c>
      <c r="C415" s="275" t="n">
        <v>45547</v>
      </c>
      <c r="D415" s="276" t="n"/>
      <c r="E415" s="276" t="n"/>
      <c r="F415" s="275" t="n">
        <v>45547</v>
      </c>
      <c r="G415" s="5" t="inlineStr">
        <is>
          <t>PR2425-03331</t>
        </is>
      </c>
      <c r="H415" s="5" t="inlineStr">
        <is>
          <t>PO2425-03767</t>
        </is>
      </c>
      <c r="I415" s="290">
        <f>IF(RawDataGenPO[[#This Row],[PO No.]]="","",RawDataGenPO[[#This Row],[DMY Create PR]]+7)</f>
        <v/>
      </c>
      <c r="J415" s="290" t="n"/>
      <c r="K415" s="20" t="n">
        <v>30</v>
      </c>
      <c r="L415" s="5" t="inlineStr">
        <is>
          <t>SFST81000050</t>
        </is>
      </c>
      <c r="M415" s="7" t="inlineStr">
        <is>
          <t>Consumable part for MN</t>
        </is>
      </c>
      <c r="N415" s="7" t="inlineStr">
        <is>
          <t>Cevil quipment  &amp; Part</t>
        </is>
      </c>
      <c r="O415" s="11" t="n">
        <v>4</v>
      </c>
      <c r="P415" s="10" t="inlineStr">
        <is>
          <t>TOA enamel paint #G800 black, gallon (3.785 liters)</t>
        </is>
      </c>
      <c r="Q415" s="196" t="n">
        <v>2</v>
      </c>
      <c r="R415" s="5" t="inlineStr">
        <is>
          <t>DRM.</t>
        </is>
      </c>
      <c r="S415" s="284">
        <f>RawDataGenPO[[#This Row],[Total price]]/RawDataGenPO[[#This Row],[Qty'']]</f>
        <v/>
      </c>
      <c r="T415" s="188" t="n">
        <v>1236</v>
      </c>
      <c r="U415" s="161" t="inlineStr">
        <is>
          <t>Puneet Approval</t>
        </is>
      </c>
      <c r="V415" s="7" t="inlineStr">
        <is>
          <t>V1000306 - Inter Supply (1992) Co., Ltd.</t>
        </is>
      </c>
      <c r="W415" s="5" t="inlineStr">
        <is>
          <t>Recive bill and GRN already</t>
        </is>
      </c>
      <c r="X415" s="5" t="n"/>
      <c r="Y415" s="3" t="n">
        <v>45575</v>
      </c>
      <c r="Z415" s="3" t="n"/>
      <c r="AA415" s="17">
        <f>IF(RawDataGenPO[[#This Row],[Date Gen PO]]="","",RawDataGenPO[[#This Row],[Date recive bill]]-RawDataGenPO[[#This Row],[Date Gen PO]])</f>
        <v/>
      </c>
      <c r="AB415" s="16">
        <f>IF(RawDataGenPO[[#This Row],[GRN-PO date]]&gt;RawDataGenPO[[#This Row],[Lead time delivery (day)]],"over deliverry","Ontime")</f>
        <v/>
      </c>
      <c r="AC415" s="168" t="n"/>
    </row>
    <row r="416" ht="15" customFormat="1" customHeight="1" s="125">
      <c r="A416" s="5">
        <f>ROW()-ROW(RawDataGenPO[[#Headers],[No.]])</f>
        <v/>
      </c>
      <c r="B416" s="7" t="inlineStr">
        <is>
          <t>Expent  cost</t>
        </is>
      </c>
      <c r="C416" s="275" t="n">
        <v>45547</v>
      </c>
      <c r="D416" s="276" t="n"/>
      <c r="E416" s="276" t="n"/>
      <c r="F416" s="275" t="n">
        <v>45547</v>
      </c>
      <c r="G416" s="5" t="inlineStr">
        <is>
          <t>PR2425-03331</t>
        </is>
      </c>
      <c r="H416" s="5" t="inlineStr">
        <is>
          <t>PO2425-03767</t>
        </is>
      </c>
      <c r="I416" s="290">
        <f>IF(RawDataGenPO[[#This Row],[PO No.]]="","",RawDataGenPO[[#This Row],[DMY Create PR]]+7)</f>
        <v/>
      </c>
      <c r="J416" s="290" t="n"/>
      <c r="K416" s="20" t="n">
        <v>30</v>
      </c>
      <c r="L416" s="5" t="inlineStr">
        <is>
          <t>SFST81000050</t>
        </is>
      </c>
      <c r="M416" s="7" t="inlineStr">
        <is>
          <t>Consumable part for MN</t>
        </is>
      </c>
      <c r="N416" s="7" t="inlineStr">
        <is>
          <t>Cevil quipment  &amp; Part</t>
        </is>
      </c>
      <c r="O416" s="11" t="n">
        <v>5</v>
      </c>
      <c r="P416" s="10" t="inlineStr">
        <is>
          <t>TOA reflective road marking paint model 717, 3 liters, white</t>
        </is>
      </c>
      <c r="Q416" s="196" t="n">
        <v>2</v>
      </c>
      <c r="R416" s="5" t="inlineStr">
        <is>
          <t>DRM.</t>
        </is>
      </c>
      <c r="S416" s="284">
        <f>RawDataGenPO[[#This Row],[Total price]]/RawDataGenPO[[#This Row],[Qty'']]</f>
        <v/>
      </c>
      <c r="T416" s="188" t="n">
        <v>1270</v>
      </c>
      <c r="U416" s="161" t="inlineStr">
        <is>
          <t>Puneet Approval</t>
        </is>
      </c>
      <c r="V416" s="7" t="inlineStr">
        <is>
          <t>V1000306 - Inter Supply (1992) Co., Ltd.</t>
        </is>
      </c>
      <c r="W416" s="5" t="inlineStr">
        <is>
          <t>Recive bill and GRN already</t>
        </is>
      </c>
      <c r="X416" s="5" t="n"/>
      <c r="Y416" s="3" t="n">
        <v>45575</v>
      </c>
      <c r="Z416" s="3" t="n"/>
      <c r="AA416" s="17">
        <f>IF(RawDataGenPO[[#This Row],[Date Gen PO]]="","",RawDataGenPO[[#This Row],[Date recive bill]]-RawDataGenPO[[#This Row],[Date Gen PO]])</f>
        <v/>
      </c>
      <c r="AB416" s="16">
        <f>IF(RawDataGenPO[[#This Row],[GRN-PO date]]&gt;RawDataGenPO[[#This Row],[Lead time delivery (day)]],"over deliverry","Ontime")</f>
        <v/>
      </c>
      <c r="AC416" s="168" t="n"/>
    </row>
    <row r="417" ht="15" customFormat="1" customHeight="1" s="125">
      <c r="A417" s="5">
        <f>ROW()-ROW(RawDataGenPO[[#Headers],[No.]])</f>
        <v/>
      </c>
      <c r="B417" s="7" t="inlineStr">
        <is>
          <t>Expent  cost</t>
        </is>
      </c>
      <c r="C417" s="275" t="n">
        <v>45547</v>
      </c>
      <c r="D417" s="276" t="n"/>
      <c r="E417" s="276" t="n"/>
      <c r="F417" s="275" t="n">
        <v>45547</v>
      </c>
      <c r="G417" s="5" t="inlineStr">
        <is>
          <t>PR2425-03331</t>
        </is>
      </c>
      <c r="H417" s="5" t="inlineStr">
        <is>
          <t>PO2425-03767</t>
        </is>
      </c>
      <c r="I417" s="290">
        <f>IF(RawDataGenPO[[#This Row],[PO No.]]="","",RawDataGenPO[[#This Row],[DMY Create PR]]+7)</f>
        <v/>
      </c>
      <c r="J417" s="290" t="n"/>
      <c r="K417" s="20" t="n">
        <v>30</v>
      </c>
      <c r="L417" s="5" t="inlineStr">
        <is>
          <t>SFST81000050</t>
        </is>
      </c>
      <c r="M417" s="7" t="inlineStr">
        <is>
          <t>Consumable part for MN</t>
        </is>
      </c>
      <c r="N417" s="7" t="inlineStr">
        <is>
          <t>Cevil quipment  &amp; Part</t>
        </is>
      </c>
      <c r="O417" s="11" t="n">
        <v>6</v>
      </c>
      <c r="P417" s="10" t="inlineStr">
        <is>
          <t>TOA reflective road marking paint model 719, 3 liters, black</t>
        </is>
      </c>
      <c r="Q417" s="196" t="n">
        <v>2</v>
      </c>
      <c r="R417" s="5" t="inlineStr">
        <is>
          <t>DRM.</t>
        </is>
      </c>
      <c r="S417" s="284">
        <f>RawDataGenPO[[#This Row],[Total price]]/RawDataGenPO[[#This Row],[Qty'']]</f>
        <v/>
      </c>
      <c r="T417" s="188" t="n">
        <v>1270</v>
      </c>
      <c r="U417" s="161" t="inlineStr">
        <is>
          <t>Puneet Approval</t>
        </is>
      </c>
      <c r="V417" s="7" t="inlineStr">
        <is>
          <t>V1000306 - Inter Supply (1992) Co., Ltd.</t>
        </is>
      </c>
      <c r="W417" s="5" t="inlineStr">
        <is>
          <t>Recive bill and GRN already</t>
        </is>
      </c>
      <c r="X417" s="5" t="n"/>
      <c r="Y417" s="3" t="n">
        <v>45575</v>
      </c>
      <c r="Z417" s="3" t="n"/>
      <c r="AA417" s="17">
        <f>IF(RawDataGenPO[[#This Row],[Date Gen PO]]="","",RawDataGenPO[[#This Row],[Date recive bill]]-RawDataGenPO[[#This Row],[Date Gen PO]])</f>
        <v/>
      </c>
      <c r="AB417" s="16">
        <f>IF(RawDataGenPO[[#This Row],[GRN-PO date]]&gt;RawDataGenPO[[#This Row],[Lead time delivery (day)]],"over deliverry","Ontime")</f>
        <v/>
      </c>
      <c r="AC417" s="168" t="n"/>
    </row>
    <row r="418" ht="15" customFormat="1" customHeight="1" s="125">
      <c r="A418" s="5">
        <f>ROW()-ROW(RawDataGenPO[[#Headers],[No.]])</f>
        <v/>
      </c>
      <c r="B418" s="7" t="inlineStr">
        <is>
          <t>Expent  cost</t>
        </is>
      </c>
      <c r="C418" s="275" t="n">
        <v>45547</v>
      </c>
      <c r="D418" s="276" t="n"/>
      <c r="E418" s="276" t="n"/>
      <c r="F418" s="275" t="n">
        <v>45547</v>
      </c>
      <c r="G418" s="5" t="inlineStr">
        <is>
          <t>PR2425-03331</t>
        </is>
      </c>
      <c r="H418" s="5" t="inlineStr">
        <is>
          <t>PO2425-03767</t>
        </is>
      </c>
      <c r="I418" s="290">
        <f>IF(RawDataGenPO[[#This Row],[PO No.]]="","",RawDataGenPO[[#This Row],[DMY Create PR]]+7)</f>
        <v/>
      </c>
      <c r="J418" s="290" t="n"/>
      <c r="K418" s="20" t="n">
        <v>30</v>
      </c>
      <c r="L418" s="5" t="inlineStr">
        <is>
          <t>SFST81000050</t>
        </is>
      </c>
      <c r="M418" s="7" t="inlineStr">
        <is>
          <t>Consumable part for MN</t>
        </is>
      </c>
      <c r="N418" s="7" t="inlineStr">
        <is>
          <t>Cevil quipment  &amp; Part</t>
        </is>
      </c>
      <c r="O418" s="11" t="n">
        <v>7</v>
      </c>
      <c r="P418" s="10" t="inlineStr">
        <is>
          <t>TOA reflective road marking paint model 713, 3 liters, yellow</t>
        </is>
      </c>
      <c r="Q418" s="196" t="n">
        <v>2</v>
      </c>
      <c r="R418" s="5" t="inlineStr">
        <is>
          <t>DRM.</t>
        </is>
      </c>
      <c r="S418" s="284">
        <f>RawDataGenPO[[#This Row],[Total price]]/RawDataGenPO[[#This Row],[Qty'']]</f>
        <v/>
      </c>
      <c r="T418" s="188" t="n">
        <v>1270</v>
      </c>
      <c r="U418" s="161" t="inlineStr">
        <is>
          <t>Puneet Approval</t>
        </is>
      </c>
      <c r="V418" s="7" t="inlineStr">
        <is>
          <t>V1000306 - Inter Supply (1992) Co., Ltd.</t>
        </is>
      </c>
      <c r="W418" s="5" t="inlineStr">
        <is>
          <t>Recive bill and GRN already</t>
        </is>
      </c>
      <c r="X418" s="5" t="n"/>
      <c r="Y418" s="3" t="n">
        <v>45575</v>
      </c>
      <c r="Z418" s="3" t="n"/>
      <c r="AA418" s="17">
        <f>IF(RawDataGenPO[[#This Row],[Date Gen PO]]="","",RawDataGenPO[[#This Row],[Date recive bill]]-RawDataGenPO[[#This Row],[Date Gen PO]])</f>
        <v/>
      </c>
      <c r="AB418" s="16">
        <f>IF(RawDataGenPO[[#This Row],[GRN-PO date]]&gt;RawDataGenPO[[#This Row],[Lead time delivery (day)]],"over deliverry","Ontime")</f>
        <v/>
      </c>
      <c r="AC418" s="168" t="n"/>
    </row>
    <row r="419" ht="15" customFormat="1" customHeight="1" s="197">
      <c r="A419" s="5">
        <f>ROW()-ROW(RawDataGenPO[[#Headers],[No.]])</f>
        <v/>
      </c>
      <c r="B419" s="7" t="inlineStr">
        <is>
          <t>Expent  cost</t>
        </is>
      </c>
      <c r="C419" s="275" t="n">
        <v>45547</v>
      </c>
      <c r="D419" s="276" t="n"/>
      <c r="E419" s="276" t="n"/>
      <c r="F419" s="275" t="n">
        <v>45547</v>
      </c>
      <c r="G419" s="5" t="inlineStr">
        <is>
          <t>PR2425-03331</t>
        </is>
      </c>
      <c r="H419" s="5" t="inlineStr">
        <is>
          <t>PO2425-03767</t>
        </is>
      </c>
      <c r="I419" s="290">
        <f>IF(RawDataGenPO[[#This Row],[PO No.]]="","",RawDataGenPO[[#This Row],[DMY Create PR]]+7)</f>
        <v/>
      </c>
      <c r="J419" s="290" t="n"/>
      <c r="K419" s="20" t="n">
        <v>30</v>
      </c>
      <c r="L419" s="5" t="inlineStr">
        <is>
          <t>SFST81000050</t>
        </is>
      </c>
      <c r="M419" s="7" t="inlineStr">
        <is>
          <t>Consumable part for MN</t>
        </is>
      </c>
      <c r="N419" s="7" t="inlineStr">
        <is>
          <t>Cevil quipment  &amp; Part</t>
        </is>
      </c>
      <c r="O419" s="11" t="n">
        <v>8</v>
      </c>
      <c r="P419" s="10" t="inlineStr">
        <is>
          <t>TOA bicycle lane paint, green RAL #6029 (3.785 liters)</t>
        </is>
      </c>
      <c r="Q419" s="196" t="n">
        <v>2</v>
      </c>
      <c r="R419" s="5" t="inlineStr">
        <is>
          <t>DRM.</t>
        </is>
      </c>
      <c r="S419" s="284">
        <f>RawDataGenPO[[#This Row],[Total price]]/RawDataGenPO[[#This Row],[Qty'']]</f>
        <v/>
      </c>
      <c r="T419" s="188" t="n">
        <v>1520</v>
      </c>
      <c r="U419" s="161" t="inlineStr">
        <is>
          <t>Puneet Approval</t>
        </is>
      </c>
      <c r="V419" s="7" t="inlineStr">
        <is>
          <t>V1000306 - Inter Supply (1992) Co., Ltd.</t>
        </is>
      </c>
      <c r="W419" s="5" t="inlineStr">
        <is>
          <t>Recive bill and GRN already</t>
        </is>
      </c>
      <c r="X419" s="5" t="n"/>
      <c r="Y419" s="3" t="n">
        <v>45575</v>
      </c>
      <c r="Z419" s="3" t="n"/>
      <c r="AA419" s="17">
        <f>IF(RawDataGenPO[[#This Row],[Date Gen PO]]="","",RawDataGenPO[[#This Row],[Date recive bill]]-RawDataGenPO[[#This Row],[Date Gen PO]])</f>
        <v/>
      </c>
      <c r="AB419" s="16">
        <f>IF(RawDataGenPO[[#This Row],[GRN-PO date]]&gt;RawDataGenPO[[#This Row],[Lead time delivery (day)]],"over deliverry","Ontime")</f>
        <v/>
      </c>
      <c r="AC419" s="168" t="n"/>
    </row>
    <row r="420" ht="30" customFormat="1" customHeight="1" s="125">
      <c r="A420" s="5">
        <f>ROW()-ROW(RawDataGenPO[[#Headers],[No.]])</f>
        <v/>
      </c>
      <c r="B420" s="7" t="inlineStr">
        <is>
          <t>Expent  cost</t>
        </is>
      </c>
      <c r="C420" s="275" t="n">
        <v>45547</v>
      </c>
      <c r="D420" s="276" t="n"/>
      <c r="E420" s="276" t="n"/>
      <c r="F420" s="275" t="n">
        <v>45547</v>
      </c>
      <c r="G420" s="5" t="inlineStr">
        <is>
          <t>PR2425-03331</t>
        </is>
      </c>
      <c r="H420" s="5" t="inlineStr">
        <is>
          <t>PO2425-03767</t>
        </is>
      </c>
      <c r="I420" s="290">
        <f>IF(RawDataGenPO[[#This Row],[PO No.]]="","",RawDataGenPO[[#This Row],[DMY Create PR]]+7)</f>
        <v/>
      </c>
      <c r="J420" s="290" t="n"/>
      <c r="K420" s="20" t="n">
        <v>30</v>
      </c>
      <c r="L420" s="5" t="inlineStr">
        <is>
          <t>SFST81000050</t>
        </is>
      </c>
      <c r="M420" s="7" t="inlineStr">
        <is>
          <t>Consumable part for MN</t>
        </is>
      </c>
      <c r="N420" s="7" t="inlineStr">
        <is>
          <t>Cevil quipment  &amp; Part</t>
        </is>
      </c>
      <c r="O420" s="11" t="n">
        <v>9</v>
      </c>
      <c r="P420" s="10" t="inlineStr">
        <is>
          <t>TOA 4 SEASON semi-gloss acrylic exterior paint
- size 18.925 liters AG1000 white</t>
        </is>
      </c>
      <c r="Q420" s="196" t="n">
        <v>2</v>
      </c>
      <c r="R420" s="5" t="inlineStr">
        <is>
          <t>DRM.</t>
        </is>
      </c>
      <c r="S420" s="284">
        <f>RawDataGenPO[[#This Row],[Total price]]/RawDataGenPO[[#This Row],[Qty'']]</f>
        <v/>
      </c>
      <c r="T420" s="188" t="n">
        <v>5950</v>
      </c>
      <c r="U420" s="161" t="inlineStr">
        <is>
          <t>Puneet Approval</t>
        </is>
      </c>
      <c r="V420" s="7" t="inlineStr">
        <is>
          <t>V1000306 - Inter Supply (1992) Co., Ltd.</t>
        </is>
      </c>
      <c r="W420" s="5" t="inlineStr">
        <is>
          <t>Recive bill and GRN already</t>
        </is>
      </c>
      <c r="X420" s="5" t="n"/>
      <c r="Y420" s="3" t="n">
        <v>45575</v>
      </c>
      <c r="Z420" s="3" t="n"/>
      <c r="AA420" s="17">
        <f>IF(RawDataGenPO[[#This Row],[Date Gen PO]]="","",RawDataGenPO[[#This Row],[Date recive bill]]-RawDataGenPO[[#This Row],[Date Gen PO]])</f>
        <v/>
      </c>
      <c r="AB420" s="16">
        <f>IF(RawDataGenPO[[#This Row],[GRN-PO date]]&gt;RawDataGenPO[[#This Row],[Lead time delivery (day)]],"over deliverry","Ontime")</f>
        <v/>
      </c>
      <c r="AC420" s="168" t="n"/>
    </row>
    <row r="421" ht="30" customFormat="1" customHeight="1" s="125">
      <c r="A421" s="5">
        <f>ROW()-ROW(RawDataGenPO[[#Headers],[No.]])</f>
        <v/>
      </c>
      <c r="B421" s="7" t="inlineStr">
        <is>
          <t>Expent  cost</t>
        </is>
      </c>
      <c r="C421" s="275" t="n">
        <v>45547</v>
      </c>
      <c r="D421" s="276" t="n"/>
      <c r="E421" s="276" t="n"/>
      <c r="F421" s="275" t="n">
        <v>45547</v>
      </c>
      <c r="G421" s="5" t="inlineStr">
        <is>
          <t>PR2425-03331</t>
        </is>
      </c>
      <c r="H421" s="5" t="inlineStr">
        <is>
          <t>PO2425-03767</t>
        </is>
      </c>
      <c r="I421" s="290">
        <f>IF(RawDataGenPO[[#This Row],[PO No.]]="","",RawDataGenPO[[#This Row],[DMY Create PR]]+7)</f>
        <v/>
      </c>
      <c r="J421" s="290" t="n"/>
      <c r="K421" s="20" t="n">
        <v>30</v>
      </c>
      <c r="L421" s="5" t="inlineStr">
        <is>
          <t>SFST81000050</t>
        </is>
      </c>
      <c r="M421" s="7" t="inlineStr">
        <is>
          <t>Consumable part for MN</t>
        </is>
      </c>
      <c r="N421" s="7" t="inlineStr">
        <is>
          <t>Cevil quipment  &amp; Part</t>
        </is>
      </c>
      <c r="O421" s="11" t="n">
        <v>10</v>
      </c>
      <c r="P421" s="10" t="inlineStr">
        <is>
          <t>TOA 4 SEASON semi-gloss acrylic exterior paint, size 3.785 liters AG2005 yellow</t>
        </is>
      </c>
      <c r="Q421" s="196" t="n">
        <v>4</v>
      </c>
      <c r="R421" s="5" t="inlineStr">
        <is>
          <t>DRM.</t>
        </is>
      </c>
      <c r="S421" s="284">
        <f>RawDataGenPO[[#This Row],[Total price]]/RawDataGenPO[[#This Row],[Qty'']]</f>
        <v/>
      </c>
      <c r="T421" s="188" t="n">
        <v>2100</v>
      </c>
      <c r="U421" s="161" t="inlineStr">
        <is>
          <t>Puneet Approval</t>
        </is>
      </c>
      <c r="V421" s="7" t="inlineStr">
        <is>
          <t>V1000306 - Inter Supply (1992) Co., Ltd.</t>
        </is>
      </c>
      <c r="W421" s="5" t="inlineStr">
        <is>
          <t>Recive bill and GRN already</t>
        </is>
      </c>
      <c r="X421" s="5" t="n"/>
      <c r="Y421" s="3" t="n">
        <v>45575</v>
      </c>
      <c r="Z421" s="3" t="n"/>
      <c r="AA421" s="17">
        <f>IF(RawDataGenPO[[#This Row],[Date Gen PO]]="","",RawDataGenPO[[#This Row],[Date recive bill]]-RawDataGenPO[[#This Row],[Date Gen PO]])</f>
        <v/>
      </c>
      <c r="AB421" s="16">
        <f>IF(RawDataGenPO[[#This Row],[GRN-PO date]]&gt;RawDataGenPO[[#This Row],[Lead time delivery (day)]],"over deliverry","Ontime")</f>
        <v/>
      </c>
      <c r="AC421" s="168" t="n"/>
    </row>
    <row r="422" ht="15" customFormat="1" customHeight="1" s="125">
      <c r="A422" s="5">
        <f>ROW()-ROW(RawDataGenPO[[#Headers],[No.]])</f>
        <v/>
      </c>
      <c r="B422" s="7" t="inlineStr">
        <is>
          <t>Expent  cost</t>
        </is>
      </c>
      <c r="C422" s="275" t="n">
        <v>45547</v>
      </c>
      <c r="D422" s="276" t="n"/>
      <c r="E422" s="276" t="n"/>
      <c r="F422" s="275" t="n">
        <v>45547</v>
      </c>
      <c r="G422" s="5" t="inlineStr">
        <is>
          <t>PR2425-03331</t>
        </is>
      </c>
      <c r="H422" s="5" t="inlineStr">
        <is>
          <t>PO2425-03767</t>
        </is>
      </c>
      <c r="I422" s="290">
        <f>IF(RawDataGenPO[[#This Row],[PO No.]]="","",RawDataGenPO[[#This Row],[DMY Create PR]]+7)</f>
        <v/>
      </c>
      <c r="J422" s="290" t="n"/>
      <c r="K422" s="20" t="n">
        <v>30</v>
      </c>
      <c r="L422" s="5" t="inlineStr">
        <is>
          <t>SFST81000050</t>
        </is>
      </c>
      <c r="M422" s="7" t="inlineStr">
        <is>
          <t>Consumable part for MN</t>
        </is>
      </c>
      <c r="N422" s="7" t="inlineStr">
        <is>
          <t>Cevil quipment  &amp; Part</t>
        </is>
      </c>
      <c r="O422" s="11" t="n">
        <v>11</v>
      </c>
      <c r="P422" s="10" t="inlineStr">
        <is>
          <t>Thinner 3A (drum) SEE-CO, 9 kg</t>
        </is>
      </c>
      <c r="Q422" s="196" t="n">
        <v>2</v>
      </c>
      <c r="R422" s="5" t="inlineStr">
        <is>
          <t>DRM.</t>
        </is>
      </c>
      <c r="S422" s="284">
        <f>RawDataGenPO[[#This Row],[Total price]]/RawDataGenPO[[#This Row],[Qty'']]</f>
        <v/>
      </c>
      <c r="T422" s="190" t="n">
        <v>710</v>
      </c>
      <c r="U422" s="161" t="inlineStr">
        <is>
          <t>Puneet Approval</t>
        </is>
      </c>
      <c r="V422" s="7" t="inlineStr">
        <is>
          <t>V1000306 - Inter Supply (1992) Co., Ltd.</t>
        </is>
      </c>
      <c r="W422" s="5" t="inlineStr">
        <is>
          <t>Recive bill and GRN already</t>
        </is>
      </c>
      <c r="X422" s="5" t="n"/>
      <c r="Y422" s="3" t="n">
        <v>45575</v>
      </c>
      <c r="Z422" s="3" t="n"/>
      <c r="AA422" s="17">
        <f>IF(RawDataGenPO[[#This Row],[Date Gen PO]]="","",RawDataGenPO[[#This Row],[Date recive bill]]-RawDataGenPO[[#This Row],[Date Gen PO]])</f>
        <v/>
      </c>
      <c r="AB422" s="16">
        <f>IF(RawDataGenPO[[#This Row],[GRN-PO date]]&gt;RawDataGenPO[[#This Row],[Lead time delivery (day)]],"over deliverry","Ontime")</f>
        <v/>
      </c>
      <c r="AC422" s="168" t="n"/>
    </row>
    <row r="423" ht="15" customFormat="1" customHeight="1" s="125">
      <c r="A423" s="5">
        <f>ROW()-ROW(RawDataGenPO[[#Headers],[No.]])</f>
        <v/>
      </c>
      <c r="B423" s="7" t="inlineStr">
        <is>
          <t>Expent  cost</t>
        </is>
      </c>
      <c r="C423" s="275" t="n">
        <v>45547</v>
      </c>
      <c r="D423" s="276" t="n"/>
      <c r="E423" s="276" t="n"/>
      <c r="F423" s="275" t="n">
        <v>45547</v>
      </c>
      <c r="G423" s="5" t="inlineStr">
        <is>
          <t>PR2425-03331</t>
        </is>
      </c>
      <c r="H423" s="5" t="inlineStr">
        <is>
          <t>PO2425-03767</t>
        </is>
      </c>
      <c r="I423" s="290">
        <f>IF(RawDataGenPO[[#This Row],[PO No.]]="","",RawDataGenPO[[#This Row],[DMY Create PR]]+7)</f>
        <v/>
      </c>
      <c r="J423" s="290" t="n"/>
      <c r="K423" s="20" t="n">
        <v>30</v>
      </c>
      <c r="L423" s="5" t="inlineStr">
        <is>
          <t>SFST34000118</t>
        </is>
      </c>
      <c r="M423" s="7" t="inlineStr">
        <is>
          <t>Consumable part for MN</t>
        </is>
      </c>
      <c r="N423" s="7" t="inlineStr">
        <is>
          <t>Consumable part</t>
        </is>
      </c>
      <c r="O423" s="11" t="n">
        <v>12</v>
      </c>
      <c r="P423" s="10" t="inlineStr">
        <is>
          <t>Paint brush size 2 inch</t>
        </is>
      </c>
      <c r="Q423" s="196" t="n">
        <v>24</v>
      </c>
      <c r="R423" s="5" t="inlineStr">
        <is>
          <t>PCS.</t>
        </is>
      </c>
      <c r="S423" s="284">
        <f>RawDataGenPO[[#This Row],[Total price]]/RawDataGenPO[[#This Row],[Qty'']]</f>
        <v/>
      </c>
      <c r="T423" s="190" t="n">
        <v>288</v>
      </c>
      <c r="U423" s="161" t="inlineStr">
        <is>
          <t>Puneet Approval</t>
        </is>
      </c>
      <c r="V423" s="7" t="inlineStr">
        <is>
          <t>V1000306 - Inter Supply (1992) Co., Ltd.</t>
        </is>
      </c>
      <c r="W423" s="5" t="inlineStr">
        <is>
          <t>Recive bill and GRN already</t>
        </is>
      </c>
      <c r="X423" s="5" t="n"/>
      <c r="Y423" s="3" t="n">
        <v>45575</v>
      </c>
      <c r="Z423" s="3" t="n"/>
      <c r="AA423" s="17">
        <f>IF(RawDataGenPO[[#This Row],[Date Gen PO]]="","",RawDataGenPO[[#This Row],[Date recive bill]]-RawDataGenPO[[#This Row],[Date Gen PO]])</f>
        <v/>
      </c>
      <c r="AB423" s="16">
        <f>IF(RawDataGenPO[[#This Row],[GRN-PO date]]&gt;RawDataGenPO[[#This Row],[Lead time delivery (day)]],"over deliverry","Ontime")</f>
        <v/>
      </c>
      <c r="AC423" s="168" t="n"/>
    </row>
    <row r="424" ht="15" customFormat="1" customHeight="1" s="125">
      <c r="A424" s="5">
        <f>ROW()-ROW(RawDataGenPO[[#Headers],[No.]])</f>
        <v/>
      </c>
      <c r="B424" s="7" t="inlineStr">
        <is>
          <t>Expent  cost</t>
        </is>
      </c>
      <c r="C424" s="275" t="n">
        <v>45547</v>
      </c>
      <c r="D424" s="276" t="n"/>
      <c r="E424" s="276" t="n"/>
      <c r="F424" s="275" t="n">
        <v>45547</v>
      </c>
      <c r="G424" s="5" t="inlineStr">
        <is>
          <t>PR2425-03331</t>
        </is>
      </c>
      <c r="H424" s="5" t="inlineStr">
        <is>
          <t>PO2425-03767</t>
        </is>
      </c>
      <c r="I424" s="290">
        <f>IF(RawDataGenPO[[#This Row],[PO No.]]="","",RawDataGenPO[[#This Row],[DMY Create PR]]+7)</f>
        <v/>
      </c>
      <c r="J424" s="290" t="n"/>
      <c r="K424" s="20" t="n">
        <v>30</v>
      </c>
      <c r="L424" s="5" t="inlineStr">
        <is>
          <t>SFST34000119</t>
        </is>
      </c>
      <c r="M424" s="7" t="inlineStr">
        <is>
          <t>Consumable part for MN</t>
        </is>
      </c>
      <c r="N424" s="7" t="inlineStr">
        <is>
          <t>Consumable part</t>
        </is>
      </c>
      <c r="O424" s="11" t="n">
        <v>13</v>
      </c>
      <c r="P424" s="10" t="inlineStr">
        <is>
          <t>Paint brush size 1 inch</t>
        </is>
      </c>
      <c r="Q424" s="196" t="n">
        <v>24</v>
      </c>
      <c r="R424" s="5" t="inlineStr">
        <is>
          <t>PCS.</t>
        </is>
      </c>
      <c r="S424" s="284">
        <f>RawDataGenPO[[#This Row],[Total price]]/RawDataGenPO[[#This Row],[Qty'']]</f>
        <v/>
      </c>
      <c r="T424" s="190" t="n">
        <v>192</v>
      </c>
      <c r="U424" s="161" t="inlineStr">
        <is>
          <t>Puneet Approval</t>
        </is>
      </c>
      <c r="V424" s="7" t="inlineStr">
        <is>
          <t>V1000306 - Inter Supply (1992) Co., Ltd.</t>
        </is>
      </c>
      <c r="W424" s="5" t="inlineStr">
        <is>
          <t>Recive bill and GRN already</t>
        </is>
      </c>
      <c r="X424" s="5" t="n"/>
      <c r="Y424" s="3" t="n">
        <v>45575</v>
      </c>
      <c r="Z424" s="3" t="n"/>
      <c r="AA424" s="17">
        <f>IF(RawDataGenPO[[#This Row],[Date Gen PO]]="","",RawDataGenPO[[#This Row],[Date recive bill]]-RawDataGenPO[[#This Row],[Date Gen PO]])</f>
        <v/>
      </c>
      <c r="AB424" s="16">
        <f>IF(RawDataGenPO[[#This Row],[GRN-PO date]]&gt;RawDataGenPO[[#This Row],[Lead time delivery (day)]],"over deliverry","Ontime")</f>
        <v/>
      </c>
      <c r="AC424" s="168" t="n"/>
    </row>
    <row r="425" ht="15" customHeight="1">
      <c r="A425" s="5">
        <f>ROW()-ROW(RawDataGenPO[[#Headers],[No.]])</f>
        <v/>
      </c>
      <c r="B425" s="7" t="inlineStr">
        <is>
          <t>Expent  cost</t>
        </is>
      </c>
      <c r="C425" s="275" t="n">
        <v>45547</v>
      </c>
      <c r="F425" s="275" t="n">
        <v>45547</v>
      </c>
      <c r="G425" s="5" t="inlineStr">
        <is>
          <t>PR2425-03331</t>
        </is>
      </c>
      <c r="H425" s="5" t="inlineStr">
        <is>
          <t>PO2425-03767</t>
        </is>
      </c>
      <c r="I425" s="290">
        <f>IF(RawDataGenPO[[#This Row],[PO No.]]="","",RawDataGenPO[[#This Row],[DMY Create PR]]+7)</f>
        <v/>
      </c>
      <c r="J425" s="290" t="n"/>
      <c r="K425" s="20" t="n">
        <v>30</v>
      </c>
      <c r="L425" s="5" t="inlineStr">
        <is>
          <t>SFST34000120</t>
        </is>
      </c>
      <c r="M425" s="7" t="inlineStr">
        <is>
          <t>Consumable part for MN</t>
        </is>
      </c>
      <c r="N425" s="7" t="inlineStr">
        <is>
          <t>Consumable part</t>
        </is>
      </c>
      <c r="O425" s="11" t="n">
        <v>14</v>
      </c>
      <c r="P425" s="10" t="inlineStr">
        <is>
          <t>Paint roller brush, size 4 inch, long handle</t>
        </is>
      </c>
      <c r="Q425" s="196" t="n">
        <v>48</v>
      </c>
      <c r="R425" s="5" t="inlineStr">
        <is>
          <t>PCS.</t>
        </is>
      </c>
      <c r="S425" s="284">
        <f>RawDataGenPO[[#This Row],[Total price]]/RawDataGenPO[[#This Row],[Qty'']]</f>
        <v/>
      </c>
      <c r="T425" s="188" t="n">
        <v>1680</v>
      </c>
      <c r="U425" s="161" t="inlineStr">
        <is>
          <t>Puneet Approval</t>
        </is>
      </c>
      <c r="V425" s="7" t="inlineStr">
        <is>
          <t>V1000306 - Inter Supply (1992) Co., Ltd.</t>
        </is>
      </c>
      <c r="W425" s="5" t="inlineStr">
        <is>
          <t>Recive bill and GRN already</t>
        </is>
      </c>
      <c r="Y425" s="3" t="n">
        <v>45575</v>
      </c>
      <c r="AA425" s="17">
        <f>IF(RawDataGenPO[[#This Row],[Date Gen PO]]="","",RawDataGenPO[[#This Row],[Date recive bill]]-RawDataGenPO[[#This Row],[Date Gen PO]])</f>
        <v/>
      </c>
      <c r="AB425" s="16">
        <f>IF(RawDataGenPO[[#This Row],[GRN-PO date]]&gt;RawDataGenPO[[#This Row],[Lead time delivery (day)]],"over deliverry","Ontime")</f>
        <v/>
      </c>
      <c r="AC425" s="168" t="n"/>
    </row>
    <row r="426" ht="30" customHeight="1">
      <c r="A426" s="5">
        <f>ROW()-ROW(RawDataGenPO[[#Headers],[No.]])</f>
        <v/>
      </c>
      <c r="B426" s="7" t="inlineStr">
        <is>
          <t>Expent  cost</t>
        </is>
      </c>
      <c r="C426" s="275" t="n">
        <v>45547</v>
      </c>
      <c r="F426" s="275" t="n">
        <v>45547</v>
      </c>
      <c r="G426" s="5" t="inlineStr">
        <is>
          <t>PR2425-03328</t>
        </is>
      </c>
      <c r="H426" s="5" t="inlineStr">
        <is>
          <t>PO2425-03770</t>
        </is>
      </c>
      <c r="I426" s="290">
        <f>IF(RawDataGenPO[[#This Row],[PO No.]]="","",RawDataGenPO[[#This Row],[DMY Create PR]]+7)</f>
        <v/>
      </c>
      <c r="J426" s="290" t="n"/>
      <c r="K426" s="20" t="n">
        <v>20</v>
      </c>
      <c r="L426" s="5" t="inlineStr">
        <is>
          <t>SFST81000050</t>
        </is>
      </c>
      <c r="M426" s="7" t="inlineStr">
        <is>
          <t>Consumable part for MN</t>
        </is>
      </c>
      <c r="N426" s="7" t="inlineStr">
        <is>
          <t xml:space="preserve">Staem pipe and Equipment </t>
        </is>
      </c>
      <c r="O426" s="11" t="n">
        <v>1</v>
      </c>
      <c r="P426" s="10" t="inlineStr">
        <is>
          <t>Heat-resistant gasket 350 degrees, black
thickness 3 mm, size 1.50x1.50 m</t>
        </is>
      </c>
      <c r="Q426" s="277" t="n">
        <v>1</v>
      </c>
      <c r="R426" s="5" t="inlineStr">
        <is>
          <t>PCS.</t>
        </is>
      </c>
      <c r="S426" s="284">
        <f>RawDataGenPO[[#This Row],[Total price]]/RawDataGenPO[[#This Row],[Qty'']]</f>
        <v/>
      </c>
      <c r="T426" s="285" t="n">
        <v>1380</v>
      </c>
      <c r="U426" s="161" t="inlineStr">
        <is>
          <t>Puneet Approval</t>
        </is>
      </c>
      <c r="V426" s="7" t="inlineStr">
        <is>
          <t>V1000259 - JJP SUPPLY CO., LTD</t>
        </is>
      </c>
      <c r="W426" s="5" t="inlineStr">
        <is>
          <t>Recive bill and GRN already</t>
        </is>
      </c>
      <c r="Y426" s="3" t="n">
        <v>45569</v>
      </c>
      <c r="AA426" s="17">
        <f>IF(RawDataGenPO[[#This Row],[Date Gen PO]]="","",RawDataGenPO[[#This Row],[Date recive bill]]-RawDataGenPO[[#This Row],[Date Gen PO]])</f>
        <v/>
      </c>
      <c r="AB426" s="16">
        <f>IF(RawDataGenPO[[#This Row],[GRN-PO date]]&gt;RawDataGenPO[[#This Row],[Lead time delivery (day)]],"over deliverry","Ontime")</f>
        <v/>
      </c>
      <c r="AC426" s="168" t="n"/>
    </row>
    <row r="427" ht="15" customFormat="1" customHeight="1" s="125">
      <c r="A427" s="5">
        <f>ROW()-ROW(RawDataGenPO[[#Headers],[No.]])</f>
        <v/>
      </c>
      <c r="B427" s="7" t="inlineStr">
        <is>
          <t>Expent  cost</t>
        </is>
      </c>
      <c r="C427" s="275" t="n">
        <v>45547</v>
      </c>
      <c r="D427" s="276" t="n"/>
      <c r="E427" s="276" t="n"/>
      <c r="F427" s="275" t="n">
        <v>45547</v>
      </c>
      <c r="G427" s="5" t="inlineStr">
        <is>
          <t>PR2425-03328</t>
        </is>
      </c>
      <c r="H427" s="5" t="inlineStr">
        <is>
          <t>PO2425-03770</t>
        </is>
      </c>
      <c r="I427" s="290">
        <f>IF(RawDataGenPO[[#This Row],[PO No.]]="","",RawDataGenPO[[#This Row],[DMY Create PR]]+7)</f>
        <v/>
      </c>
      <c r="J427" s="290" t="n"/>
      <c r="K427" s="20" t="n">
        <v>20</v>
      </c>
      <c r="L427" s="5" t="inlineStr">
        <is>
          <t>SFST34000169</t>
        </is>
      </c>
      <c r="M427" s="7" t="inlineStr">
        <is>
          <t>Consumable part for MN</t>
        </is>
      </c>
      <c r="N427" s="7" t="inlineStr">
        <is>
          <t xml:space="preserve">Staem pipe and Equipment </t>
        </is>
      </c>
      <c r="O427" s="11" t="n">
        <v>2</v>
      </c>
      <c r="P427" s="10" t="inlineStr">
        <is>
          <t>Threebond gasket sealant, high temperature resistant, no. 1 (GREY)</t>
        </is>
      </c>
      <c r="Q427" s="277" t="n">
        <v>3</v>
      </c>
      <c r="R427" s="5" t="inlineStr">
        <is>
          <t>PCS.</t>
        </is>
      </c>
      <c r="S427" s="284">
        <f>RawDataGenPO[[#This Row],[Total price]]/RawDataGenPO[[#This Row],[Qty'']]</f>
        <v/>
      </c>
      <c r="T427" s="285" t="n">
        <v>220</v>
      </c>
      <c r="U427" s="161" t="inlineStr">
        <is>
          <t>Puneet Approval</t>
        </is>
      </c>
      <c r="V427" s="7" t="inlineStr">
        <is>
          <t>V1000259 - JJP SUPPLY CO., LTD</t>
        </is>
      </c>
      <c r="W427" s="5" t="inlineStr">
        <is>
          <t>Recive bill and GRN already</t>
        </is>
      </c>
      <c r="X427" s="5" t="n"/>
      <c r="Y427" s="3" t="n">
        <v>45569</v>
      </c>
      <c r="Z427" s="3" t="n"/>
      <c r="AA427" s="17">
        <f>IF(RawDataGenPO[[#This Row],[Date Gen PO]]="","",RawDataGenPO[[#This Row],[Date recive bill]]-RawDataGenPO[[#This Row],[Date Gen PO]])</f>
        <v/>
      </c>
      <c r="AB427" s="16">
        <f>IF(RawDataGenPO[[#This Row],[GRN-PO date]]&gt;RawDataGenPO[[#This Row],[Lead time delivery (day)]],"over deliverry","Ontime")</f>
        <v/>
      </c>
      <c r="AC427" s="168" t="n"/>
    </row>
    <row r="428" ht="15" customFormat="1" customHeight="1" s="125">
      <c r="A428" s="5">
        <f>ROW()-ROW(RawDataGenPO[[#Headers],[No.]])</f>
        <v/>
      </c>
      <c r="B428" s="7" t="inlineStr">
        <is>
          <t>Expent  cost</t>
        </is>
      </c>
      <c r="C428" s="275" t="n">
        <v>45547</v>
      </c>
      <c r="D428" s="276" t="n"/>
      <c r="E428" s="276" t="n"/>
      <c r="F428" s="275" t="n">
        <v>45547</v>
      </c>
      <c r="G428" s="5" t="inlineStr">
        <is>
          <t>PR2425-03327</t>
        </is>
      </c>
      <c r="H428" s="5" t="inlineStr">
        <is>
          <t>PO2425-03771</t>
        </is>
      </c>
      <c r="I428" s="290">
        <f>IF(RawDataGenPO[[#This Row],[PO No.]]="","",RawDataGenPO[[#This Row],[DMY Create PR]]+7)</f>
        <v/>
      </c>
      <c r="J428" s="290" t="n"/>
      <c r="K428" s="20" t="n">
        <v>35</v>
      </c>
      <c r="L428" s="5" t="inlineStr">
        <is>
          <t>SFST81000048</t>
        </is>
      </c>
      <c r="M428" s="7" t="inlineStr">
        <is>
          <t>Foam &amp; Cleaning solution pump system</t>
        </is>
      </c>
      <c r="N428" s="7" t="inlineStr">
        <is>
          <t>Foam Pump No.1</t>
        </is>
      </c>
      <c r="O428" s="11" t="n">
        <v>1</v>
      </c>
      <c r="P428" s="10" t="inlineStr">
        <is>
          <t>Remove and installation motor pump 3 kw. Grundfos CRN 10-8</t>
        </is>
      </c>
      <c r="Q428" s="277" t="n">
        <v>1</v>
      </c>
      <c r="R428" s="5" t="inlineStr">
        <is>
          <t>JOB</t>
        </is>
      </c>
      <c r="S428" s="284">
        <f>RawDataGenPO[[#This Row],[Total price]]/RawDataGenPO[[#This Row],[Qty'']]</f>
        <v/>
      </c>
      <c r="T428" s="303" t="n">
        <v>5000</v>
      </c>
      <c r="U428" s="161" t="inlineStr">
        <is>
          <t>Puneet Approval</t>
        </is>
      </c>
      <c r="V428" s="7" t="inlineStr">
        <is>
          <t xml:space="preserve"> V1000659 - SRP Maintenance and Service Co.,Ltd.</t>
        </is>
      </c>
      <c r="W428" s="5" t="inlineStr">
        <is>
          <t>Recive bill and GRN already</t>
        </is>
      </c>
      <c r="X428" s="5" t="n"/>
      <c r="Y428" s="3" t="n">
        <v>45588</v>
      </c>
      <c r="Z428" s="3" t="n"/>
      <c r="AA428" s="17">
        <f>IF(RawDataGenPO[[#This Row],[Date Gen PO]]="","",RawDataGenPO[[#This Row],[Date recive bill]]-RawDataGenPO[[#This Row],[Date Gen PO]])</f>
        <v/>
      </c>
      <c r="AB428" s="16">
        <f>IF(RawDataGenPO[[#This Row],[GRN-PO date]]&gt;RawDataGenPO[[#This Row],[Lead time delivery (day)]],"over deliverry","Ontime")</f>
        <v/>
      </c>
      <c r="AC428" s="168" t="n"/>
    </row>
    <row r="429" customFormat="1" s="173">
      <c r="A429" s="5">
        <f>ROW()-ROW(RawDataGenPO[[#Headers],[No.]])</f>
        <v/>
      </c>
      <c r="B429" s="7" t="inlineStr">
        <is>
          <t>Expent  cost</t>
        </is>
      </c>
      <c r="C429" s="275" t="n">
        <v>45547</v>
      </c>
      <c r="D429" s="276" t="n"/>
      <c r="E429" s="276" t="n"/>
      <c r="F429" s="275" t="n">
        <v>45547</v>
      </c>
      <c r="G429" s="5" t="inlineStr">
        <is>
          <t>PR2425-03327</t>
        </is>
      </c>
      <c r="H429" s="5" t="inlineStr">
        <is>
          <t>PO2425-03771</t>
        </is>
      </c>
      <c r="I429" s="290">
        <f>IF(RawDataGenPO[[#This Row],[PO No.]]="","",RawDataGenPO[[#This Row],[DMY Create PR]]+7)</f>
        <v/>
      </c>
      <c r="J429" s="290" t="n"/>
      <c r="K429" s="20" t="n">
        <v>35</v>
      </c>
      <c r="L429" s="5" t="inlineStr">
        <is>
          <t>SFST81000048</t>
        </is>
      </c>
      <c r="M429" s="7" t="inlineStr">
        <is>
          <t>Foam &amp; Cleaning solution pump system</t>
        </is>
      </c>
      <c r="N429" s="7" t="inlineStr">
        <is>
          <t>Foam Pump No.2</t>
        </is>
      </c>
      <c r="O429" s="11" t="n">
        <v>2</v>
      </c>
      <c r="P429" s="10" t="inlineStr">
        <is>
          <t>Overhaul pump</t>
        </is>
      </c>
      <c r="Q429" s="277" t="n">
        <v>1</v>
      </c>
      <c r="R429" s="5" t="inlineStr">
        <is>
          <t>JOB</t>
        </is>
      </c>
      <c r="S429" s="284">
        <f>RawDataGenPO[[#This Row],[Total price]]/RawDataGenPO[[#This Row],[Qty'']]</f>
        <v/>
      </c>
      <c r="T429" s="303" t="n">
        <v>4000</v>
      </c>
      <c r="U429" s="161" t="inlineStr">
        <is>
          <t>Puneet Approval</t>
        </is>
      </c>
      <c r="V429" s="7" t="inlineStr">
        <is>
          <t xml:space="preserve"> V1000659 - SRP Maintenance and Service Co.,Ltd.</t>
        </is>
      </c>
      <c r="W429" s="5" t="inlineStr">
        <is>
          <t>Recive bill and GRN already</t>
        </is>
      </c>
      <c r="X429" s="5" t="n"/>
      <c r="Y429" s="3" t="n">
        <v>45588</v>
      </c>
      <c r="Z429" s="3" t="n"/>
      <c r="AA429" s="17">
        <f>IF(RawDataGenPO[[#This Row],[Date Gen PO]]="","",RawDataGenPO[[#This Row],[Date recive bill]]-RawDataGenPO[[#This Row],[Date Gen PO]])</f>
        <v/>
      </c>
      <c r="AB429" s="16">
        <f>IF(RawDataGenPO[[#This Row],[GRN-PO date]]&gt;RawDataGenPO[[#This Row],[Lead time delivery (day)]],"over deliverry","Ontime")</f>
        <v/>
      </c>
      <c r="AC429" s="168" t="n"/>
    </row>
    <row r="430" customFormat="1" s="173">
      <c r="A430" s="5">
        <f>ROW()-ROW(RawDataGenPO[[#Headers],[No.]])</f>
        <v/>
      </c>
      <c r="B430" s="7" t="inlineStr">
        <is>
          <t>Expent  cost</t>
        </is>
      </c>
      <c r="C430" s="275" t="n">
        <v>45547</v>
      </c>
      <c r="D430" s="276" t="n"/>
      <c r="E430" s="276" t="n"/>
      <c r="F430" s="275" t="n">
        <v>45547</v>
      </c>
      <c r="G430" s="5" t="inlineStr">
        <is>
          <t>PR2425-03327</t>
        </is>
      </c>
      <c r="H430" s="5" t="inlineStr">
        <is>
          <t>PO2425-03771</t>
        </is>
      </c>
      <c r="I430" s="290">
        <f>IF(RawDataGenPO[[#This Row],[PO No.]]="","",RawDataGenPO[[#This Row],[DMY Create PR]]+7)</f>
        <v/>
      </c>
      <c r="J430" s="290" t="n"/>
      <c r="K430" s="20" t="n">
        <v>35</v>
      </c>
      <c r="L430" s="5" t="inlineStr">
        <is>
          <t>SFST81000048</t>
        </is>
      </c>
      <c r="M430" s="7" t="inlineStr">
        <is>
          <t>Foam &amp; Cleaning solution pump system</t>
        </is>
      </c>
      <c r="N430" s="7" t="inlineStr">
        <is>
          <t>Foam Pump No.3</t>
        </is>
      </c>
      <c r="O430" s="11" t="n">
        <v>3</v>
      </c>
      <c r="P430" s="10" t="inlineStr">
        <is>
          <t>Replace Mechanical Seal (Bulk Shaft seal P/N 96538925)</t>
        </is>
      </c>
      <c r="Q430" s="277" t="n">
        <v>1</v>
      </c>
      <c r="R430" s="5" t="inlineStr">
        <is>
          <t>JOB</t>
        </is>
      </c>
      <c r="S430" s="284">
        <f>RawDataGenPO[[#This Row],[Total price]]/RawDataGenPO[[#This Row],[Qty'']]</f>
        <v/>
      </c>
      <c r="T430" s="303" t="n">
        <v>5000</v>
      </c>
      <c r="U430" s="161" t="inlineStr">
        <is>
          <t>Puneet Approval</t>
        </is>
      </c>
      <c r="V430" s="7" t="inlineStr">
        <is>
          <t xml:space="preserve"> V1000659 - SRP Maintenance and Service Co.,Ltd.</t>
        </is>
      </c>
      <c r="W430" s="5" t="inlineStr">
        <is>
          <t>Recive bill and GRN already</t>
        </is>
      </c>
      <c r="X430" s="5" t="n"/>
      <c r="Y430" s="3" t="n">
        <v>45588</v>
      </c>
      <c r="Z430" s="3" t="n"/>
      <c r="AA430" s="17">
        <f>IF(RawDataGenPO[[#This Row],[Date Gen PO]]="","",RawDataGenPO[[#This Row],[Date recive bill]]-RawDataGenPO[[#This Row],[Date Gen PO]])</f>
        <v/>
      </c>
      <c r="AB430" s="16">
        <f>IF(RawDataGenPO[[#This Row],[GRN-PO date]]&gt;RawDataGenPO[[#This Row],[Lead time delivery (day)]],"over deliverry","Ontime")</f>
        <v/>
      </c>
      <c r="AC430" s="168" t="n"/>
    </row>
    <row r="431" customFormat="1" s="173">
      <c r="A431" s="5">
        <f>ROW()-ROW(RawDataGenPO[[#Headers],[No.]])</f>
        <v/>
      </c>
      <c r="B431" s="7" t="inlineStr">
        <is>
          <t>Expent  cost</t>
        </is>
      </c>
      <c r="C431" s="275" t="n">
        <v>45547</v>
      </c>
      <c r="D431" s="276" t="n"/>
      <c r="E431" s="276" t="n"/>
      <c r="F431" s="275" t="n">
        <v>45547</v>
      </c>
      <c r="G431" s="5" t="inlineStr">
        <is>
          <t>PR2425-03327</t>
        </is>
      </c>
      <c r="H431" s="5" t="inlineStr">
        <is>
          <t>PO2425-03771</t>
        </is>
      </c>
      <c r="I431" s="290">
        <f>IF(RawDataGenPO[[#This Row],[PO No.]]="","",RawDataGenPO[[#This Row],[DMY Create PR]]+7)</f>
        <v/>
      </c>
      <c r="J431" s="290" t="n"/>
      <c r="K431" s="20" t="n">
        <v>35</v>
      </c>
      <c r="L431" s="5" t="inlineStr">
        <is>
          <t>SFST81000048</t>
        </is>
      </c>
      <c r="M431" s="7" t="inlineStr">
        <is>
          <t>Foam &amp; Cleaning solution pump system</t>
        </is>
      </c>
      <c r="N431" s="7" t="inlineStr">
        <is>
          <t>Foam Pump No.4</t>
        </is>
      </c>
      <c r="O431" s="11" t="n">
        <v>4</v>
      </c>
      <c r="P431" s="10" t="inlineStr">
        <is>
          <t>Replace O-ring</t>
        </is>
      </c>
      <c r="Q431" s="277" t="n">
        <v>1</v>
      </c>
      <c r="R431" s="5" t="inlineStr">
        <is>
          <t>JOB</t>
        </is>
      </c>
      <c r="S431" s="284">
        <f>RawDataGenPO[[#This Row],[Total price]]/RawDataGenPO[[#This Row],[Qty'']]</f>
        <v/>
      </c>
      <c r="T431" s="303" t="n">
        <v>800</v>
      </c>
      <c r="U431" s="161" t="inlineStr">
        <is>
          <t>Puneet Approval</t>
        </is>
      </c>
      <c r="V431" s="7" t="inlineStr">
        <is>
          <t xml:space="preserve"> V1000659 - SRP Maintenance and Service Co.,Ltd.</t>
        </is>
      </c>
      <c r="W431" s="5" t="inlineStr">
        <is>
          <t>Recive bill and GRN already</t>
        </is>
      </c>
      <c r="X431" s="5" t="n"/>
      <c r="Y431" s="3" t="n">
        <v>45588</v>
      </c>
      <c r="Z431" s="3" t="n"/>
      <c r="AA431" s="17">
        <f>IF(RawDataGenPO[[#This Row],[Date Gen PO]]="","",RawDataGenPO[[#This Row],[Date recive bill]]-RawDataGenPO[[#This Row],[Date Gen PO]])</f>
        <v/>
      </c>
      <c r="AB431" s="16">
        <f>IF(RawDataGenPO[[#This Row],[GRN-PO date]]&gt;RawDataGenPO[[#This Row],[Lead time delivery (day)]],"over deliverry","Ontime")</f>
        <v/>
      </c>
      <c r="AC431" s="168" t="n"/>
    </row>
    <row r="432" customFormat="1" s="173">
      <c r="A432" s="5">
        <f>ROW()-ROW(RawDataGenPO[[#Headers],[No.]])</f>
        <v/>
      </c>
      <c r="B432" s="7" t="inlineStr">
        <is>
          <t>Expent  cost</t>
        </is>
      </c>
      <c r="C432" s="275" t="n">
        <v>45547</v>
      </c>
      <c r="D432" s="276" t="n"/>
      <c r="E432" s="276" t="n"/>
      <c r="F432" s="275" t="n">
        <v>45547</v>
      </c>
      <c r="G432" s="5" t="inlineStr">
        <is>
          <t>PR2425-03327</t>
        </is>
      </c>
      <c r="H432" s="5" t="inlineStr">
        <is>
          <t>PO2425-03771</t>
        </is>
      </c>
      <c r="I432" s="290">
        <f>IF(RawDataGenPO[[#This Row],[PO No.]]="","",RawDataGenPO[[#This Row],[DMY Create PR]]+7)</f>
        <v/>
      </c>
      <c r="J432" s="290" t="n"/>
      <c r="K432" s="20" t="n">
        <v>35</v>
      </c>
      <c r="L432" s="5" t="inlineStr">
        <is>
          <t>SFST81000048</t>
        </is>
      </c>
      <c r="M432" s="7" t="inlineStr">
        <is>
          <t>Foam &amp; Cleaning solution pump system</t>
        </is>
      </c>
      <c r="N432" s="7" t="inlineStr">
        <is>
          <t>Foam Pump No.5</t>
        </is>
      </c>
      <c r="O432" s="11" t="n">
        <v>5</v>
      </c>
      <c r="P432" s="10" t="inlineStr">
        <is>
          <t>Replace Bulk Spring P/N 96538964</t>
        </is>
      </c>
      <c r="Q432" s="277" t="n">
        <v>1</v>
      </c>
      <c r="R432" s="5" t="inlineStr">
        <is>
          <t>JOB</t>
        </is>
      </c>
      <c r="S432" s="284">
        <f>RawDataGenPO[[#This Row],[Total price]]/RawDataGenPO[[#This Row],[Qty'']]</f>
        <v/>
      </c>
      <c r="T432" s="303" t="n">
        <v>2200</v>
      </c>
      <c r="U432" s="161" t="inlineStr">
        <is>
          <t>Puneet Approval</t>
        </is>
      </c>
      <c r="V432" s="7" t="inlineStr">
        <is>
          <t xml:space="preserve"> V1000659 - SRP Maintenance and Service Co.,Ltd.</t>
        </is>
      </c>
      <c r="W432" s="5" t="inlineStr">
        <is>
          <t>Recive bill and GRN already</t>
        </is>
      </c>
      <c r="X432" s="5" t="n"/>
      <c r="Y432" s="3" t="n">
        <v>45588</v>
      </c>
      <c r="Z432" s="3" t="n"/>
      <c r="AA432" s="17">
        <f>IF(RawDataGenPO[[#This Row],[Date Gen PO]]="","",RawDataGenPO[[#This Row],[Date recive bill]]-RawDataGenPO[[#This Row],[Date Gen PO]])</f>
        <v/>
      </c>
      <c r="AB432" s="16">
        <f>IF(RawDataGenPO[[#This Row],[GRN-PO date]]&gt;RawDataGenPO[[#This Row],[Lead time delivery (day)]],"over deliverry","Ontime")</f>
        <v/>
      </c>
      <c r="AC432" s="168" t="n"/>
    </row>
    <row r="433" customFormat="1" s="173">
      <c r="A433" s="5">
        <f>ROW()-ROW(RawDataGenPO[[#Headers],[No.]])</f>
        <v/>
      </c>
      <c r="B433" s="7" t="inlineStr">
        <is>
          <t>Expent  cost</t>
        </is>
      </c>
      <c r="C433" s="275" t="n">
        <v>45547</v>
      </c>
      <c r="D433" s="276" t="n"/>
      <c r="E433" s="276" t="n"/>
      <c r="F433" s="275" t="n">
        <v>45547</v>
      </c>
      <c r="G433" s="5" t="inlineStr">
        <is>
          <t>PR2425-03327</t>
        </is>
      </c>
      <c r="H433" s="5" t="inlineStr">
        <is>
          <t>PO2425-03771</t>
        </is>
      </c>
      <c r="I433" s="290">
        <f>IF(RawDataGenPO[[#This Row],[PO No.]]="","",RawDataGenPO[[#This Row],[DMY Create PR]]+7)</f>
        <v/>
      </c>
      <c r="J433" s="290" t="n"/>
      <c r="K433" s="20" t="n">
        <v>35</v>
      </c>
      <c r="L433" s="5" t="inlineStr">
        <is>
          <t>SFST81000048</t>
        </is>
      </c>
      <c r="M433" s="7" t="inlineStr">
        <is>
          <t>Foam &amp; Cleaning solution pump system</t>
        </is>
      </c>
      <c r="N433" s="7" t="inlineStr">
        <is>
          <t>Foam Pump No.6</t>
        </is>
      </c>
      <c r="O433" s="11" t="n">
        <v>6</v>
      </c>
      <c r="P433" s="10" t="inlineStr">
        <is>
          <t>Replace Bulk Spacing bush P/N 96538950</t>
        </is>
      </c>
      <c r="Q433" s="277" t="n">
        <v>1</v>
      </c>
      <c r="R433" s="5" t="inlineStr">
        <is>
          <t>JOB</t>
        </is>
      </c>
      <c r="S433" s="284">
        <f>RawDataGenPO[[#This Row],[Total price]]/RawDataGenPO[[#This Row],[Qty'']]</f>
        <v/>
      </c>
      <c r="T433" s="303" t="n">
        <v>2500</v>
      </c>
      <c r="U433" s="161" t="inlineStr">
        <is>
          <t>Puneet Approval</t>
        </is>
      </c>
      <c r="V433" s="7" t="inlineStr">
        <is>
          <t xml:space="preserve"> V1000659 - SRP Maintenance and Service Co.,Ltd.</t>
        </is>
      </c>
      <c r="W433" s="5" t="inlineStr">
        <is>
          <t>Recive bill and GRN already</t>
        </is>
      </c>
      <c r="X433" s="5" t="n"/>
      <c r="Y433" s="3" t="n">
        <v>45588</v>
      </c>
      <c r="Z433" s="3" t="n"/>
      <c r="AA433" s="17">
        <f>IF(RawDataGenPO[[#This Row],[Date Gen PO]]="","",RawDataGenPO[[#This Row],[Date recive bill]]-RawDataGenPO[[#This Row],[Date Gen PO]])</f>
        <v/>
      </c>
      <c r="AB433" s="16">
        <f>IF(RawDataGenPO[[#This Row],[GRN-PO date]]&gt;RawDataGenPO[[#This Row],[Lead time delivery (day)]],"over deliverry","Ontime")</f>
        <v/>
      </c>
      <c r="AC433" s="168" t="n"/>
    </row>
    <row r="434" customFormat="1" s="173">
      <c r="A434" s="5">
        <f>ROW()-ROW(RawDataGenPO[[#Headers],[No.]])</f>
        <v/>
      </c>
      <c r="B434" s="7" t="inlineStr">
        <is>
          <t>Expent  cost</t>
        </is>
      </c>
      <c r="C434" s="275" t="n">
        <v>45547</v>
      </c>
      <c r="D434" s="276" t="n"/>
      <c r="E434" s="276" t="n"/>
      <c r="F434" s="275" t="n">
        <v>45547</v>
      </c>
      <c r="G434" s="5" t="inlineStr">
        <is>
          <t>PR2425-03327</t>
        </is>
      </c>
      <c r="H434" s="5" t="inlineStr">
        <is>
          <t>PO2425-03771</t>
        </is>
      </c>
      <c r="I434" s="290">
        <f>IF(RawDataGenPO[[#This Row],[PO No.]]="","",RawDataGenPO[[#This Row],[DMY Create PR]]+7)</f>
        <v/>
      </c>
      <c r="J434" s="290" t="n"/>
      <c r="K434" s="20" t="n">
        <v>35</v>
      </c>
      <c r="L434" s="5" t="inlineStr">
        <is>
          <t>SFST81000048</t>
        </is>
      </c>
      <c r="M434" s="7" t="inlineStr">
        <is>
          <t>Foam &amp; Cleaning solution pump system</t>
        </is>
      </c>
      <c r="N434" s="7" t="inlineStr">
        <is>
          <t>Foam Pump No.7</t>
        </is>
      </c>
      <c r="O434" s="11" t="n">
        <v>7</v>
      </c>
      <c r="P434" s="10" t="inlineStr">
        <is>
          <t>Replace Bulk Bearing ring P/N 96538795</t>
        </is>
      </c>
      <c r="Q434" s="277" t="n">
        <v>1</v>
      </c>
      <c r="R434" s="5" t="inlineStr">
        <is>
          <t>JOB</t>
        </is>
      </c>
      <c r="S434" s="284">
        <f>RawDataGenPO[[#This Row],[Total price]]/RawDataGenPO[[#This Row],[Qty'']]</f>
        <v/>
      </c>
      <c r="T434" s="303" t="n">
        <v>2500</v>
      </c>
      <c r="U434" s="161" t="inlineStr">
        <is>
          <t>Puneet Approval</t>
        </is>
      </c>
      <c r="V434" s="7" t="inlineStr">
        <is>
          <t xml:space="preserve"> V1000659 - SRP Maintenance and Service Co.,Ltd.</t>
        </is>
      </c>
      <c r="W434" s="5" t="inlineStr">
        <is>
          <t>Recive bill and GRN already</t>
        </is>
      </c>
      <c r="X434" s="5" t="n"/>
      <c r="Y434" s="3" t="n">
        <v>45588</v>
      </c>
      <c r="Z434" s="3" t="n"/>
      <c r="AA434" s="17">
        <f>IF(RawDataGenPO[[#This Row],[Date Gen PO]]="","",RawDataGenPO[[#This Row],[Date recive bill]]-RawDataGenPO[[#This Row],[Date Gen PO]])</f>
        <v/>
      </c>
      <c r="AB434" s="16">
        <f>IF(RawDataGenPO[[#This Row],[GRN-PO date]]&gt;RawDataGenPO[[#This Row],[Lead time delivery (day)]],"over deliverry","Ontime")</f>
        <v/>
      </c>
      <c r="AC434" s="168" t="n"/>
    </row>
    <row r="435" ht="18.60000038146973" customFormat="1" customHeight="1" s="173">
      <c r="A435" s="5">
        <f>ROW()-ROW(RawDataGenPO[[#Headers],[No.]])</f>
        <v/>
      </c>
      <c r="B435" s="7" t="inlineStr">
        <is>
          <t>Expent  cost</t>
        </is>
      </c>
      <c r="C435" s="275" t="n">
        <v>45547</v>
      </c>
      <c r="D435" s="276" t="n"/>
      <c r="E435" s="276" t="n"/>
      <c r="F435" s="275" t="n">
        <v>45547</v>
      </c>
      <c r="G435" s="5" t="inlineStr">
        <is>
          <t>PR2425-03351</t>
        </is>
      </c>
      <c r="H435" s="5" t="inlineStr">
        <is>
          <t>PO2425-03792</t>
        </is>
      </c>
      <c r="I435" s="290">
        <f>IF(RawDataGenPO[[#This Row],[PO No.]]="","",RawDataGenPO[[#This Row],[DMY Create PR]]+7)</f>
        <v/>
      </c>
      <c r="J435" s="290" t="n"/>
      <c r="K435" s="20" t="n">
        <v>180</v>
      </c>
      <c r="L435" s="5" t="inlineStr">
        <is>
          <t>SFST81000050</t>
        </is>
      </c>
      <c r="M435" s="7" t="inlineStr">
        <is>
          <t>Safety equipment</t>
        </is>
      </c>
      <c r="N435" s="7" t="inlineStr">
        <is>
          <t>Safety equipment</t>
        </is>
      </c>
      <c r="O435" s="194" t="n">
        <v>1</v>
      </c>
      <c r="P435" s="193" t="inlineStr">
        <is>
          <t>3M sticker with staircase installation, size as per design</t>
        </is>
      </c>
      <c r="Q435" s="277" t="n">
        <v>1</v>
      </c>
      <c r="R435" s="5" t="inlineStr">
        <is>
          <t>JOB.</t>
        </is>
      </c>
      <c r="S435" s="284">
        <f>RawDataGenPO[[#This Row],[Total price]]/RawDataGenPO[[#This Row],[Qty'']]</f>
        <v/>
      </c>
      <c r="T435" s="285" t="n">
        <v>5500</v>
      </c>
      <c r="U435" s="161" t="inlineStr">
        <is>
          <t>Puneet Approval</t>
        </is>
      </c>
      <c r="V435" s="192" t="inlineStr">
        <is>
          <t>V1000665 - 789 DESIGNGROUP LIMITED PARTNERSHIP</t>
        </is>
      </c>
      <c r="W435" s="5" t="inlineStr">
        <is>
          <t>Recive bill and GRN already</t>
        </is>
      </c>
      <c r="X435" s="5" t="inlineStr">
        <is>
          <t>GRN2425-0007630</t>
        </is>
      </c>
      <c r="Y435" s="3" t="n">
        <v>45723</v>
      </c>
      <c r="Z435" s="3" t="n"/>
      <c r="AA435" s="17">
        <f>IF(RawDataGenPO[[#This Row],[Date Gen PO]]="","",RawDataGenPO[[#This Row],[Date recive bill]]-RawDataGenPO[[#This Row],[Date Gen PO]])</f>
        <v/>
      </c>
      <c r="AB435" s="16">
        <f>IF(RawDataGenPO[[#This Row],[GRN-PO date]]&gt;RawDataGenPO[[#This Row],[Lead time delivery (day)]],"over deliverry","Ontime")</f>
        <v/>
      </c>
      <c r="AC435" s="168" t="n"/>
    </row>
    <row r="436" ht="18.60000038146973" customFormat="1" customHeight="1" s="173">
      <c r="A436" s="5">
        <f>ROW()-ROW(RawDataGenPO[[#Headers],[No.]])</f>
        <v/>
      </c>
      <c r="B436" s="7" t="inlineStr">
        <is>
          <t>Expent  cost</t>
        </is>
      </c>
      <c r="C436" s="275" t="n">
        <v>45547</v>
      </c>
      <c r="D436" s="276" t="n"/>
      <c r="E436" s="276" t="n"/>
      <c r="F436" s="275" t="n">
        <v>45547</v>
      </c>
      <c r="G436" s="5" t="inlineStr">
        <is>
          <t>PR2425-03351</t>
        </is>
      </c>
      <c r="H436" s="5" t="inlineStr">
        <is>
          <t>PO2425-03792</t>
        </is>
      </c>
      <c r="I436" s="290">
        <f>IF(RawDataGenPO[[#This Row],[PO No.]]="","",RawDataGenPO[[#This Row],[DMY Create PR]]+7)</f>
        <v/>
      </c>
      <c r="J436" s="290" t="n"/>
      <c r="K436" s="20" t="n">
        <v>180</v>
      </c>
      <c r="L436" s="5" t="inlineStr">
        <is>
          <t>SFST81000018</t>
        </is>
      </c>
      <c r="M436" s="7" t="inlineStr">
        <is>
          <t>Safety equipment</t>
        </is>
      </c>
      <c r="N436" s="7" t="inlineStr">
        <is>
          <t>Safety equipment</t>
        </is>
      </c>
      <c r="O436" s="194" t="n">
        <v>2</v>
      </c>
      <c r="P436" s="193" t="inlineStr">
        <is>
          <t>Design fee</t>
        </is>
      </c>
      <c r="Q436" s="277" t="n">
        <v>1</v>
      </c>
      <c r="R436" s="5" t="inlineStr">
        <is>
          <t>JOB.</t>
        </is>
      </c>
      <c r="S436" s="284">
        <f>RawDataGenPO[[#This Row],[Total price]]/RawDataGenPO[[#This Row],[Qty'']]</f>
        <v/>
      </c>
      <c r="T436" s="285" t="n">
        <v>1000</v>
      </c>
      <c r="U436" s="161" t="inlineStr">
        <is>
          <t>Puneet Approval</t>
        </is>
      </c>
      <c r="V436" s="192" t="inlineStr">
        <is>
          <t>V1000665 - 789 DESIGNGROUP LIMITED PARTNERSHIP</t>
        </is>
      </c>
      <c r="W436" s="5" t="inlineStr">
        <is>
          <t>Recive bill and GRN already</t>
        </is>
      </c>
      <c r="X436" s="5" t="inlineStr">
        <is>
          <t>GRN2425-0007630</t>
        </is>
      </c>
      <c r="Y436" s="3" t="n">
        <v>45723</v>
      </c>
      <c r="Z436" s="3" t="n"/>
      <c r="AA436" s="17">
        <f>IF(RawDataGenPO[[#This Row],[Date Gen PO]]="","",RawDataGenPO[[#This Row],[Date recive bill]]-RawDataGenPO[[#This Row],[Date Gen PO]])</f>
        <v/>
      </c>
      <c r="AB436" s="16">
        <f>IF(RawDataGenPO[[#This Row],[GRN-PO date]]&gt;RawDataGenPO[[#This Row],[Lead time delivery (day)]],"over deliverry","Ontime")</f>
        <v/>
      </c>
      <c r="AC436" s="168" t="n"/>
    </row>
    <row r="437" customFormat="1" s="173">
      <c r="A437" s="5">
        <f>ROW()-ROW(RawDataGenPO[[#Headers],[No.]])</f>
        <v/>
      </c>
      <c r="B437" s="7" t="inlineStr">
        <is>
          <t>Expent  cost</t>
        </is>
      </c>
      <c r="C437" s="275" t="n">
        <v>45555</v>
      </c>
      <c r="D437" s="276" t="n"/>
      <c r="E437" s="276" t="n"/>
      <c r="F437" s="275" t="n">
        <v>45555</v>
      </c>
      <c r="G437" s="5" t="inlineStr">
        <is>
          <t>PR2425-03498</t>
        </is>
      </c>
      <c r="H437" s="5" t="inlineStr">
        <is>
          <t>PO2425-03809</t>
        </is>
      </c>
      <c r="I437" s="290">
        <f>IF(RawDataGenPO[[#This Row],[PO No.]]="","",RawDataGenPO[[#This Row],[DMY Create PR]]+7)</f>
        <v/>
      </c>
      <c r="J437" s="290" t="n"/>
      <c r="K437" s="20">
        <f>IF(RawDataGenPO[[#This Row],[PO No.]]="","",10)</f>
        <v/>
      </c>
      <c r="L437" s="5" t="inlineStr">
        <is>
          <t>SFST34000187</t>
        </is>
      </c>
      <c r="M437" s="7" t="inlineStr">
        <is>
          <t>Consumable part for MN</t>
        </is>
      </c>
      <c r="N437" s="7" t="inlineStr">
        <is>
          <t>Eletrical part</t>
        </is>
      </c>
      <c r="O437" s="11" t="n">
        <v>1</v>
      </c>
      <c r="P437" s="10" t="inlineStr">
        <is>
          <t>LED EVE T8 SIMPLE FIT DE 22 W. DAYLIGHT G13 (1Box/25PC.)</t>
        </is>
      </c>
      <c r="Q437" s="277" t="n">
        <v>50</v>
      </c>
      <c r="R437" s="5" t="inlineStr">
        <is>
          <t>PCS.</t>
        </is>
      </c>
      <c r="S437" s="284">
        <f>RawDataGenPO[[#This Row],[Total price]]/RawDataGenPO[[#This Row],[Qty'']]</f>
        <v/>
      </c>
      <c r="T437" s="285" t="n">
        <v>5250</v>
      </c>
      <c r="U437" s="161" t="inlineStr">
        <is>
          <t>Puneet Approval</t>
        </is>
      </c>
      <c r="V437" s="33" t="inlineStr">
        <is>
          <t>V1000276 - SN. ELECTRIC AND SUPPLY CO., LTD.</t>
        </is>
      </c>
      <c r="W437" s="5" t="inlineStr">
        <is>
          <t>Recive bill and GRN already</t>
        </is>
      </c>
      <c r="X437" s="5" t="n"/>
      <c r="Y437" s="3" t="n">
        <v>45569</v>
      </c>
      <c r="Z437" s="3" t="n"/>
      <c r="AA437" s="17">
        <f>IF(RawDataGenPO[[#This Row],[Date Gen PO]]="","",RawDataGenPO[[#This Row],[Date recive bill]]-RawDataGenPO[[#This Row],[Date Gen PO]])</f>
        <v/>
      </c>
      <c r="AB437" s="16">
        <f>IF(RawDataGenPO[[#This Row],[GRN-PO date]]&gt;RawDataGenPO[[#This Row],[Lead time delivery (day)]],"over deliverry","Ontime")</f>
        <v/>
      </c>
      <c r="AC437" s="168" t="n"/>
    </row>
    <row r="438" customFormat="1" s="173">
      <c r="A438" s="5">
        <f>ROW()-ROW(RawDataGenPO[[#Headers],[No.]])</f>
        <v/>
      </c>
      <c r="B438" s="7" t="inlineStr">
        <is>
          <t>Expent  cost</t>
        </is>
      </c>
      <c r="C438" s="275" t="n">
        <v>45555</v>
      </c>
      <c r="D438" s="276" t="n"/>
      <c r="E438" s="276" t="n"/>
      <c r="F438" s="275" t="n">
        <v>45555</v>
      </c>
      <c r="G438" s="5" t="inlineStr">
        <is>
          <t>PR2425-03520</t>
        </is>
      </c>
      <c r="H438" s="5" t="inlineStr">
        <is>
          <t>PO2425-03810</t>
        </is>
      </c>
      <c r="I438" s="290">
        <f>IF(RawDataGenPO[[#This Row],[PO No.]]="","",RawDataGenPO[[#This Row],[DMY Create PR]]+7)</f>
        <v/>
      </c>
      <c r="J438" s="290" t="n"/>
      <c r="K438" s="20" t="n">
        <v>30</v>
      </c>
      <c r="L438" s="5" t="inlineStr">
        <is>
          <t>SFST81000048</t>
        </is>
      </c>
      <c r="M438" s="7" t="inlineStr">
        <is>
          <t>Foam &amp; Cleaning solution pump system</t>
        </is>
      </c>
      <c r="N438" s="7" t="inlineStr">
        <is>
          <t>Water pump for production line cleaning No.2</t>
        </is>
      </c>
      <c r="O438" s="11" t="n">
        <v>1</v>
      </c>
      <c r="P438" s="10" t="inlineStr">
        <is>
          <t>Replace mechanical seal Grundfos Part . NO96538925</t>
        </is>
      </c>
      <c r="Q438" s="277" t="n">
        <v>1</v>
      </c>
      <c r="R438" s="5" t="inlineStr">
        <is>
          <t>JOB</t>
        </is>
      </c>
      <c r="S438" s="284">
        <f>RawDataGenPO[[#This Row],[Total price]]/RawDataGenPO[[#This Row],[Qty'']]</f>
        <v/>
      </c>
      <c r="T438" s="285" t="n">
        <v>5000</v>
      </c>
      <c r="U438" s="161" t="inlineStr">
        <is>
          <t>Puneet Approval</t>
        </is>
      </c>
      <c r="V438" s="7" t="inlineStr">
        <is>
          <t>V1000659 - SRP Maintenance and Service Co.,Ltd.</t>
        </is>
      </c>
      <c r="W438" s="5" t="inlineStr">
        <is>
          <t>Recive bill and GRN already</t>
        </is>
      </c>
      <c r="X438" s="5" t="n"/>
      <c r="Y438" s="3" t="n">
        <v>45588</v>
      </c>
      <c r="Z438" s="3" t="n"/>
      <c r="AA438" s="17">
        <f>IF(RawDataGenPO[[#This Row],[Date Gen PO]]="","",RawDataGenPO[[#This Row],[Date recive bill]]-RawDataGenPO[[#This Row],[Date Gen PO]])</f>
        <v/>
      </c>
      <c r="AB438" s="16">
        <f>IF(RawDataGenPO[[#This Row],[GRN-PO date]]&gt;RawDataGenPO[[#This Row],[Lead time delivery (day)]],"over deliverry","Ontime")</f>
        <v/>
      </c>
      <c r="AC438" s="168" t="n"/>
    </row>
    <row r="439" ht="30.60000038146973" customFormat="1" customHeight="1" s="173">
      <c r="A439" s="5">
        <f>ROW()-ROW(RawDataGenPO[[#Headers],[No.]])</f>
        <v/>
      </c>
      <c r="B439" s="7" t="inlineStr">
        <is>
          <t>Expent  cost</t>
        </is>
      </c>
      <c r="C439" s="275" t="n">
        <v>45555</v>
      </c>
      <c r="D439" s="276" t="n"/>
      <c r="E439" s="276" t="n"/>
      <c r="F439" s="275" t="n">
        <v>45555</v>
      </c>
      <c r="G439" s="5" t="inlineStr">
        <is>
          <t>PR2425-03510</t>
        </is>
      </c>
      <c r="H439" s="5" t="inlineStr">
        <is>
          <t>PO2425-03811</t>
        </is>
      </c>
      <c r="I439" s="290">
        <f>IF(RawDataGenPO[[#This Row],[PO No.]]="","",RawDataGenPO[[#This Row],[DMY Create PR]]+7)</f>
        <v/>
      </c>
      <c r="J439" s="290" t="n"/>
      <c r="K439" s="20" t="n">
        <v>30</v>
      </c>
      <c r="L439" s="5" t="inlineStr">
        <is>
          <t>SFST81000050</t>
        </is>
      </c>
      <c r="M439" s="7" t="inlineStr">
        <is>
          <t>Cooling machine for PD line</t>
        </is>
      </c>
      <c r="N439" s="7" t="inlineStr">
        <is>
          <t>Cooling  part</t>
        </is>
      </c>
      <c r="O439" s="11" t="n">
        <v>1</v>
      </c>
      <c r="P439" s="191" t="inlineStr">
        <is>
          <t>EBM S4D500 - AD03-01 Axial Fan 
AC 400 V. 820W. 1325 RPM</t>
        </is>
      </c>
      <c r="Q439" s="277" t="n">
        <v>2</v>
      </c>
      <c r="R439" s="5" t="inlineStr">
        <is>
          <t>PCS.</t>
        </is>
      </c>
      <c r="S439" s="284">
        <f>RawDataGenPO[[#This Row],[Total price]]/RawDataGenPO[[#This Row],[Qty'']]</f>
        <v/>
      </c>
      <c r="T439" s="297" t="n">
        <v>21600</v>
      </c>
      <c r="U439" s="161" t="inlineStr">
        <is>
          <t>Puneet Approval</t>
        </is>
      </c>
      <c r="V439" s="7" t="inlineStr">
        <is>
          <t>V1000310 - BOONBAWORN ENGINEERING CO., LTD</t>
        </is>
      </c>
      <c r="W439" s="5" t="inlineStr">
        <is>
          <t>Recive bill and GRN already</t>
        </is>
      </c>
      <c r="X439" s="5" t="n"/>
      <c r="Y439" s="3" t="n">
        <v>45583</v>
      </c>
      <c r="Z439" s="3" t="n"/>
      <c r="AA439" s="17">
        <f>IF(RawDataGenPO[[#This Row],[Date Gen PO]]="","",RawDataGenPO[[#This Row],[Date recive bill]]-RawDataGenPO[[#This Row],[Date Gen PO]])</f>
        <v/>
      </c>
      <c r="AB439" s="16">
        <f>IF(RawDataGenPO[[#This Row],[GRN-PO date]]&gt;RawDataGenPO[[#This Row],[Lead time delivery (day)]],"over deliverry","Ontime")</f>
        <v/>
      </c>
      <c r="AC439" s="168" t="n"/>
    </row>
    <row r="440" customFormat="1" s="173">
      <c r="A440" s="5">
        <f>ROW()-ROW(RawDataGenPO[[#Headers],[No.]])</f>
        <v/>
      </c>
      <c r="B440" s="7" t="inlineStr">
        <is>
          <t>Expent  cost</t>
        </is>
      </c>
      <c r="C440" s="275" t="n">
        <v>45556</v>
      </c>
      <c r="D440" s="276" t="n"/>
      <c r="E440" s="276" t="n"/>
      <c r="F440" s="275" t="n">
        <v>45556</v>
      </c>
      <c r="G440" s="5" t="inlineStr">
        <is>
          <t>PR2425-03522</t>
        </is>
      </c>
      <c r="H440" s="5" t="inlineStr">
        <is>
          <t>PO2425-03812</t>
        </is>
      </c>
      <c r="I440" s="290">
        <f>IF(RawDataGenPO[[#This Row],[PO No.]]="","",RawDataGenPO[[#This Row],[DMY Create PR]]+7)</f>
        <v/>
      </c>
      <c r="J440" s="290" t="n"/>
      <c r="K440" s="20">
        <f>IF(RawDataGenPO[[#This Row],[PO No.]]="","",10)</f>
        <v/>
      </c>
      <c r="L440" s="5" t="inlineStr">
        <is>
          <t>SFST81000050</t>
        </is>
      </c>
      <c r="M440" s="7" t="inlineStr">
        <is>
          <t>Cooling machine for PD line</t>
        </is>
      </c>
      <c r="N440" s="7" t="inlineStr">
        <is>
          <t>Cooling  part</t>
        </is>
      </c>
      <c r="O440" s="11" t="n">
        <v>1</v>
      </c>
      <c r="P440" s="191" t="inlineStr">
        <is>
          <t>TASCO model TB120SM II refrigerant gauge with hose</t>
        </is>
      </c>
      <c r="Q440" s="277" t="n">
        <v>2</v>
      </c>
      <c r="R440" s="5" t="inlineStr">
        <is>
          <t>PCS.</t>
        </is>
      </c>
      <c r="S440" s="284">
        <f>RawDataGenPO[[#This Row],[Total price]]/RawDataGenPO[[#This Row],[Qty'']]</f>
        <v/>
      </c>
      <c r="T440" s="297" t="n">
        <v>6261.68</v>
      </c>
      <c r="U440" s="161" t="inlineStr">
        <is>
          <t>Puneet Approval</t>
        </is>
      </c>
      <c r="V440" s="7" t="inlineStr">
        <is>
          <t>V1000308 - PLUG'N GO (THAILAND) CO., LTD.</t>
        </is>
      </c>
      <c r="W440" s="5" t="inlineStr">
        <is>
          <t>Recive bill and GRN already</t>
        </is>
      </c>
      <c r="X440" s="5" t="n"/>
      <c r="Y440" s="3" t="n">
        <v>45569</v>
      </c>
      <c r="Z440" s="3" t="n"/>
      <c r="AA440" s="17">
        <f>IF(RawDataGenPO[[#This Row],[Date Gen PO]]="","",RawDataGenPO[[#This Row],[Date recive bill]]-RawDataGenPO[[#This Row],[Date Gen PO]])</f>
        <v/>
      </c>
      <c r="AB440" s="16">
        <f>IF(RawDataGenPO[[#This Row],[GRN-PO date]]&gt;RawDataGenPO[[#This Row],[Lead time delivery (day)]],"over deliverry","Ontime")</f>
        <v/>
      </c>
      <c r="AC440" s="168" t="n"/>
    </row>
    <row r="441" customFormat="1" s="173">
      <c r="A441" s="5">
        <f>ROW()-ROW(RawDataGenPO[[#Headers],[No.]])</f>
        <v/>
      </c>
      <c r="B441" s="7" t="inlineStr">
        <is>
          <t>Expent  cost</t>
        </is>
      </c>
      <c r="C441" s="275" t="n">
        <v>45555</v>
      </c>
      <c r="D441" s="276" t="n"/>
      <c r="E441" s="276" t="n"/>
      <c r="F441" s="275" t="n">
        <v>45555</v>
      </c>
      <c r="G441" s="5" t="inlineStr">
        <is>
          <t>PR2425-03504</t>
        </is>
      </c>
      <c r="H441" s="5" t="inlineStr">
        <is>
          <t>PO2425-03813</t>
        </is>
      </c>
      <c r="I441" s="290">
        <f>IF(RawDataGenPO[[#This Row],[PO No.]]="","",RawDataGenPO[[#This Row],[DMY Create PR]]+7)</f>
        <v/>
      </c>
      <c r="J441" s="290" t="n"/>
      <c r="K441" s="20">
        <f>IF(RawDataGenPO[[#This Row],[PO No.]]="","",10)</f>
        <v/>
      </c>
      <c r="L441" s="5" t="inlineStr">
        <is>
          <t>SFST34000161</t>
        </is>
      </c>
      <c r="M441" s="7" t="inlineStr">
        <is>
          <t>Consumable part for MN</t>
        </is>
      </c>
      <c r="N441" s="7" t="inlineStr">
        <is>
          <t>Eletrical part</t>
        </is>
      </c>
      <c r="O441" s="11" t="n">
        <v>1</v>
      </c>
      <c r="P441" s="191" t="inlineStr">
        <is>
          <t>BTICINO" 25501, grey, 1-gang, waterproof box IP55</t>
        </is>
      </c>
      <c r="Q441" s="277" t="n">
        <v>5</v>
      </c>
      <c r="R441" s="5" t="inlineStr">
        <is>
          <t>PCS.</t>
        </is>
      </c>
      <c r="S441" s="284">
        <f>RawDataGenPO[[#This Row],[Total price]]/RawDataGenPO[[#This Row],[Qty'']]</f>
        <v/>
      </c>
      <c r="T441" s="297" t="n">
        <v>1600</v>
      </c>
      <c r="U441" s="161" t="inlineStr">
        <is>
          <t>Puneet Approval</t>
        </is>
      </c>
      <c r="V441" s="7" t="inlineStr">
        <is>
          <t>V1000276 - SN. ELECTRIC AND SUPPLY CO., LTD.</t>
        </is>
      </c>
      <c r="W441" s="5" t="inlineStr">
        <is>
          <t>Recive bill and GRN already</t>
        </is>
      </c>
      <c r="X441" s="5" t="n"/>
      <c r="Y441" s="3" t="n">
        <v>45568</v>
      </c>
      <c r="Z441" s="3" t="n"/>
      <c r="AA441" s="17">
        <f>IF(RawDataGenPO[[#This Row],[Date Gen PO]]="","",RawDataGenPO[[#This Row],[Date recive bill]]-RawDataGenPO[[#This Row],[Date Gen PO]])</f>
        <v/>
      </c>
      <c r="AB441" s="16">
        <f>IF(RawDataGenPO[[#This Row],[GRN-PO date]]&gt;RawDataGenPO[[#This Row],[Lead time delivery (day)]],"over deliverry","Ontime")</f>
        <v/>
      </c>
      <c r="AC441" s="168" t="n"/>
    </row>
    <row r="442" customFormat="1" s="173">
      <c r="A442" s="5">
        <f>ROW()-ROW(RawDataGenPO[[#Headers],[No.]])</f>
        <v/>
      </c>
      <c r="B442" s="7" t="inlineStr">
        <is>
          <t>Expent  cost</t>
        </is>
      </c>
      <c r="C442" s="275" t="n">
        <v>45555</v>
      </c>
      <c r="D442" s="276" t="n"/>
      <c r="E442" s="276" t="n"/>
      <c r="F442" s="275" t="n">
        <v>45555</v>
      </c>
      <c r="G442" s="5" t="inlineStr">
        <is>
          <t>PR2425-03504</t>
        </is>
      </c>
      <c r="H442" s="5" t="inlineStr">
        <is>
          <t>PO2425-03813</t>
        </is>
      </c>
      <c r="I442" s="290">
        <f>IF(RawDataGenPO[[#This Row],[PO No.]]="","",RawDataGenPO[[#This Row],[DMY Create PR]]+7)</f>
        <v/>
      </c>
      <c r="J442" s="290" t="n"/>
      <c r="K442" s="20">
        <f>IF(RawDataGenPO[[#This Row],[PO No.]]="","",10)</f>
        <v/>
      </c>
      <c r="L442" s="5" t="inlineStr">
        <is>
          <t>SFST34000162</t>
        </is>
      </c>
      <c r="M442" s="7" t="inlineStr">
        <is>
          <t>Consumable part for MN</t>
        </is>
      </c>
      <c r="N442" s="7" t="inlineStr">
        <is>
          <t>Eletrical part</t>
        </is>
      </c>
      <c r="O442" s="11" t="n">
        <v>2</v>
      </c>
      <c r="P442" s="191" t="inlineStr">
        <is>
          <t>BTICINO" 25502, grey, 2-gang, waterproof box IP55</t>
        </is>
      </c>
      <c r="Q442" s="277" t="n">
        <v>5</v>
      </c>
      <c r="R442" s="5" t="inlineStr">
        <is>
          <t>PCS.</t>
        </is>
      </c>
      <c r="S442" s="284">
        <f>RawDataGenPO[[#This Row],[Total price]]/RawDataGenPO[[#This Row],[Qty'']]</f>
        <v/>
      </c>
      <c r="T442" s="297" t="n">
        <v>1600</v>
      </c>
      <c r="U442" s="161" t="inlineStr">
        <is>
          <t>Puneet Approval</t>
        </is>
      </c>
      <c r="V442" s="7" t="inlineStr">
        <is>
          <t>V1000276 - SN. ELECTRIC AND SUPPLY CO., LTD.</t>
        </is>
      </c>
      <c r="W442" s="5" t="inlineStr">
        <is>
          <t>Recive bill and GRN already</t>
        </is>
      </c>
      <c r="X442" s="5" t="n"/>
      <c r="Y442" s="3" t="n">
        <v>45568</v>
      </c>
      <c r="Z442" s="3" t="n"/>
      <c r="AA442" s="17">
        <f>IF(RawDataGenPO[[#This Row],[Date Gen PO]]="","",RawDataGenPO[[#This Row],[Date recive bill]]-RawDataGenPO[[#This Row],[Date Gen PO]])</f>
        <v/>
      </c>
      <c r="AB442" s="16">
        <f>IF(RawDataGenPO[[#This Row],[GRN-PO date]]&gt;RawDataGenPO[[#This Row],[Lead time delivery (day)]],"over deliverry","Ontime")</f>
        <v/>
      </c>
      <c r="AC442" s="168" t="n"/>
    </row>
    <row r="443" customFormat="1" s="173">
      <c r="A443" s="5">
        <f>ROW()-ROW(RawDataGenPO[[#Headers],[No.]])</f>
        <v/>
      </c>
      <c r="B443" s="7" t="inlineStr">
        <is>
          <t>Expent  cost</t>
        </is>
      </c>
      <c r="C443" s="275" t="n">
        <v>45555</v>
      </c>
      <c r="D443" s="276" t="n"/>
      <c r="E443" s="276" t="n"/>
      <c r="F443" s="275" t="n">
        <v>45555</v>
      </c>
      <c r="G443" s="5" t="inlineStr">
        <is>
          <t>PR2425-03504</t>
        </is>
      </c>
      <c r="H443" s="5" t="inlineStr">
        <is>
          <t>PO2425-03813</t>
        </is>
      </c>
      <c r="I443" s="290">
        <f>IF(RawDataGenPO[[#This Row],[PO No.]]="","",RawDataGenPO[[#This Row],[DMY Create PR]]+7)</f>
        <v/>
      </c>
      <c r="J443" s="290" t="n"/>
      <c r="K443" s="20">
        <f>IF(RawDataGenPO[[#This Row],[PO No.]]="","",10)</f>
        <v/>
      </c>
      <c r="L443" s="5" t="inlineStr">
        <is>
          <t>SFST34000186</t>
        </is>
      </c>
      <c r="M443" s="7" t="inlineStr">
        <is>
          <t>Consumable part for MN</t>
        </is>
      </c>
      <c r="N443" s="7" t="inlineStr">
        <is>
          <t>Eletrical part</t>
        </is>
      </c>
      <c r="O443" s="11" t="n">
        <v>3</v>
      </c>
      <c r="P443" s="191" t="inlineStr">
        <is>
          <t>BTICINO 25503, grey, 3-gang, waterproof IP55</t>
        </is>
      </c>
      <c r="Q443" s="277" t="n">
        <v>10</v>
      </c>
      <c r="R443" s="5" t="inlineStr">
        <is>
          <t>PCS.</t>
        </is>
      </c>
      <c r="S443" s="284">
        <f>RawDataGenPO[[#This Row],[Total price]]/RawDataGenPO[[#This Row],[Qty'']]</f>
        <v/>
      </c>
      <c r="T443" s="297" t="n">
        <v>3900</v>
      </c>
      <c r="U443" s="161" t="inlineStr">
        <is>
          <t>Puneet Approval</t>
        </is>
      </c>
      <c r="V443" s="7" t="inlineStr">
        <is>
          <t>V1000276 - SN. ELECTRIC AND SUPPLY CO., LTD.</t>
        </is>
      </c>
      <c r="W443" s="5" t="inlineStr">
        <is>
          <t>Recive bill and GRN already</t>
        </is>
      </c>
      <c r="X443" s="5" t="n"/>
      <c r="Y443" s="3" t="n">
        <v>45568</v>
      </c>
      <c r="Z443" s="3" t="n"/>
      <c r="AA443" s="17">
        <f>IF(RawDataGenPO[[#This Row],[Date Gen PO]]="","",RawDataGenPO[[#This Row],[Date recive bill]]-RawDataGenPO[[#This Row],[Date Gen PO]])</f>
        <v/>
      </c>
      <c r="AB443" s="16">
        <f>IF(RawDataGenPO[[#This Row],[GRN-PO date]]&gt;RawDataGenPO[[#This Row],[Lead time delivery (day)]],"over deliverry","Ontime")</f>
        <v/>
      </c>
      <c r="AC443" s="168" t="n"/>
    </row>
    <row r="444" customFormat="1" s="173">
      <c r="A444" s="5">
        <f>ROW()-ROW(RawDataGenPO[[#Headers],[No.]])</f>
        <v/>
      </c>
      <c r="B444" s="7" t="inlineStr">
        <is>
          <t>Expent  cost</t>
        </is>
      </c>
      <c r="C444" s="275" t="n">
        <v>45555</v>
      </c>
      <c r="D444" s="276" t="n"/>
      <c r="E444" s="276" t="n"/>
      <c r="F444" s="275" t="n">
        <v>45555</v>
      </c>
      <c r="G444" s="5" t="inlineStr">
        <is>
          <t>PR2425-03504</t>
        </is>
      </c>
      <c r="H444" s="5" t="inlineStr">
        <is>
          <t>PO2425-03813</t>
        </is>
      </c>
      <c r="I444" s="290">
        <f>IF(RawDataGenPO[[#This Row],[PO No.]]="","",RawDataGenPO[[#This Row],[DMY Create PR]]+7)</f>
        <v/>
      </c>
      <c r="J444" s="290" t="n"/>
      <c r="K444" s="20">
        <f>IF(RawDataGenPO[[#This Row],[PO No.]]="","",10)</f>
        <v/>
      </c>
      <c r="L444" s="5" t="inlineStr">
        <is>
          <t>SFST34000188</t>
        </is>
      </c>
      <c r="M444" s="7" t="inlineStr">
        <is>
          <t>Consumable part for MN</t>
        </is>
      </c>
      <c r="N444" s="7" t="inlineStr">
        <is>
          <t>Eletrical part</t>
        </is>
      </c>
      <c r="O444" s="11" t="n">
        <v>4</v>
      </c>
      <c r="P444" s="191" t="inlineStr">
        <is>
          <t>Philip LED Essential Bulb 9 W E27</t>
        </is>
      </c>
      <c r="Q444" s="277" t="n">
        <v>5</v>
      </c>
      <c r="R444" s="5" t="inlineStr">
        <is>
          <t>PCS.</t>
        </is>
      </c>
      <c r="S444" s="284">
        <f>RawDataGenPO[[#This Row],[Total price]]/RawDataGenPO[[#This Row],[Qty'']]</f>
        <v/>
      </c>
      <c r="T444" s="297" t="n">
        <v>3000</v>
      </c>
      <c r="U444" s="161" t="inlineStr">
        <is>
          <t>Puneet Approval</t>
        </is>
      </c>
      <c r="V444" s="7" t="inlineStr">
        <is>
          <t>V1000276 - SN. ELECTRIC AND SUPPLY CO., LTD.</t>
        </is>
      </c>
      <c r="W444" s="5" t="inlineStr">
        <is>
          <t>Recive bill and GRN already</t>
        </is>
      </c>
      <c r="X444" s="5" t="n"/>
      <c r="Y444" s="3" t="n">
        <v>45568</v>
      </c>
      <c r="Z444" s="3" t="n"/>
      <c r="AA444" s="17">
        <f>IF(RawDataGenPO[[#This Row],[Date Gen PO]]="","",RawDataGenPO[[#This Row],[Date recive bill]]-RawDataGenPO[[#This Row],[Date Gen PO]])</f>
        <v/>
      </c>
      <c r="AB444" s="16">
        <f>IF(RawDataGenPO[[#This Row],[GRN-PO date]]&gt;RawDataGenPO[[#This Row],[Lead time delivery (day)]],"over deliverry","Ontime")</f>
        <v/>
      </c>
      <c r="AC444" s="168" t="n"/>
    </row>
    <row r="445" customFormat="1" s="173">
      <c r="A445" s="5">
        <f>ROW()-ROW(RawDataGenPO[[#Headers],[No.]])</f>
        <v/>
      </c>
      <c r="B445" s="7" t="inlineStr">
        <is>
          <t>Expent  cost</t>
        </is>
      </c>
      <c r="C445" s="275" t="n">
        <v>45555</v>
      </c>
      <c r="D445" s="276" t="n"/>
      <c r="E445" s="276" t="n"/>
      <c r="F445" s="275" t="n">
        <v>45555</v>
      </c>
      <c r="G445" s="5" t="inlineStr">
        <is>
          <t>PR2425-03504</t>
        </is>
      </c>
      <c r="H445" s="5" t="inlineStr">
        <is>
          <t>PO2425-03814</t>
        </is>
      </c>
      <c r="I445" s="290">
        <f>IF(RawDataGenPO[[#This Row],[PO No.]]="","",RawDataGenPO[[#This Row],[DMY Create PR]]+7)</f>
        <v/>
      </c>
      <c r="J445" s="290" t="n"/>
      <c r="K445" s="20" t="n">
        <v>30</v>
      </c>
      <c r="L445" s="5" t="inlineStr">
        <is>
          <t>SFST34000185</t>
        </is>
      </c>
      <c r="M445" s="7" t="inlineStr">
        <is>
          <t>Consumable part for MN</t>
        </is>
      </c>
      <c r="N445" s="7" t="inlineStr">
        <is>
          <t>Eletrical part</t>
        </is>
      </c>
      <c r="O445" s="11" t="n">
        <v>5</v>
      </c>
      <c r="P445" s="10" t="inlineStr">
        <is>
          <t>Wall Lamp Finext Ellipse 4004M Black</t>
        </is>
      </c>
      <c r="Q445" s="277" t="n">
        <v>10</v>
      </c>
      <c r="R445" s="5" t="inlineStr">
        <is>
          <t>PCS.</t>
        </is>
      </c>
      <c r="S445" s="284">
        <f>RawDataGenPO[[#This Row],[Total price]]/RawDataGenPO[[#This Row],[Qty'']]</f>
        <v/>
      </c>
      <c r="T445" s="285" t="n">
        <v>1500</v>
      </c>
      <c r="U445" s="161" t="inlineStr">
        <is>
          <t>Puneet Approval</t>
        </is>
      </c>
      <c r="V445" s="7" t="inlineStr">
        <is>
          <t>V1000603 - TM SUKSAP TRADING LIMITED PARTNERSHIP</t>
        </is>
      </c>
      <c r="W445" s="5" t="inlineStr">
        <is>
          <t>Recive bill and GRN already</t>
        </is>
      </c>
      <c r="X445" s="5" t="n"/>
      <c r="Y445" s="3" t="n">
        <v>45587</v>
      </c>
      <c r="Z445" s="3" t="n"/>
      <c r="AA445" s="17">
        <f>IF(RawDataGenPO[[#This Row],[Date Gen PO]]="","",RawDataGenPO[[#This Row],[Date recive bill]]-RawDataGenPO[[#This Row],[Date Gen PO]])</f>
        <v/>
      </c>
      <c r="AB445" s="16">
        <f>IF(RawDataGenPO[[#This Row],[GRN-PO date]]&gt;RawDataGenPO[[#This Row],[Lead time delivery (day)]],"over deliverry","Ontime")</f>
        <v/>
      </c>
      <c r="AC445" s="168" t="n"/>
    </row>
    <row r="446" customFormat="1" s="173">
      <c r="A446" s="5">
        <f>ROW()-ROW(RawDataGenPO[[#Headers],[No.]])</f>
        <v/>
      </c>
      <c r="B446" s="7" t="inlineStr">
        <is>
          <t>Expent  cost</t>
        </is>
      </c>
      <c r="C446" s="275" t="n">
        <v>45555</v>
      </c>
      <c r="D446" s="276" t="n"/>
      <c r="E446" s="276" t="n"/>
      <c r="F446" s="275" t="n">
        <v>45555</v>
      </c>
      <c r="G446" s="5" t="inlineStr">
        <is>
          <t>PR2425-03504</t>
        </is>
      </c>
      <c r="H446" s="5" t="inlineStr">
        <is>
          <t>PO2425-03814</t>
        </is>
      </c>
      <c r="I446" s="290">
        <f>IF(RawDataGenPO[[#This Row],[PO No.]]="","",RawDataGenPO[[#This Row],[DMY Create PR]]+7)</f>
        <v/>
      </c>
      <c r="J446" s="290" t="n"/>
      <c r="K446" s="20" t="n">
        <v>30</v>
      </c>
      <c r="L446" s="5" t="inlineStr">
        <is>
          <t>SFST81000050</t>
        </is>
      </c>
      <c r="M446" s="7" t="inlineStr">
        <is>
          <t>Water plant</t>
        </is>
      </c>
      <c r="N446" s="7" t="inlineStr">
        <is>
          <t>Electrical jobs</t>
        </is>
      </c>
      <c r="O446" s="11" t="n">
        <v>6</v>
      </c>
      <c r="P446" s="10" t="inlineStr">
        <is>
          <t>White PVC corrugated flexible hose 1/2", length 50 m, NANO</t>
        </is>
      </c>
      <c r="Q446" s="277" t="n">
        <v>1</v>
      </c>
      <c r="R446" s="5" t="inlineStr">
        <is>
          <t>PCS.</t>
        </is>
      </c>
      <c r="S446" s="284">
        <f>RawDataGenPO[[#This Row],[Total price]]/RawDataGenPO[[#This Row],[Qty'']]</f>
        <v/>
      </c>
      <c r="T446" s="285" t="n">
        <v>720</v>
      </c>
      <c r="U446" s="161" t="inlineStr">
        <is>
          <t>Puneet Approval</t>
        </is>
      </c>
      <c r="V446" s="7" t="inlineStr">
        <is>
          <t>V1000603 - TM SUKSAP TRADING LIMITED PARTNERSHIP</t>
        </is>
      </c>
      <c r="W446" s="5" t="inlineStr">
        <is>
          <t>Recive bill and GRN already</t>
        </is>
      </c>
      <c r="X446" s="5" t="n"/>
      <c r="Y446" s="3" t="n">
        <v>45587</v>
      </c>
      <c r="Z446" s="3" t="n"/>
      <c r="AA446" s="17">
        <f>IF(RawDataGenPO[[#This Row],[Date Gen PO]]="","",RawDataGenPO[[#This Row],[Date recive bill]]-RawDataGenPO[[#This Row],[Date Gen PO]])</f>
        <v/>
      </c>
      <c r="AB446" s="16">
        <f>IF(RawDataGenPO[[#This Row],[GRN-PO date]]&gt;RawDataGenPO[[#This Row],[Lead time delivery (day)]],"over deliverry","Ontime")</f>
        <v/>
      </c>
      <c r="AC446" s="168" t="n"/>
    </row>
    <row r="447" customFormat="1" s="173">
      <c r="A447" s="5">
        <f>ROW()-ROW(RawDataGenPO[[#Headers],[No.]])</f>
        <v/>
      </c>
      <c r="B447" s="7" t="inlineStr">
        <is>
          <t>Expent  cost</t>
        </is>
      </c>
      <c r="C447" s="275" t="n">
        <v>45555</v>
      </c>
      <c r="D447" s="276" t="n"/>
      <c r="E447" s="276" t="n"/>
      <c r="F447" s="275" t="n">
        <v>45555</v>
      </c>
      <c r="G447" s="5" t="inlineStr">
        <is>
          <t>PR2425-03504</t>
        </is>
      </c>
      <c r="H447" s="5" t="inlineStr">
        <is>
          <t>PO2425-03814</t>
        </is>
      </c>
      <c r="I447" s="290">
        <f>IF(RawDataGenPO[[#This Row],[PO No.]]="","",RawDataGenPO[[#This Row],[DMY Create PR]]+7)</f>
        <v/>
      </c>
      <c r="J447" s="290" t="n"/>
      <c r="K447" s="20" t="n">
        <v>30</v>
      </c>
      <c r="L447" s="5" t="inlineStr">
        <is>
          <t>SFST81000050</t>
        </is>
      </c>
      <c r="M447" s="7" t="inlineStr">
        <is>
          <t>Water plant</t>
        </is>
      </c>
      <c r="N447" s="7" t="inlineStr">
        <is>
          <t>Water system jobs</t>
        </is>
      </c>
      <c r="O447" s="11" t="n">
        <v>7</v>
      </c>
      <c r="P447" s="10" t="inlineStr">
        <is>
          <t>PVC bidet spray hose, white, BOSS S603</t>
        </is>
      </c>
      <c r="Q447" s="277" t="n">
        <v>8</v>
      </c>
      <c r="R447" s="5" t="inlineStr">
        <is>
          <t>PCS.</t>
        </is>
      </c>
      <c r="S447" s="284">
        <f>RawDataGenPO[[#This Row],[Total price]]/RawDataGenPO[[#This Row],[Qty'']]</f>
        <v/>
      </c>
      <c r="T447" s="285" t="n">
        <v>1200</v>
      </c>
      <c r="U447" s="161" t="inlineStr">
        <is>
          <t>Puneet Approval</t>
        </is>
      </c>
      <c r="V447" s="7" t="inlineStr">
        <is>
          <t>V1000603 - TM SUKSAP TRADING LIMITED PARTNERSHIP</t>
        </is>
      </c>
      <c r="W447" s="5" t="inlineStr">
        <is>
          <t>Recive bill and GRN already</t>
        </is>
      </c>
      <c r="X447" s="5" t="n"/>
      <c r="Y447" s="3" t="n">
        <v>45587</v>
      </c>
      <c r="Z447" s="3" t="n"/>
      <c r="AA447" s="17">
        <f>IF(RawDataGenPO[[#This Row],[Date Gen PO]]="","",RawDataGenPO[[#This Row],[Date recive bill]]-RawDataGenPO[[#This Row],[Date Gen PO]])</f>
        <v/>
      </c>
      <c r="AB447" s="16">
        <f>IF(RawDataGenPO[[#This Row],[GRN-PO date]]&gt;RawDataGenPO[[#This Row],[Lead time delivery (day)]],"over deliverry","Ontime")</f>
        <v/>
      </c>
      <c r="AC447" s="168" t="n"/>
    </row>
    <row r="448" customFormat="1" s="173">
      <c r="A448" s="5">
        <f>ROW()-ROW(RawDataGenPO[[#Headers],[No.]])</f>
        <v/>
      </c>
      <c r="B448" s="7" t="inlineStr">
        <is>
          <t>Expent  cost</t>
        </is>
      </c>
      <c r="C448" s="275" t="n">
        <v>45555</v>
      </c>
      <c r="D448" s="276" t="n"/>
      <c r="E448" s="276" t="n"/>
      <c r="F448" s="275" t="n">
        <v>45555</v>
      </c>
      <c r="G448" s="5" t="inlineStr">
        <is>
          <t>PR2425-03504</t>
        </is>
      </c>
      <c r="H448" s="5" t="inlineStr">
        <is>
          <t>PO2425-03814</t>
        </is>
      </c>
      <c r="I448" s="290">
        <f>IF(RawDataGenPO[[#This Row],[PO No.]]="","",RawDataGenPO[[#This Row],[DMY Create PR]]+7)</f>
        <v/>
      </c>
      <c r="J448" s="290" t="n"/>
      <c r="K448" s="20" t="n">
        <v>30</v>
      </c>
      <c r="L448" s="5" t="inlineStr">
        <is>
          <t>SFST34000046</t>
        </is>
      </c>
      <c r="M448" s="7" t="inlineStr">
        <is>
          <t>Consumable part for MN</t>
        </is>
      </c>
      <c r="N448" s="7" t="inlineStr">
        <is>
          <t>Eletrical part</t>
        </is>
      </c>
      <c r="O448" s="11" t="n">
        <v>8</v>
      </c>
      <c r="P448" s="10" t="inlineStr">
        <is>
          <t>"Philips", TCW099, 2x36W, waterproof, dustproof, rainproof light fixture 36W</t>
        </is>
      </c>
      <c r="Q448" s="277" t="n">
        <v>10</v>
      </c>
      <c r="R448" s="5" t="inlineStr">
        <is>
          <t>PCS.</t>
        </is>
      </c>
      <c r="S448" s="284">
        <f>RawDataGenPO[[#This Row],[Total price]]/RawDataGenPO[[#This Row],[Qty'']]</f>
        <v/>
      </c>
      <c r="T448" s="285" t="n">
        <v>15120</v>
      </c>
      <c r="U448" s="161" t="inlineStr">
        <is>
          <t>Puneet Approval</t>
        </is>
      </c>
      <c r="V448" s="7" t="inlineStr">
        <is>
          <t>V1000603 - TM SUKSAP TRADING LIMITED PARTNERSHIP</t>
        </is>
      </c>
      <c r="W448" s="5" t="inlineStr">
        <is>
          <t>Recive bill and GRN already</t>
        </is>
      </c>
      <c r="X448" s="5" t="n"/>
      <c r="Y448" s="3" t="n">
        <v>45587</v>
      </c>
      <c r="Z448" s="3" t="n"/>
      <c r="AA448" s="17">
        <f>IF(RawDataGenPO[[#This Row],[Date Gen PO]]="","",RawDataGenPO[[#This Row],[Date recive bill]]-RawDataGenPO[[#This Row],[Date Gen PO]])</f>
        <v/>
      </c>
      <c r="AB448" s="16">
        <f>IF(RawDataGenPO[[#This Row],[GRN-PO date]]&gt;RawDataGenPO[[#This Row],[Lead time delivery (day)]],"over deliverry","Ontime")</f>
        <v/>
      </c>
      <c r="AC448" s="168" t="n"/>
    </row>
    <row r="449" customFormat="1" s="173">
      <c r="A449" s="5">
        <f>ROW()-ROW(RawDataGenPO[[#Headers],[No.]])</f>
        <v/>
      </c>
      <c r="B449" s="7" t="inlineStr">
        <is>
          <t>Expent  cost</t>
        </is>
      </c>
      <c r="C449" s="275" t="n">
        <v>45552</v>
      </c>
      <c r="D449" s="276" t="n"/>
      <c r="E449" s="276" t="n"/>
      <c r="F449" s="275" t="n">
        <v>45552</v>
      </c>
      <c r="G449" s="5" t="inlineStr">
        <is>
          <t>PR2425-03416</t>
        </is>
      </c>
      <c r="H449" s="5" t="inlineStr">
        <is>
          <t>PO2425-03815</t>
        </is>
      </c>
      <c r="I449" s="290">
        <f>IF(RawDataGenPO[[#This Row],[PO No.]]="","",RawDataGenPO[[#This Row],[DMY Create PR]]+7)</f>
        <v/>
      </c>
      <c r="J449" s="290" t="n"/>
      <c r="K449" s="20" t="n">
        <v>30</v>
      </c>
      <c r="L449" s="5" t="inlineStr">
        <is>
          <t>SFST34000174</t>
        </is>
      </c>
      <c r="M449" s="7" t="inlineStr">
        <is>
          <t>Consumable part for MN</t>
        </is>
      </c>
      <c r="N449" s="7" t="inlineStr">
        <is>
          <t>Consumable part</t>
        </is>
      </c>
      <c r="O449" s="11" t="n">
        <v>1</v>
      </c>
      <c r="P449" s="10" t="inlineStr">
        <is>
          <t>PP melt blown cartridge Filter, 10", 5 Micron</t>
        </is>
      </c>
      <c r="Q449" s="189" t="n">
        <v>20</v>
      </c>
      <c r="R449" s="5" t="inlineStr">
        <is>
          <t>PCS.</t>
        </is>
      </c>
      <c r="S449" s="284">
        <f>RawDataGenPO[[#This Row],[Total price]]/RawDataGenPO[[#This Row],[Qty'']]</f>
        <v/>
      </c>
      <c r="T449" s="190" t="n">
        <v>841.2</v>
      </c>
      <c r="U449" s="161" t="inlineStr">
        <is>
          <t>Puneet Approval</t>
        </is>
      </c>
      <c r="V449" s="7" t="inlineStr">
        <is>
          <t>V1000450 - O.K. Filter Trading Co., Ltd.</t>
        </is>
      </c>
      <c r="W449" s="5" t="inlineStr">
        <is>
          <t>Recive bill and GRN already</t>
        </is>
      </c>
      <c r="X449" s="5" t="n"/>
      <c r="Y449" s="3" t="n">
        <v>45580</v>
      </c>
      <c r="Z449" s="3" t="n"/>
      <c r="AA449" s="17">
        <f>IF(RawDataGenPO[[#This Row],[Date Gen PO]]="","",RawDataGenPO[[#This Row],[Date recive bill]]-RawDataGenPO[[#This Row],[Date Gen PO]])</f>
        <v/>
      </c>
      <c r="AB449" s="16">
        <f>IF(RawDataGenPO[[#This Row],[GRN-PO date]]&gt;RawDataGenPO[[#This Row],[Lead time delivery (day)]],"over deliverry","Ontime")</f>
        <v/>
      </c>
      <c r="AC449" s="168" t="n"/>
    </row>
    <row r="450" customFormat="1" s="173">
      <c r="A450" s="5">
        <f>ROW()-ROW(RawDataGenPO[[#Headers],[No.]])</f>
        <v/>
      </c>
      <c r="B450" s="7" t="inlineStr">
        <is>
          <t>Expent  cost</t>
        </is>
      </c>
      <c r="C450" s="275" t="n">
        <v>45552</v>
      </c>
      <c r="D450" s="276" t="n"/>
      <c r="E450" s="276" t="n"/>
      <c r="F450" s="275" t="n">
        <v>45552</v>
      </c>
      <c r="G450" s="5" t="inlineStr">
        <is>
          <t>PR2425-03416</t>
        </is>
      </c>
      <c r="H450" s="5" t="inlineStr">
        <is>
          <t>PO2425-03815</t>
        </is>
      </c>
      <c r="I450" s="290">
        <f>IF(RawDataGenPO[[#This Row],[PO No.]]="","",RawDataGenPO[[#This Row],[DMY Create PR]]+7)</f>
        <v/>
      </c>
      <c r="J450" s="290" t="n"/>
      <c r="K450" s="20" t="n">
        <v>30</v>
      </c>
      <c r="L450" s="5" t="inlineStr">
        <is>
          <t>SFST34000175</t>
        </is>
      </c>
      <c r="M450" s="7" t="inlineStr">
        <is>
          <t>Consumable part for MN</t>
        </is>
      </c>
      <c r="N450" s="7" t="inlineStr">
        <is>
          <t>Consumable part</t>
        </is>
      </c>
      <c r="O450" s="11" t="n">
        <v>2</v>
      </c>
      <c r="P450" s="10" t="inlineStr">
        <is>
          <t>PP melt blown cartridge Filter, 20", 5 Micron</t>
        </is>
      </c>
      <c r="Q450" s="189" t="n">
        <v>10</v>
      </c>
      <c r="R450" s="5" t="inlineStr">
        <is>
          <t>PCS.</t>
        </is>
      </c>
      <c r="S450" s="284">
        <f>RawDataGenPO[[#This Row],[Total price]]/RawDataGenPO[[#This Row],[Qty'']]</f>
        <v/>
      </c>
      <c r="T450" s="190" t="n">
        <v>747.7</v>
      </c>
      <c r="U450" s="161" t="inlineStr">
        <is>
          <t>Puneet Approval</t>
        </is>
      </c>
      <c r="V450" s="7" t="inlineStr">
        <is>
          <t>V1000450 - O.K. Filter Trading Co., Ltd.</t>
        </is>
      </c>
      <c r="W450" s="5" t="inlineStr">
        <is>
          <t>Recive bill and GRN already</t>
        </is>
      </c>
      <c r="X450" s="5" t="n"/>
      <c r="Y450" s="3" t="n">
        <v>45580</v>
      </c>
      <c r="Z450" s="3" t="n"/>
      <c r="AA450" s="17">
        <f>IF(RawDataGenPO[[#This Row],[Date Gen PO]]="","",RawDataGenPO[[#This Row],[Date recive bill]]-RawDataGenPO[[#This Row],[Date Gen PO]])</f>
        <v/>
      </c>
      <c r="AB450" s="16">
        <f>IF(RawDataGenPO[[#This Row],[GRN-PO date]]&gt;RawDataGenPO[[#This Row],[Lead time delivery (day)]],"over deliverry","Ontime")</f>
        <v/>
      </c>
      <c r="AC450" s="168" t="n"/>
    </row>
    <row r="451" customFormat="1" s="173">
      <c r="A451" s="5">
        <f>ROW()-ROW(RawDataGenPO[[#Headers],[No.]])</f>
        <v/>
      </c>
      <c r="B451" s="7" t="inlineStr">
        <is>
          <t>Expent  cost</t>
        </is>
      </c>
      <c r="C451" s="275" t="n">
        <v>45552</v>
      </c>
      <c r="D451" s="276" t="n"/>
      <c r="E451" s="276" t="n"/>
      <c r="F451" s="275" t="n">
        <v>45552</v>
      </c>
      <c r="G451" s="5" t="inlineStr">
        <is>
          <t>PR2425-03416</t>
        </is>
      </c>
      <c r="H451" s="5" t="inlineStr">
        <is>
          <t>PO2425-03815</t>
        </is>
      </c>
      <c r="I451" s="290">
        <f>IF(RawDataGenPO[[#This Row],[PO No.]]="","",RawDataGenPO[[#This Row],[DMY Create PR]]+7)</f>
        <v/>
      </c>
      <c r="J451" s="290" t="n"/>
      <c r="K451" s="20" t="n">
        <v>30</v>
      </c>
      <c r="L451" s="5" t="inlineStr">
        <is>
          <t>SFST34000176</t>
        </is>
      </c>
      <c r="M451" s="7" t="inlineStr">
        <is>
          <t>Consumable part for MN</t>
        </is>
      </c>
      <c r="N451" s="7" t="inlineStr">
        <is>
          <t>Eletrical part</t>
        </is>
      </c>
      <c r="O451" s="11" t="n">
        <v>3</v>
      </c>
      <c r="P451" s="10" t="inlineStr">
        <is>
          <t>Block carbon cartrid filterge, 10", 10 Micron</t>
        </is>
      </c>
      <c r="Q451" s="189" t="n">
        <v>20</v>
      </c>
      <c r="R451" s="5" t="inlineStr">
        <is>
          <t>PCS.</t>
        </is>
      </c>
      <c r="S451" s="284">
        <f>RawDataGenPO[[#This Row],[Total price]]/RawDataGenPO[[#This Row],[Qty'']]</f>
        <v/>
      </c>
      <c r="T451" s="188" t="n">
        <v>1588.8</v>
      </c>
      <c r="U451" s="161" t="inlineStr">
        <is>
          <t>Puneet Approval</t>
        </is>
      </c>
      <c r="V451" s="7" t="inlineStr">
        <is>
          <t>V1000450 - O.K. Filter Trading Co., Ltd.</t>
        </is>
      </c>
      <c r="W451" s="5" t="inlineStr">
        <is>
          <t>Recive bill and GRN already</t>
        </is>
      </c>
      <c r="X451" s="5" t="n"/>
      <c r="Y451" s="3" t="n">
        <v>45580</v>
      </c>
      <c r="Z451" s="3" t="n"/>
      <c r="AA451" s="17">
        <f>IF(RawDataGenPO[[#This Row],[Date Gen PO]]="","",RawDataGenPO[[#This Row],[Date recive bill]]-RawDataGenPO[[#This Row],[Date Gen PO]])</f>
        <v/>
      </c>
      <c r="AB451" s="16">
        <f>IF(RawDataGenPO[[#This Row],[GRN-PO date]]&gt;RawDataGenPO[[#This Row],[Lead time delivery (day)]],"over deliverry","Ontime")</f>
        <v/>
      </c>
      <c r="AC451" s="168" t="n"/>
    </row>
    <row r="452" customFormat="1" s="173">
      <c r="A452" s="5">
        <f>ROW()-ROW(RawDataGenPO[[#Headers],[No.]])</f>
        <v/>
      </c>
      <c r="B452" s="7" t="inlineStr">
        <is>
          <t>Expent  cost</t>
        </is>
      </c>
      <c r="C452" s="275" t="n">
        <v>45552</v>
      </c>
      <c r="D452" s="276" t="n"/>
      <c r="E452" s="276" t="n"/>
      <c r="F452" s="275" t="n">
        <v>45552</v>
      </c>
      <c r="G452" s="5" t="inlineStr">
        <is>
          <t>PR2425-03416</t>
        </is>
      </c>
      <c r="H452" s="5" t="inlineStr">
        <is>
          <t>PO2425-03815</t>
        </is>
      </c>
      <c r="I452" s="290">
        <f>IF(RawDataGenPO[[#This Row],[PO No.]]="","",RawDataGenPO[[#This Row],[DMY Create PR]]+7)</f>
        <v/>
      </c>
      <c r="J452" s="290" t="n"/>
      <c r="K452" s="20" t="n">
        <v>30</v>
      </c>
      <c r="L452" s="5" t="inlineStr">
        <is>
          <t>SFST34000177</t>
        </is>
      </c>
      <c r="M452" s="7" t="inlineStr">
        <is>
          <t>Consumable part for MN</t>
        </is>
      </c>
      <c r="N452" s="7" t="inlineStr">
        <is>
          <t>Eletrical part</t>
        </is>
      </c>
      <c r="O452" s="11" t="n">
        <v>4</v>
      </c>
      <c r="P452" s="10" t="inlineStr">
        <is>
          <t>Block carbon cartridge filter, 20", 10 Micro</t>
        </is>
      </c>
      <c r="Q452" s="189" t="n">
        <v>10</v>
      </c>
      <c r="R452" s="5" t="inlineStr">
        <is>
          <t>PCS.</t>
        </is>
      </c>
      <c r="S452" s="284">
        <f>RawDataGenPO[[#This Row],[Total price]]/RawDataGenPO[[#This Row],[Qty'']]</f>
        <v/>
      </c>
      <c r="T452" s="188" t="n">
        <v>1495.3</v>
      </c>
      <c r="U452" s="161" t="inlineStr">
        <is>
          <t>Puneet Approval</t>
        </is>
      </c>
      <c r="V452" s="7" t="inlineStr">
        <is>
          <t>V1000450 - O.K. Filter Trading Co., Ltd.</t>
        </is>
      </c>
      <c r="W452" s="5" t="inlineStr">
        <is>
          <t>Recive bill and GRN already</t>
        </is>
      </c>
      <c r="X452" s="5" t="n"/>
      <c r="Y452" s="3" t="n">
        <v>45580</v>
      </c>
      <c r="Z452" s="3" t="n"/>
      <c r="AA452" s="17">
        <f>IF(RawDataGenPO[[#This Row],[Date Gen PO]]="","",RawDataGenPO[[#This Row],[Date recive bill]]-RawDataGenPO[[#This Row],[Date Gen PO]])</f>
        <v/>
      </c>
      <c r="AB452" s="16">
        <f>IF(RawDataGenPO[[#This Row],[GRN-PO date]]&gt;RawDataGenPO[[#This Row],[Lead time delivery (day)]],"over deliverry","Ontime")</f>
        <v/>
      </c>
      <c r="AC452" s="168" t="n"/>
    </row>
    <row r="453" ht="30.60000038146973" customFormat="1" customHeight="1" s="173">
      <c r="A453" s="5">
        <f>ROW()-ROW(RawDataGenPO[[#Headers],[No.]])</f>
        <v/>
      </c>
      <c r="B453" s="7" t="inlineStr">
        <is>
          <t>Expent  cost</t>
        </is>
      </c>
      <c r="C453" s="275" t="n">
        <v>45552</v>
      </c>
      <c r="D453" s="276" t="n"/>
      <c r="E453" s="276" t="n"/>
      <c r="F453" s="275" t="n">
        <v>45552</v>
      </c>
      <c r="G453" s="5" t="inlineStr">
        <is>
          <t>PR2425-03416</t>
        </is>
      </c>
      <c r="H453" s="5" t="inlineStr">
        <is>
          <t>PO2425-03815</t>
        </is>
      </c>
      <c r="I453" s="290">
        <f>IF(RawDataGenPO[[#This Row],[PO No.]]="","",RawDataGenPO[[#This Row],[DMY Create PR]]+7)</f>
        <v/>
      </c>
      <c r="J453" s="290" t="n"/>
      <c r="K453" s="20" t="n">
        <v>30</v>
      </c>
      <c r="L453" s="5" t="inlineStr">
        <is>
          <t>SFST81000050</t>
        </is>
      </c>
      <c r="M453" s="7" t="inlineStr">
        <is>
          <t>Water plant</t>
        </is>
      </c>
      <c r="N453" s="7" t="inlineStr">
        <is>
          <t>Water system jobs</t>
        </is>
      </c>
      <c r="O453" s="11" t="n">
        <v>5</v>
      </c>
      <c r="P453" s="10" t="inlineStr">
        <is>
          <t>Water filter housing, clear, 10 inch, brass thread 3/4" (complete set excluding filter cartridge)</t>
        </is>
      </c>
      <c r="Q453" s="189" t="n">
        <v>2</v>
      </c>
      <c r="R453" s="5" t="inlineStr">
        <is>
          <t>PCS.</t>
        </is>
      </c>
      <c r="S453" s="284">
        <f>RawDataGenPO[[#This Row],[Total price]]/RawDataGenPO[[#This Row],[Qty'']]</f>
        <v/>
      </c>
      <c r="T453" s="190" t="n">
        <v>803.74</v>
      </c>
      <c r="U453" s="161" t="inlineStr">
        <is>
          <t>Puneet Approval</t>
        </is>
      </c>
      <c r="V453" s="7" t="inlineStr">
        <is>
          <t>V1000450 - O.K. Filter Trading Co., Ltd.</t>
        </is>
      </c>
      <c r="W453" s="5" t="inlineStr">
        <is>
          <t>Recive bill and GRN already</t>
        </is>
      </c>
      <c r="X453" s="5" t="n"/>
      <c r="Y453" s="3" t="n">
        <v>45580</v>
      </c>
      <c r="Z453" s="3" t="n"/>
      <c r="AA453" s="17">
        <f>IF(RawDataGenPO[[#This Row],[Date Gen PO]]="","",RawDataGenPO[[#This Row],[Date recive bill]]-RawDataGenPO[[#This Row],[Date Gen PO]])</f>
        <v/>
      </c>
      <c r="AB453" s="16">
        <f>IF(RawDataGenPO[[#This Row],[GRN-PO date]]&gt;RawDataGenPO[[#This Row],[Lead time delivery (day)]],"over deliverry","Ontime")</f>
        <v/>
      </c>
      <c r="AC453" s="168" t="n"/>
    </row>
    <row r="454" ht="30.60000038146973" customFormat="1" customHeight="1" s="173">
      <c r="A454" s="5">
        <f>ROW()-ROW(RawDataGenPO[[#Headers],[No.]])</f>
        <v/>
      </c>
      <c r="B454" s="7" t="inlineStr">
        <is>
          <t>Expent  cost</t>
        </is>
      </c>
      <c r="C454" s="275" t="n">
        <v>45552</v>
      </c>
      <c r="D454" s="276" t="n"/>
      <c r="E454" s="276" t="n"/>
      <c r="F454" s="275" t="n">
        <v>45552</v>
      </c>
      <c r="G454" s="5" t="inlineStr">
        <is>
          <t>PR2425-03416</t>
        </is>
      </c>
      <c r="H454" s="5" t="inlineStr">
        <is>
          <t>PO2425-03815</t>
        </is>
      </c>
      <c r="I454" s="290">
        <f>IF(RawDataGenPO[[#This Row],[PO No.]]="","",RawDataGenPO[[#This Row],[DMY Create PR]]+7)</f>
        <v/>
      </c>
      <c r="J454" s="290" t="n"/>
      <c r="K454" s="20" t="n">
        <v>30</v>
      </c>
      <c r="L454" s="5" t="inlineStr">
        <is>
          <t>SFST81000050</t>
        </is>
      </c>
      <c r="M454" s="7" t="inlineStr">
        <is>
          <t>Water plant</t>
        </is>
      </c>
      <c r="N454" s="7" t="inlineStr">
        <is>
          <t>Water system jobs</t>
        </is>
      </c>
      <c r="O454" s="11" t="n">
        <v>6</v>
      </c>
      <c r="P454" s="10" t="inlineStr">
        <is>
          <t>Water filter housing, clear, 20 inch, brass thread 3/4" (complete set excluding filter cartridge)</t>
        </is>
      </c>
      <c r="Q454" s="189" t="n">
        <v>2</v>
      </c>
      <c r="R454" s="5" t="inlineStr">
        <is>
          <t>PCS.</t>
        </is>
      </c>
      <c r="S454" s="284">
        <f>RawDataGenPO[[#This Row],[Total price]]/RawDataGenPO[[#This Row],[Qty'']]</f>
        <v/>
      </c>
      <c r="T454" s="188" t="n">
        <v>1383.18</v>
      </c>
      <c r="U454" s="161" t="inlineStr">
        <is>
          <t>Puneet Approval</t>
        </is>
      </c>
      <c r="V454" s="7" t="inlineStr">
        <is>
          <t>V1000450 - O.K. Filter Trading Co., Ltd.</t>
        </is>
      </c>
      <c r="W454" s="5" t="inlineStr">
        <is>
          <t>Recive bill and GRN already</t>
        </is>
      </c>
      <c r="X454" s="5" t="n"/>
      <c r="Y454" s="3" t="n">
        <v>45580</v>
      </c>
      <c r="Z454" s="3" t="n"/>
      <c r="AA454" s="17">
        <f>IF(RawDataGenPO[[#This Row],[Date Gen PO]]="","",RawDataGenPO[[#This Row],[Date recive bill]]-RawDataGenPO[[#This Row],[Date Gen PO]])</f>
        <v/>
      </c>
      <c r="AB454" s="16">
        <f>IF(RawDataGenPO[[#This Row],[GRN-PO date]]&gt;RawDataGenPO[[#This Row],[Lead time delivery (day)]],"over deliverry","Ontime")</f>
        <v/>
      </c>
      <c r="AC454" s="168" t="n"/>
    </row>
    <row r="455" ht="30.60000038146973" customFormat="1" customHeight="1" s="173">
      <c r="A455" s="5">
        <f>ROW()-ROW(RawDataGenPO[[#Headers],[No.]])</f>
        <v/>
      </c>
      <c r="B455" s="7" t="inlineStr">
        <is>
          <t>Expent  cost</t>
        </is>
      </c>
      <c r="C455" s="275" t="n">
        <v>45552</v>
      </c>
      <c r="D455" s="276" t="n"/>
      <c r="E455" s="276" t="n"/>
      <c r="F455" s="275" t="n">
        <v>45552</v>
      </c>
      <c r="G455" s="5" t="inlineStr">
        <is>
          <t>PR2425-03416</t>
        </is>
      </c>
      <c r="H455" s="5" t="inlineStr">
        <is>
          <t>PO2425-03815</t>
        </is>
      </c>
      <c r="I455" s="290">
        <f>IF(RawDataGenPO[[#This Row],[PO No.]]="","",RawDataGenPO[[#This Row],[DMY Create PR]]+7)</f>
        <v/>
      </c>
      <c r="J455" s="290" t="n"/>
      <c r="K455" s="20" t="n">
        <v>30</v>
      </c>
      <c r="L455" s="5" t="inlineStr">
        <is>
          <t>SFST81000050</t>
        </is>
      </c>
      <c r="M455" s="7" t="inlineStr">
        <is>
          <t>Water plant</t>
        </is>
      </c>
      <c r="N455" s="7" t="inlineStr">
        <is>
          <t>Water system jobs</t>
        </is>
      </c>
      <c r="O455" s="11" t="n">
        <v>7</v>
      </c>
      <c r="P455" s="10" t="inlineStr">
        <is>
          <t>Large water filter housing, blue opaque, 10 inch, brass thread 1/2" (complete set excluding filter cartridge), Fast Flow</t>
        </is>
      </c>
      <c r="Q455" s="189" t="n">
        <v>2</v>
      </c>
      <c r="R455" s="5" t="inlineStr">
        <is>
          <t>PCS.</t>
        </is>
      </c>
      <c r="S455" s="284">
        <f>RawDataGenPO[[#This Row],[Total price]]/RawDataGenPO[[#This Row],[Qty'']]</f>
        <v/>
      </c>
      <c r="T455" s="190" t="n">
        <v>757</v>
      </c>
      <c r="U455" s="161" t="inlineStr">
        <is>
          <t>Puneet Approval</t>
        </is>
      </c>
      <c r="V455" s="7" t="inlineStr">
        <is>
          <t>V1000450 - O.K. Filter Trading Co., Ltd.</t>
        </is>
      </c>
      <c r="W455" s="5" t="inlineStr">
        <is>
          <t>Recive bill and GRN already</t>
        </is>
      </c>
      <c r="X455" s="5" t="n"/>
      <c r="Y455" s="3" t="n">
        <v>45580</v>
      </c>
      <c r="Z455" s="3" t="n"/>
      <c r="AA455" s="17">
        <f>IF(RawDataGenPO[[#This Row],[Date Gen PO]]="","",RawDataGenPO[[#This Row],[Date recive bill]]-RawDataGenPO[[#This Row],[Date Gen PO]])</f>
        <v/>
      </c>
      <c r="AB455" s="16">
        <f>IF(RawDataGenPO[[#This Row],[GRN-PO date]]&gt;RawDataGenPO[[#This Row],[Lead time delivery (day)]],"over deliverry","Ontime")</f>
        <v/>
      </c>
      <c r="AC455" s="168" t="n"/>
    </row>
    <row r="456" ht="30.60000038146973" customFormat="1" customHeight="1" s="173">
      <c r="A456" s="5">
        <f>ROW()-ROW(RawDataGenPO[[#Headers],[No.]])</f>
        <v/>
      </c>
      <c r="B456" s="7" t="inlineStr">
        <is>
          <t>Expent  cost</t>
        </is>
      </c>
      <c r="C456" s="275" t="n">
        <v>45552</v>
      </c>
      <c r="D456" s="276" t="n"/>
      <c r="E456" s="276" t="n"/>
      <c r="F456" s="275" t="n">
        <v>45552</v>
      </c>
      <c r="G456" s="5" t="inlineStr">
        <is>
          <t>PR2425-03416</t>
        </is>
      </c>
      <c r="H456" s="5" t="inlineStr">
        <is>
          <t>PO2425-03815</t>
        </is>
      </c>
      <c r="I456" s="290">
        <f>IF(RawDataGenPO[[#This Row],[PO No.]]="","",RawDataGenPO[[#This Row],[DMY Create PR]]+7)</f>
        <v/>
      </c>
      <c r="J456" s="290" t="n"/>
      <c r="K456" s="20" t="n">
        <v>30</v>
      </c>
      <c r="L456" s="5" t="inlineStr">
        <is>
          <t>SFST81000050</t>
        </is>
      </c>
      <c r="M456" s="7" t="inlineStr">
        <is>
          <t>Water plant</t>
        </is>
      </c>
      <c r="N456" s="7" t="inlineStr">
        <is>
          <t>Water system jobs</t>
        </is>
      </c>
      <c r="O456" s="11" t="n">
        <v>8</v>
      </c>
      <c r="P456" s="10" t="inlineStr">
        <is>
          <t>Large water filter housing, blue opaque, 20 inch, brass thread 3/4" (complete set excluding filter cartridge), Fast Flow</t>
        </is>
      </c>
      <c r="Q456" s="189" t="n">
        <v>2</v>
      </c>
      <c r="R456" s="5" t="inlineStr">
        <is>
          <t>PCS.</t>
        </is>
      </c>
      <c r="S456" s="284">
        <f>RawDataGenPO[[#This Row],[Total price]]/RawDataGenPO[[#This Row],[Qty'']]</f>
        <v/>
      </c>
      <c r="T456" s="188" t="n">
        <v>1130.84</v>
      </c>
      <c r="U456" s="161" t="inlineStr">
        <is>
          <t>Puneet Approval</t>
        </is>
      </c>
      <c r="V456" s="7" t="inlineStr">
        <is>
          <t>V1000450 - O.K. Filter Trading Co., Ltd.</t>
        </is>
      </c>
      <c r="W456" s="5" t="inlineStr">
        <is>
          <t>Recive bill and GRN already</t>
        </is>
      </c>
      <c r="X456" s="5" t="n"/>
      <c r="Y456" s="3" t="n">
        <v>45580</v>
      </c>
      <c r="Z456" s="3" t="n"/>
      <c r="AA456" s="17">
        <f>IF(RawDataGenPO[[#This Row],[Date Gen PO]]="","",RawDataGenPO[[#This Row],[Date recive bill]]-RawDataGenPO[[#This Row],[Date Gen PO]])</f>
        <v/>
      </c>
      <c r="AB456" s="16">
        <f>IF(RawDataGenPO[[#This Row],[GRN-PO date]]&gt;RawDataGenPO[[#This Row],[Lead time delivery (day)]],"over deliverry","Ontime")</f>
        <v/>
      </c>
      <c r="AC456" s="168" t="n"/>
    </row>
    <row r="457" ht="30.60000038146973" customFormat="1" customHeight="1" s="173">
      <c r="A457" s="5">
        <f>ROW()-ROW(RawDataGenPO[[#Headers],[No.]])</f>
        <v/>
      </c>
      <c r="B457" s="7" t="inlineStr">
        <is>
          <t>Expent  cost</t>
        </is>
      </c>
      <c r="C457" s="275" t="n">
        <v>45552</v>
      </c>
      <c r="D457" s="276" t="n"/>
      <c r="E457" s="276" t="n"/>
      <c r="F457" s="275" t="n">
        <v>45552</v>
      </c>
      <c r="G457" s="5" t="inlineStr">
        <is>
          <t>PR2425-03416</t>
        </is>
      </c>
      <c r="H457" s="5" t="inlineStr">
        <is>
          <t>PO2425-03815</t>
        </is>
      </c>
      <c r="I457" s="290">
        <f>IF(RawDataGenPO[[#This Row],[PO No.]]="","",RawDataGenPO[[#This Row],[DMY Create PR]]+7)</f>
        <v/>
      </c>
      <c r="J457" s="290" t="n"/>
      <c r="K457" s="20" t="n">
        <v>30</v>
      </c>
      <c r="L457" s="5" t="inlineStr">
        <is>
          <t>SFST81000050</t>
        </is>
      </c>
      <c r="M457" s="7" t="inlineStr">
        <is>
          <t>Water plant</t>
        </is>
      </c>
      <c r="N457" s="7" t="inlineStr">
        <is>
          <t>Water system jobs</t>
        </is>
      </c>
      <c r="O457" s="11" t="n">
        <v>9</v>
      </c>
      <c r="P457" s="10" t="inlineStr">
        <is>
          <t>Large water filter housing, blue opaque, 20 inch, brass thread 1/2" (complete set excluding filter cartridge), Fast Flow</t>
        </is>
      </c>
      <c r="Q457" s="189" t="n">
        <v>2</v>
      </c>
      <c r="R457" s="5" t="inlineStr">
        <is>
          <t>PCS.</t>
        </is>
      </c>
      <c r="S457" s="284">
        <f>RawDataGenPO[[#This Row],[Total price]]/RawDataGenPO[[#This Row],[Qty'']]</f>
        <v/>
      </c>
      <c r="T457" s="188" t="n">
        <v>1130.74</v>
      </c>
      <c r="U457" s="161" t="inlineStr">
        <is>
          <t>Puneet Approval</t>
        </is>
      </c>
      <c r="V457" s="7" t="inlineStr">
        <is>
          <t>V1000450 - O.K. Filter Trading Co., Ltd.</t>
        </is>
      </c>
      <c r="W457" s="5" t="inlineStr">
        <is>
          <t>Recive bill and GRN already</t>
        </is>
      </c>
      <c r="X457" s="5" t="n"/>
      <c r="Y457" s="3" t="n">
        <v>45580</v>
      </c>
      <c r="Z457" s="3" t="n"/>
      <c r="AA457" s="17">
        <f>IF(RawDataGenPO[[#This Row],[Date Gen PO]]="","",RawDataGenPO[[#This Row],[Date recive bill]]-RawDataGenPO[[#This Row],[Date Gen PO]])</f>
        <v/>
      </c>
      <c r="AB457" s="16">
        <f>IF(RawDataGenPO[[#This Row],[GRN-PO date]]&gt;RawDataGenPO[[#This Row],[Lead time delivery (day)]],"over deliverry","Ontime")</f>
        <v/>
      </c>
      <c r="AC457" s="168" t="n"/>
    </row>
    <row r="458" ht="75.59999847412109" customFormat="1" customHeight="1" s="173">
      <c r="A458" s="5">
        <f>ROW()-ROW(RawDataGenPO[[#Headers],[No.]])</f>
        <v/>
      </c>
      <c r="B458" s="7" t="inlineStr">
        <is>
          <t>CAPEX  (Unbudget)</t>
        </is>
      </c>
      <c r="C458" s="275" t="n">
        <v>45552</v>
      </c>
      <c r="D458" s="276" t="n"/>
      <c r="E458" s="276" t="n"/>
      <c r="F458" s="275" t="n">
        <v>45552</v>
      </c>
      <c r="G458" s="5" t="inlineStr">
        <is>
          <t>PR2425-03455</t>
        </is>
      </c>
      <c r="H458" s="5" t="inlineStr">
        <is>
          <t xml:space="preserve">PO2425-03826 </t>
        </is>
      </c>
      <c r="I458" s="290">
        <f>IF(RawDataGenPO[[#This Row],[PO No.]]="","",RawDataGenPO[[#This Row],[DMY Create PR]]+7)</f>
        <v/>
      </c>
      <c r="J458" s="290" t="n"/>
      <c r="K458" s="20" t="n">
        <v>30</v>
      </c>
      <c r="L458" s="5" t="inlineStr">
        <is>
          <t>SFST82000007</t>
        </is>
      </c>
      <c r="M458" s="7" t="inlineStr">
        <is>
          <t>Electrical system in PD area</t>
        </is>
      </c>
      <c r="N458" s="7" t="inlineStr">
        <is>
          <t>Electrical jobs</t>
        </is>
      </c>
      <c r="O458" s="11" t="n">
        <v>1</v>
      </c>
      <c r="P458" s="10" t="inlineStr">
        <is>
          <t>Stainless steel 304 control cabinet model
W300xH450xD150
waterproof, double-door with front glass
- with sloped roof
- with bull-horn style outer door handle</t>
        </is>
      </c>
      <c r="Q458" s="277" t="n">
        <v>1</v>
      </c>
      <c r="R458" s="5" t="inlineStr">
        <is>
          <t>PCS.</t>
        </is>
      </c>
      <c r="S458" s="284">
        <f>RawDataGenPO[[#This Row],[Total price]]/RawDataGenPO[[#This Row],[Qty'']]</f>
        <v/>
      </c>
      <c r="T458" s="285" t="n">
        <v>6460</v>
      </c>
      <c r="U458" s="161" t="inlineStr">
        <is>
          <t>Puneet Approval</t>
        </is>
      </c>
      <c r="V458" s="7" t="inlineStr">
        <is>
          <t>V1000660 - THAIKANA ENGINEERING CO., LTD.</t>
        </is>
      </c>
      <c r="W458" s="5" t="inlineStr">
        <is>
          <t>Recive bill and GRN already</t>
        </is>
      </c>
      <c r="X458" s="5" t="n"/>
      <c r="Y458" s="3" t="n">
        <v>45576</v>
      </c>
      <c r="Z458" s="3" t="n"/>
      <c r="AA458" s="17">
        <f>IF(RawDataGenPO[[#This Row],[Date Gen PO]]="","",RawDataGenPO[[#This Row],[Date recive bill]]-RawDataGenPO[[#This Row],[Date Gen PO]])</f>
        <v/>
      </c>
      <c r="AB458" s="16">
        <f>IF(RawDataGenPO[[#This Row],[GRN-PO date]]&gt;RawDataGenPO[[#This Row],[Lead time delivery (day)]],"over deliverry","Ontime")</f>
        <v/>
      </c>
      <c r="AC458" s="168" t="n"/>
    </row>
    <row r="459" ht="60.59999847412109" customFormat="1" customHeight="1" s="173">
      <c r="A459" s="5">
        <f>ROW()-ROW(RawDataGenPO[[#Headers],[No.]])</f>
        <v/>
      </c>
      <c r="B459" s="7" t="inlineStr">
        <is>
          <t>CAPEX  (Unbudget)</t>
        </is>
      </c>
      <c r="C459" s="275" t="n">
        <v>45552</v>
      </c>
      <c r="D459" s="276" t="n"/>
      <c r="E459" s="276" t="n"/>
      <c r="F459" s="275" t="n">
        <v>45552</v>
      </c>
      <c r="G459" s="5" t="inlineStr">
        <is>
          <t>PR2425-03455</t>
        </is>
      </c>
      <c r="H459" s="5" t="inlineStr">
        <is>
          <t xml:space="preserve">PO2425-03826 </t>
        </is>
      </c>
      <c r="I459" s="290">
        <f>IF(RawDataGenPO[[#This Row],[PO No.]]="","",RawDataGenPO[[#This Row],[DMY Create PR]]+7)</f>
        <v/>
      </c>
      <c r="J459" s="290" t="n"/>
      <c r="K459" s="20" t="n">
        <v>30</v>
      </c>
      <c r="L459" s="5" t="inlineStr">
        <is>
          <t>SFST82000007</t>
        </is>
      </c>
      <c r="M459" s="7" t="inlineStr">
        <is>
          <t>Electrical system in PD area</t>
        </is>
      </c>
      <c r="N459" s="7" t="inlineStr">
        <is>
          <t>Electrical jobs</t>
        </is>
      </c>
      <c r="O459" s="11" t="n">
        <v>2</v>
      </c>
      <c r="P459" s="10" t="inlineStr">
        <is>
          <t>W300xH450xD150
waterproof cabinet, double-door with front glass
- with sloped roof
- with bull-horn style outer door handle</t>
        </is>
      </c>
      <c r="Q459" s="277" t="n">
        <v>1</v>
      </c>
      <c r="R459" s="5" t="inlineStr">
        <is>
          <t>PCS.</t>
        </is>
      </c>
      <c r="S459" s="284">
        <f>RawDataGenPO[[#This Row],[Total price]]/RawDataGenPO[[#This Row],[Qty'']]</f>
        <v/>
      </c>
      <c r="T459" s="285" t="n">
        <v>6460</v>
      </c>
      <c r="U459" s="161" t="inlineStr">
        <is>
          <t>Puneet Approval</t>
        </is>
      </c>
      <c r="V459" s="7" t="inlineStr">
        <is>
          <t>V1000660 - THAIKANA ENGINEERING CO., LTD.</t>
        </is>
      </c>
      <c r="W459" s="5" t="inlineStr">
        <is>
          <t>Recive bill and GRN already</t>
        </is>
      </c>
      <c r="X459" s="5" t="n"/>
      <c r="Y459" s="3" t="n">
        <v>45577</v>
      </c>
      <c r="Z459" s="3" t="n"/>
      <c r="AA459" s="17">
        <f>IF(RawDataGenPO[[#This Row],[Date Gen PO]]="","",RawDataGenPO[[#This Row],[Date recive bill]]-RawDataGenPO[[#This Row],[Date Gen PO]])</f>
        <v/>
      </c>
      <c r="AB459" s="16">
        <f>IF(RawDataGenPO[[#This Row],[GRN-PO date]]&gt;RawDataGenPO[[#This Row],[Lead time delivery (day)]],"over deliverry","Ontime")</f>
        <v/>
      </c>
      <c r="AC459" s="168" t="n"/>
    </row>
    <row r="460" customFormat="1" s="173">
      <c r="A460" s="5">
        <f>ROW()-ROW(RawDataGenPO[[#Headers],[No.]])</f>
        <v/>
      </c>
      <c r="B460" s="7" t="inlineStr">
        <is>
          <t>Expent  cost</t>
        </is>
      </c>
      <c r="C460" s="275" t="n">
        <v>45552</v>
      </c>
      <c r="D460" s="276" t="n"/>
      <c r="E460" s="276" t="n"/>
      <c r="F460" s="275" t="n">
        <v>45552</v>
      </c>
      <c r="G460" s="5" t="inlineStr">
        <is>
          <t>PR2425-03424</t>
        </is>
      </c>
      <c r="H460" s="5" t="inlineStr">
        <is>
          <t>PO2425-03827</t>
        </is>
      </c>
      <c r="I460" s="290">
        <f>IF(RawDataGenPO[[#This Row],[PO No.]]="","",RawDataGenPO[[#This Row],[DMY Create PR]]+7)</f>
        <v/>
      </c>
      <c r="J460" s="290" t="n"/>
      <c r="K460" s="20">
        <f>IF(RawDataGenPO[[#This Row],[PO No.]]="","",10)</f>
        <v/>
      </c>
      <c r="L460" s="5" t="inlineStr">
        <is>
          <t>SFST81000048</t>
        </is>
      </c>
      <c r="M460" s="7" t="inlineStr">
        <is>
          <t>PD Machine</t>
        </is>
      </c>
      <c r="N460" s="7" t="inlineStr">
        <is>
          <t>Turntable No.1</t>
        </is>
      </c>
      <c r="O460" s="11" t="n">
        <v>1</v>
      </c>
      <c r="P460" s="10" t="inlineStr">
        <is>
          <t>Service fee for inspection of Tumbler MA-1500 PS (weekday)</t>
        </is>
      </c>
      <c r="Q460" s="277" t="n">
        <v>1</v>
      </c>
      <c r="R460" s="5" t="inlineStr">
        <is>
          <t>JOB</t>
        </is>
      </c>
      <c r="S460" s="284">
        <f>RawDataGenPO[[#This Row],[Total price]]/RawDataGenPO[[#This Row],[Qty'']]</f>
        <v/>
      </c>
      <c r="T460" s="285" t="n">
        <v>5600</v>
      </c>
      <c r="U460" s="161" t="inlineStr">
        <is>
          <t>Puneet Approval</t>
        </is>
      </c>
      <c r="V460" s="7" t="inlineStr">
        <is>
          <t>V1000666 - HITEC FOOD EQUIPMENT CO.,LTD.</t>
        </is>
      </c>
      <c r="W460" s="5" t="inlineStr">
        <is>
          <t>Recive bill and GRN already</t>
        </is>
      </c>
      <c r="X460" s="5" t="n"/>
      <c r="Y460" s="3" t="n">
        <v>45560</v>
      </c>
      <c r="Z460" s="3" t="n"/>
      <c r="AA460" s="17">
        <f>IF(RawDataGenPO[[#This Row],[Date Gen PO]]="","",RawDataGenPO[[#This Row],[Date recive bill]]-RawDataGenPO[[#This Row],[Date Gen PO]])</f>
        <v/>
      </c>
      <c r="AB460" s="16">
        <f>IF(RawDataGenPO[[#This Row],[GRN-PO date]]&gt;RawDataGenPO[[#This Row],[Lead time delivery (day)]],"over deliverry","Ontime")</f>
        <v/>
      </c>
      <c r="AC460" s="168" t="n"/>
    </row>
    <row r="461" ht="45.59999847412109" customFormat="1" customHeight="1" s="2">
      <c r="A461" s="5">
        <f>ROW()-ROW(RawDataGenPO[[#Headers],[No.]])</f>
        <v/>
      </c>
      <c r="B461" s="7" t="inlineStr">
        <is>
          <t>CAPEX  (Unbudget)</t>
        </is>
      </c>
      <c r="C461" s="275" t="n">
        <v>45552</v>
      </c>
      <c r="D461" s="276" t="n"/>
      <c r="E461" s="276" t="n"/>
      <c r="F461" s="275" t="n">
        <v>45552</v>
      </c>
      <c r="G461" s="5" t="inlineStr">
        <is>
          <t>PR2425-03425</t>
        </is>
      </c>
      <c r="H461" s="5" t="inlineStr">
        <is>
          <t xml:space="preserve">PO2425-03849 </t>
        </is>
      </c>
      <c r="I461" s="290">
        <f>IF(RawDataGenPO[[#This Row],[PO No.]]="","",RawDataGenPO[[#This Row],[DMY Create PR]]+7)</f>
        <v/>
      </c>
      <c r="J461" s="290" t="n"/>
      <c r="K461" s="20" t="n">
        <v>50</v>
      </c>
      <c r="L461" s="5" t="inlineStr">
        <is>
          <t>SFST82000006</t>
        </is>
      </c>
      <c r="M461" s="7" t="inlineStr">
        <is>
          <t>PD Machine</t>
        </is>
      </c>
      <c r="N461" s="7" t="inlineStr">
        <is>
          <t>Steambox1</t>
        </is>
      </c>
      <c r="O461" s="11" t="n">
        <v>2</v>
      </c>
      <c r="P461" s="10" t="inlineStr">
        <is>
          <t>Improvement Control Steam Box No.1
(replace the control cabinet for Steam Box No.1 and install control software)
Ref. QT 003/2567</t>
        </is>
      </c>
      <c r="Q461" s="277" t="n">
        <v>1</v>
      </c>
      <c r="R461" s="5" t="inlineStr">
        <is>
          <t>JOB</t>
        </is>
      </c>
      <c r="S461" s="284">
        <f>RawDataGenPO[[#This Row],[Total price]]/RawDataGenPO[[#This Row],[Qty'']]</f>
        <v/>
      </c>
      <c r="T461" s="285" t="n">
        <v>95740</v>
      </c>
      <c r="U461" s="161" t="inlineStr">
        <is>
          <t>Puneet Approval</t>
        </is>
      </c>
      <c r="V461" s="7" t="inlineStr">
        <is>
          <t>V1000547 - Ekkapong Nuanming</t>
        </is>
      </c>
      <c r="W461" s="5" t="inlineStr">
        <is>
          <t>Recive bill and GRN already</t>
        </is>
      </c>
      <c r="X461" s="5" t="n"/>
      <c r="Y461" s="3" t="n">
        <v>45601</v>
      </c>
      <c r="Z461" s="3" t="n"/>
      <c r="AA461" s="17">
        <f>IF(RawDataGenPO[[#This Row],[Date Gen PO]]="","",RawDataGenPO[[#This Row],[Date recive bill]]-RawDataGenPO[[#This Row],[Date Gen PO]])</f>
        <v/>
      </c>
      <c r="AB461" s="16">
        <f>IF(RawDataGenPO[[#This Row],[GRN-PO date]]&gt;RawDataGenPO[[#This Row],[Lead time delivery (day)]],"over deliverry","Ontime")</f>
        <v/>
      </c>
      <c r="AC461" s="168" t="n"/>
    </row>
    <row r="462" ht="90.59999847412109" customFormat="1" customHeight="1" s="173">
      <c r="A462" s="5">
        <f>ROW()-ROW(RawDataGenPO[[#Headers],[No.]])</f>
        <v/>
      </c>
      <c r="B462" s="7" t="inlineStr">
        <is>
          <t>Expent  cost</t>
        </is>
      </c>
      <c r="C462" s="275" t="n">
        <v>45541</v>
      </c>
      <c r="D462" s="276" t="n"/>
      <c r="E462" s="276" t="n"/>
      <c r="F462" s="275" t="n">
        <v>45541</v>
      </c>
      <c r="G462" s="5" t="inlineStr">
        <is>
          <t>PR2425-03184</t>
        </is>
      </c>
      <c r="H462" s="5" t="inlineStr">
        <is>
          <t>PO2425-03921</t>
        </is>
      </c>
      <c r="I462" s="290">
        <f>IF(RawDataGenPO[[#This Row],[PO No.]]="","",RawDataGenPO[[#This Row],[DMY Create PR]]+7)</f>
        <v/>
      </c>
      <c r="J462" s="290" t="n"/>
      <c r="K462" s="20" t="n">
        <v>30</v>
      </c>
      <c r="L462" s="5" t="inlineStr">
        <is>
          <t>SFST81000050</t>
        </is>
      </c>
      <c r="M462" s="7" t="inlineStr">
        <is>
          <t>Cooling machine for PD line</t>
        </is>
      </c>
      <c r="N462" s="7" t="inlineStr">
        <is>
          <t>Cooling  part</t>
        </is>
      </c>
      <c r="O462" s="11" t="n">
        <v>1</v>
      </c>
      <c r="P462" s="10" t="inlineStr">
        <is>
          <t>Temp Sensor Model: WR 10
-Thermocouple Type K (Single Element)
-Tube SUS31 6L Dia. 4.8 mm. Length 250 mm.
- Sleeve Dia. 8 mm. Length 50 mm.
-Lead Wire 0.65/1 Glass Fiber Shield, Length 2 m.
-With Plate Slide SUS</t>
        </is>
      </c>
      <c r="Q462" s="277" t="n">
        <v>3</v>
      </c>
      <c r="R462" s="5" t="inlineStr">
        <is>
          <t>PCS.</t>
        </is>
      </c>
      <c r="S462" s="284" t="n">
        <v>577.5</v>
      </c>
      <c r="T462" s="322" t="n">
        <v>1732.5</v>
      </c>
      <c r="U462" s="161" t="inlineStr">
        <is>
          <t>Puneet Approval</t>
        </is>
      </c>
      <c r="V462" s="7" t="inlineStr">
        <is>
          <t>V1000668 - Primus Co.,Ltd</t>
        </is>
      </c>
      <c r="W462" s="5" t="inlineStr">
        <is>
          <t>Recive bill and GRN already</t>
        </is>
      </c>
      <c r="X462" s="5" t="n"/>
      <c r="Y462" s="3" t="n">
        <v>45575</v>
      </c>
      <c r="Z462" s="3" t="n"/>
      <c r="AA462" s="17">
        <f>IF(RawDataGenPO[[#This Row],[Date Gen PO]]="","",RawDataGenPO[[#This Row],[Date recive bill]]-RawDataGenPO[[#This Row],[Date Gen PO]])</f>
        <v/>
      </c>
      <c r="AB462" s="16">
        <f>IF(RawDataGenPO[[#This Row],[GRN-PO date]]&gt;RawDataGenPO[[#This Row],[Lead time delivery (day)]],"over deliverry","Ontime")</f>
        <v/>
      </c>
      <c r="AC462" s="168" t="n"/>
    </row>
    <row r="463" customFormat="1" s="173">
      <c r="A463" s="5">
        <f>ROW()-ROW(RawDataGenPO[[#Headers],[No.]])</f>
        <v/>
      </c>
      <c r="B463" s="7" t="inlineStr">
        <is>
          <t>Expent  cost</t>
        </is>
      </c>
      <c r="C463" s="275" t="n">
        <v>45559</v>
      </c>
      <c r="D463" s="276" t="n"/>
      <c r="E463" s="276" t="n"/>
      <c r="F463" s="275" t="n">
        <v>45559</v>
      </c>
      <c r="G463" s="5" t="inlineStr">
        <is>
          <t>PR2425-03574</t>
        </is>
      </c>
      <c r="H463" s="5" t="inlineStr">
        <is>
          <t>PO2425-03942</t>
        </is>
      </c>
      <c r="I463" s="290">
        <f>IF(RawDataGenPO[[#This Row],[PO No.]]="","",RawDataGenPO[[#This Row],[DMY Create PR]]+7)</f>
        <v/>
      </c>
      <c r="J463" s="290" t="n"/>
      <c r="K463" s="20">
        <f>IF(RawDataGenPO[[#This Row],[PO No.]]="","",10)</f>
        <v/>
      </c>
      <c r="L463" s="5" t="inlineStr">
        <is>
          <t>SFST34000054</t>
        </is>
      </c>
      <c r="M463" s="7" t="inlineStr">
        <is>
          <t>Consumable part for MN</t>
        </is>
      </c>
      <c r="N463" s="7" t="inlineStr">
        <is>
          <t>Refrigerant</t>
        </is>
      </c>
      <c r="O463" s="11" t="n">
        <v>1</v>
      </c>
      <c r="P463" s="160" t="inlineStr">
        <is>
          <t>R507 Refrigerant,(1 Tank 11.3 kg/Tank)</t>
        </is>
      </c>
      <c r="Q463" s="293" t="n">
        <v>15</v>
      </c>
      <c r="R463" s="34" t="inlineStr">
        <is>
          <t>DRM</t>
        </is>
      </c>
      <c r="S463" s="294">
        <f>RawDataGenPO[[#This Row],[Total price]]/RawDataGenPO[[#This Row],[Qty'']]</f>
        <v/>
      </c>
      <c r="T463" s="295" t="n">
        <v>39000</v>
      </c>
      <c r="U463" s="161" t="inlineStr">
        <is>
          <t>Puneet Approval</t>
        </is>
      </c>
      <c r="V463" s="7" t="inlineStr">
        <is>
          <t>V1000312 - Colder Solution Co., Ltd.</t>
        </is>
      </c>
      <c r="W463" s="5" t="inlineStr">
        <is>
          <t>Recive bill and GRN already</t>
        </is>
      </c>
      <c r="X463" s="5" t="n"/>
      <c r="Y463" s="3" t="n">
        <v>45566</v>
      </c>
      <c r="Z463" s="3" t="n"/>
      <c r="AA463" s="17">
        <f>IF(RawDataGenPO[[#This Row],[Date Gen PO]]="","",RawDataGenPO[[#This Row],[Date recive bill]]-RawDataGenPO[[#This Row],[Date Gen PO]])</f>
        <v/>
      </c>
      <c r="AB463" s="16">
        <f>IF(RawDataGenPO[[#This Row],[GRN-PO date]]&gt;RawDataGenPO[[#This Row],[Lead time delivery (day)]],"over deliverry","Ontime")</f>
        <v/>
      </c>
      <c r="AC463" s="168" t="n"/>
    </row>
    <row r="464" customFormat="1" s="173">
      <c r="A464" s="5">
        <f>ROW()-ROW(RawDataGenPO[[#Headers],[No.]])</f>
        <v/>
      </c>
      <c r="B464" s="7" t="inlineStr">
        <is>
          <t>Expent  cost</t>
        </is>
      </c>
      <c r="C464" s="275" t="n">
        <v>45559</v>
      </c>
      <c r="D464" s="276" t="n"/>
      <c r="E464" s="276" t="n"/>
      <c r="F464" s="275" t="n">
        <v>45559</v>
      </c>
      <c r="G464" s="5" t="inlineStr">
        <is>
          <t>PR2425-03574</t>
        </is>
      </c>
      <c r="H464" s="5" t="inlineStr">
        <is>
          <t>PO2425-03942</t>
        </is>
      </c>
      <c r="I464" s="290">
        <f>IF(RawDataGenPO[[#This Row],[PO No.]]="","",RawDataGenPO[[#This Row],[DMY Create PR]]+7)</f>
        <v/>
      </c>
      <c r="J464" s="290" t="n"/>
      <c r="K464" s="20">
        <f>IF(RawDataGenPO[[#This Row],[PO No.]]="","",10)</f>
        <v/>
      </c>
      <c r="L464" s="5" t="inlineStr">
        <is>
          <t>SFST34000051</t>
        </is>
      </c>
      <c r="M464" s="7" t="inlineStr">
        <is>
          <t>Refrigerant-oil for cooling M/C</t>
        </is>
      </c>
      <c r="N464" s="7" t="inlineStr">
        <is>
          <t>Refrigerant</t>
        </is>
      </c>
      <c r="O464" s="11" t="n">
        <v>2</v>
      </c>
      <c r="P464" s="186" t="inlineStr">
        <is>
          <t>R404A Refrigerant ,(1 Tank 10.9 kg/Tank)</t>
        </is>
      </c>
      <c r="Q464" s="310" t="n">
        <v>4</v>
      </c>
      <c r="R464" s="184" t="inlineStr">
        <is>
          <t>DRM</t>
        </is>
      </c>
      <c r="S464" s="311">
        <f>RawDataGenPO[[#This Row],[Total price]]/RawDataGenPO[[#This Row],[Qty'']]</f>
        <v/>
      </c>
      <c r="T464" s="312" t="n">
        <v>9200</v>
      </c>
      <c r="U464" s="161" t="inlineStr">
        <is>
          <t>Puneet Approval</t>
        </is>
      </c>
      <c r="V464" s="7" t="inlineStr">
        <is>
          <t>V1000312 - Colder Solution Co., Ltd.</t>
        </is>
      </c>
      <c r="W464" s="5" t="inlineStr">
        <is>
          <t>Recive bill and GRN already</t>
        </is>
      </c>
      <c r="X464" s="5" t="n"/>
      <c r="Y464" s="3" t="n">
        <v>45566</v>
      </c>
      <c r="Z464" s="3" t="n"/>
      <c r="AA464" s="17">
        <f>IF(RawDataGenPO[[#This Row],[Date Gen PO]]="","",RawDataGenPO[[#This Row],[Date recive bill]]-RawDataGenPO[[#This Row],[Date Gen PO]])</f>
        <v/>
      </c>
      <c r="AB464" s="16">
        <f>IF(RawDataGenPO[[#This Row],[GRN-PO date]]&gt;RawDataGenPO[[#This Row],[Lead time delivery (day)]],"over deliverry","Ontime")</f>
        <v/>
      </c>
      <c r="AC464" s="168" t="n"/>
    </row>
    <row r="465" customFormat="1" s="173">
      <c r="A465" s="5">
        <f>ROW()-ROW(RawDataGenPO[[#Headers],[No.]])</f>
        <v/>
      </c>
      <c r="B465" s="7" t="inlineStr">
        <is>
          <t>Expent  cost</t>
        </is>
      </c>
      <c r="C465" s="275" t="n">
        <v>45555</v>
      </c>
      <c r="D465" s="276" t="n"/>
      <c r="E465" s="276" t="n"/>
      <c r="F465" s="275" t="n">
        <v>45555</v>
      </c>
      <c r="G465" s="5" t="inlineStr">
        <is>
          <t>PR2425-03552</t>
        </is>
      </c>
      <c r="H465" s="5" t="inlineStr">
        <is>
          <t>PO2425-03943</t>
        </is>
      </c>
      <c r="I465" s="290">
        <f>IF(RawDataGenPO[[#This Row],[PO No.]]="","",RawDataGenPO[[#This Row],[DMY Create PR]]+7)</f>
        <v/>
      </c>
      <c r="J465" s="290" t="n"/>
      <c r="K465" s="20" t="n">
        <v>30</v>
      </c>
      <c r="L465" s="5" t="inlineStr">
        <is>
          <t>SFST81000048</t>
        </is>
      </c>
      <c r="M465" s="7" t="inlineStr">
        <is>
          <t>Foam &amp; Cleaning solution pump system</t>
        </is>
      </c>
      <c r="N465" s="7" t="inlineStr">
        <is>
          <t>Water pump for production line cleaning No.1</t>
        </is>
      </c>
      <c r="O465" s="11" t="n">
        <v>1</v>
      </c>
      <c r="P465" s="10" t="inlineStr">
        <is>
          <t>Rewind stator motor</t>
        </is>
      </c>
      <c r="Q465" s="277" t="n">
        <v>1</v>
      </c>
      <c r="R465" s="5" t="inlineStr">
        <is>
          <t>JOB</t>
        </is>
      </c>
      <c r="S465" s="284">
        <f>RawDataGenPO[[#This Row],[Total price]]/RawDataGenPO[[#This Row],[Qty'']]</f>
        <v/>
      </c>
      <c r="T465" s="285" t="n">
        <v>2000</v>
      </c>
      <c r="U465" s="161" t="inlineStr">
        <is>
          <t>Puneet Approval</t>
        </is>
      </c>
      <c r="V465" s="7" t="inlineStr">
        <is>
          <t>V1000659 - SRP Maintenance and Service Co.,Ltd.</t>
        </is>
      </c>
      <c r="W465" s="5" t="inlineStr">
        <is>
          <t>Recive bill and GRN already</t>
        </is>
      </c>
      <c r="X465" s="5" t="n"/>
      <c r="Y465" s="3" t="n">
        <v>45588</v>
      </c>
      <c r="Z465" s="3" t="n"/>
      <c r="AA465" s="17">
        <f>IF(RawDataGenPO[[#This Row],[Date Gen PO]]="","",RawDataGenPO[[#This Row],[Date recive bill]]-RawDataGenPO[[#This Row],[Date Gen PO]])</f>
        <v/>
      </c>
      <c r="AB465" s="16">
        <f>IF(RawDataGenPO[[#This Row],[GRN-PO date]]&gt;RawDataGenPO[[#This Row],[Lead time delivery (day)]],"over deliverry","Ontime")</f>
        <v/>
      </c>
      <c r="AC465" s="168" t="n"/>
    </row>
    <row r="466" customFormat="1" s="173">
      <c r="A466" s="5">
        <f>ROW()-ROW(RawDataGenPO[[#Headers],[No.]])</f>
        <v/>
      </c>
      <c r="B466" s="7" t="inlineStr">
        <is>
          <t>Expent  cost</t>
        </is>
      </c>
      <c r="C466" s="275" t="n">
        <v>45555</v>
      </c>
      <c r="D466" s="276" t="n"/>
      <c r="E466" s="276" t="n"/>
      <c r="F466" s="275" t="n">
        <v>45555</v>
      </c>
      <c r="G466" s="5" t="inlineStr">
        <is>
          <t xml:space="preserve">PR2425-03508 </t>
        </is>
      </c>
      <c r="H466" s="5" t="inlineStr">
        <is>
          <t>PO2425-03963</t>
        </is>
      </c>
      <c r="I466" s="290">
        <f>IF(RawDataGenPO[[#This Row],[PO No.]]="","",RawDataGenPO[[#This Row],[DMY Create PR]]+7)</f>
        <v/>
      </c>
      <c r="J466" s="290" t="n"/>
      <c r="K466" s="20" t="n">
        <v>30</v>
      </c>
      <c r="L466" s="5" t="inlineStr">
        <is>
          <t>SFST81000050</t>
        </is>
      </c>
      <c r="M466" s="7" t="inlineStr">
        <is>
          <t>Office Air condition</t>
        </is>
      </c>
      <c r="N466" s="7" t="inlineStr">
        <is>
          <t>Cooling  part</t>
        </is>
      </c>
      <c r="O466" s="11" t="n">
        <v>1</v>
      </c>
      <c r="P466" s="10" t="inlineStr">
        <is>
          <t>Magnetic 38TSAA018 #43T52314 For CARRIER</t>
        </is>
      </c>
      <c r="Q466" s="277" t="n">
        <v>4</v>
      </c>
      <c r="R466" s="5" t="inlineStr">
        <is>
          <t>PCS.</t>
        </is>
      </c>
      <c r="S466" s="284">
        <f>RawDataGenPO[[#This Row],[Total price]]/RawDataGenPO[[#This Row],[Qty'']]</f>
        <v/>
      </c>
      <c r="T466" s="285" t="n">
        <v>4037.38</v>
      </c>
      <c r="U466" s="161" t="inlineStr">
        <is>
          <t>Puneet Approval</t>
        </is>
      </c>
      <c r="V466" s="7" t="inlineStr">
        <is>
          <t>V1000145 - Ratchaphruek Engineering Co., Ltd.</t>
        </is>
      </c>
      <c r="W466" s="5" t="inlineStr">
        <is>
          <t>Recive bill and GRN already</t>
        </is>
      </c>
      <c r="X466" s="5" t="n"/>
      <c r="Y466" s="3" t="n">
        <v>45636</v>
      </c>
      <c r="Z466" s="3" t="n"/>
      <c r="AA466" s="17">
        <f>IF(RawDataGenPO[[#This Row],[Date Gen PO]]="","",RawDataGenPO[[#This Row],[Date recive bill]]-RawDataGenPO[[#This Row],[Date Gen PO]])</f>
        <v/>
      </c>
      <c r="AB466" s="16">
        <f>IF(RawDataGenPO[[#This Row],[GRN-PO date]]&gt;RawDataGenPO[[#This Row],[Lead time delivery (day)]],"over deliverry","Ontime")</f>
        <v/>
      </c>
      <c r="AC466" s="168" t="n"/>
    </row>
    <row r="467" customFormat="1" s="173">
      <c r="A467" s="5">
        <f>ROW()-ROW(RawDataGenPO[[#Headers],[No.]])</f>
        <v/>
      </c>
      <c r="B467" s="7" t="inlineStr">
        <is>
          <t>Expent  cost</t>
        </is>
      </c>
      <c r="C467" s="275" t="n">
        <v>45567</v>
      </c>
      <c r="D467" s="276" t="n"/>
      <c r="E467" s="276" t="n"/>
      <c r="F467" s="275" t="n">
        <v>45567</v>
      </c>
      <c r="G467" s="5" t="inlineStr">
        <is>
          <t>PR2425-03720</t>
        </is>
      </c>
      <c r="H467" s="5" t="inlineStr">
        <is>
          <t>PO2425-04075</t>
        </is>
      </c>
      <c r="I467" s="290">
        <f>IF(RawDataGenPO[[#This Row],[PO No.]]="","",RawDataGenPO[[#This Row],[DMY Create PR]]+7)</f>
        <v/>
      </c>
      <c r="J467" s="290" t="n"/>
      <c r="K467" s="20">
        <f>IF(RawDataGenPO[[#This Row],[PO No.]]="","",10)</f>
        <v/>
      </c>
      <c r="L467" s="5" t="inlineStr">
        <is>
          <t>SFST34000054</t>
        </is>
      </c>
      <c r="M467" s="7" t="inlineStr">
        <is>
          <t>Consumable part for MN</t>
        </is>
      </c>
      <c r="N467" s="7" t="inlineStr">
        <is>
          <t>Refrigerant</t>
        </is>
      </c>
      <c r="O467" s="11" t="n">
        <v>1</v>
      </c>
      <c r="P467" s="160" t="inlineStr">
        <is>
          <t>R507 Refrigerant,(1 Tank 11.3 kg/Tank)</t>
        </is>
      </c>
      <c r="Q467" s="293" t="n">
        <v>15</v>
      </c>
      <c r="R467" s="34" t="inlineStr">
        <is>
          <t>DRM</t>
        </is>
      </c>
      <c r="S467" s="294">
        <f>RawDataGenPO[[#This Row],[Total price]]/RawDataGenPO[[#This Row],[Qty'']]</f>
        <v/>
      </c>
      <c r="T467" s="295" t="n">
        <v>39000</v>
      </c>
      <c r="U467" s="161" t="inlineStr">
        <is>
          <t>Puneet Approval</t>
        </is>
      </c>
      <c r="V467" s="7" t="inlineStr">
        <is>
          <t>V1000312 - Colder Solution Co., Ltd.</t>
        </is>
      </c>
      <c r="W467" s="5" t="inlineStr">
        <is>
          <t>Recive bill and GRN already</t>
        </is>
      </c>
      <c r="X467" s="5" t="n"/>
      <c r="Y467" s="3" t="n">
        <v>45583</v>
      </c>
      <c r="Z467" s="3" t="n"/>
      <c r="AA467" s="17">
        <f>IF(RawDataGenPO[[#This Row],[Date Gen PO]]="","",RawDataGenPO[[#This Row],[Date recive bill]]-RawDataGenPO[[#This Row],[Date Gen PO]])</f>
        <v/>
      </c>
      <c r="AB467" s="16">
        <f>IF(RawDataGenPO[[#This Row],[GRN-PO date]]&gt;RawDataGenPO[[#This Row],[Lead time delivery (day)]],"over deliverry","Ontime")</f>
        <v/>
      </c>
      <c r="AC467" s="168" t="n"/>
    </row>
    <row r="468" customFormat="1" s="173">
      <c r="A468" s="5">
        <f>ROW()-ROW(RawDataGenPO[[#Headers],[No.]])</f>
        <v/>
      </c>
      <c r="B468" s="7" t="inlineStr">
        <is>
          <t>Expent  cost</t>
        </is>
      </c>
      <c r="C468" s="275" t="n">
        <v>45566</v>
      </c>
      <c r="D468" s="276" t="n"/>
      <c r="E468" s="276" t="n"/>
      <c r="F468" s="275" t="n">
        <v>45566</v>
      </c>
      <c r="G468" s="32" t="inlineStr">
        <is>
          <t>PR2425-03718</t>
        </is>
      </c>
      <c r="H468" s="5" t="inlineStr">
        <is>
          <t>PO2425-04076</t>
        </is>
      </c>
      <c r="I468" s="290">
        <f>IF(RawDataGenPO[[#This Row],[PO No.]]="","",RawDataGenPO[[#This Row],[DMY Create PR]]+7)</f>
        <v/>
      </c>
      <c r="J468" s="290" t="n"/>
      <c r="K468" s="20" t="n">
        <v>30</v>
      </c>
      <c r="L468" s="5" t="inlineStr">
        <is>
          <t>SFST81000050</t>
        </is>
      </c>
      <c r="M468" s="7" t="inlineStr">
        <is>
          <t>Civill jobs (Floor-Wall-Celling-roof)</t>
        </is>
      </c>
      <c r="N468" s="7" t="inlineStr">
        <is>
          <t>Cevil jobs</t>
        </is>
      </c>
      <c r="O468" s="11" t="n">
        <v>1</v>
      </c>
      <c r="P468" s="178" t="inlineStr">
        <is>
          <t>Pigment (color powder), dark green</t>
        </is>
      </c>
      <c r="Q468" s="277" t="n">
        <v>5</v>
      </c>
      <c r="R468" s="5" t="inlineStr">
        <is>
          <t>PCS.</t>
        </is>
      </c>
      <c r="S468" s="284">
        <f>RawDataGenPO[[#This Row],[Total price]]/RawDataGenPO[[#This Row],[Qty'']]</f>
        <v/>
      </c>
      <c r="T468" s="285" t="n">
        <v>650</v>
      </c>
      <c r="U468" s="161" t="inlineStr">
        <is>
          <t>Puneet Approval</t>
        </is>
      </c>
      <c r="V468" s="7" t="inlineStr">
        <is>
          <t>V1000198 - APEX ASIA CONSTRUCTION CO.,LTD.</t>
        </is>
      </c>
      <c r="W468" s="5" t="inlineStr">
        <is>
          <t>Recive bill and GRN already</t>
        </is>
      </c>
      <c r="X468" s="5" t="n"/>
      <c r="Y468" s="3" t="n">
        <v>45587</v>
      </c>
      <c r="Z468" s="3" t="n"/>
      <c r="AA468" s="17">
        <f>IF(RawDataGenPO[[#This Row],[Date Gen PO]]="","",RawDataGenPO[[#This Row],[Date recive bill]]-RawDataGenPO[[#This Row],[Date Gen PO]])</f>
        <v/>
      </c>
      <c r="AB468" s="16">
        <f>IF(RawDataGenPO[[#This Row],[GRN-PO date]]&gt;RawDataGenPO[[#This Row],[Lead time delivery (day)]],"over deliverry","Ontime")</f>
        <v/>
      </c>
      <c r="AC468" s="168" t="n"/>
    </row>
    <row r="469" customFormat="1" s="173">
      <c r="A469" s="5">
        <f>ROW()-ROW(RawDataGenPO[[#Headers],[No.]])</f>
        <v/>
      </c>
      <c r="B469" s="7" t="inlineStr">
        <is>
          <t>Expent  cost</t>
        </is>
      </c>
      <c r="C469" s="275" t="n">
        <v>45566</v>
      </c>
      <c r="D469" s="276" t="n"/>
      <c r="E469" s="276" t="n"/>
      <c r="F469" s="275" t="n">
        <v>45566</v>
      </c>
      <c r="G469" s="32" t="inlineStr">
        <is>
          <t>PR2425-03718</t>
        </is>
      </c>
      <c r="H469" s="5" t="inlineStr">
        <is>
          <t>PO2425-04076</t>
        </is>
      </c>
      <c r="I469" s="290">
        <f>IF(RawDataGenPO[[#This Row],[PO No.]]="","",RawDataGenPO[[#This Row],[DMY Create PR]]+7)</f>
        <v/>
      </c>
      <c r="J469" s="290" t="n"/>
      <c r="K469" s="20" t="n">
        <v>30</v>
      </c>
      <c r="L469" s="5" t="inlineStr">
        <is>
          <t>SFST81000050</t>
        </is>
      </c>
      <c r="M469" s="7" t="inlineStr">
        <is>
          <t>Civill jobs (Floor-Wall-Celling-roof)</t>
        </is>
      </c>
      <c r="N469" s="7" t="inlineStr">
        <is>
          <t>Cevil jobs</t>
        </is>
      </c>
      <c r="O469" s="11" t="n">
        <v>2</v>
      </c>
      <c r="P469" s="10" t="inlineStr">
        <is>
          <t>Pigment (color powder), yellow</t>
        </is>
      </c>
      <c r="Q469" s="277" t="n">
        <v>5</v>
      </c>
      <c r="R469" s="5" t="inlineStr">
        <is>
          <t>PCS.</t>
        </is>
      </c>
      <c r="S469" s="284">
        <f>RawDataGenPO[[#This Row],[Total price]]/RawDataGenPO[[#This Row],[Qty'']]</f>
        <v/>
      </c>
      <c r="T469" s="285" t="n">
        <v>2650</v>
      </c>
      <c r="U469" s="161" t="inlineStr">
        <is>
          <t>Puneet Approval</t>
        </is>
      </c>
      <c r="V469" s="7" t="inlineStr">
        <is>
          <t>V1000198 - APEX ASIA CONSTRUCTION CO.,LTD.</t>
        </is>
      </c>
      <c r="W469" s="5" t="inlineStr">
        <is>
          <t>Recive bill and GRN already</t>
        </is>
      </c>
      <c r="X469" s="5" t="n"/>
      <c r="Y469" s="3" t="n">
        <v>45587</v>
      </c>
      <c r="Z469" s="3" t="n"/>
      <c r="AA469" s="17">
        <f>IF(RawDataGenPO[[#This Row],[Date Gen PO]]="","",RawDataGenPO[[#This Row],[Date recive bill]]-RawDataGenPO[[#This Row],[Date Gen PO]])</f>
        <v/>
      </c>
      <c r="AB469" s="16">
        <f>IF(RawDataGenPO[[#This Row],[GRN-PO date]]&gt;RawDataGenPO[[#This Row],[Lead time delivery (day)]],"over deliverry","Ontime")</f>
        <v/>
      </c>
      <c r="AC469" s="168" t="n"/>
    </row>
    <row r="470" customFormat="1" s="173">
      <c r="A470" s="5">
        <f>ROW()-ROW(RawDataGenPO[[#Headers],[No.]])</f>
        <v/>
      </c>
      <c r="B470" s="7" t="inlineStr">
        <is>
          <t>Expent  cost</t>
        </is>
      </c>
      <c r="C470" s="275" t="n">
        <v>45566</v>
      </c>
      <c r="D470" s="276" t="n"/>
      <c r="E470" s="276" t="n"/>
      <c r="F470" s="275" t="n">
        <v>45566</v>
      </c>
      <c r="G470" s="32" t="inlineStr">
        <is>
          <t>PR2425-03718</t>
        </is>
      </c>
      <c r="H470" s="5" t="inlineStr">
        <is>
          <t>PO2425-04076</t>
        </is>
      </c>
      <c r="I470" s="290">
        <f>IF(RawDataGenPO[[#This Row],[PO No.]]="","",RawDataGenPO[[#This Row],[DMY Create PR]]+7)</f>
        <v/>
      </c>
      <c r="J470" s="290" t="n"/>
      <c r="K470" s="20" t="n">
        <v>30</v>
      </c>
      <c r="L470" s="5" t="inlineStr">
        <is>
          <t>SFST81000050</t>
        </is>
      </c>
      <c r="M470" s="7" t="inlineStr">
        <is>
          <t>Civill jobs (Floor-Wall-Celling-roof)</t>
        </is>
      </c>
      <c r="N470" s="7" t="inlineStr">
        <is>
          <t>Cevil jobs</t>
        </is>
      </c>
      <c r="O470" s="11" t="n">
        <v>2</v>
      </c>
      <c r="P470" s="10" t="inlineStr">
        <is>
          <t>PU HF chemical Part A: 3 kg, Part B: 3 kg</t>
        </is>
      </c>
      <c r="Q470" s="277" t="n">
        <v>10</v>
      </c>
      <c r="R470" s="5" t="inlineStr">
        <is>
          <t>PCS.</t>
        </is>
      </c>
      <c r="S470" s="284">
        <f>RawDataGenPO[[#This Row],[Total price]]/RawDataGenPO[[#This Row],[Qty'']]</f>
        <v/>
      </c>
      <c r="T470" s="285" t="n">
        <v>14500</v>
      </c>
      <c r="U470" s="161" t="inlineStr">
        <is>
          <t>Puneet Approval</t>
        </is>
      </c>
      <c r="V470" s="7" t="inlineStr">
        <is>
          <t>V1000198 - APEX ASIA CONSTRUCTION CO.,LTD.</t>
        </is>
      </c>
      <c r="W470" s="5" t="inlineStr">
        <is>
          <t>Recive bill and GRN already</t>
        </is>
      </c>
      <c r="X470" s="5" t="n"/>
      <c r="Y470" s="3" t="n">
        <v>45587</v>
      </c>
      <c r="Z470" s="3" t="n"/>
      <c r="AA470" s="17">
        <f>IF(RawDataGenPO[[#This Row],[Date Gen PO]]="","",RawDataGenPO[[#This Row],[Date recive bill]]-RawDataGenPO[[#This Row],[Date Gen PO]])</f>
        <v/>
      </c>
      <c r="AB470" s="16">
        <f>IF(RawDataGenPO[[#This Row],[GRN-PO date]]&gt;RawDataGenPO[[#This Row],[Lead time delivery (day)]],"over deliverry","Ontime")</f>
        <v/>
      </c>
      <c r="AC470" s="168" t="n"/>
    </row>
    <row r="471" customFormat="1" s="173">
      <c r="A471" s="5">
        <f>ROW()-ROW(RawDataGenPO[[#Headers],[No.]])</f>
        <v/>
      </c>
      <c r="B471" s="7" t="inlineStr">
        <is>
          <t>Expent  cost</t>
        </is>
      </c>
      <c r="C471" s="275" t="n">
        <v>45562</v>
      </c>
      <c r="D471" s="276" t="n"/>
      <c r="E471" s="276" t="n"/>
      <c r="F471" s="275" t="n">
        <v>45562</v>
      </c>
      <c r="G471" s="5" t="inlineStr">
        <is>
          <t>PR2425-03627</t>
        </is>
      </c>
      <c r="H471" s="181" t="inlineStr">
        <is>
          <t>PO2425-04134</t>
        </is>
      </c>
      <c r="I471" s="290">
        <f>IF(RawDataGenPO[[#This Row],[PO No.]]="","",RawDataGenPO[[#This Row],[DMY Create PR]]+7)</f>
        <v/>
      </c>
      <c r="J471" s="290" t="n"/>
      <c r="K471" s="20" t="n">
        <v>30</v>
      </c>
      <c r="L471" s="5" t="inlineStr">
        <is>
          <t>SFST34000189</t>
        </is>
      </c>
      <c r="M471" s="7" t="inlineStr">
        <is>
          <t>Consumable part for MN</t>
        </is>
      </c>
      <c r="N471" s="7" t="inlineStr">
        <is>
          <t>Consumable part</t>
        </is>
      </c>
      <c r="O471" s="11" t="n">
        <v>1</v>
      </c>
      <c r="P471" s="10" t="inlineStr">
        <is>
          <t>PU Foam Sika Boom AP 500ml</t>
        </is>
      </c>
      <c r="Q471" s="277" t="n">
        <v>1</v>
      </c>
      <c r="R471" s="5" t="inlineStr">
        <is>
          <t>Box</t>
        </is>
      </c>
      <c r="S471" s="284">
        <f>RawDataGenPO[[#This Row],[Total price]]/RawDataGenPO[[#This Row],[Qty'']]</f>
        <v/>
      </c>
      <c r="T471" s="285" t="n">
        <v>2820</v>
      </c>
      <c r="U471" s="161" t="inlineStr">
        <is>
          <t>Puneet Approval</t>
        </is>
      </c>
      <c r="V471" s="7" t="inlineStr">
        <is>
          <t>V1000289 - Kitticharoen Supply Co., Ltd</t>
        </is>
      </c>
      <c r="W471" s="5" t="inlineStr">
        <is>
          <t>Recive bill and GRN already</t>
        </is>
      </c>
      <c r="X471" s="5" t="n"/>
      <c r="Y471" s="3" t="n">
        <v>45583</v>
      </c>
      <c r="Z471" s="3" t="n"/>
      <c r="AA471" s="17">
        <f>IF(RawDataGenPO[[#This Row],[Date Gen PO]]="","",RawDataGenPO[[#This Row],[Date recive bill]]-RawDataGenPO[[#This Row],[Date Gen PO]])</f>
        <v/>
      </c>
      <c r="AB471" s="16">
        <f>IF(RawDataGenPO[[#This Row],[GRN-PO date]]&gt;RawDataGenPO[[#This Row],[Lead time delivery (day)]],"over deliverry","Ontime")</f>
        <v/>
      </c>
      <c r="AC471" s="168" t="n"/>
    </row>
    <row r="472" customFormat="1" s="173">
      <c r="A472" s="5">
        <f>ROW()-ROW(RawDataGenPO[[#Headers],[No.]])</f>
        <v/>
      </c>
      <c r="B472" s="7" t="inlineStr">
        <is>
          <t>Expent  cost</t>
        </is>
      </c>
      <c r="C472" s="275" t="n">
        <v>45562</v>
      </c>
      <c r="D472" s="276" t="n"/>
      <c r="E472" s="276" t="n"/>
      <c r="F472" s="275" t="n">
        <v>45562</v>
      </c>
      <c r="G472" s="5" t="inlineStr">
        <is>
          <t xml:space="preserve">PR2425-03628 </t>
        </is>
      </c>
      <c r="H472" s="180" t="inlineStr">
        <is>
          <t>PO2425-04135</t>
        </is>
      </c>
      <c r="I472" s="290">
        <f>IF(RawDataGenPO[[#This Row],[PO No.]]="","",RawDataGenPO[[#This Row],[DMY Create PR]]+7)</f>
        <v/>
      </c>
      <c r="J472" s="290" t="n"/>
      <c r="K472" s="20" t="n">
        <v>30</v>
      </c>
      <c r="L472" s="5" t="inlineStr">
        <is>
          <t>SFST81000050</t>
        </is>
      </c>
      <c r="M472" s="7" t="inlineStr">
        <is>
          <t>Office tool &amp; machine</t>
        </is>
      </c>
      <c r="N472" s="7" t="inlineStr">
        <is>
          <t>Tool and Equipment</t>
        </is>
      </c>
      <c r="O472" s="11" t="n">
        <v>1</v>
      </c>
      <c r="P472" s="10" t="inlineStr">
        <is>
          <t>KNEE OPERATED WATRE VALVE FOR HAND WASH SINK</t>
        </is>
      </c>
      <c r="Q472" s="277" t="n">
        <v>1</v>
      </c>
      <c r="R472" s="5" t="inlineStr">
        <is>
          <t>PCS.</t>
        </is>
      </c>
      <c r="S472" s="284">
        <f>RawDataGenPO[[#This Row],[Total price]]/RawDataGenPO[[#This Row],[Qty'']]</f>
        <v/>
      </c>
      <c r="T472" s="285" t="n">
        <v>2000</v>
      </c>
      <c r="U472" s="161" t="inlineStr">
        <is>
          <t>Puneet Approval</t>
        </is>
      </c>
      <c r="V472" s="7" t="inlineStr">
        <is>
          <t>V1000302 - AJ KITCHEN &amp; SERVICE CO.,LTD</t>
        </is>
      </c>
      <c r="W472" s="5" t="inlineStr">
        <is>
          <t>Recive bill and GRN already</t>
        </is>
      </c>
      <c r="X472" s="5" t="n"/>
      <c r="Y472" s="3" t="n">
        <v>45583</v>
      </c>
      <c r="Z472" s="3" t="n"/>
      <c r="AA472" s="17">
        <f>IF(RawDataGenPO[[#This Row],[Date Gen PO]]="","",RawDataGenPO[[#This Row],[Date recive bill]]-RawDataGenPO[[#This Row],[Date Gen PO]])</f>
        <v/>
      </c>
      <c r="AB472" s="16">
        <f>IF(RawDataGenPO[[#This Row],[GRN-PO date]]&gt;RawDataGenPO[[#This Row],[Lead time delivery (day)]],"over deliverry","Ontime")</f>
        <v/>
      </c>
      <c r="AC472" s="168" t="n"/>
    </row>
    <row r="473" customFormat="1" s="173">
      <c r="A473" s="5">
        <f>ROW()-ROW(RawDataGenPO[[#Headers],[No.]])</f>
        <v/>
      </c>
      <c r="B473" s="7" t="inlineStr">
        <is>
          <t>Expent  cost</t>
        </is>
      </c>
      <c r="C473" s="275" t="n">
        <v>45562</v>
      </c>
      <c r="D473" s="276" t="n"/>
      <c r="E473" s="276" t="n"/>
      <c r="F473" s="275" t="n">
        <v>45562</v>
      </c>
      <c r="G473" s="5" t="inlineStr">
        <is>
          <t xml:space="preserve">PR2425-03628 </t>
        </is>
      </c>
      <c r="H473" s="179" t="inlineStr">
        <is>
          <t>PO2425-04135</t>
        </is>
      </c>
      <c r="I473" s="290">
        <f>IF(RawDataGenPO[[#This Row],[PO No.]]="","",RawDataGenPO[[#This Row],[DMY Create PR]]+7)</f>
        <v/>
      </c>
      <c r="J473" s="290" t="n"/>
      <c r="K473" s="20" t="n">
        <v>30</v>
      </c>
      <c r="L473" s="5" t="inlineStr">
        <is>
          <t>SFST81000085</t>
        </is>
      </c>
      <c r="M473" s="7" t="inlineStr">
        <is>
          <t>Office tool &amp; machine</t>
        </is>
      </c>
      <c r="N473" s="7" t="inlineStr">
        <is>
          <t>Tool and Equipment</t>
        </is>
      </c>
      <c r="O473" s="11" t="n">
        <v>2</v>
      </c>
      <c r="P473" s="10" t="inlineStr">
        <is>
          <t>General transportation charge</t>
        </is>
      </c>
      <c r="Q473" s="277" t="n">
        <v>1</v>
      </c>
      <c r="R473" s="5" t="inlineStr">
        <is>
          <t>PCS.</t>
        </is>
      </c>
      <c r="S473" s="284">
        <f>RawDataGenPO[[#This Row],[Total price]]/RawDataGenPO[[#This Row],[Qty'']]</f>
        <v/>
      </c>
      <c r="T473" s="285" t="n">
        <v>300</v>
      </c>
      <c r="U473" s="161" t="inlineStr">
        <is>
          <t>Puneet Approval</t>
        </is>
      </c>
      <c r="V473" s="7" t="inlineStr">
        <is>
          <t>V1000302 - AJ KITCHEN &amp; SERVICE CO.,LTD</t>
        </is>
      </c>
      <c r="W473" s="5" t="inlineStr">
        <is>
          <t>Recive bill and GRN already</t>
        </is>
      </c>
      <c r="X473" s="5" t="n"/>
      <c r="Y473" s="3" t="n">
        <v>45583</v>
      </c>
      <c r="Z473" s="3" t="n"/>
      <c r="AA473" s="17">
        <f>IF(RawDataGenPO[[#This Row],[Date Gen PO]]="","",RawDataGenPO[[#This Row],[Date recive bill]]-RawDataGenPO[[#This Row],[Date Gen PO]])</f>
        <v/>
      </c>
      <c r="AB473" s="16">
        <f>IF(RawDataGenPO[[#This Row],[GRN-PO date]]&gt;RawDataGenPO[[#This Row],[Lead time delivery (day)]],"over deliverry","Ontime")</f>
        <v/>
      </c>
      <c r="AC473" s="168" t="n"/>
    </row>
    <row r="474" customFormat="1" s="173">
      <c r="A474" s="5">
        <f>ROW()-ROW(RawDataGenPO[[#Headers],[No.]])</f>
        <v/>
      </c>
      <c r="B474" s="7" t="inlineStr">
        <is>
          <t>Expent  cost</t>
        </is>
      </c>
      <c r="C474" s="275" t="n">
        <v>45567</v>
      </c>
      <c r="D474" s="276" t="n"/>
      <c r="E474" s="276" t="n"/>
      <c r="F474" s="275" t="n">
        <v>45567</v>
      </c>
      <c r="G474" s="5" t="inlineStr">
        <is>
          <t xml:space="preserve">PR2425-03719 </t>
        </is>
      </c>
      <c r="H474" s="5" t="inlineStr">
        <is>
          <t>PO2425-04136</t>
        </is>
      </c>
      <c r="I474" s="290">
        <f>IF(RawDataGenPO[[#This Row],[PO No.]]="","",RawDataGenPO[[#This Row],[DMY Create PR]]+7)</f>
        <v/>
      </c>
      <c r="J474" s="290" t="n"/>
      <c r="K474" s="20">
        <f>IF(RawDataGenPO[[#This Row],[PO No.]]="","",10)</f>
        <v/>
      </c>
      <c r="L474" s="5" t="inlineStr">
        <is>
          <t>SFST81000050</t>
        </is>
      </c>
      <c r="M474" s="7" t="inlineStr">
        <is>
          <t>Tool and Equipment PD M/C</t>
        </is>
      </c>
      <c r="N474" s="7" t="inlineStr">
        <is>
          <t>Tool and Equipment</t>
        </is>
      </c>
      <c r="O474" s="11" t="n">
        <v>1</v>
      </c>
      <c r="P474" s="10" t="inlineStr">
        <is>
          <t>Pareo 3" (080) fixed plate polyurethane caster (solid type)</t>
        </is>
      </c>
      <c r="Q474" s="277" t="n">
        <v>4</v>
      </c>
      <c r="R474" s="5" t="inlineStr">
        <is>
          <t>PCS.</t>
        </is>
      </c>
      <c r="S474" s="284">
        <f>RawDataGenPO[[#This Row],[Total price]]/RawDataGenPO[[#This Row],[Qty'']]</f>
        <v/>
      </c>
      <c r="T474" s="285" t="n">
        <v>2196</v>
      </c>
      <c r="U474" s="291" t="n"/>
      <c r="V474" s="7" t="inlineStr">
        <is>
          <t>V1000266 - HAPPY MOVE CO.,LTD.</t>
        </is>
      </c>
      <c r="W474" s="5" t="inlineStr">
        <is>
          <t>Recive bill and GRN already</t>
        </is>
      </c>
      <c r="X474" s="5" t="n"/>
      <c r="Y474" s="3" t="n">
        <v>45583</v>
      </c>
      <c r="Z474" s="3" t="n"/>
      <c r="AA474" s="17">
        <f>IF(RawDataGenPO[[#This Row],[Date Gen PO]]="","",RawDataGenPO[[#This Row],[Date recive bill]]-RawDataGenPO[[#This Row],[Date Gen PO]])</f>
        <v/>
      </c>
      <c r="AB474" s="16">
        <f>IF(RawDataGenPO[[#This Row],[GRN-PO date]]&gt;RawDataGenPO[[#This Row],[Lead time delivery (day)]],"over deliverry","Ontime")</f>
        <v/>
      </c>
      <c r="AC474" s="168" t="n"/>
    </row>
    <row r="475" customFormat="1" s="173">
      <c r="A475" s="5">
        <f>ROW()-ROW(RawDataGenPO[[#Headers],[No.]])</f>
        <v/>
      </c>
      <c r="B475" s="7" t="inlineStr">
        <is>
          <t>Expent  cost</t>
        </is>
      </c>
      <c r="C475" s="275" t="n">
        <v>45567</v>
      </c>
      <c r="D475" s="276" t="n"/>
      <c r="E475" s="276" t="n"/>
      <c r="F475" s="275" t="n">
        <v>45567</v>
      </c>
      <c r="G475" s="5" t="inlineStr">
        <is>
          <t xml:space="preserve">PR2425-03719 </t>
        </is>
      </c>
      <c r="H475" s="5" t="inlineStr">
        <is>
          <t>PO2425-04136</t>
        </is>
      </c>
      <c r="I475" s="290">
        <f>IF(RawDataGenPO[[#This Row],[PO No.]]="","",RawDataGenPO[[#This Row],[DMY Create PR]]+7)</f>
        <v/>
      </c>
      <c r="J475" s="290" t="n"/>
      <c r="K475" s="20">
        <f>IF(RawDataGenPO[[#This Row],[PO No.]]="","",10)</f>
        <v/>
      </c>
      <c r="L475" s="5" t="inlineStr">
        <is>
          <t>SFST81000050</t>
        </is>
      </c>
      <c r="M475" s="7" t="inlineStr">
        <is>
          <t>Tool and Equipment PD M/C</t>
        </is>
      </c>
      <c r="N475" s="7" t="inlineStr">
        <is>
          <t>Tool and Equipment</t>
        </is>
      </c>
      <c r="O475" s="11" t="n">
        <v>2</v>
      </c>
      <c r="P475" s="10" t="inlineStr">
        <is>
          <t>Pareo 3" (080) brake plate polyurethane caster (solid type)</t>
        </is>
      </c>
      <c r="Q475" s="277" t="n">
        <v>4</v>
      </c>
      <c r="R475" s="5" t="inlineStr">
        <is>
          <t>PCS.</t>
        </is>
      </c>
      <c r="S475" s="284">
        <f>RawDataGenPO[[#This Row],[Total price]]/RawDataGenPO[[#This Row],[Qty'']]</f>
        <v/>
      </c>
      <c r="T475" s="285" t="n">
        <v>3204</v>
      </c>
      <c r="U475" s="291" t="n"/>
      <c r="V475" s="7" t="inlineStr">
        <is>
          <t>V1000266 - HAPPY MOVE CO.,LTD.</t>
        </is>
      </c>
      <c r="W475" s="5" t="inlineStr">
        <is>
          <t>Recive bill and GRN already</t>
        </is>
      </c>
      <c r="X475" s="5" t="n"/>
      <c r="Y475" s="3" t="n">
        <v>45583</v>
      </c>
      <c r="Z475" s="3" t="n"/>
      <c r="AA475" s="17">
        <f>IF(RawDataGenPO[[#This Row],[Date Gen PO]]="","",RawDataGenPO[[#This Row],[Date recive bill]]-RawDataGenPO[[#This Row],[Date Gen PO]])</f>
        <v/>
      </c>
      <c r="AB475" s="16">
        <f>IF(RawDataGenPO[[#This Row],[GRN-PO date]]&gt;RawDataGenPO[[#This Row],[Lead time delivery (day)]],"over deliverry","Ontime")</f>
        <v/>
      </c>
      <c r="AC475" s="168" t="n"/>
    </row>
    <row r="476" customFormat="1" s="173">
      <c r="A476" s="5">
        <f>ROW()-ROW(RawDataGenPO[[#Headers],[No.]])</f>
        <v/>
      </c>
      <c r="B476" s="7" t="inlineStr">
        <is>
          <t>Expent  cost</t>
        </is>
      </c>
      <c r="C476" s="275" t="n">
        <v>45567</v>
      </c>
      <c r="D476" s="276" t="n"/>
      <c r="E476" s="276" t="n"/>
      <c r="F476" s="275" t="n">
        <v>45567</v>
      </c>
      <c r="G476" s="5" t="inlineStr">
        <is>
          <t xml:space="preserve">PR2425-03719 </t>
        </is>
      </c>
      <c r="H476" s="5" t="inlineStr">
        <is>
          <t>PO2425-04137</t>
        </is>
      </c>
      <c r="I476" s="290">
        <f>IF(RawDataGenPO[[#This Row],[PO No.]]="","",RawDataGenPO[[#This Row],[DMY Create PR]]+7)</f>
        <v/>
      </c>
      <c r="J476" s="290" t="n"/>
      <c r="K476" s="20">
        <f>IF(RawDataGenPO[[#This Row],[PO No.]]="","",10)</f>
        <v/>
      </c>
      <c r="L476" s="5" t="inlineStr">
        <is>
          <t>SFST81000050</t>
        </is>
      </c>
      <c r="M476" s="7" t="inlineStr">
        <is>
          <t>Tool and Equipment PD M/C</t>
        </is>
      </c>
      <c r="N476" s="7" t="inlineStr">
        <is>
          <t>Tool and Equipment</t>
        </is>
      </c>
      <c r="O476" s="11" t="n">
        <v>1</v>
      </c>
      <c r="P476" s="178" t="inlineStr">
        <is>
          <t>Threaded rivet nut M8</t>
        </is>
      </c>
      <c r="Q476" s="277" t="n">
        <v>8</v>
      </c>
      <c r="R476" s="5" t="inlineStr">
        <is>
          <t>PCS.</t>
        </is>
      </c>
      <c r="S476" s="284">
        <f>RawDataGenPO[[#This Row],[Total price]]/RawDataGenPO[[#This Row],[Qty'']]</f>
        <v/>
      </c>
      <c r="T476" s="285" t="n">
        <v>1440</v>
      </c>
      <c r="U476" s="161" t="inlineStr">
        <is>
          <t>Puneet Approval</t>
        </is>
      </c>
      <c r="V476" s="7" t="inlineStr">
        <is>
          <t>V1000289 - Kitticharoen Supply Co., Ltd</t>
        </is>
      </c>
      <c r="W476" s="5" t="inlineStr">
        <is>
          <t>Recive bill and GRN already</t>
        </is>
      </c>
      <c r="X476" s="5" t="n"/>
      <c r="Y476" s="3" t="n">
        <v>45583</v>
      </c>
      <c r="Z476" s="3" t="n"/>
      <c r="AA476" s="17">
        <f>IF(RawDataGenPO[[#This Row],[Date Gen PO]]="","",RawDataGenPO[[#This Row],[Date recive bill]]-RawDataGenPO[[#This Row],[Date Gen PO]])</f>
        <v/>
      </c>
      <c r="AB476" s="16">
        <f>IF(RawDataGenPO[[#This Row],[GRN-PO date]]&gt;RawDataGenPO[[#This Row],[Lead time delivery (day)]],"over deliverry","Ontime")</f>
        <v/>
      </c>
      <c r="AC476" s="168" t="n"/>
    </row>
    <row r="477" customFormat="1" s="173">
      <c r="A477" s="5">
        <f>ROW()-ROW(RawDataGenPO[[#Headers],[No.]])</f>
        <v/>
      </c>
      <c r="B477" s="7" t="inlineStr">
        <is>
          <t>Expent  cost</t>
        </is>
      </c>
      <c r="C477" s="275" t="n">
        <v>45567</v>
      </c>
      <c r="D477" s="276" t="n"/>
      <c r="E477" s="276" t="n"/>
      <c r="F477" s="275" t="n">
        <v>45567</v>
      </c>
      <c r="G477" s="5" t="inlineStr">
        <is>
          <t xml:space="preserve">PR2425-03719 </t>
        </is>
      </c>
      <c r="H477" s="5" t="inlineStr">
        <is>
          <t>PO2425-04137</t>
        </is>
      </c>
      <c r="I477" s="290">
        <f>IF(RawDataGenPO[[#This Row],[PO No.]]="","",RawDataGenPO[[#This Row],[DMY Create PR]]+7)</f>
        <v/>
      </c>
      <c r="J477" s="290" t="n"/>
      <c r="K477" s="20">
        <f>IF(RawDataGenPO[[#This Row],[PO No.]]="","",10)</f>
        <v/>
      </c>
      <c r="L477" s="5" t="inlineStr">
        <is>
          <t>SFST81000050</t>
        </is>
      </c>
      <c r="M477" s="7" t="inlineStr">
        <is>
          <t>Tool and Equipment PD M/C</t>
        </is>
      </c>
      <c r="N477" s="7" t="inlineStr">
        <is>
          <t>Tool and Equipment</t>
        </is>
      </c>
      <c r="O477" s="11" t="n">
        <v>2</v>
      </c>
      <c r="P477" s="10" t="inlineStr">
        <is>
          <t>Stainless steel 304 plate, thickness 5 mm, 105 x 85 mm</t>
        </is>
      </c>
      <c r="Q477" s="277" t="n">
        <v>40</v>
      </c>
      <c r="R477" s="5" t="inlineStr">
        <is>
          <t>PCS.</t>
        </is>
      </c>
      <c r="S477" s="284">
        <f>RawDataGenPO[[#This Row],[Total price]]/RawDataGenPO[[#This Row],[Qty'']]</f>
        <v/>
      </c>
      <c r="T477" s="285" t="n">
        <v>240</v>
      </c>
      <c r="U477" s="161" t="inlineStr">
        <is>
          <t>Puneet Approval</t>
        </is>
      </c>
      <c r="V477" s="7" t="inlineStr">
        <is>
          <t>V1000289 - Kitticharoen Supply Co., Ltd</t>
        </is>
      </c>
      <c r="W477" s="5" t="inlineStr">
        <is>
          <t>Recive bill and GRN already</t>
        </is>
      </c>
      <c r="X477" s="5" t="n"/>
      <c r="Y477" s="3" t="n">
        <v>45583</v>
      </c>
      <c r="Z477" s="3" t="n"/>
      <c r="AA477" s="17">
        <f>IF(RawDataGenPO[[#This Row],[Date Gen PO]]="","",RawDataGenPO[[#This Row],[Date recive bill]]-RawDataGenPO[[#This Row],[Date Gen PO]])</f>
        <v/>
      </c>
      <c r="AB477" s="16">
        <f>IF(RawDataGenPO[[#This Row],[GRN-PO date]]&gt;RawDataGenPO[[#This Row],[Lead time delivery (day)]],"over deliverry","Ontime")</f>
        <v/>
      </c>
      <c r="AC477" s="168" t="n"/>
    </row>
    <row r="478" customFormat="1" s="173">
      <c r="A478" s="5">
        <f>ROW()-ROW(RawDataGenPO[[#Headers],[No.]])</f>
        <v/>
      </c>
      <c r="B478" s="7" t="inlineStr">
        <is>
          <t>Expent  cost</t>
        </is>
      </c>
      <c r="C478" s="275" t="n">
        <v>45567</v>
      </c>
      <c r="D478" s="276" t="n"/>
      <c r="E478" s="276" t="n"/>
      <c r="F478" s="275" t="n">
        <v>45567</v>
      </c>
      <c r="G478" s="5" t="inlineStr">
        <is>
          <t xml:space="preserve">PR2425-03719 </t>
        </is>
      </c>
      <c r="H478" s="5" t="inlineStr">
        <is>
          <t>PO2425-04137</t>
        </is>
      </c>
      <c r="I478" s="290">
        <f>IF(RawDataGenPO[[#This Row],[PO No.]]="","",RawDataGenPO[[#This Row],[DMY Create PR]]+7)</f>
        <v/>
      </c>
      <c r="J478" s="290" t="n"/>
      <c r="K478" s="20">
        <f>IF(RawDataGenPO[[#This Row],[PO No.]]="","",10)</f>
        <v/>
      </c>
      <c r="L478" s="5" t="inlineStr">
        <is>
          <t>SFST81000050</t>
        </is>
      </c>
      <c r="M478" s="7" t="inlineStr">
        <is>
          <t>Tool and Equipment PD M/C</t>
        </is>
      </c>
      <c r="N478" s="7" t="inlineStr">
        <is>
          <t>Tool and Equipment</t>
        </is>
      </c>
      <c r="O478" s="11" t="n">
        <v>3</v>
      </c>
      <c r="P478" s="10" t="inlineStr">
        <is>
          <t>Stainless steel 304 round head countersunk screw M8x15 mm</t>
        </is>
      </c>
      <c r="Q478" s="277" t="n">
        <v>40</v>
      </c>
      <c r="R478" s="5" t="inlineStr">
        <is>
          <t>PCS.</t>
        </is>
      </c>
      <c r="S478" s="284">
        <f>RawDataGenPO[[#This Row],[Total price]]/RawDataGenPO[[#This Row],[Qty'']]</f>
        <v/>
      </c>
      <c r="T478" s="285" t="n">
        <v>280</v>
      </c>
      <c r="U478" s="161" t="inlineStr">
        <is>
          <t>Puneet Approval</t>
        </is>
      </c>
      <c r="V478" s="7" t="inlineStr">
        <is>
          <t>V1000289 - Kitticharoen Supply Co., Ltd</t>
        </is>
      </c>
      <c r="W478" s="5" t="inlineStr">
        <is>
          <t>Recive bill and GRN already</t>
        </is>
      </c>
      <c r="X478" s="5" t="n"/>
      <c r="Y478" s="3" t="n">
        <v>45583</v>
      </c>
      <c r="Z478" s="3" t="n"/>
      <c r="AA478" s="17">
        <f>IF(RawDataGenPO[[#This Row],[Date Gen PO]]="","",RawDataGenPO[[#This Row],[Date recive bill]]-RawDataGenPO[[#This Row],[Date Gen PO]])</f>
        <v/>
      </c>
      <c r="AB478" s="16">
        <f>IF(RawDataGenPO[[#This Row],[GRN-PO date]]&gt;RawDataGenPO[[#This Row],[Lead time delivery (day)]],"over deliverry","Ontime")</f>
        <v/>
      </c>
      <c r="AC478" s="168" t="n"/>
    </row>
    <row r="479" customFormat="1" s="173">
      <c r="A479" s="5">
        <f>ROW()-ROW(RawDataGenPO[[#Headers],[No.]])</f>
        <v/>
      </c>
      <c r="B479" s="7" t="inlineStr">
        <is>
          <t>Expent  cost</t>
        </is>
      </c>
      <c r="C479" s="275" t="n">
        <v>45567</v>
      </c>
      <c r="D479" s="276" t="n"/>
      <c r="E479" s="276" t="n"/>
      <c r="F479" s="275" t="n">
        <v>45567</v>
      </c>
      <c r="G479" s="5" t="inlineStr">
        <is>
          <t xml:space="preserve">PR2425-03719 </t>
        </is>
      </c>
      <c r="H479" s="5" t="inlineStr">
        <is>
          <t>PO2425-04137</t>
        </is>
      </c>
      <c r="I479" s="290">
        <f>IF(RawDataGenPO[[#This Row],[PO No.]]="","",RawDataGenPO[[#This Row],[DMY Create PR]]+7)</f>
        <v/>
      </c>
      <c r="J479" s="290" t="n"/>
      <c r="K479" s="20">
        <f>IF(RawDataGenPO[[#This Row],[PO No.]]="","",10)</f>
        <v/>
      </c>
      <c r="L479" s="5" t="inlineStr">
        <is>
          <t>SFST81000050</t>
        </is>
      </c>
      <c r="M479" s="7" t="inlineStr">
        <is>
          <t>Tool and Equipment PD M/C</t>
        </is>
      </c>
      <c r="N479" s="7" t="inlineStr">
        <is>
          <t>Tool and Equipment</t>
        </is>
      </c>
      <c r="O479" s="11" t="n">
        <v>4</v>
      </c>
      <c r="P479" s="10" t="inlineStr">
        <is>
          <t>Stainless steel pipe 304, SCH10, 1-1/2"</t>
        </is>
      </c>
      <c r="Q479" s="277" t="n">
        <v>1</v>
      </c>
      <c r="R479" s="5" t="inlineStr">
        <is>
          <t>PCS.</t>
        </is>
      </c>
      <c r="S479" s="284">
        <f>RawDataGenPO[[#This Row],[Total price]]/RawDataGenPO[[#This Row],[Qty'']]</f>
        <v/>
      </c>
      <c r="T479" s="285" t="n">
        <v>2450</v>
      </c>
      <c r="U479" s="161" t="inlineStr">
        <is>
          <t>Puneet Approval</t>
        </is>
      </c>
      <c r="V479" s="7" t="inlineStr">
        <is>
          <t>V1000289 - Kitticharoen Supply Co., Ltd</t>
        </is>
      </c>
      <c r="W479" s="5" t="inlineStr">
        <is>
          <t>Recive bill and GRN already</t>
        </is>
      </c>
      <c r="X479" s="5" t="n"/>
      <c r="Y479" s="3" t="n">
        <v>45583</v>
      </c>
      <c r="Z479" s="3" t="n"/>
      <c r="AA479" s="17">
        <f>IF(RawDataGenPO[[#This Row],[Date Gen PO]]="","",RawDataGenPO[[#This Row],[Date recive bill]]-RawDataGenPO[[#This Row],[Date Gen PO]])</f>
        <v/>
      </c>
      <c r="AB479" s="16">
        <f>IF(RawDataGenPO[[#This Row],[GRN-PO date]]&gt;RawDataGenPO[[#This Row],[Lead time delivery (day)]],"over deliverry","Ontime")</f>
        <v/>
      </c>
      <c r="AC479" s="168" t="n"/>
    </row>
    <row r="480" customFormat="1" s="173">
      <c r="A480" s="5">
        <f>ROW()-ROW(RawDataGenPO[[#Headers],[No.]])</f>
        <v/>
      </c>
      <c r="B480" s="7" t="inlineStr">
        <is>
          <t>Expent  cost</t>
        </is>
      </c>
      <c r="C480" s="275" t="n">
        <v>45567</v>
      </c>
      <c r="D480" s="276" t="n"/>
      <c r="E480" s="276" t="n"/>
      <c r="F480" s="275" t="n">
        <v>45567</v>
      </c>
      <c r="G480" s="5" t="inlineStr">
        <is>
          <t xml:space="preserve">PR2425-03719 </t>
        </is>
      </c>
      <c r="H480" s="5" t="inlineStr">
        <is>
          <t>PO2425-04138</t>
        </is>
      </c>
      <c r="I480" s="290">
        <f>IF(RawDataGenPO[[#This Row],[PO No.]]="","",RawDataGenPO[[#This Row],[DMY Create PR]]+7)</f>
        <v/>
      </c>
      <c r="J480" s="290" t="n"/>
      <c r="K480" s="20" t="n">
        <v>30</v>
      </c>
      <c r="L480" s="5" t="inlineStr">
        <is>
          <t>SFST81000050</t>
        </is>
      </c>
      <c r="M480" s="7" t="inlineStr">
        <is>
          <t>Tool and Equipment PD M/C</t>
        </is>
      </c>
      <c r="N480" s="7" t="inlineStr">
        <is>
          <t>Tool and Equipment</t>
        </is>
      </c>
      <c r="O480" s="11" t="n">
        <v>1</v>
      </c>
      <c r="P480" s="10" t="inlineStr">
        <is>
          <t>Stainless steel 304 plate, thickness 5 mm, 300 x 150 mm</t>
        </is>
      </c>
      <c r="Q480" s="277" t="n">
        <v>2</v>
      </c>
      <c r="R480" s="5" t="inlineStr">
        <is>
          <t>PCS.</t>
        </is>
      </c>
      <c r="S480" s="284">
        <f>RawDataGenPO[[#This Row],[Total price]]/RawDataGenPO[[#This Row],[Qty'']]</f>
        <v/>
      </c>
      <c r="T480" s="285" t="n">
        <v>640</v>
      </c>
      <c r="U480" s="161" t="inlineStr">
        <is>
          <t>Puneet Approval</t>
        </is>
      </c>
      <c r="V480" s="7" t="inlineStr">
        <is>
          <t>V1000306 - Inter Supply (1992) Co., Ltd.</t>
        </is>
      </c>
      <c r="W480" s="5" t="inlineStr">
        <is>
          <t>Recive bill and GRN already</t>
        </is>
      </c>
      <c r="X480" s="5" t="n"/>
      <c r="Y480" s="3" t="n">
        <v>45589</v>
      </c>
      <c r="Z480" s="3" t="n"/>
      <c r="AA480" s="17">
        <f>IF(RawDataGenPO[[#This Row],[Date Gen PO]]="","",RawDataGenPO[[#This Row],[Date recive bill]]-RawDataGenPO[[#This Row],[Date Gen PO]])</f>
        <v/>
      </c>
      <c r="AB480" s="16">
        <f>IF(RawDataGenPO[[#This Row],[GRN-PO date]]&gt;RawDataGenPO[[#This Row],[Lead time delivery (day)]],"over deliverry","Ontime")</f>
        <v/>
      </c>
      <c r="AC480" s="168" t="n"/>
    </row>
    <row r="481" customFormat="1" s="173">
      <c r="A481" s="5">
        <f>ROW()-ROW(RawDataGenPO[[#Headers],[No.]])</f>
        <v/>
      </c>
      <c r="B481" s="7" t="inlineStr">
        <is>
          <t>Expent  cost</t>
        </is>
      </c>
      <c r="C481" s="275" t="n">
        <v>45567</v>
      </c>
      <c r="D481" s="276" t="n"/>
      <c r="E481" s="276" t="n"/>
      <c r="F481" s="275" t="n">
        <v>45567</v>
      </c>
      <c r="G481" s="5" t="inlineStr">
        <is>
          <t xml:space="preserve">PR2425-03719 </t>
        </is>
      </c>
      <c r="H481" s="5" t="inlineStr">
        <is>
          <t>PO2425-04138</t>
        </is>
      </c>
      <c r="I481" s="290">
        <f>IF(RawDataGenPO[[#This Row],[PO No.]]="","",RawDataGenPO[[#This Row],[DMY Create PR]]+7)</f>
        <v/>
      </c>
      <c r="J481" s="290" t="n"/>
      <c r="K481" s="20" t="n">
        <v>30</v>
      </c>
      <c r="L481" s="5" t="inlineStr">
        <is>
          <t>SFST81000050</t>
        </is>
      </c>
      <c r="M481" s="7" t="inlineStr">
        <is>
          <t>Tool and Equipment PD M/C</t>
        </is>
      </c>
      <c r="N481" s="7" t="inlineStr">
        <is>
          <t>Tool and Equipment</t>
        </is>
      </c>
      <c r="O481" s="11" t="n">
        <v>2</v>
      </c>
      <c r="P481" s="10" t="inlineStr">
        <is>
          <t>Stainless steel 304 hex bolt and nut M8x15 (head + flat washer)</t>
        </is>
      </c>
      <c r="Q481" s="277" t="n">
        <v>40</v>
      </c>
      <c r="R481" s="5" t="inlineStr">
        <is>
          <t>PCS.</t>
        </is>
      </c>
      <c r="S481" s="284">
        <f>RawDataGenPO[[#This Row],[Total price]]/RawDataGenPO[[#This Row],[Qty'']]</f>
        <v/>
      </c>
      <c r="T481" s="285" t="n">
        <v>280</v>
      </c>
      <c r="U481" s="161" t="inlineStr">
        <is>
          <t>Puneet Approval</t>
        </is>
      </c>
      <c r="V481" s="7" t="inlineStr">
        <is>
          <t>V1000306 - Inter Supply (1992) Co., Ltd.</t>
        </is>
      </c>
      <c r="W481" s="5" t="inlineStr">
        <is>
          <t>Recive bill and GRN already</t>
        </is>
      </c>
      <c r="X481" s="5" t="n"/>
      <c r="Y481" s="3" t="n">
        <v>45589</v>
      </c>
      <c r="Z481" s="3" t="n"/>
      <c r="AA481" s="17">
        <f>IF(RawDataGenPO[[#This Row],[Date Gen PO]]="","",RawDataGenPO[[#This Row],[Date recive bill]]-RawDataGenPO[[#This Row],[Date Gen PO]])</f>
        <v/>
      </c>
      <c r="AB481" s="16">
        <f>IF(RawDataGenPO[[#This Row],[GRN-PO date]]&gt;RawDataGenPO[[#This Row],[Lead time delivery (day)]],"over deliverry","Ontime")</f>
        <v/>
      </c>
      <c r="AC481" s="168" t="n"/>
    </row>
    <row r="482" customFormat="1" s="173">
      <c r="A482" s="5">
        <f>ROW()-ROW(RawDataGenPO[[#Headers],[No.]])</f>
        <v/>
      </c>
      <c r="B482" s="7" t="inlineStr">
        <is>
          <t>Expent  cost</t>
        </is>
      </c>
      <c r="C482" s="275" t="n">
        <v>45570</v>
      </c>
      <c r="D482" s="2" t="n"/>
      <c r="E482" s="276" t="n"/>
      <c r="F482" s="275" t="n">
        <v>45570</v>
      </c>
      <c r="G482" s="5" t="inlineStr">
        <is>
          <t>PR2425-03748</t>
        </is>
      </c>
      <c r="H482" s="5" t="inlineStr">
        <is>
          <t>PO2425-04139</t>
        </is>
      </c>
      <c r="I482" s="290">
        <f>IF(RawDataGenPO[[#This Row],[PO No.]]="","",RawDataGenPO[[#This Row],[DMY Create PR]]+7)</f>
        <v/>
      </c>
      <c r="J482" s="290" t="n"/>
      <c r="K482" s="20" t="n">
        <v>30</v>
      </c>
      <c r="L482" s="5" t="inlineStr">
        <is>
          <t>SFST81000048</t>
        </is>
      </c>
      <c r="M482" s="7" t="inlineStr">
        <is>
          <t>Utility Jobs  (Boiler-Air compress-Transformer-LPG)</t>
        </is>
      </c>
      <c r="N482" s="7" t="inlineStr">
        <is>
          <t>Cooling system jobs</t>
        </is>
      </c>
      <c r="O482" s="11" t="n">
        <v>3</v>
      </c>
      <c r="P482" s="10" t="inlineStr">
        <is>
          <t>Heater Defrost Air Blast No.2 replacement/swap work with operational testing</t>
        </is>
      </c>
      <c r="Q482" s="277" t="n">
        <v>1</v>
      </c>
      <c r="R482" s="5" t="inlineStr">
        <is>
          <t>JOB.</t>
        </is>
      </c>
      <c r="S482" s="284">
        <f>RawDataGenPO[[#This Row],[Total price]]/RawDataGenPO[[#This Row],[Qty'']]</f>
        <v/>
      </c>
      <c r="T482" s="285" t="n">
        <v>13500</v>
      </c>
      <c r="U482" s="161" t="inlineStr">
        <is>
          <t>Puneet Approval</t>
        </is>
      </c>
      <c r="V482" s="7" t="inlineStr">
        <is>
          <t xml:space="preserve"> V1000055 - I.T.C.(1993) CO.,LTD.</t>
        </is>
      </c>
      <c r="W482" s="6" t="inlineStr">
        <is>
          <t>Recive bill and GRN already</t>
        </is>
      </c>
      <c r="X482" s="5" t="n"/>
      <c r="Y482" s="3" t="n">
        <v>45590</v>
      </c>
      <c r="Z482" s="3" t="n"/>
      <c r="AA482" s="17">
        <f>IF(RawDataGenPO[[#This Row],[Date Gen PO]]="","",RawDataGenPO[[#This Row],[Date recive bill]]-RawDataGenPO[[#This Row],[Date Gen PO]])</f>
        <v/>
      </c>
      <c r="AB482" s="16">
        <f>IF(RawDataGenPO[[#This Row],[GRN-PO date]]&gt;RawDataGenPO[[#This Row],[Lead time delivery (day)]],"over deliverry","Ontime")</f>
        <v/>
      </c>
      <c r="AC482" s="168" t="n"/>
    </row>
    <row r="483" ht="105.5999984741211" customFormat="1" customHeight="1" s="173">
      <c r="A483" s="5">
        <f>ROW()-ROW(RawDataGenPO[[#Headers],[No.]])</f>
        <v/>
      </c>
      <c r="B483" s="7" t="inlineStr">
        <is>
          <t>Expent  cost</t>
        </is>
      </c>
      <c r="C483" s="275" t="n">
        <v>45568</v>
      </c>
      <c r="D483" s="276" t="n"/>
      <c r="E483" s="276" t="n"/>
      <c r="F483" s="275" t="n">
        <v>45568</v>
      </c>
      <c r="G483" s="5" t="inlineStr">
        <is>
          <t>PR2425-03747</t>
        </is>
      </c>
      <c r="H483" s="5" t="inlineStr">
        <is>
          <t xml:space="preserve">PO2425-04140 </t>
        </is>
      </c>
      <c r="I483" s="290">
        <f>IF(RawDataGenPO[[#This Row],[PO No.]]="","",RawDataGenPO[[#This Row],[DMY Create PR]]+7)</f>
        <v/>
      </c>
      <c r="J483" s="290" t="n">
        <v>45575</v>
      </c>
      <c r="K483" s="20" t="n">
        <v>30</v>
      </c>
      <c r="L483" s="5" t="inlineStr">
        <is>
          <t>SFST81000048</t>
        </is>
      </c>
      <c r="M483" s="7" t="inlineStr">
        <is>
          <t>Cooling machine for PD line</t>
        </is>
      </c>
      <c r="N483" s="7" t="inlineStr">
        <is>
          <t>Condencer Unit No.22 (COLD7)</t>
        </is>
      </c>
      <c r="O483" s="11" t="n">
        <v>1</v>
      </c>
      <c r="P483" s="10" t="inlineStr">
        <is>
          <t>Cold Room No.7
Labour cost
-Replace the expansion valve
-Leak test with Nitrogen
-System evacuation
-Charge refrigerant (R-507) and system commissioning (Expansion valve and R-507 are provided by customer)</t>
        </is>
      </c>
      <c r="Q483" s="277" t="n">
        <v>1</v>
      </c>
      <c r="R483" s="5" t="inlineStr">
        <is>
          <t>JOB.</t>
        </is>
      </c>
      <c r="S483" s="284">
        <f>RawDataGenPO[[#This Row],[Total price]]/RawDataGenPO[[#This Row],[Qty'']]</f>
        <v/>
      </c>
      <c r="T483" s="278" t="n">
        <v>24500</v>
      </c>
      <c r="U483" s="161" t="inlineStr">
        <is>
          <t>Puneet Approval</t>
        </is>
      </c>
      <c r="V483" s="7" t="inlineStr">
        <is>
          <t xml:space="preserve"> V1000055 - I.T.C.(1993) CO.,LTD.</t>
        </is>
      </c>
      <c r="W483" s="5" t="inlineStr">
        <is>
          <t>Recive bill and GRN already</t>
        </is>
      </c>
      <c r="X483" s="5" t="n"/>
      <c r="Y483" s="3" t="n">
        <v>45590</v>
      </c>
      <c r="Z483" s="3" t="n"/>
      <c r="AA483" s="17">
        <f>IF(RawDataGenPO[[#This Row],[Date Gen PO]]="","",RawDataGenPO[[#This Row],[Date recive bill]]-RawDataGenPO[[#This Row],[Date Gen PO]])</f>
        <v/>
      </c>
      <c r="AB483" s="16">
        <f>IF(RawDataGenPO[[#This Row],[GRN-PO date]]&gt;RawDataGenPO[[#This Row],[Lead time delivery (day)]],"over deliverry","Ontime")</f>
        <v/>
      </c>
      <c r="AC483" s="22" t="n"/>
    </row>
    <row r="484" customFormat="1" s="173">
      <c r="A484" s="5">
        <f>ROW()-ROW(RawDataGenPO[[#Headers],[No.]])</f>
        <v/>
      </c>
      <c r="B484" s="7" t="inlineStr">
        <is>
          <t>Expent  cost</t>
        </is>
      </c>
      <c r="C484" s="275" t="n">
        <v>45565</v>
      </c>
      <c r="D484" s="276" t="n"/>
      <c r="E484" s="276" t="n"/>
      <c r="F484" s="275" t="n">
        <v>45565</v>
      </c>
      <c r="G484" s="5" t="inlineStr">
        <is>
          <t>PR2425-03657</t>
        </is>
      </c>
      <c r="H484" s="5" t="inlineStr">
        <is>
          <t xml:space="preserve">PO2425-04141 </t>
        </is>
      </c>
      <c r="I484" s="290">
        <f>IF(RawDataGenPO[[#This Row],[PO No.]]="","",RawDataGenPO[[#This Row],[DMY Create PR]]+7)</f>
        <v/>
      </c>
      <c r="J484" s="290" t="n">
        <v>7</v>
      </c>
      <c r="K484" s="20" t="n">
        <v>30</v>
      </c>
      <c r="L484" s="5" t="inlineStr">
        <is>
          <t>SFST81000048</t>
        </is>
      </c>
      <c r="M484" s="7" t="inlineStr">
        <is>
          <t>Cooling machine for PD line</t>
        </is>
      </c>
      <c r="N484" s="7" t="inlineStr">
        <is>
          <t>Condencer Unit No.29 (Air Blast Freezer2)</t>
        </is>
      </c>
      <c r="O484" s="11" t="n">
        <v>1</v>
      </c>
      <c r="P484" s="10" t="inlineStr">
        <is>
          <t>Inspection service charge for AIR BLAST FREEZER NO.2</t>
        </is>
      </c>
      <c r="Q484" s="277" t="n">
        <v>1</v>
      </c>
      <c r="R484" s="5" t="inlineStr">
        <is>
          <t>JOB</t>
        </is>
      </c>
      <c r="S484" s="284">
        <f>RawDataGenPO[[#This Row],[Total price]]/RawDataGenPO[[#This Row],[Qty'']]</f>
        <v/>
      </c>
      <c r="T484" s="278" t="n">
        <v>6500</v>
      </c>
      <c r="U484" s="161" t="inlineStr">
        <is>
          <t>Puneet Approval</t>
        </is>
      </c>
      <c r="V484" s="7" t="inlineStr">
        <is>
          <t>V1000055 - I.T.C.(1993) CO.,LTD.</t>
        </is>
      </c>
      <c r="W484" s="6" t="inlineStr">
        <is>
          <t>Recive bill and GRN already</t>
        </is>
      </c>
      <c r="X484" s="5" t="n"/>
      <c r="Y484" s="3" t="n">
        <v>45590</v>
      </c>
      <c r="Z484" s="3" t="n"/>
      <c r="AA484" s="17">
        <f>IF(RawDataGenPO[[#This Row],[Date Gen PO]]="","",RawDataGenPO[[#This Row],[Date recive bill]]-RawDataGenPO[[#This Row],[Date Gen PO]])</f>
        <v/>
      </c>
      <c r="AB484" s="16">
        <f>IF(RawDataGenPO[[#This Row],[GRN-PO date]]&gt;RawDataGenPO[[#This Row],[Lead time delivery (day)]],"over deliverry","Ontime")</f>
        <v/>
      </c>
      <c r="AC484" s="22" t="n"/>
    </row>
    <row r="485" ht="60.59999847412109" customFormat="1" customHeight="1" s="173">
      <c r="A485" s="5">
        <f>ROW()-ROW(RawDataGenPO[[#Headers],[No.]])</f>
        <v/>
      </c>
      <c r="B485" s="7" t="inlineStr">
        <is>
          <t>Expent  cost</t>
        </is>
      </c>
      <c r="C485" s="275" t="n">
        <v>45573</v>
      </c>
      <c r="D485" s="276" t="n"/>
      <c r="E485" s="276" t="n"/>
      <c r="F485" s="275" t="n">
        <v>45573</v>
      </c>
      <c r="G485" s="5" t="inlineStr">
        <is>
          <t>PR2425-03805</t>
        </is>
      </c>
      <c r="H485" s="5" t="inlineStr">
        <is>
          <t xml:space="preserve">PO2425-04188 </t>
        </is>
      </c>
      <c r="I485" s="290">
        <f>IF(RawDataGenPO[[#This Row],[PO No.]]="","",RawDataGenPO[[#This Row],[DMY Create PR]]+7)</f>
        <v/>
      </c>
      <c r="J485" s="290" t="n">
        <v>45686</v>
      </c>
      <c r="K485" s="20" t="n">
        <v>60</v>
      </c>
      <c r="L485" s="5" t="inlineStr">
        <is>
          <t>SFST81000048</t>
        </is>
      </c>
      <c r="M485" s="7" t="inlineStr">
        <is>
          <t>Civill jobs (Floor-Wall-Celling-roof)</t>
        </is>
      </c>
      <c r="N485" s="7" t="inlineStr">
        <is>
          <t>Cevil jobs</t>
        </is>
      </c>
      <c r="O485" s="11" t="n">
        <v>1</v>
      </c>
      <c r="P485" s="10" t="inlineStr">
        <is>
          <t>Repair Container (Entrance - Exit)
- Floor with 20 mm VIVA board overlaid with ceramic tiles
- Reinforce steel frame, reduce base span from 1.20 m to 0.60 m
- Add 4 support points under the container to increase strength</t>
        </is>
      </c>
      <c r="Q485" s="277" t="n">
        <v>1</v>
      </c>
      <c r="R485" s="5" t="inlineStr">
        <is>
          <t>JOB.</t>
        </is>
      </c>
      <c r="S485" s="284">
        <f>RawDataGenPO[[#This Row],[Total price]]/RawDataGenPO[[#This Row],[Qty'']]</f>
        <v/>
      </c>
      <c r="T485" s="285" t="n">
        <v>42500</v>
      </c>
      <c r="U485" s="161" t="inlineStr">
        <is>
          <t>Puneet Approval</t>
        </is>
      </c>
      <c r="V485" s="7" t="inlineStr">
        <is>
          <t>V1000664 - KITTI GROUP COMPANY LIMITED</t>
        </is>
      </c>
      <c r="W485" s="5" t="inlineStr">
        <is>
          <t>Recive bill and GRN already</t>
        </is>
      </c>
      <c r="X485" s="5" t="n"/>
      <c r="Y485" s="3" t="n">
        <v>45635</v>
      </c>
      <c r="Z485" s="3" t="n"/>
      <c r="AA485" s="17">
        <f>IF(RawDataGenPO[[#This Row],[Date Gen PO]]="","",RawDataGenPO[[#This Row],[Date recive bill]]-RawDataGenPO[[#This Row],[Date Gen PO]])</f>
        <v/>
      </c>
      <c r="AB485" s="16">
        <f>IF(RawDataGenPO[[#This Row],[GRN-PO date]]&gt;RawDataGenPO[[#This Row],[Lead time delivery (day)]],"over deliverry","Ontime")</f>
        <v/>
      </c>
      <c r="AC485" s="168" t="n"/>
    </row>
    <row r="486" ht="60.59999847412109" customFormat="1" customHeight="1" s="173">
      <c r="A486" s="5">
        <f>ROW()-ROW(RawDataGenPO[[#Headers],[No.]])</f>
        <v/>
      </c>
      <c r="B486" s="7" t="inlineStr">
        <is>
          <t>Expent  cost</t>
        </is>
      </c>
      <c r="C486" s="275" t="n">
        <v>45573</v>
      </c>
      <c r="D486" s="276" t="n"/>
      <c r="E486" s="276" t="n"/>
      <c r="F486" s="275" t="n">
        <v>45573</v>
      </c>
      <c r="G486" s="5" t="inlineStr">
        <is>
          <t>PR2425-03805</t>
        </is>
      </c>
      <c r="H486" s="5" t="inlineStr">
        <is>
          <t xml:space="preserve">PO2425-04188 </t>
        </is>
      </c>
      <c r="I486" s="290">
        <f>IF(RawDataGenPO[[#This Row],[PO No.]]="","",RawDataGenPO[[#This Row],[DMY Create PR]]+7)</f>
        <v/>
      </c>
      <c r="J486" s="290" t="n">
        <v>45740</v>
      </c>
      <c r="K486" s="20" t="n">
        <v>60</v>
      </c>
      <c r="L486" s="5" t="inlineStr">
        <is>
          <t>SFST81000048</t>
        </is>
      </c>
      <c r="M486" s="7" t="inlineStr">
        <is>
          <t>Civill jobs (Floor-Wall-Celling-roof)</t>
        </is>
      </c>
      <c r="N486" s="7" t="inlineStr">
        <is>
          <t>Cevil jobs</t>
        </is>
      </c>
      <c r="O486" s="11" t="n">
        <v>2</v>
      </c>
      <c r="P486" s="10" t="inlineStr">
        <is>
          <t xml:space="preserve"> Repair Container (Khun Keng)
- Install 20 mm VIVA board flooring
- Overlay with vinyl tiles
- Reinforce with 0.60 m steel frame</t>
        </is>
      </c>
      <c r="Q486" s="277" t="n">
        <v>1</v>
      </c>
      <c r="R486" s="5" t="inlineStr">
        <is>
          <t>JOB.</t>
        </is>
      </c>
      <c r="S486" s="284">
        <f>RawDataGenPO[[#This Row],[Total price]]/RawDataGenPO[[#This Row],[Qty'']]</f>
        <v/>
      </c>
      <c r="T486" s="285" t="n">
        <v>28900</v>
      </c>
      <c r="U486" s="161" t="inlineStr">
        <is>
          <t>Puneet Approval</t>
        </is>
      </c>
      <c r="V486" s="7" t="inlineStr">
        <is>
          <t>V1000664 - KITTI GROUP COMPANY LIMITED</t>
        </is>
      </c>
      <c r="W486" s="5" t="inlineStr">
        <is>
          <t>Recive bill and GRN already</t>
        </is>
      </c>
      <c r="X486" s="5" t="n"/>
      <c r="Y486" s="3" t="n">
        <v>45635</v>
      </c>
      <c r="Z486" s="3" t="n"/>
      <c r="AA486" s="17">
        <f>IF(RawDataGenPO[[#This Row],[Date Gen PO]]="","",RawDataGenPO[[#This Row],[Date recive bill]]-RawDataGenPO[[#This Row],[Date Gen PO]])</f>
        <v/>
      </c>
      <c r="AB486" s="16">
        <f>IF(RawDataGenPO[[#This Row],[GRN-PO date]]&gt;RawDataGenPO[[#This Row],[Lead time delivery (day)]],"over deliverry","Ontime")</f>
        <v/>
      </c>
      <c r="AC486" s="168" t="n"/>
    </row>
    <row r="487" customFormat="1" s="2">
      <c r="A487" s="5">
        <f>ROW()-ROW(RawDataGenPO[[#Headers],[No.]])</f>
        <v/>
      </c>
      <c r="B487" s="7" t="inlineStr">
        <is>
          <t>Expent  cost</t>
        </is>
      </c>
      <c r="C487" s="275" t="n">
        <v>45572</v>
      </c>
      <c r="D487" s="276" t="n"/>
      <c r="E487" s="276" t="n"/>
      <c r="F487" s="275" t="n">
        <v>45572</v>
      </c>
      <c r="G487" s="5" t="inlineStr">
        <is>
          <t>PR2425-03792</t>
        </is>
      </c>
      <c r="H487" s="5" t="inlineStr">
        <is>
          <t>PO2425-04189</t>
        </is>
      </c>
      <c r="I487" s="290">
        <f>IF(RawDataGenPO[[#This Row],[PO No.]]="","",RawDataGenPO[[#This Row],[DMY Create PR]]+7)</f>
        <v/>
      </c>
      <c r="J487" s="290" t="n"/>
      <c r="K487" s="20" t="n">
        <v>300</v>
      </c>
      <c r="L487" s="5" t="inlineStr">
        <is>
          <t>SFST81000050</t>
        </is>
      </c>
      <c r="M487" s="7" t="inlineStr">
        <is>
          <t>Tool and Equipment  Engineering</t>
        </is>
      </c>
      <c r="N487" s="7" t="inlineStr">
        <is>
          <t>Consumable part</t>
        </is>
      </c>
      <c r="O487" s="11" t="n">
        <v>1</v>
      </c>
      <c r="P487" s="10" t="inlineStr">
        <is>
          <t>Oxygen gas, size 1.5 cubic</t>
        </is>
      </c>
      <c r="Q487" s="277" t="n">
        <v>6</v>
      </c>
      <c r="R487" s="5" t="inlineStr">
        <is>
          <t>DRM.</t>
        </is>
      </c>
      <c r="S487" s="284">
        <f>RawDataGenPO[[#This Row],[Total price]]/RawDataGenPO[[#This Row],[Qty'']]</f>
        <v/>
      </c>
      <c r="T487" s="285" t="n">
        <v>900</v>
      </c>
      <c r="U487" s="161" t="inlineStr">
        <is>
          <t>Puneet Approval</t>
        </is>
      </c>
      <c r="V487" s="7" t="inlineStr">
        <is>
          <t>V1000475 - Klong Karn Kha Trading</t>
        </is>
      </c>
      <c r="W487" s="5" t="inlineStr">
        <is>
          <t>Recive bill and GRN already</t>
        </is>
      </c>
      <c r="X487" s="5" t="inlineStr">
        <is>
          <t>GRN2526-0002367</t>
        </is>
      </c>
      <c r="Y487" s="3" t="n">
        <v>45854</v>
      </c>
      <c r="Z487" s="3" t="n"/>
      <c r="AA487" s="17">
        <f>IF(RawDataGenPO[[#This Row],[Date Gen PO]]="","",RawDataGenPO[[#This Row],[Date recive bill]]-RawDataGenPO[[#This Row],[Date Gen PO]])</f>
        <v/>
      </c>
      <c r="AB487" s="16">
        <f>IF(RawDataGenPO[[#This Row],[GRN-PO date]]&gt;RawDataGenPO[[#This Row],[Lead time delivery (day)]],"over deliverry","Ontime")</f>
        <v/>
      </c>
      <c r="AC487" s="168" t="inlineStr">
        <is>
          <t>***2 remaining, pending delivery***</t>
        </is>
      </c>
    </row>
    <row r="488" ht="30.60000038146973" customFormat="1" customHeight="1" s="2">
      <c r="A488" s="5">
        <f>ROW()-ROW(RawDataGenPO[[#Headers],[No.]])</f>
        <v/>
      </c>
      <c r="B488" s="7" t="inlineStr">
        <is>
          <t>Expent  cost</t>
        </is>
      </c>
      <c r="C488" s="275" t="n">
        <v>45555</v>
      </c>
      <c r="D488" s="276" t="n"/>
      <c r="E488" s="276" t="n"/>
      <c r="F488" s="275" t="n">
        <v>45555</v>
      </c>
      <c r="G488" s="5" t="inlineStr">
        <is>
          <t>PR2425-03509</t>
        </is>
      </c>
      <c r="H488" s="5" t="inlineStr">
        <is>
          <t xml:space="preserve">PO2425-04190 </t>
        </is>
      </c>
      <c r="I488" s="290">
        <f>IF(RawDataGenPO[[#This Row],[PO No.]]="","",RawDataGenPO[[#This Row],[DMY Create PR]]+7)</f>
        <v/>
      </c>
      <c r="J488" s="290" t="n"/>
      <c r="K488" s="20" t="n">
        <v>50</v>
      </c>
      <c r="L488" s="5" t="inlineStr">
        <is>
          <t>SFST34000182</t>
        </is>
      </c>
      <c r="M488" s="7" t="inlineStr">
        <is>
          <t>Consumable part for MN</t>
        </is>
      </c>
      <c r="N488" s="7" t="inlineStr">
        <is>
          <t>Consumable part</t>
        </is>
      </c>
      <c r="O488" s="11" t="n">
        <v>1</v>
      </c>
      <c r="P488" s="10" t="inlineStr">
        <is>
          <t>CRC #2019 ELECTRICAL PARTS CLEANER 400g
(1 box/12 cans)</t>
        </is>
      </c>
      <c r="Q488" s="277" t="n">
        <v>12</v>
      </c>
      <c r="R488" s="5" t="inlineStr">
        <is>
          <t>PCS.</t>
        </is>
      </c>
      <c r="S488" s="284">
        <f>RawDataGenPO[[#This Row],[Total price]]/RawDataGenPO[[#This Row],[Qty'']]</f>
        <v/>
      </c>
      <c r="T488" s="285" t="n">
        <v>3336.42</v>
      </c>
      <c r="U488" s="161" t="inlineStr">
        <is>
          <t>Puneet Approval</t>
        </is>
      </c>
      <c r="V488" s="7" t="inlineStr">
        <is>
          <t xml:space="preserve"> V1000676 - AMS INTERNATIONAL CO.,LTD.</t>
        </is>
      </c>
      <c r="W488" s="5" t="inlineStr">
        <is>
          <t>Recive bill and GRN already</t>
        </is>
      </c>
      <c r="X488" s="5" t="n"/>
      <c r="Y488" s="3" t="n">
        <v>45603</v>
      </c>
      <c r="Z488" s="3" t="n"/>
      <c r="AA488" s="17">
        <f>IF(RawDataGenPO[[#This Row],[Date Gen PO]]="","",RawDataGenPO[[#This Row],[Date recive bill]]-RawDataGenPO[[#This Row],[Date Gen PO]])</f>
        <v/>
      </c>
      <c r="AB488" s="16">
        <f>IF(RawDataGenPO[[#This Row],[GRN-PO date]]&gt;RawDataGenPO[[#This Row],[Lead time delivery (day)]],"over deliverry","Ontime")</f>
        <v/>
      </c>
      <c r="AC488" s="168" t="n"/>
    </row>
    <row r="489" customFormat="1" s="2">
      <c r="A489" s="5">
        <f>ROW()-ROW(RawDataGenPO[[#Headers],[No.]])</f>
        <v/>
      </c>
      <c r="B489" s="7" t="inlineStr">
        <is>
          <t>Expent  cost</t>
        </is>
      </c>
      <c r="C489" s="275" t="n">
        <v>45555</v>
      </c>
      <c r="D489" s="276" t="n"/>
      <c r="E489" s="276" t="n"/>
      <c r="F489" s="275" t="n">
        <v>45555</v>
      </c>
      <c r="G489" s="5" t="inlineStr">
        <is>
          <t>PR2425-03509</t>
        </is>
      </c>
      <c r="H489" s="5" t="inlineStr">
        <is>
          <t xml:space="preserve">PO2425-04190 </t>
        </is>
      </c>
      <c r="I489" s="290">
        <f>IF(RawDataGenPO[[#This Row],[PO No.]]="","",RawDataGenPO[[#This Row],[DMY Create PR]]+7)</f>
        <v/>
      </c>
      <c r="J489" s="290" t="n"/>
      <c r="K489" s="20" t="n">
        <v>50</v>
      </c>
      <c r="L489" s="5" t="inlineStr">
        <is>
          <t>SFST81000085</t>
        </is>
      </c>
      <c r="M489" s="7" t="inlineStr">
        <is>
          <t>Tool and Equipment  Engineering</t>
        </is>
      </c>
      <c r="N489" s="7" t="inlineStr">
        <is>
          <t>Consumable part</t>
        </is>
      </c>
      <c r="O489" s="11" t="n">
        <v>2</v>
      </c>
      <c r="P489" s="10" t="inlineStr">
        <is>
          <t>Delivery charge</t>
        </is>
      </c>
      <c r="Q489" s="277" t="n">
        <v>1</v>
      </c>
      <c r="R489" s="5" t="inlineStr">
        <is>
          <t>NO.</t>
        </is>
      </c>
      <c r="S489" s="284">
        <f>RawDataGenPO[[#This Row],[Total price]]/RawDataGenPO[[#This Row],[Qty'']]</f>
        <v/>
      </c>
      <c r="T489" s="285" t="n">
        <v>100</v>
      </c>
      <c r="U489" s="161" t="inlineStr">
        <is>
          <t>Puneet Approval</t>
        </is>
      </c>
      <c r="V489" s="7" t="inlineStr">
        <is>
          <t xml:space="preserve"> V1000676 - AMS INTERNATIONAL CO.,LTD.</t>
        </is>
      </c>
      <c r="W489" s="5" t="inlineStr">
        <is>
          <t>Recive bill and GRN already</t>
        </is>
      </c>
      <c r="X489" s="5" t="n"/>
      <c r="Y489" s="3" t="n">
        <v>45603</v>
      </c>
      <c r="Z489" s="3" t="n"/>
      <c r="AA489" s="17">
        <f>IF(RawDataGenPO[[#This Row],[Date Gen PO]]="","",RawDataGenPO[[#This Row],[Date recive bill]]-RawDataGenPO[[#This Row],[Date Gen PO]])</f>
        <v/>
      </c>
      <c r="AB489" s="16">
        <f>IF(RawDataGenPO[[#This Row],[GRN-PO date]]&gt;RawDataGenPO[[#This Row],[Lead time delivery (day)]],"over deliverry","Ontime")</f>
        <v/>
      </c>
      <c r="AC489" s="168" t="n"/>
    </row>
    <row r="490" customFormat="1" s="2">
      <c r="A490" s="5">
        <f>ROW()-ROW(RawDataGenPO[[#Headers],[No.]])</f>
        <v/>
      </c>
      <c r="B490" s="7" t="inlineStr">
        <is>
          <t>Expent  cost</t>
        </is>
      </c>
      <c r="C490" s="275" t="n">
        <v>45581</v>
      </c>
      <c r="D490" s="276" t="n"/>
      <c r="E490" s="276" t="n"/>
      <c r="F490" s="275" t="n">
        <v>45581</v>
      </c>
      <c r="G490" s="5" t="inlineStr">
        <is>
          <t>PR2425-03849</t>
        </is>
      </c>
      <c r="H490" s="5" t="inlineStr">
        <is>
          <t xml:space="preserve">PO2425-04227 </t>
        </is>
      </c>
      <c r="I490" s="290">
        <f>IF(RawDataGenPO[[#This Row],[PO No.]]="","",RawDataGenPO[[#This Row],[DMY Create PR]]+7)</f>
        <v/>
      </c>
      <c r="J490" s="290" t="n"/>
      <c r="K490" s="20">
        <f>IF(RawDataGenPO[[#This Row],[PO No.]]="","",10)</f>
        <v/>
      </c>
      <c r="L490" s="5" t="inlineStr">
        <is>
          <t>SFST81000050</t>
        </is>
      </c>
      <c r="M490" s="7" t="inlineStr">
        <is>
          <t>Electrical system in PD area</t>
        </is>
      </c>
      <c r="N490" s="7" t="inlineStr">
        <is>
          <t>Electrical jobs</t>
        </is>
      </c>
      <c r="O490" s="11" t="n">
        <v>1</v>
      </c>
      <c r="P490" s="10" t="inlineStr">
        <is>
          <t>TEND" T281-BKR3 plastic box with Emergency Switch</t>
        </is>
      </c>
      <c r="Q490" s="277" t="n">
        <v>5</v>
      </c>
      <c r="R490" s="5" t="inlineStr">
        <is>
          <t>PCS.</t>
        </is>
      </c>
      <c r="S490" s="284">
        <f>RawDataGenPO[[#This Row],[Total price]]/RawDataGenPO[[#This Row],[Qty'']]</f>
        <v/>
      </c>
      <c r="T490" s="285" t="n">
        <v>1850</v>
      </c>
      <c r="U490" s="161" t="inlineStr">
        <is>
          <t>Puneet Approval</t>
        </is>
      </c>
      <c r="V490" s="7" t="inlineStr">
        <is>
          <t>V1000276 - SN. ELECTRIC AND SUPPLY CO., LTD.</t>
        </is>
      </c>
      <c r="W490" s="5" t="inlineStr">
        <is>
          <t>Recive bill and GRN already</t>
        </is>
      </c>
      <c r="X490" s="5" t="n"/>
      <c r="Y490" s="3" t="n">
        <v>45590</v>
      </c>
      <c r="Z490" s="3" t="n"/>
      <c r="AA490" s="17">
        <f>IF(RawDataGenPO[[#This Row],[Date Gen PO]]="","",RawDataGenPO[[#This Row],[Date recive bill]]-RawDataGenPO[[#This Row],[Date Gen PO]])</f>
        <v/>
      </c>
      <c r="AB490" s="16">
        <f>IF(RawDataGenPO[[#This Row],[GRN-PO date]]&gt;RawDataGenPO[[#This Row],[Lead time delivery (day)]],"over deliverry","Ontime")</f>
        <v/>
      </c>
      <c r="AC490" s="168" t="n"/>
    </row>
    <row r="491" customFormat="1" s="173">
      <c r="A491" s="5">
        <f>ROW()-ROW(RawDataGenPO[[#Headers],[No.]])</f>
        <v/>
      </c>
      <c r="B491" s="7" t="inlineStr">
        <is>
          <t>Expent  cost</t>
        </is>
      </c>
      <c r="C491" s="275" t="n">
        <v>45581</v>
      </c>
      <c r="D491" s="276" t="n"/>
      <c r="E491" s="276" t="n"/>
      <c r="F491" s="275" t="n">
        <v>45581</v>
      </c>
      <c r="G491" s="5" t="inlineStr">
        <is>
          <t>PR2425-03849</t>
        </is>
      </c>
      <c r="H491" s="5" t="inlineStr">
        <is>
          <t xml:space="preserve">PO2425-04227 </t>
        </is>
      </c>
      <c r="I491" s="290">
        <f>IF(RawDataGenPO[[#This Row],[PO No.]]="","",RawDataGenPO[[#This Row],[DMY Create PR]]+7)</f>
        <v/>
      </c>
      <c r="J491" s="290" t="n"/>
      <c r="K491" s="20">
        <f>IF(RawDataGenPO[[#This Row],[PO No.]]="","",10)</f>
        <v/>
      </c>
      <c r="L491" s="5" t="inlineStr">
        <is>
          <t>SFST81000050</t>
        </is>
      </c>
      <c r="M491" s="7" t="inlineStr">
        <is>
          <t>Electrical system in PD area</t>
        </is>
      </c>
      <c r="N491" s="7" t="inlineStr">
        <is>
          <t>Electrical jobs</t>
        </is>
      </c>
      <c r="O491" s="11" t="n">
        <v>2</v>
      </c>
      <c r="P491" s="10" t="inlineStr">
        <is>
          <t>BTICINO" M9999 1-gang adapter</t>
        </is>
      </c>
      <c r="Q491" s="277" t="n">
        <v>15</v>
      </c>
      <c r="R491" s="5" t="inlineStr">
        <is>
          <t>PCS.</t>
        </is>
      </c>
      <c r="S491" s="284">
        <f>RawDataGenPO[[#This Row],[Total price]]/RawDataGenPO[[#This Row],[Qty'']]</f>
        <v/>
      </c>
      <c r="T491" s="285" t="n">
        <v>195</v>
      </c>
      <c r="U491" s="161" t="inlineStr">
        <is>
          <t>Puneet Approval</t>
        </is>
      </c>
      <c r="V491" s="7" t="inlineStr">
        <is>
          <t>V1000276 - SN. ELECTRIC AND SUPPLY CO., LTD.</t>
        </is>
      </c>
      <c r="W491" s="5" t="inlineStr">
        <is>
          <t>Recive bill and GRN already</t>
        </is>
      </c>
      <c r="X491" s="5" t="n"/>
      <c r="Y491" s="3" t="n">
        <v>45590</v>
      </c>
      <c r="Z491" s="3" t="n"/>
      <c r="AA491" s="17">
        <f>IF(RawDataGenPO[[#This Row],[Date Gen PO]]="","",RawDataGenPO[[#This Row],[Date recive bill]]-RawDataGenPO[[#This Row],[Date Gen PO]])</f>
        <v/>
      </c>
      <c r="AB491" s="16">
        <f>IF(RawDataGenPO[[#This Row],[GRN-PO date]]&gt;RawDataGenPO[[#This Row],[Lead time delivery (day)]],"over deliverry","Ontime")</f>
        <v/>
      </c>
      <c r="AC491" s="168" t="n"/>
    </row>
    <row r="492" customFormat="1" s="173">
      <c r="A492" s="5">
        <f>ROW()-ROW(RawDataGenPO[[#Headers],[No.]])</f>
        <v/>
      </c>
      <c r="B492" s="7" t="inlineStr">
        <is>
          <t>Expent  cost</t>
        </is>
      </c>
      <c r="C492" s="275" t="n">
        <v>45581</v>
      </c>
      <c r="D492" s="276" t="n"/>
      <c r="E492" s="276" t="n"/>
      <c r="F492" s="275" t="n">
        <v>45581</v>
      </c>
      <c r="G492" s="5" t="inlineStr">
        <is>
          <t>PR2425-03849</t>
        </is>
      </c>
      <c r="H492" s="5" t="inlineStr">
        <is>
          <t xml:space="preserve">PO2425-04227 </t>
        </is>
      </c>
      <c r="I492" s="290">
        <f>IF(RawDataGenPO[[#This Row],[PO No.]]="","",RawDataGenPO[[#This Row],[DMY Create PR]]+7)</f>
        <v/>
      </c>
      <c r="J492" s="290" t="n"/>
      <c r="K492" s="20">
        <f>IF(RawDataGenPO[[#This Row],[PO No.]]="","",10)</f>
        <v/>
      </c>
      <c r="L492" s="5" t="inlineStr">
        <is>
          <t>SFST81000050</t>
        </is>
      </c>
      <c r="M492" s="7" t="inlineStr">
        <is>
          <t>Electrical system in PD area</t>
        </is>
      </c>
      <c r="N492" s="7" t="inlineStr">
        <is>
          <t>Electrical jobs</t>
        </is>
      </c>
      <c r="O492" s="11" t="n">
        <v>3</v>
      </c>
      <c r="P492" s="10" t="inlineStr">
        <is>
          <t>BTICINO" 25504, grey, 4-gang, waterproof box IP55</t>
        </is>
      </c>
      <c r="Q492" s="277" t="n">
        <v>5</v>
      </c>
      <c r="R492" s="5" t="inlineStr">
        <is>
          <t>PCS.</t>
        </is>
      </c>
      <c r="S492" s="284">
        <f>RawDataGenPO[[#This Row],[Total price]]/RawDataGenPO[[#This Row],[Qty'']]</f>
        <v/>
      </c>
      <c r="T492" s="285" t="n">
        <v>3200</v>
      </c>
      <c r="U492" s="291" t="n"/>
      <c r="V492" s="7" t="inlineStr">
        <is>
          <t>V1000276 - SN. ELECTRIC AND SUPPLY CO., LTD.</t>
        </is>
      </c>
      <c r="W492" s="5" t="inlineStr">
        <is>
          <t>Recive bill and GRN already</t>
        </is>
      </c>
      <c r="X492" s="5" t="n"/>
      <c r="Y492" s="3" t="n">
        <v>45590</v>
      </c>
      <c r="Z492" s="3" t="n"/>
      <c r="AA492" s="17">
        <f>IF(RawDataGenPO[[#This Row],[Date Gen PO]]="","",RawDataGenPO[[#This Row],[Date recive bill]]-RawDataGenPO[[#This Row],[Date Gen PO]])</f>
        <v/>
      </c>
      <c r="AB492" s="16">
        <f>IF(RawDataGenPO[[#This Row],[GRN-PO date]]&gt;RawDataGenPO[[#This Row],[Lead time delivery (day)]],"over deliverry","Ontime")</f>
        <v/>
      </c>
      <c r="AC492" s="168" t="n"/>
    </row>
    <row r="493" customFormat="1" s="177">
      <c r="A493" s="5">
        <f>ROW()-ROW(RawDataGenPO[[#Headers],[No.]])</f>
        <v/>
      </c>
      <c r="B493" s="7" t="inlineStr">
        <is>
          <t>Expent  cost</t>
        </is>
      </c>
      <c r="C493" s="275" t="n">
        <v>45581</v>
      </c>
      <c r="D493" s="276" t="n"/>
      <c r="E493" s="276" t="n"/>
      <c r="F493" s="275" t="n">
        <v>45581</v>
      </c>
      <c r="G493" s="5" t="inlineStr">
        <is>
          <t>PR2425-03975</t>
        </is>
      </c>
      <c r="H493" s="5" t="inlineStr">
        <is>
          <t>PO2425-04328</t>
        </is>
      </c>
      <c r="I493" s="290">
        <f>IF(RawDataGenPO[[#This Row],[PO No.]]="","",RawDataGenPO[[#This Row],[DMY Create PR]]+7)</f>
        <v/>
      </c>
      <c r="J493" s="290" t="n"/>
      <c r="K493" s="20" t="n">
        <v>30</v>
      </c>
      <c r="L493" s="5" t="inlineStr">
        <is>
          <t>SFST81000050</t>
        </is>
      </c>
      <c r="M493" s="7" t="inlineStr">
        <is>
          <t>PD Machine</t>
        </is>
      </c>
      <c r="N493" s="7" t="inlineStr">
        <is>
          <t>Pan Fryer machine No.1</t>
        </is>
      </c>
      <c r="O493" s="11" t="n">
        <v>1</v>
      </c>
      <c r="P493" s="10" t="inlineStr">
        <is>
          <t>Fuse Ceramic 6A, 500V 100KA, size 10 x 38 mm</t>
        </is>
      </c>
      <c r="Q493" s="277" t="n">
        <v>10</v>
      </c>
      <c r="R493" s="5" t="inlineStr">
        <is>
          <t>PCS.</t>
        </is>
      </c>
      <c r="S493" s="284">
        <f>RawDataGenPO[[#This Row],[Total price]]/RawDataGenPO[[#This Row],[Qty'']]</f>
        <v/>
      </c>
      <c r="T493" s="285" t="n">
        <v>250</v>
      </c>
      <c r="U493" s="5" t="n"/>
      <c r="V493" s="7" t="inlineStr">
        <is>
          <t>V1000481 - JW Tech Co., Ltd.</t>
        </is>
      </c>
      <c r="W493" s="5" t="inlineStr">
        <is>
          <t>Recive bill and GRN already</t>
        </is>
      </c>
      <c r="X493" s="5" t="n"/>
      <c r="Y493" s="3" t="n">
        <v>45600</v>
      </c>
      <c r="Z493" s="3" t="n"/>
      <c r="AA493" s="17">
        <f>IF(RawDataGenPO[[#This Row],[Date Gen PO]]="","",RawDataGenPO[[#This Row],[Date recive bill]]-RawDataGenPO[[#This Row],[Date Gen PO]])</f>
        <v/>
      </c>
      <c r="AB493" s="16">
        <f>IF(RawDataGenPO[[#This Row],[GRN-PO date]]&gt;RawDataGenPO[[#This Row],[Lead time delivery (day)]],"over deliverry","Ontime")</f>
        <v/>
      </c>
      <c r="AC493" s="168" t="n"/>
    </row>
    <row r="494" customFormat="1" s="2">
      <c r="A494" s="5">
        <f>ROW()-ROW(RawDataGenPO[[#Headers],[No.]])</f>
        <v/>
      </c>
      <c r="B494" s="7" t="inlineStr">
        <is>
          <t>Expent  cost</t>
        </is>
      </c>
      <c r="C494" s="275" t="n">
        <v>45581</v>
      </c>
      <c r="D494" s="276" t="n"/>
      <c r="E494" s="276" t="n"/>
      <c r="F494" s="275" t="n">
        <v>45581</v>
      </c>
      <c r="G494" s="5" t="inlineStr">
        <is>
          <t>PR2425-03975</t>
        </is>
      </c>
      <c r="H494" s="5" t="inlineStr">
        <is>
          <t>PO2425-04328</t>
        </is>
      </c>
      <c r="I494" s="290">
        <f>IF(RawDataGenPO[[#This Row],[PO No.]]="","",RawDataGenPO[[#This Row],[DMY Create PR]]+7)</f>
        <v/>
      </c>
      <c r="J494" s="290" t="n"/>
      <c r="K494" s="20" t="n">
        <v>30</v>
      </c>
      <c r="L494" s="5" t="inlineStr">
        <is>
          <t>SFST81000050</t>
        </is>
      </c>
      <c r="M494" s="7" t="inlineStr">
        <is>
          <t>PD Machine</t>
        </is>
      </c>
      <c r="N494" s="7" t="inlineStr">
        <is>
          <t>Pan Fryer machine No.1</t>
        </is>
      </c>
      <c r="O494" s="11" t="n">
        <v>2</v>
      </c>
      <c r="P494" s="10" t="inlineStr">
        <is>
          <t>Fuse Ceramic 10A, 500V 100KA, size 10 x 38 mm</t>
        </is>
      </c>
      <c r="Q494" s="277" t="n">
        <v>10</v>
      </c>
      <c r="R494" s="5" t="inlineStr">
        <is>
          <t>PCS.</t>
        </is>
      </c>
      <c r="S494" s="284">
        <f>RawDataGenPO[[#This Row],[Total price]]/RawDataGenPO[[#This Row],[Qty'']]</f>
        <v/>
      </c>
      <c r="T494" s="285" t="n">
        <v>250</v>
      </c>
      <c r="U494" s="5" t="n"/>
      <c r="V494" s="7" t="inlineStr">
        <is>
          <t>V1000481 - JW Tech Co., Ltd.</t>
        </is>
      </c>
      <c r="W494" s="5" t="inlineStr">
        <is>
          <t>Recive bill and GRN already</t>
        </is>
      </c>
      <c r="X494" s="5" t="n"/>
      <c r="Y494" s="3" t="n">
        <v>45600</v>
      </c>
      <c r="Z494" s="3" t="n"/>
      <c r="AA494" s="17">
        <f>IF(RawDataGenPO[[#This Row],[Date Gen PO]]="","",RawDataGenPO[[#This Row],[Date recive bill]]-RawDataGenPO[[#This Row],[Date Gen PO]])</f>
        <v/>
      </c>
      <c r="AB494" s="16">
        <f>IF(RawDataGenPO[[#This Row],[GRN-PO date]]&gt;RawDataGenPO[[#This Row],[Lead time delivery (day)]],"over deliverry","Ontime")</f>
        <v/>
      </c>
      <c r="AC494" s="168" t="n"/>
    </row>
    <row r="495" customFormat="1" s="2">
      <c r="A495" s="5">
        <f>ROW()-ROW(RawDataGenPO[[#Headers],[No.]])</f>
        <v/>
      </c>
      <c r="B495" s="7" t="inlineStr">
        <is>
          <t>Expent  cost</t>
        </is>
      </c>
      <c r="C495" s="275" t="n">
        <v>45583</v>
      </c>
      <c r="D495" s="276" t="n"/>
      <c r="E495" s="276" t="n"/>
      <c r="F495" s="275" t="n">
        <v>45583</v>
      </c>
      <c r="G495" s="5" t="inlineStr">
        <is>
          <t>PR2425-03975</t>
        </is>
      </c>
      <c r="H495" s="5" t="inlineStr">
        <is>
          <t>PO2425-04328</t>
        </is>
      </c>
      <c r="I495" s="290">
        <f>IF(RawDataGenPO[[#This Row],[PO No.]]="","",RawDataGenPO[[#This Row],[DMY Create PR]]+7)</f>
        <v/>
      </c>
      <c r="J495" s="290" t="n"/>
      <c r="K495" s="20">
        <f>IF(RawDataGenPO[[#This Row],[PO No.]]="","",10)</f>
        <v/>
      </c>
      <c r="L495" s="5" t="inlineStr">
        <is>
          <t>SFST81000050</t>
        </is>
      </c>
      <c r="M495" s="7" t="inlineStr">
        <is>
          <t>PD Machine</t>
        </is>
      </c>
      <c r="N495" s="7" t="inlineStr">
        <is>
          <t>Pan Fryer machine No.1</t>
        </is>
      </c>
      <c r="O495" s="11" t="n">
        <v>3</v>
      </c>
      <c r="P495" s="10" t="inlineStr">
        <is>
          <t>RKG Temperature Controller Model : CB900FD10 - M* AN-NN/A/Y</t>
        </is>
      </c>
      <c r="Q495" s="277" t="n">
        <v>1</v>
      </c>
      <c r="R495" s="5" t="inlineStr">
        <is>
          <t>PCS.</t>
        </is>
      </c>
      <c r="S495" s="284">
        <f>RawDataGenPO[[#This Row],[Total price]]/RawDataGenPO[[#This Row],[Qty'']]</f>
        <v/>
      </c>
      <c r="T495" s="285" t="n">
        <v>8740</v>
      </c>
      <c r="U495" s="5" t="n"/>
      <c r="V495" s="7" t="inlineStr">
        <is>
          <t>V1000481 - JW Tech Co., Ltd.</t>
        </is>
      </c>
      <c r="W495" s="5" t="inlineStr">
        <is>
          <t>Recive bill and GRN already</t>
        </is>
      </c>
      <c r="X495" s="5" t="n"/>
      <c r="Y495" s="3" t="n">
        <v>45600</v>
      </c>
      <c r="Z495" s="3" t="n"/>
      <c r="AA495" s="17">
        <f>IF(RawDataGenPO[[#This Row],[Date Gen PO]]="","",RawDataGenPO[[#This Row],[Date recive bill]]-RawDataGenPO[[#This Row],[Date Gen PO]])</f>
        <v/>
      </c>
      <c r="AB495" s="16">
        <f>IF(RawDataGenPO[[#This Row],[GRN-PO date]]&gt;RawDataGenPO[[#This Row],[Lead time delivery (day)]],"over deliverry","Ontime")</f>
        <v/>
      </c>
      <c r="AC495" s="168" t="n"/>
    </row>
    <row r="496" customFormat="1" s="173">
      <c r="A496" s="5">
        <f>ROW()-ROW(RawDataGenPO[[#Headers],[No.]])</f>
        <v/>
      </c>
      <c r="B496" s="7" t="inlineStr">
        <is>
          <t>Expent  cost</t>
        </is>
      </c>
      <c r="C496" s="275" t="n">
        <v>45581</v>
      </c>
      <c r="D496" s="276" t="n"/>
      <c r="E496" s="276" t="n"/>
      <c r="F496" s="275" t="n">
        <v>45581</v>
      </c>
      <c r="G496" s="5" t="inlineStr">
        <is>
          <t>PR2425-03901</t>
        </is>
      </c>
      <c r="H496" s="5" t="inlineStr">
        <is>
          <t>PO2425-04331</t>
        </is>
      </c>
      <c r="I496" s="290" t="n">
        <v>45585</v>
      </c>
      <c r="J496" s="290" t="n"/>
      <c r="K496" s="20">
        <f>IF(RawDataGenPO[[#This Row],[PO No.]]="","",10)</f>
        <v/>
      </c>
      <c r="L496" s="5" t="inlineStr">
        <is>
          <t>SFST34000054</t>
        </is>
      </c>
      <c r="M496" s="7" t="inlineStr">
        <is>
          <t>Consumable part for MN</t>
        </is>
      </c>
      <c r="N496" s="7" t="inlineStr">
        <is>
          <t>Refrigerant</t>
        </is>
      </c>
      <c r="O496" s="11" t="n">
        <v>1</v>
      </c>
      <c r="P496" s="160" t="inlineStr">
        <is>
          <t>R507 Refrigerant,(1 Tank 11.3 kg/Tank)</t>
        </is>
      </c>
      <c r="Q496" s="293" t="n">
        <v>20</v>
      </c>
      <c r="R496" s="34" t="inlineStr">
        <is>
          <t>DRM.</t>
        </is>
      </c>
      <c r="S496" s="294">
        <f>RawDataGenPO[[#This Row],[Total price]]/RawDataGenPO[[#This Row],[Qty'']]</f>
        <v/>
      </c>
      <c r="T496" s="295" t="n">
        <v>54000</v>
      </c>
      <c r="U496" s="291" t="n"/>
      <c r="V496" s="7" t="inlineStr">
        <is>
          <t>V1000312 - Colder Solution Co., Ltd.</t>
        </is>
      </c>
      <c r="W496" s="5" t="inlineStr">
        <is>
          <t>Recive bill and GRN already</t>
        </is>
      </c>
      <c r="X496" s="5" t="n"/>
      <c r="Y496" s="3" t="n">
        <v>45587</v>
      </c>
      <c r="Z496" s="3" t="n"/>
      <c r="AA496" s="17">
        <f>IF(RawDataGenPO[[#This Row],[Date Gen PO]]="","",RawDataGenPO[[#This Row],[Date recive bill]]-RawDataGenPO[[#This Row],[Date Gen PO]])</f>
        <v/>
      </c>
      <c r="AB496" s="16">
        <f>IF(RawDataGenPO[[#This Row],[GRN-PO date]]&gt;RawDataGenPO[[#This Row],[Lead time delivery (day)]],"over deliverry","Ontime")</f>
        <v/>
      </c>
      <c r="AC496" s="168" t="n"/>
    </row>
    <row r="497" customFormat="1" s="173">
      <c r="A497" s="5">
        <f>ROW()-ROW(RawDataGenPO[[#Headers],[No.]])</f>
        <v/>
      </c>
      <c r="B497" s="7" t="inlineStr">
        <is>
          <t>Expent  cost</t>
        </is>
      </c>
      <c r="C497" s="275" t="n">
        <v>45581</v>
      </c>
      <c r="D497" s="276" t="n"/>
      <c r="E497" s="276" t="n"/>
      <c r="F497" s="275" t="n">
        <v>45581</v>
      </c>
      <c r="G497" s="5" t="inlineStr">
        <is>
          <t>PR2425-03901</t>
        </is>
      </c>
      <c r="H497" s="5" t="inlineStr">
        <is>
          <t>PO2425-04331</t>
        </is>
      </c>
      <c r="I497" s="290" t="n">
        <v>45585</v>
      </c>
      <c r="J497" s="290" t="n"/>
      <c r="K497" s="20">
        <f>IF(RawDataGenPO[[#This Row],[PO No.]]="","",10)</f>
        <v/>
      </c>
      <c r="L497" s="5" t="inlineStr">
        <is>
          <t>SFST34000180</t>
        </is>
      </c>
      <c r="M497" s="7" t="inlineStr">
        <is>
          <t>Consumable part for MN</t>
        </is>
      </c>
      <c r="N497" s="7" t="inlineStr">
        <is>
          <t>Cooling system jobs</t>
        </is>
      </c>
      <c r="O497" s="11" t="n">
        <v>2</v>
      </c>
      <c r="P497" s="10" t="inlineStr">
        <is>
          <t>Compressor oil  Solest LT32 (3.782 L.)</t>
        </is>
      </c>
      <c r="Q497" s="277" t="n">
        <v>4</v>
      </c>
      <c r="R497" s="5" t="inlineStr">
        <is>
          <t>DRM.</t>
        </is>
      </c>
      <c r="S497" s="284">
        <f>RawDataGenPO[[#This Row],[Total price]]/RawDataGenPO[[#This Row],[Qty'']]</f>
        <v/>
      </c>
      <c r="T497" s="285" t="n">
        <v>14000</v>
      </c>
      <c r="U497" s="291" t="n"/>
      <c r="V497" s="7" t="inlineStr">
        <is>
          <t>V1000312 - Colder Solution Co., Ltd.</t>
        </is>
      </c>
      <c r="W497" s="5" t="inlineStr">
        <is>
          <t>Recive bill and GRN already</t>
        </is>
      </c>
      <c r="X497" s="5" t="n"/>
      <c r="Y497" s="3" t="n">
        <v>45587</v>
      </c>
      <c r="Z497" s="3" t="n"/>
      <c r="AA497" s="17">
        <f>IF(RawDataGenPO[[#This Row],[Date Gen PO]]="","",RawDataGenPO[[#This Row],[Date recive bill]]-RawDataGenPO[[#This Row],[Date Gen PO]])</f>
        <v/>
      </c>
      <c r="AB497" s="16">
        <f>IF(RawDataGenPO[[#This Row],[GRN-PO date]]&gt;RawDataGenPO[[#This Row],[Lead time delivery (day)]],"over deliverry","Ontime")</f>
        <v/>
      </c>
      <c r="AC497" s="168" t="n"/>
    </row>
    <row r="498" customFormat="1" s="173">
      <c r="A498" s="5">
        <f>ROW()-ROW(RawDataGenPO[[#Headers],[No.]])</f>
        <v/>
      </c>
      <c r="B498" s="7" t="inlineStr">
        <is>
          <t>Expent  cost</t>
        </is>
      </c>
      <c r="C498" s="275" t="n">
        <v>45581</v>
      </c>
      <c r="D498" s="276" t="n"/>
      <c r="E498" s="276" t="n"/>
      <c r="F498" s="275" t="n">
        <v>45581</v>
      </c>
      <c r="G498" s="5" t="inlineStr">
        <is>
          <t>PR2425-03903</t>
        </is>
      </c>
      <c r="H498" s="5" t="inlineStr">
        <is>
          <t xml:space="preserve">PO2425-04337 </t>
        </is>
      </c>
      <c r="I498" s="290">
        <f>IF(RawDataGenPO[[#This Row],[PO No.]]="","",RawDataGenPO[[#This Row],[DMY Create PR]]+7)</f>
        <v/>
      </c>
      <c r="J498" s="290" t="n"/>
      <c r="K498" s="20" t="n">
        <v>30</v>
      </c>
      <c r="L498" s="5" t="inlineStr">
        <is>
          <t>SFST81000048</t>
        </is>
      </c>
      <c r="M498" s="7" t="inlineStr">
        <is>
          <t>Foam &amp; Cleaning solution pump system</t>
        </is>
      </c>
      <c r="N498" s="7" t="inlineStr">
        <is>
          <t>Water pump for production line cleaning No.1</t>
        </is>
      </c>
      <c r="O498" s="11" t="n">
        <v>1</v>
      </c>
      <c r="P498" s="10" t="inlineStr">
        <is>
          <t>Remove and installation motor pump 7.5 kw. Grundfos</t>
        </is>
      </c>
      <c r="Q498" s="277" t="n">
        <v>1</v>
      </c>
      <c r="R498" s="5" t="inlineStr">
        <is>
          <t>JOB.</t>
        </is>
      </c>
      <c r="S498" s="284">
        <f>RawDataGenPO[[#This Row],[Total price]]/RawDataGenPO[[#This Row],[Qty'']]</f>
        <v/>
      </c>
      <c r="T498" s="278" t="n">
        <v>3000</v>
      </c>
      <c r="U498" s="291" t="n"/>
      <c r="V498" s="7" t="inlineStr">
        <is>
          <t>V1000659 - SRP Maintenance and Service Co.,Ltd.</t>
        </is>
      </c>
      <c r="W498" s="5" t="inlineStr">
        <is>
          <t>Recive bill and GRN already</t>
        </is>
      </c>
      <c r="X498" s="5" t="n"/>
      <c r="Y498" s="3" t="n">
        <v>45610</v>
      </c>
      <c r="Z498" s="3" t="n"/>
      <c r="AA498" s="17">
        <f>IF(RawDataGenPO[[#This Row],[Date Gen PO]]="","",RawDataGenPO[[#This Row],[Date recive bill]]-RawDataGenPO[[#This Row],[Date Gen PO]])</f>
        <v/>
      </c>
      <c r="AB498" s="16">
        <f>IF(RawDataGenPO[[#This Row],[GRN-PO date]]&gt;RawDataGenPO[[#This Row],[Lead time delivery (day)]],"over deliverry","Ontime")</f>
        <v/>
      </c>
      <c r="AC498" s="168" t="n"/>
    </row>
    <row r="499" customFormat="1" s="173">
      <c r="A499" s="5">
        <f>ROW()-ROW(RawDataGenPO[[#Headers],[No.]])</f>
        <v/>
      </c>
      <c r="B499" s="7" t="inlineStr">
        <is>
          <t>Expent  cost</t>
        </is>
      </c>
      <c r="C499" s="275" t="n">
        <v>45581</v>
      </c>
      <c r="D499" s="276" t="n"/>
      <c r="E499" s="276" t="n"/>
      <c r="F499" s="275" t="n">
        <v>45581</v>
      </c>
      <c r="G499" s="5" t="inlineStr">
        <is>
          <t>PR2425-03903</t>
        </is>
      </c>
      <c r="H499" s="5" t="inlineStr">
        <is>
          <t xml:space="preserve">PO2425-04337 </t>
        </is>
      </c>
      <c r="I499" s="290">
        <f>IF(RawDataGenPO[[#This Row],[PO No.]]="","",RawDataGenPO[[#This Row],[DMY Create PR]]+7)</f>
        <v/>
      </c>
      <c r="J499" s="290" t="n"/>
      <c r="K499" s="20" t="n">
        <v>30</v>
      </c>
      <c r="L499" s="5" t="inlineStr">
        <is>
          <t>SFST81000048</t>
        </is>
      </c>
      <c r="M499" s="7" t="inlineStr">
        <is>
          <t>Foam &amp; Cleaning solution pump system</t>
        </is>
      </c>
      <c r="N499" s="7" t="inlineStr">
        <is>
          <t>Water pump for production line cleaning No.1</t>
        </is>
      </c>
      <c r="O499" s="11" t="n">
        <v>2</v>
      </c>
      <c r="P499" s="10" t="inlineStr">
        <is>
          <t>Overhaul stator motor</t>
        </is>
      </c>
      <c r="Q499" s="277" t="n">
        <v>1</v>
      </c>
      <c r="R499" s="5" t="inlineStr">
        <is>
          <t>JOB.</t>
        </is>
      </c>
      <c r="S499" s="284">
        <f>RawDataGenPO[[#This Row],[Total price]]/RawDataGenPO[[#This Row],[Qty'']]</f>
        <v/>
      </c>
      <c r="T499" s="278" t="n">
        <v>3500</v>
      </c>
      <c r="U499" s="291" t="n"/>
      <c r="V499" s="7" t="inlineStr">
        <is>
          <t>V1000659 - SRP Maintenance and Service Co.,Ltd.</t>
        </is>
      </c>
      <c r="W499" s="5" t="inlineStr">
        <is>
          <t>Recive bill and GRN already</t>
        </is>
      </c>
      <c r="X499" s="5" t="n"/>
      <c r="Y499" s="3" t="n">
        <v>45610</v>
      </c>
      <c r="Z499" s="3" t="n"/>
      <c r="AA499" s="17">
        <f>IF(RawDataGenPO[[#This Row],[Date Gen PO]]="","",RawDataGenPO[[#This Row],[Date recive bill]]-RawDataGenPO[[#This Row],[Date Gen PO]])</f>
        <v/>
      </c>
      <c r="AB499" s="16">
        <f>IF(RawDataGenPO[[#This Row],[GRN-PO date]]&gt;RawDataGenPO[[#This Row],[Lead time delivery (day)]],"over deliverry","Ontime")</f>
        <v/>
      </c>
      <c r="AC499" s="168" t="n"/>
    </row>
    <row r="500" customFormat="1" s="173">
      <c r="A500" s="5">
        <f>ROW()-ROW(RawDataGenPO[[#Headers],[No.]])</f>
        <v/>
      </c>
      <c r="B500" s="7" t="inlineStr">
        <is>
          <t>Expent  cost</t>
        </is>
      </c>
      <c r="C500" s="275" t="n">
        <v>45581</v>
      </c>
      <c r="D500" s="276" t="n"/>
      <c r="E500" s="276" t="n"/>
      <c r="F500" s="275" t="n">
        <v>45581</v>
      </c>
      <c r="G500" s="5" t="inlineStr">
        <is>
          <t>PR2425-03903</t>
        </is>
      </c>
      <c r="H500" s="5" t="inlineStr">
        <is>
          <t xml:space="preserve">PO2425-04337 </t>
        </is>
      </c>
      <c r="I500" s="290">
        <f>IF(RawDataGenPO[[#This Row],[PO No.]]="","",RawDataGenPO[[#This Row],[DMY Create PR]]+7)</f>
        <v/>
      </c>
      <c r="J500" s="290" t="n"/>
      <c r="K500" s="20" t="n">
        <v>30</v>
      </c>
      <c r="L500" s="5" t="inlineStr">
        <is>
          <t>SFST81000048</t>
        </is>
      </c>
      <c r="M500" s="7" t="inlineStr">
        <is>
          <t>Foam &amp; Cleaning solution pump system</t>
        </is>
      </c>
      <c r="N500" s="7" t="inlineStr">
        <is>
          <t>Water pump for production line cleaning No.1</t>
        </is>
      </c>
      <c r="O500" s="11" t="n">
        <v>3</v>
      </c>
      <c r="P500" s="10" t="inlineStr">
        <is>
          <t>Replace bearing DE 7308-2RS</t>
        </is>
      </c>
      <c r="Q500" s="277" t="n">
        <v>1</v>
      </c>
      <c r="R500" s="5" t="inlineStr">
        <is>
          <t>JOB.</t>
        </is>
      </c>
      <c r="S500" s="284">
        <f>RawDataGenPO[[#This Row],[Total price]]/RawDataGenPO[[#This Row],[Qty'']]</f>
        <v/>
      </c>
      <c r="T500" s="278" t="n">
        <v>5320</v>
      </c>
      <c r="U500" s="291" t="n"/>
      <c r="V500" s="7" t="inlineStr">
        <is>
          <t>V1000659 - SRP Maintenance and Service Co.,Ltd.</t>
        </is>
      </c>
      <c r="W500" s="5" t="inlineStr">
        <is>
          <t>Recive bill and GRN already</t>
        </is>
      </c>
      <c r="X500" s="5" t="n"/>
      <c r="Y500" s="3" t="n">
        <v>45610</v>
      </c>
      <c r="Z500" s="3" t="n"/>
      <c r="AA500" s="17">
        <f>IF(RawDataGenPO[[#This Row],[Date Gen PO]]="","",RawDataGenPO[[#This Row],[Date recive bill]]-RawDataGenPO[[#This Row],[Date Gen PO]])</f>
        <v/>
      </c>
      <c r="AB500" s="16">
        <f>IF(RawDataGenPO[[#This Row],[GRN-PO date]]&gt;RawDataGenPO[[#This Row],[Lead time delivery (day)]],"over deliverry","Ontime")</f>
        <v/>
      </c>
      <c r="AC500" s="168" t="n"/>
    </row>
    <row r="501" customFormat="1" s="173">
      <c r="A501" s="5">
        <f>ROW()-ROW(RawDataGenPO[[#Headers],[No.]])</f>
        <v/>
      </c>
      <c r="B501" s="7" t="inlineStr">
        <is>
          <t>Expent  cost</t>
        </is>
      </c>
      <c r="C501" s="275" t="n">
        <v>45581</v>
      </c>
      <c r="D501" s="276" t="n"/>
      <c r="E501" s="276" t="n"/>
      <c r="F501" s="275" t="n">
        <v>45581</v>
      </c>
      <c r="G501" s="5" t="inlineStr">
        <is>
          <t>PR2425-03903</t>
        </is>
      </c>
      <c r="H501" s="5" t="inlineStr">
        <is>
          <t xml:space="preserve">PO2425-04337 </t>
        </is>
      </c>
      <c r="I501" s="290">
        <f>IF(RawDataGenPO[[#This Row],[PO No.]]="","",RawDataGenPO[[#This Row],[DMY Create PR]]+7)</f>
        <v/>
      </c>
      <c r="J501" s="290" t="n"/>
      <c r="K501" s="20" t="n">
        <v>30</v>
      </c>
      <c r="L501" s="5" t="inlineStr">
        <is>
          <t>SFST81000048</t>
        </is>
      </c>
      <c r="M501" s="7" t="inlineStr">
        <is>
          <t>Foam &amp; Cleaning solution pump system</t>
        </is>
      </c>
      <c r="N501" s="7" t="inlineStr">
        <is>
          <t>Water pump for production line cleaning No.1</t>
        </is>
      </c>
      <c r="O501" s="11" t="n">
        <v>4</v>
      </c>
      <c r="P501" s="10" t="inlineStr">
        <is>
          <t>Replace bearing NDE 6206-2RS</t>
        </is>
      </c>
      <c r="Q501" s="277" t="n">
        <v>1</v>
      </c>
      <c r="R501" s="5" t="inlineStr">
        <is>
          <t>JOB.</t>
        </is>
      </c>
      <c r="S501" s="284">
        <f>RawDataGenPO[[#This Row],[Total price]]/RawDataGenPO[[#This Row],[Qty'']]</f>
        <v/>
      </c>
      <c r="T501" s="278" t="n">
        <v>1000</v>
      </c>
      <c r="U501" s="291" t="n"/>
      <c r="V501" s="7" t="inlineStr">
        <is>
          <t>V1000659 - SRP Maintenance and Service Co.,Ltd.</t>
        </is>
      </c>
      <c r="W501" s="5" t="inlineStr">
        <is>
          <t>Recive bill and GRN already</t>
        </is>
      </c>
      <c r="X501" s="5" t="n"/>
      <c r="Y501" s="3" t="n">
        <v>45610</v>
      </c>
      <c r="Z501" s="3" t="n"/>
      <c r="AA501" s="17">
        <f>IF(RawDataGenPO[[#This Row],[Date Gen PO]]="","",RawDataGenPO[[#This Row],[Date recive bill]]-RawDataGenPO[[#This Row],[Date Gen PO]])</f>
        <v/>
      </c>
      <c r="AB501" s="16">
        <f>IF(RawDataGenPO[[#This Row],[GRN-PO date]]&gt;RawDataGenPO[[#This Row],[Lead time delivery (day)]],"over deliverry","Ontime")</f>
        <v/>
      </c>
      <c r="AC501" s="168" t="n"/>
    </row>
    <row r="502" ht="15" customFormat="1" customHeight="1" s="125">
      <c r="A502" s="5">
        <f>ROW()-ROW(RawDataGenPO[[#Headers],[No.]])</f>
        <v/>
      </c>
      <c r="B502" s="7" t="inlineStr">
        <is>
          <t>Expent  cost</t>
        </is>
      </c>
      <c r="C502" s="275" t="n">
        <v>45581</v>
      </c>
      <c r="D502" s="276" t="n"/>
      <c r="E502" s="276" t="n"/>
      <c r="F502" s="275" t="n">
        <v>45581</v>
      </c>
      <c r="G502" s="26" t="inlineStr">
        <is>
          <t>PR2425-03903</t>
        </is>
      </c>
      <c r="H502" s="26" t="inlineStr">
        <is>
          <t xml:space="preserve">PO2425-04337 </t>
        </is>
      </c>
      <c r="I502" s="290">
        <f>IF(RawDataGenPO[[#This Row],[PO No.]]="","",RawDataGenPO[[#This Row],[DMY Create PR]]+7)</f>
        <v/>
      </c>
      <c r="J502" s="290" t="n"/>
      <c r="K502" s="20" t="n">
        <v>30</v>
      </c>
      <c r="L502" s="26" t="inlineStr">
        <is>
          <t>SFST81000048</t>
        </is>
      </c>
      <c r="M502" s="7" t="inlineStr">
        <is>
          <t>Foam &amp; Cleaning solution pump system</t>
        </is>
      </c>
      <c r="N502" s="7" t="inlineStr">
        <is>
          <t>Water pump for production line cleaning No.1</t>
        </is>
      </c>
      <c r="O502" s="11" t="n">
        <v>5</v>
      </c>
      <c r="P502" s="42" t="inlineStr">
        <is>
          <t>Overhaul pump</t>
        </is>
      </c>
      <c r="Q502" s="323" t="n">
        <v>1</v>
      </c>
      <c r="R502" s="26" t="inlineStr">
        <is>
          <t>JOB.</t>
        </is>
      </c>
      <c r="S502" s="284">
        <f>RawDataGenPO[[#This Row],[Total price]]/RawDataGenPO[[#This Row],[Qty'']]</f>
        <v/>
      </c>
      <c r="T502" s="324" t="n">
        <v>6000</v>
      </c>
      <c r="U502" s="325" t="n"/>
      <c r="V502" s="29" t="inlineStr">
        <is>
          <t>V1000659 - SRP Maintenance and Service Co.,Ltd.</t>
        </is>
      </c>
      <c r="W502" s="5" t="inlineStr">
        <is>
          <t>Recive bill and GRN already</t>
        </is>
      </c>
      <c r="X502" s="26" t="n"/>
      <c r="Y502" s="23" t="n">
        <v>45610</v>
      </c>
      <c r="Z502" s="23" t="n"/>
      <c r="AA502" s="17">
        <f>IF(RawDataGenPO[[#This Row],[Date Gen PO]]="","",RawDataGenPO[[#This Row],[Date recive bill]]-RawDataGenPO[[#This Row],[Date Gen PO]])</f>
        <v/>
      </c>
      <c r="AB502" s="16">
        <f>IF(RawDataGenPO[[#This Row],[GRN-PO date]]&gt;RawDataGenPO[[#This Row],[Lead time delivery (day)]],"over deliverry","Ontime")</f>
        <v/>
      </c>
      <c r="AC502" s="35" t="n"/>
    </row>
    <row r="503" ht="15" customFormat="1" customHeight="1" s="125">
      <c r="A503" s="5">
        <f>ROW()-ROW(RawDataGenPO[[#Headers],[No.]])</f>
        <v/>
      </c>
      <c r="B503" s="7" t="inlineStr">
        <is>
          <t>Expent  cost</t>
        </is>
      </c>
      <c r="C503" s="275" t="n">
        <v>45581</v>
      </c>
      <c r="D503" s="276" t="n"/>
      <c r="E503" s="276" t="n"/>
      <c r="F503" s="275" t="n">
        <v>45581</v>
      </c>
      <c r="G503" s="26" t="inlineStr">
        <is>
          <t>PR2425-03903</t>
        </is>
      </c>
      <c r="H503" s="26" t="inlineStr">
        <is>
          <t xml:space="preserve">PO2425-04337 </t>
        </is>
      </c>
      <c r="I503" s="290">
        <f>IF(RawDataGenPO[[#This Row],[PO No.]]="","",RawDataGenPO[[#This Row],[DMY Create PR]]+7)</f>
        <v/>
      </c>
      <c r="J503" s="290" t="n"/>
      <c r="K503" s="20" t="n">
        <v>30</v>
      </c>
      <c r="L503" s="26" t="inlineStr">
        <is>
          <t>SFST81000048</t>
        </is>
      </c>
      <c r="M503" s="7" t="inlineStr">
        <is>
          <t>Foam &amp; Cleaning solution pump system</t>
        </is>
      </c>
      <c r="N503" s="7" t="inlineStr">
        <is>
          <t>Water pump for production line cleaning No.1</t>
        </is>
      </c>
      <c r="O503" s="11" t="n">
        <v>6</v>
      </c>
      <c r="P503" s="42" t="inlineStr">
        <is>
          <t>Replace Mechanical Seal (Bulk Shaft seal No.96538925)</t>
        </is>
      </c>
      <c r="Q503" s="323" t="n">
        <v>1</v>
      </c>
      <c r="R503" s="26" t="inlineStr">
        <is>
          <t>JOB.</t>
        </is>
      </c>
      <c r="S503" s="284">
        <f>RawDataGenPO[[#This Row],[Total price]]/RawDataGenPO[[#This Row],[Qty'']]</f>
        <v/>
      </c>
      <c r="T503" s="324" t="n">
        <v>5000</v>
      </c>
      <c r="U503" s="325" t="n"/>
      <c r="V503" s="29" t="inlineStr">
        <is>
          <t>V1000659 - SRP Maintenance and Service Co.,Ltd.</t>
        </is>
      </c>
      <c r="W503" s="5" t="inlineStr">
        <is>
          <t>Recive bill and GRN already</t>
        </is>
      </c>
      <c r="X503" s="26" t="n"/>
      <c r="Y503" s="23" t="n">
        <v>45610</v>
      </c>
      <c r="Z503" s="23" t="n"/>
      <c r="AA503" s="17">
        <f>IF(RawDataGenPO[[#This Row],[Date Gen PO]]="","",RawDataGenPO[[#This Row],[Date recive bill]]-RawDataGenPO[[#This Row],[Date Gen PO]])</f>
        <v/>
      </c>
      <c r="AB503" s="16">
        <f>IF(RawDataGenPO[[#This Row],[GRN-PO date]]&gt;RawDataGenPO[[#This Row],[Lead time delivery (day)]],"over deliverry","Ontime")</f>
        <v/>
      </c>
      <c r="AC503" s="35" t="n"/>
    </row>
    <row r="504" ht="15" customFormat="1" customHeight="1" s="125">
      <c r="A504" s="5">
        <f>ROW()-ROW(RawDataGenPO[[#Headers],[No.]])</f>
        <v/>
      </c>
      <c r="B504" s="7" t="inlineStr">
        <is>
          <t>Expent  cost</t>
        </is>
      </c>
      <c r="C504" s="275" t="n">
        <v>45581</v>
      </c>
      <c r="D504" s="276" t="n"/>
      <c r="E504" s="276" t="n"/>
      <c r="F504" s="275" t="n">
        <v>45581</v>
      </c>
      <c r="G504" s="26" t="inlineStr">
        <is>
          <t>PR2425-03903</t>
        </is>
      </c>
      <c r="H504" s="26" t="inlineStr">
        <is>
          <t xml:space="preserve">PO2425-04337 </t>
        </is>
      </c>
      <c r="I504" s="290">
        <f>IF(RawDataGenPO[[#This Row],[PO No.]]="","",RawDataGenPO[[#This Row],[DMY Create PR]]+7)</f>
        <v/>
      </c>
      <c r="J504" s="290" t="n"/>
      <c r="K504" s="20" t="n">
        <v>30</v>
      </c>
      <c r="L504" s="5" t="inlineStr">
        <is>
          <t>SFST81000048</t>
        </is>
      </c>
      <c r="M504" s="7" t="inlineStr">
        <is>
          <t>Foam &amp; Cleaning solution pump system</t>
        </is>
      </c>
      <c r="N504" s="7" t="inlineStr">
        <is>
          <t>Water pump for production line cleaning No.1</t>
        </is>
      </c>
      <c r="O504" s="11" t="n">
        <v>7</v>
      </c>
      <c r="P504" s="42" t="inlineStr">
        <is>
          <t>Replace O-ring (Kit Gaskets No.96509610)</t>
        </is>
      </c>
      <c r="Q504" s="323" t="n">
        <v>2</v>
      </c>
      <c r="R504" s="5" t="inlineStr">
        <is>
          <t>JOB.</t>
        </is>
      </c>
      <c r="S504" s="292">
        <f>RawDataGenPO[[#This Row],[Total price]]/RawDataGenPO[[#This Row],[Qty'']]</f>
        <v/>
      </c>
      <c r="T504" s="324" t="n">
        <v>500</v>
      </c>
      <c r="U504" s="325" t="n"/>
      <c r="V504" s="29" t="inlineStr">
        <is>
          <t>V1000659 - SRP Maintenance and Service Co.,Ltd.</t>
        </is>
      </c>
      <c r="W504" s="5" t="inlineStr">
        <is>
          <t>Recive bill and GRN already</t>
        </is>
      </c>
      <c r="X504" s="26" t="n"/>
      <c r="Y504" s="23" t="n">
        <v>45610</v>
      </c>
      <c r="Z504" s="23" t="n"/>
      <c r="AA504" s="17">
        <f>IF(RawDataGenPO[[#This Row],[Date Gen PO]]="","",RawDataGenPO[[#This Row],[Date recive bill]]-RawDataGenPO[[#This Row],[Date Gen PO]])</f>
        <v/>
      </c>
      <c r="AB504" s="16">
        <f>IF(RawDataGenPO[[#This Row],[GRN-PO date]]&gt;RawDataGenPO[[#This Row],[Lead time delivery (day)]],"over deliverry","Ontime")</f>
        <v/>
      </c>
      <c r="AC504" s="35" t="n"/>
    </row>
    <row r="505" ht="15" customFormat="1" customHeight="1" s="125">
      <c r="A505" s="5">
        <f>ROW()-ROW(RawDataGenPO[[#Headers],[No.]])</f>
        <v/>
      </c>
      <c r="B505" s="7" t="inlineStr">
        <is>
          <t>Expent  cost</t>
        </is>
      </c>
      <c r="C505" s="275" t="n">
        <v>45581</v>
      </c>
      <c r="D505" s="276" t="n"/>
      <c r="E505" s="276" t="n"/>
      <c r="F505" s="275" t="n">
        <v>45581</v>
      </c>
      <c r="G505" s="18" t="inlineStr">
        <is>
          <t>PR2425-03903</t>
        </is>
      </c>
      <c r="H505" s="26" t="inlineStr">
        <is>
          <t xml:space="preserve">PO2425-04337 </t>
        </is>
      </c>
      <c r="I505" s="290">
        <f>IF(RawDataGenPO[[#This Row],[PO No.]]="","",RawDataGenPO[[#This Row],[DMY Create PR]]+7)</f>
        <v/>
      </c>
      <c r="J505" s="290" t="n"/>
      <c r="K505" s="20" t="n">
        <v>30</v>
      </c>
      <c r="L505" s="5" t="inlineStr">
        <is>
          <t>SFST81000048</t>
        </is>
      </c>
      <c r="M505" s="7" t="inlineStr">
        <is>
          <t>Foam &amp; Cleaning solution pump system</t>
        </is>
      </c>
      <c r="N505" s="7" t="inlineStr">
        <is>
          <t>Water pump for production line cleaning No.1</t>
        </is>
      </c>
      <c r="O505" s="11" t="n">
        <v>8</v>
      </c>
      <c r="P505" s="10" t="inlineStr">
        <is>
          <t>Kit Chamber stack Part no.96491709</t>
        </is>
      </c>
      <c r="Q505" s="277" t="n">
        <v>1</v>
      </c>
      <c r="R505" s="5" t="inlineStr">
        <is>
          <t>JOB.</t>
        </is>
      </c>
      <c r="S505" s="292">
        <f>RawDataGenPO[[#This Row],[Total price]]/RawDataGenPO[[#This Row],[Qty'']]</f>
        <v/>
      </c>
      <c r="T505" s="278" t="n">
        <v>30000</v>
      </c>
      <c r="U505" s="291" t="n"/>
      <c r="V505" s="29" t="inlineStr">
        <is>
          <t>V1000659 - SRP Maintenance and Service Co.,Ltd.</t>
        </is>
      </c>
      <c r="W505" s="5" t="inlineStr">
        <is>
          <t>Recive bill and GRN already</t>
        </is>
      </c>
      <c r="X505" s="26" t="n"/>
      <c r="Y505" s="23" t="n">
        <v>45610</v>
      </c>
      <c r="Z505" s="23" t="n"/>
      <c r="AA505" s="17">
        <f>IF(RawDataGenPO[[#This Row],[Date Gen PO]]="","",RawDataGenPO[[#This Row],[Date recive bill]]-RawDataGenPO[[#This Row],[Date Gen PO]])</f>
        <v/>
      </c>
      <c r="AB505" s="16">
        <f>IF(RawDataGenPO[[#This Row],[GRN-PO date]]&gt;RawDataGenPO[[#This Row],[Lead time delivery (day)]],"over deliverry","Ontime")</f>
        <v/>
      </c>
      <c r="AC505" s="22" t="n"/>
    </row>
    <row r="506" ht="15" customFormat="1" customHeight="1" s="125">
      <c r="A506" s="5">
        <f>ROW()-ROW(RawDataGenPO[[#Headers],[No.]])</f>
        <v/>
      </c>
      <c r="B506" s="7" t="inlineStr">
        <is>
          <t>Expent  cost</t>
        </is>
      </c>
      <c r="C506" s="275" t="n">
        <v>45581</v>
      </c>
      <c r="D506" s="276" t="n"/>
      <c r="E506" s="276" t="n"/>
      <c r="F506" s="275" t="n">
        <v>45581</v>
      </c>
      <c r="G506" s="18" t="inlineStr">
        <is>
          <t xml:space="preserve">PR2425-03904 </t>
        </is>
      </c>
      <c r="H506" s="26" t="inlineStr">
        <is>
          <t xml:space="preserve">PO2425-04338 </t>
        </is>
      </c>
      <c r="I506" s="290">
        <f>IF(RawDataGenPO[[#This Row],[PO No.]]="","",RawDataGenPO[[#This Row],[DMY Create PR]]+7)</f>
        <v/>
      </c>
      <c r="J506" s="290" t="n"/>
      <c r="K506" s="20" t="n">
        <v>30</v>
      </c>
      <c r="L506" s="5" t="inlineStr">
        <is>
          <t>SFST81000050</t>
        </is>
      </c>
      <c r="M506" s="7" t="inlineStr">
        <is>
          <t>Tool and Equipment  Engineering</t>
        </is>
      </c>
      <c r="N506" s="7" t="inlineStr">
        <is>
          <t>Tool and Equipment</t>
        </is>
      </c>
      <c r="O506" s="11" t="n">
        <v>1</v>
      </c>
      <c r="P506" s="10" t="inlineStr">
        <is>
          <t>Steel box tube 1" x 1" x 2.0MM x 6M</t>
        </is>
      </c>
      <c r="Q506" s="277" t="n">
        <v>10</v>
      </c>
      <c r="R506" s="5" t="inlineStr">
        <is>
          <t>PCS.</t>
        </is>
      </c>
      <c r="S506" s="292">
        <f>RawDataGenPO[[#This Row],[Total price]]/RawDataGenPO[[#This Row],[Qty'']]</f>
        <v/>
      </c>
      <c r="T506" s="278" t="n">
        <v>1950</v>
      </c>
      <c r="U506" s="291" t="n"/>
      <c r="V506" s="29" t="inlineStr">
        <is>
          <t>V1000307 - M.C.K.STEEL CENTER CO., LTD.</t>
        </is>
      </c>
      <c r="W506" s="5" t="inlineStr">
        <is>
          <t>Recive bill and GRN already</t>
        </is>
      </c>
      <c r="X506" s="26" t="n"/>
      <c r="Y506" s="23" t="n">
        <v>45609</v>
      </c>
      <c r="Z506" s="23" t="n"/>
      <c r="AA506" s="37">
        <f>IF(RawDataGenPO[[#This Row],[Date Gen PO]]="","",RawDataGenPO[[#This Row],[Date recive bill]]-RawDataGenPO[[#This Row],[Date Gen PO]])</f>
        <v/>
      </c>
      <c r="AB506" s="16">
        <f>IF(RawDataGenPO[[#This Row],[GRN-PO date]]&gt;RawDataGenPO[[#This Row],[Lead time delivery (day)]],"over deliverry","Ontime")</f>
        <v/>
      </c>
      <c r="AC506" s="22" t="n"/>
    </row>
    <row r="507" ht="15" customFormat="1" customHeight="1" s="125">
      <c r="A507" s="5">
        <f>ROW()-ROW(RawDataGenPO[[#Headers],[No.]])</f>
        <v/>
      </c>
      <c r="B507" s="7" t="inlineStr">
        <is>
          <t>Expent  cost</t>
        </is>
      </c>
      <c r="C507" s="275" t="n">
        <v>45581</v>
      </c>
      <c r="D507" s="276" t="n"/>
      <c r="E507" s="276" t="n"/>
      <c r="F507" s="275" t="n">
        <v>45581</v>
      </c>
      <c r="G507" s="18" t="inlineStr">
        <is>
          <t xml:space="preserve">PR2425-03904 </t>
        </is>
      </c>
      <c r="H507" s="5" t="inlineStr">
        <is>
          <t xml:space="preserve">PO2425-04338 </t>
        </is>
      </c>
      <c r="I507" s="290">
        <f>IF(RawDataGenPO[[#This Row],[PO No.]]="","",RawDataGenPO[[#This Row],[DMY Create PR]]+7)</f>
        <v/>
      </c>
      <c r="J507" s="290" t="n"/>
      <c r="K507" s="20" t="n">
        <v>30</v>
      </c>
      <c r="L507" s="5" t="inlineStr">
        <is>
          <t>SFST81000050</t>
        </is>
      </c>
      <c r="M507" s="7" t="inlineStr">
        <is>
          <t>Tool and Equipment  Engineering</t>
        </is>
      </c>
      <c r="N507" s="7" t="inlineStr">
        <is>
          <t>Tool and Equipment</t>
        </is>
      </c>
      <c r="O507" s="11" t="n">
        <v>2</v>
      </c>
      <c r="P507" s="10" t="inlineStr">
        <is>
          <t>Steel box tube 2" x 2" x 2.0MM x 6M</t>
        </is>
      </c>
      <c r="Q507" s="277" t="n">
        <v>10</v>
      </c>
      <c r="R507" s="5" t="inlineStr">
        <is>
          <t>PCS.</t>
        </is>
      </c>
      <c r="S507" s="292">
        <f>RawDataGenPO[[#This Row],[Total price]]/RawDataGenPO[[#This Row],[Qty'']]</f>
        <v/>
      </c>
      <c r="T507" s="278" t="n">
        <v>4250</v>
      </c>
      <c r="U507" s="291" t="n"/>
      <c r="V507" s="7" t="inlineStr">
        <is>
          <t>V1000307 - M.C.K.STEEL CENTER CO., LTD.</t>
        </is>
      </c>
      <c r="W507" s="5" t="inlineStr">
        <is>
          <t>Recive bill and GRN already</t>
        </is>
      </c>
      <c r="X507" s="5" t="n"/>
      <c r="Y507" s="3" t="n">
        <v>45609</v>
      </c>
      <c r="Z507" s="3" t="n"/>
      <c r="AA507" s="17">
        <f>IF(RawDataGenPO[[#This Row],[Date Gen PO]]="","",RawDataGenPO[[#This Row],[Date recive bill]]-RawDataGenPO[[#This Row],[Date Gen PO]])</f>
        <v/>
      </c>
      <c r="AB507" s="16">
        <f>IF(RawDataGenPO[[#This Row],[GRN-PO date]]&gt;RawDataGenPO[[#This Row],[Lead time delivery (day)]],"over deliverry","Ontime")</f>
        <v/>
      </c>
      <c r="AC507" s="22" t="n"/>
    </row>
    <row r="508" ht="15" customFormat="1" customHeight="1" s="125">
      <c r="A508" s="5">
        <f>ROW()-ROW(RawDataGenPO[[#Headers],[No.]])</f>
        <v/>
      </c>
      <c r="B508" s="7" t="inlineStr">
        <is>
          <t>Expent  cost</t>
        </is>
      </c>
      <c r="C508" s="275" t="n">
        <v>45581</v>
      </c>
      <c r="D508" s="276" t="n"/>
      <c r="E508" s="276" t="n"/>
      <c r="F508" s="275" t="n">
        <v>45581</v>
      </c>
      <c r="G508" s="18" t="inlineStr">
        <is>
          <t xml:space="preserve">PR2425-03904 </t>
        </is>
      </c>
      <c r="H508" s="5" t="inlineStr">
        <is>
          <t xml:space="preserve">PO2425-04338 </t>
        </is>
      </c>
      <c r="I508" s="290">
        <f>IF(RawDataGenPO[[#This Row],[PO No.]]="","",RawDataGenPO[[#This Row],[DMY Create PR]]+7)</f>
        <v/>
      </c>
      <c r="J508" s="290" t="n"/>
      <c r="K508" s="20" t="n">
        <v>30</v>
      </c>
      <c r="L508" s="5" t="inlineStr">
        <is>
          <t>SFST81000050</t>
        </is>
      </c>
      <c r="M508" s="7" t="inlineStr">
        <is>
          <t>Tool and Equipment  Engineering</t>
        </is>
      </c>
      <c r="N508" s="7" t="inlineStr">
        <is>
          <t>Tool and Equipment</t>
        </is>
      </c>
      <c r="O508" s="11" t="n">
        <v>3</v>
      </c>
      <c r="P508" s="10" t="inlineStr">
        <is>
          <t>Angle steel 1" x 1" x 3.0MM x 6M</t>
        </is>
      </c>
      <c r="Q508" s="277" t="n">
        <v>10</v>
      </c>
      <c r="R508" s="5" t="inlineStr">
        <is>
          <t>PCS.</t>
        </is>
      </c>
      <c r="S508" s="292">
        <f>RawDataGenPO[[#This Row],[Total price]]/RawDataGenPO[[#This Row],[Qty'']]</f>
        <v/>
      </c>
      <c r="T508" s="278" t="n">
        <v>1900</v>
      </c>
      <c r="U508" s="291" t="n"/>
      <c r="V508" s="7" t="inlineStr">
        <is>
          <t>V1000307 - M.C.K.STEEL CENTER CO., LTD.</t>
        </is>
      </c>
      <c r="W508" s="5" t="inlineStr">
        <is>
          <t>Recive bill and GRN already</t>
        </is>
      </c>
      <c r="X508" s="5" t="n"/>
      <c r="Y508" s="3" t="n">
        <v>45609</v>
      </c>
      <c r="Z508" s="3" t="n"/>
      <c r="AA508" s="17">
        <f>IF(RawDataGenPO[[#This Row],[Date Gen PO]]="","",RawDataGenPO[[#This Row],[Date recive bill]]-RawDataGenPO[[#This Row],[Date Gen PO]])</f>
        <v/>
      </c>
      <c r="AB508" s="16">
        <f>IF(RawDataGenPO[[#This Row],[GRN-PO date]]&gt;RawDataGenPO[[#This Row],[Lead time delivery (day)]],"over deliverry","Ontime")</f>
        <v/>
      </c>
      <c r="AC508" s="22" t="n"/>
    </row>
    <row r="509" ht="15" customFormat="1" customHeight="1" s="125">
      <c r="A509" s="5">
        <f>ROW()-ROW(RawDataGenPO[[#Headers],[No.]])</f>
        <v/>
      </c>
      <c r="B509" s="7" t="inlineStr">
        <is>
          <t>Expent  cost</t>
        </is>
      </c>
      <c r="C509" s="275" t="n">
        <v>45581</v>
      </c>
      <c r="D509" s="276" t="n"/>
      <c r="E509" s="276" t="n"/>
      <c r="F509" s="275" t="n">
        <v>45581</v>
      </c>
      <c r="G509" s="18" t="inlineStr">
        <is>
          <t xml:space="preserve">PR2425-03904 </t>
        </is>
      </c>
      <c r="H509" s="5" t="inlineStr">
        <is>
          <t xml:space="preserve">PO2425-04338 </t>
        </is>
      </c>
      <c r="I509" s="290">
        <f>IF(RawDataGenPO[[#This Row],[PO No.]]="","",RawDataGenPO[[#This Row],[DMY Create PR]]+7)</f>
        <v/>
      </c>
      <c r="J509" s="290" t="n"/>
      <c r="K509" s="20" t="n">
        <v>30</v>
      </c>
      <c r="L509" s="5" t="inlineStr">
        <is>
          <t>SFST81000050</t>
        </is>
      </c>
      <c r="M509" s="7" t="inlineStr">
        <is>
          <t>Tool and Equipment  Engineering</t>
        </is>
      </c>
      <c r="N509" s="7" t="inlineStr">
        <is>
          <t>Tool and Equipment</t>
        </is>
      </c>
      <c r="O509" s="11" t="n">
        <v>4</v>
      </c>
      <c r="P509" s="10" t="inlineStr">
        <is>
          <t>Steel sheet 4' x 8' x 1.5MM</t>
        </is>
      </c>
      <c r="Q509" s="277" t="n">
        <v>3</v>
      </c>
      <c r="R509" s="5" t="inlineStr">
        <is>
          <t>PCS.</t>
        </is>
      </c>
      <c r="S509" s="292">
        <f>RawDataGenPO[[#This Row],[Total price]]/RawDataGenPO[[#This Row],[Qty'']]</f>
        <v/>
      </c>
      <c r="T509" s="278" t="n">
        <v>2880</v>
      </c>
      <c r="U509" s="291" t="n"/>
      <c r="V509" s="7" t="inlineStr">
        <is>
          <t>V1000307 - M.C.K.STEEL CENTER CO., LTD.</t>
        </is>
      </c>
      <c r="W509" s="5" t="inlineStr">
        <is>
          <t>Recive bill and GRN already</t>
        </is>
      </c>
      <c r="X509" s="5" t="n"/>
      <c r="Y509" s="3" t="n">
        <v>45609</v>
      </c>
      <c r="Z509" s="3" t="n"/>
      <c r="AA509" s="17">
        <f>IF(RawDataGenPO[[#This Row],[Date Gen PO]]="","",RawDataGenPO[[#This Row],[Date recive bill]]-RawDataGenPO[[#This Row],[Date Gen PO]])</f>
        <v/>
      </c>
      <c r="AB509" s="16">
        <f>IF(RawDataGenPO[[#This Row],[GRN-PO date]]&gt;RawDataGenPO[[#This Row],[Lead time delivery (day)]],"over deliverry","Ontime")</f>
        <v/>
      </c>
      <c r="AC509" s="22" t="n"/>
    </row>
    <row r="510" ht="15" customFormat="1" customHeight="1" s="125">
      <c r="A510" s="5">
        <f>ROW()-ROW(RawDataGenPO[[#Headers],[No.]])</f>
        <v/>
      </c>
      <c r="B510" s="7" t="inlineStr">
        <is>
          <t>Expent  cost</t>
        </is>
      </c>
      <c r="C510" s="275" t="n">
        <v>45581</v>
      </c>
      <c r="D510" s="276" t="n"/>
      <c r="E510" s="276" t="n"/>
      <c r="F510" s="275" t="n">
        <v>45581</v>
      </c>
      <c r="G510" s="18" t="inlineStr">
        <is>
          <t xml:space="preserve">PR2425-03904 </t>
        </is>
      </c>
      <c r="H510" s="5" t="inlineStr">
        <is>
          <t xml:space="preserve">PO2425-04338 </t>
        </is>
      </c>
      <c r="I510" s="290">
        <f>IF(RawDataGenPO[[#This Row],[PO No.]]="","",RawDataGenPO[[#This Row],[DMY Create PR]]+7)</f>
        <v/>
      </c>
      <c r="J510" s="290" t="n"/>
      <c r="K510" s="20" t="n">
        <v>30</v>
      </c>
      <c r="L510" s="5" t="inlineStr">
        <is>
          <t>SFST81000050</t>
        </is>
      </c>
      <c r="M510" s="7" t="inlineStr">
        <is>
          <t>Tool and Equipment  Engineering</t>
        </is>
      </c>
      <c r="N510" s="7" t="inlineStr">
        <is>
          <t>Tool and Equipment</t>
        </is>
      </c>
      <c r="O510" s="11" t="n">
        <v>5</v>
      </c>
      <c r="P510" s="10" t="inlineStr">
        <is>
          <t>Stainless steel box tube SS304 1" x 1" x 1.5MM x 6M</t>
        </is>
      </c>
      <c r="Q510" s="277" t="n">
        <v>5</v>
      </c>
      <c r="R510" s="5" t="inlineStr">
        <is>
          <t>PCS.</t>
        </is>
      </c>
      <c r="S510" s="292">
        <f>RawDataGenPO[[#This Row],[Total price]]/RawDataGenPO[[#This Row],[Qty'']]</f>
        <v/>
      </c>
      <c r="T510" s="278" t="n">
        <v>3650</v>
      </c>
      <c r="U510" s="291" t="n"/>
      <c r="V510" s="7" t="inlineStr">
        <is>
          <t>V1000307 - M.C.K.STEEL CENTER CO., LTD.</t>
        </is>
      </c>
      <c r="W510" s="5" t="inlineStr">
        <is>
          <t>Recive bill and GRN already</t>
        </is>
      </c>
      <c r="X510" s="5" t="n"/>
      <c r="Y510" s="3" t="n">
        <v>45609</v>
      </c>
      <c r="Z510" s="3" t="n"/>
      <c r="AA510" s="17">
        <f>IF(RawDataGenPO[[#This Row],[Date Gen PO]]="","",RawDataGenPO[[#This Row],[Date recive bill]]-RawDataGenPO[[#This Row],[Date Gen PO]])</f>
        <v/>
      </c>
      <c r="AB510" s="16">
        <f>IF(RawDataGenPO[[#This Row],[GRN-PO date]]&gt;RawDataGenPO[[#This Row],[Lead time delivery (day)]],"over deliverry","Ontime")</f>
        <v/>
      </c>
      <c r="AC510" s="22" t="n"/>
    </row>
    <row r="511" ht="15" customFormat="1" customHeight="1" s="125">
      <c r="A511" s="5">
        <f>ROW()-ROW(RawDataGenPO[[#Headers],[No.]])</f>
        <v/>
      </c>
      <c r="B511" s="7" t="inlineStr">
        <is>
          <t>Expent  cost</t>
        </is>
      </c>
      <c r="C511" s="275" t="n">
        <v>45581</v>
      </c>
      <c r="D511" s="276" t="n"/>
      <c r="E511" s="276" t="n"/>
      <c r="F511" s="275" t="n">
        <v>45581</v>
      </c>
      <c r="G511" s="18" t="inlineStr">
        <is>
          <t xml:space="preserve">PR2425-03904 </t>
        </is>
      </c>
      <c r="H511" s="5" t="inlineStr">
        <is>
          <t xml:space="preserve">PO2425-04338 </t>
        </is>
      </c>
      <c r="I511" s="290">
        <f>IF(RawDataGenPO[[#This Row],[PO No.]]="","",RawDataGenPO[[#This Row],[DMY Create PR]]+7)</f>
        <v/>
      </c>
      <c r="J511" s="290" t="n"/>
      <c r="K511" s="20" t="n">
        <v>30</v>
      </c>
      <c r="L511" s="5" t="inlineStr">
        <is>
          <t>SFST81000050</t>
        </is>
      </c>
      <c r="M511" s="7" t="inlineStr">
        <is>
          <t>Tool and Equipment  Engineering</t>
        </is>
      </c>
      <c r="N511" s="7" t="inlineStr">
        <is>
          <t>Tool and Equipment</t>
        </is>
      </c>
      <c r="O511" s="11" t="n">
        <v>6</v>
      </c>
      <c r="P511" s="10" t="inlineStr">
        <is>
          <t>Stainless steel box tube SS304 2" x 1" x 1.5MM x 6M</t>
        </is>
      </c>
      <c r="Q511" s="277" t="n">
        <v>5</v>
      </c>
      <c r="R511" s="5" t="inlineStr">
        <is>
          <t>PCS.</t>
        </is>
      </c>
      <c r="S511" s="292">
        <f>RawDataGenPO[[#This Row],[Total price]]/RawDataGenPO[[#This Row],[Qty'']]</f>
        <v/>
      </c>
      <c r="T511" s="278" t="n">
        <v>5650</v>
      </c>
      <c r="U511" s="291" t="n"/>
      <c r="V511" s="7" t="inlineStr">
        <is>
          <t>V1000307 - M.C.K.STEEL CENTER CO., LTD.</t>
        </is>
      </c>
      <c r="W511" s="5" t="inlineStr">
        <is>
          <t>Recive bill and GRN already</t>
        </is>
      </c>
      <c r="X511" s="5" t="n"/>
      <c r="Y511" s="3" t="n">
        <v>45609</v>
      </c>
      <c r="Z511" s="3" t="n"/>
      <c r="AA511" s="17">
        <f>IF(RawDataGenPO[[#This Row],[Date Gen PO]]="","",RawDataGenPO[[#This Row],[Date recive bill]]-RawDataGenPO[[#This Row],[Date Gen PO]])</f>
        <v/>
      </c>
      <c r="AB511" s="16">
        <f>IF(RawDataGenPO[[#This Row],[GRN-PO date]]&gt;RawDataGenPO[[#This Row],[Lead time delivery (day)]],"over deliverry","Ontime")</f>
        <v/>
      </c>
      <c r="AC511" s="22" t="n"/>
    </row>
    <row r="512" ht="15" customFormat="1" customHeight="1" s="125">
      <c r="A512" s="5">
        <f>ROW()-ROW(RawDataGenPO[[#Headers],[No.]])</f>
        <v/>
      </c>
      <c r="B512" s="7" t="inlineStr">
        <is>
          <t>Expent  cost</t>
        </is>
      </c>
      <c r="C512" s="275" t="n">
        <v>45581</v>
      </c>
      <c r="D512" s="276" t="n"/>
      <c r="E512" s="276" t="n"/>
      <c r="F512" s="275" t="n">
        <v>45581</v>
      </c>
      <c r="G512" s="18" t="inlineStr">
        <is>
          <t xml:space="preserve">PR2425-03904 </t>
        </is>
      </c>
      <c r="H512" s="5" t="inlineStr">
        <is>
          <t xml:space="preserve">PO2425-04338 </t>
        </is>
      </c>
      <c r="I512" s="290">
        <f>IF(RawDataGenPO[[#This Row],[PO No.]]="","",RawDataGenPO[[#This Row],[DMY Create PR]]+7)</f>
        <v/>
      </c>
      <c r="J512" s="290" t="n"/>
      <c r="K512" s="20" t="n">
        <v>30</v>
      </c>
      <c r="L512" s="5" t="inlineStr">
        <is>
          <t>SFST81000050</t>
        </is>
      </c>
      <c r="M512" s="7" t="inlineStr">
        <is>
          <t>Tool and Equipment  Engineering</t>
        </is>
      </c>
      <c r="N512" s="7" t="inlineStr">
        <is>
          <t>Tool and Equipment</t>
        </is>
      </c>
      <c r="O512" s="11" t="n">
        <v>7</v>
      </c>
      <c r="P512" s="10" t="inlineStr">
        <is>
          <t>Stainless steel angle SS304 1" x 1" x 1/8"(3.0MM) x 6M</t>
        </is>
      </c>
      <c r="Q512" s="277" t="n">
        <v>5</v>
      </c>
      <c r="R512" s="5" t="inlineStr">
        <is>
          <t>PCS.</t>
        </is>
      </c>
      <c r="S512" s="292">
        <f>RawDataGenPO[[#This Row],[Total price]]/RawDataGenPO[[#This Row],[Qty'']]</f>
        <v/>
      </c>
      <c r="T512" s="278" t="n">
        <v>3350</v>
      </c>
      <c r="U512" s="291" t="n"/>
      <c r="V512" s="7" t="inlineStr">
        <is>
          <t>V1000307 - M.C.K.STEEL CENTER CO., LTD.</t>
        </is>
      </c>
      <c r="W512" s="5" t="inlineStr">
        <is>
          <t>Recive bill and GRN already</t>
        </is>
      </c>
      <c r="X512" s="5" t="n"/>
      <c r="Y512" s="3" t="n">
        <v>45609</v>
      </c>
      <c r="Z512" s="3" t="n"/>
      <c r="AA512" s="17">
        <f>IF(RawDataGenPO[[#This Row],[Date Gen PO]]="","",RawDataGenPO[[#This Row],[Date recive bill]]-RawDataGenPO[[#This Row],[Date Gen PO]])</f>
        <v/>
      </c>
      <c r="AB512" s="16">
        <f>IF(RawDataGenPO[[#This Row],[GRN-PO date]]&gt;RawDataGenPO[[#This Row],[Lead time delivery (day)]],"over deliverry","Ontime")</f>
        <v/>
      </c>
      <c r="AC512" s="22" t="n"/>
    </row>
    <row r="513" ht="15" customFormat="1" customHeight="1" s="125">
      <c r="A513" s="5">
        <f>ROW()-ROW(RawDataGenPO[[#Headers],[No.]])</f>
        <v/>
      </c>
      <c r="B513" s="7" t="inlineStr">
        <is>
          <t>Expent  cost</t>
        </is>
      </c>
      <c r="C513" s="275" t="n">
        <v>45581</v>
      </c>
      <c r="D513" s="276" t="n"/>
      <c r="E513" s="276" t="n"/>
      <c r="F513" s="275" t="n">
        <v>45581</v>
      </c>
      <c r="G513" s="18" t="inlineStr">
        <is>
          <t xml:space="preserve">PR2425-03904 </t>
        </is>
      </c>
      <c r="H513" s="5" t="inlineStr">
        <is>
          <t xml:space="preserve">PO2425-04338 </t>
        </is>
      </c>
      <c r="I513" s="290">
        <f>IF(RawDataGenPO[[#This Row],[PO No.]]="","",RawDataGenPO[[#This Row],[DMY Create PR]]+7)</f>
        <v/>
      </c>
      <c r="J513" s="290" t="n"/>
      <c r="K513" s="20" t="n">
        <v>30</v>
      </c>
      <c r="L513" s="5" t="inlineStr">
        <is>
          <t>SFST81000050</t>
        </is>
      </c>
      <c r="M513" s="7" t="inlineStr">
        <is>
          <t>Tool and Equipment  Engineering</t>
        </is>
      </c>
      <c r="N513" s="7" t="inlineStr">
        <is>
          <t>Tool and Equipment</t>
        </is>
      </c>
      <c r="O513" s="11" t="n">
        <v>8</v>
      </c>
      <c r="P513" s="10" t="inlineStr">
        <is>
          <t>Stainless steel flat bar SS304 1" x 1/8" (3.0MM) x 6M</t>
        </is>
      </c>
      <c r="Q513" s="277" t="n">
        <v>5</v>
      </c>
      <c r="R513" s="5" t="inlineStr">
        <is>
          <t>PCS.</t>
        </is>
      </c>
      <c r="S513" s="292">
        <f>RawDataGenPO[[#This Row],[Total price]]/RawDataGenPO[[#This Row],[Qty'']]</f>
        <v/>
      </c>
      <c r="T513" s="278" t="n">
        <v>1550</v>
      </c>
      <c r="U513" s="291" t="n"/>
      <c r="V513" s="7" t="inlineStr">
        <is>
          <t>V1000307 - M.C.K.STEEL CENTER CO., LTD.</t>
        </is>
      </c>
      <c r="W513" s="5" t="inlineStr">
        <is>
          <t>Recive bill and GRN already</t>
        </is>
      </c>
      <c r="X513" s="5" t="n"/>
      <c r="Y513" s="3" t="n">
        <v>45609</v>
      </c>
      <c r="Z513" s="3" t="n"/>
      <c r="AA513" s="17">
        <f>IF(RawDataGenPO[[#This Row],[Date Gen PO]]="","",RawDataGenPO[[#This Row],[Date recive bill]]-RawDataGenPO[[#This Row],[Date Gen PO]])</f>
        <v/>
      </c>
      <c r="AB513" s="16">
        <f>IF(RawDataGenPO[[#This Row],[GRN-PO date]]&gt;RawDataGenPO[[#This Row],[Lead time delivery (day)]],"over deliverry","Ontime")</f>
        <v/>
      </c>
      <c r="AC513" s="22" t="n"/>
    </row>
    <row r="514" ht="75" customFormat="1" customHeight="1" s="125">
      <c r="A514" s="5">
        <f>ROW()-ROW(RawDataGenPO[[#Headers],[No.]])</f>
        <v/>
      </c>
      <c r="B514" s="7" t="inlineStr">
        <is>
          <t>Expent  cost</t>
        </is>
      </c>
      <c r="C514" s="275" t="n">
        <v>45567</v>
      </c>
      <c r="D514" s="276" t="n"/>
      <c r="E514" s="276" t="n"/>
      <c r="F514" s="275" t="n">
        <v>45567</v>
      </c>
      <c r="G514" s="18" t="inlineStr">
        <is>
          <t>PR2425-03723</t>
        </is>
      </c>
      <c r="H514" s="5" t="inlineStr">
        <is>
          <t>PO2425-04334</t>
        </is>
      </c>
      <c r="I514" s="290">
        <f>IF(RawDataGenPO[[#This Row],[PO No.]]="","",RawDataGenPO[[#This Row],[DMY Create PR]]+7)</f>
        <v/>
      </c>
      <c r="J514" s="290" t="n"/>
      <c r="K514" s="20" t="n">
        <v>130</v>
      </c>
      <c r="L514" s="5" t="inlineStr">
        <is>
          <t>SFST81000048</t>
        </is>
      </c>
      <c r="M514" s="7" t="inlineStr">
        <is>
          <t>Utility Jobs  (Boiler-Air compress-Transformer-LPG)</t>
        </is>
      </c>
      <c r="N514" s="7" t="inlineStr">
        <is>
          <t>Machanical jobs</t>
        </is>
      </c>
      <c r="O514" s="11" t="n">
        <v>1</v>
      </c>
      <c r="P514" s="10" t="inlineStr">
        <is>
          <t>Repair worksteam pipe
- Replacesteam pipe
- Bendsolenoidinsertflange
- Bendsteam pipe
- Replacegasketsteam pipe</t>
        </is>
      </c>
      <c r="Q514" s="277" t="n">
        <v>1</v>
      </c>
      <c r="R514" s="5" t="inlineStr">
        <is>
          <t>JOB.</t>
        </is>
      </c>
      <c r="S514" s="292">
        <f>RawDataGenPO[[#This Row],[Total price]]/RawDataGenPO[[#This Row],[Qty'']]</f>
        <v/>
      </c>
      <c r="T514" s="278" t="n">
        <v>55500</v>
      </c>
      <c r="U514" s="161" t="inlineStr">
        <is>
          <t>Puneet Approval</t>
        </is>
      </c>
      <c r="V514" s="7" t="inlineStr">
        <is>
          <t>V1000687 - UM.TECH COMPANY LIMITED</t>
        </is>
      </c>
      <c r="W514" s="5" t="inlineStr">
        <is>
          <t>Recive bill and GRN already</t>
        </is>
      </c>
      <c r="X514" s="5" t="inlineStr">
        <is>
          <t>GRN2425-0007145</t>
        </is>
      </c>
      <c r="Y514" s="3" t="n">
        <v>45702</v>
      </c>
      <c r="Z514" s="3" t="n"/>
      <c r="AA514" s="17">
        <f>IF(RawDataGenPO[[#This Row],[Date Gen PO]]="","",RawDataGenPO[[#This Row],[Date recive bill]]-RawDataGenPO[[#This Row],[Date Gen PO]])</f>
        <v/>
      </c>
      <c r="AB514" s="16">
        <f>IF(RawDataGenPO[[#This Row],[GRN-PO date]]&gt;RawDataGenPO[[#This Row],[Lead time delivery (day)]],"over deliverry","Ontime")</f>
        <v/>
      </c>
      <c r="AC514" s="22" t="n"/>
    </row>
    <row r="515" ht="15" customFormat="1" customHeight="1" s="125">
      <c r="A515" s="5">
        <f>ROW()-ROW(RawDataGenPO[[#Headers],[No.]])</f>
        <v/>
      </c>
      <c r="B515" s="7" t="inlineStr">
        <is>
          <t>Expent  cost</t>
        </is>
      </c>
      <c r="C515" s="275" t="n">
        <v>45567</v>
      </c>
      <c r="D515" s="276" t="n"/>
      <c r="E515" s="276" t="n"/>
      <c r="F515" s="275" t="n">
        <v>45567</v>
      </c>
      <c r="G515" s="5" t="inlineStr">
        <is>
          <t>PR2425-03723</t>
        </is>
      </c>
      <c r="H515" s="5" t="inlineStr">
        <is>
          <t>PO2425-04334</t>
        </is>
      </c>
      <c r="I515" s="290">
        <f>IF(RawDataGenPO[[#This Row],[PO No.]]="","",RawDataGenPO[[#This Row],[DMY Create PR]]+7)</f>
        <v/>
      </c>
      <c r="J515" s="290" t="n"/>
      <c r="K515" s="20" t="n">
        <v>130</v>
      </c>
      <c r="L515" s="5" t="inlineStr">
        <is>
          <t>SFST81000048</t>
        </is>
      </c>
      <c r="M515" s="7" t="inlineStr">
        <is>
          <t>Utility Jobs  (Boiler-Air compress-Transformer-LPG)</t>
        </is>
      </c>
      <c r="N515" s="7" t="inlineStr">
        <is>
          <t>Machanical jobs</t>
        </is>
      </c>
      <c r="O515" s="11" t="n">
        <v>2</v>
      </c>
      <c r="P515" s="10" t="inlineStr">
        <is>
          <t>Service charge</t>
        </is>
      </c>
      <c r="Q515" s="277" t="n">
        <v>1</v>
      </c>
      <c r="R515" s="5" t="inlineStr">
        <is>
          <t>JOB.</t>
        </is>
      </c>
      <c r="S515" s="292">
        <f>RawDataGenPO[[#This Row],[Total price]]/RawDataGenPO[[#This Row],[Qty'']]</f>
        <v/>
      </c>
      <c r="T515" s="278" t="n">
        <v>34500</v>
      </c>
      <c r="U515" s="161" t="inlineStr">
        <is>
          <t>Puneet Approval</t>
        </is>
      </c>
      <c r="V515" s="7" t="inlineStr">
        <is>
          <t>V1000687 - UM.TECH COMPANY LIMITED</t>
        </is>
      </c>
      <c r="W515" s="5" t="inlineStr">
        <is>
          <t>Recive bill and GRN already</t>
        </is>
      </c>
      <c r="X515" s="5" t="inlineStr">
        <is>
          <t>GRN2425-0007145</t>
        </is>
      </c>
      <c r="Y515" s="3" t="n">
        <v>45702</v>
      </c>
      <c r="Z515" s="3" t="n"/>
      <c r="AA515" s="17">
        <f>IF(RawDataGenPO[[#This Row],[Date Gen PO]]="","",RawDataGenPO[[#This Row],[Date recive bill]]-RawDataGenPO[[#This Row],[Date Gen PO]])</f>
        <v/>
      </c>
      <c r="AB515" s="16">
        <f>IF(RawDataGenPO[[#This Row],[GRN-PO date]]&gt;RawDataGenPO[[#This Row],[Lead time delivery (day)]],"over deliverry","Ontime")</f>
        <v/>
      </c>
      <c r="AC515" s="22" t="n"/>
    </row>
    <row r="516" ht="30" customFormat="1" customHeight="1" s="125">
      <c r="A516" s="5">
        <f>ROW()-ROW(RawDataGenPO[[#Headers],[No.]])</f>
        <v/>
      </c>
      <c r="B516" s="7" t="inlineStr">
        <is>
          <t>Expent  cost</t>
        </is>
      </c>
      <c r="C516" s="275" t="n">
        <v>45581</v>
      </c>
      <c r="D516" s="276" t="n"/>
      <c r="E516" s="276" t="n"/>
      <c r="F516" s="275" t="n">
        <v>45581</v>
      </c>
      <c r="G516" s="5" t="inlineStr">
        <is>
          <t>PR2425-03906</t>
        </is>
      </c>
      <c r="H516" s="5" t="inlineStr">
        <is>
          <t>PO2425-04346</t>
        </is>
      </c>
      <c r="I516" s="290">
        <f>IF(RawDataGenPO[[#This Row],[PO No.]]="","",RawDataGenPO[[#This Row],[DMY Create PR]]+7)</f>
        <v/>
      </c>
      <c r="J516" s="290" t="n"/>
      <c r="K516" s="20" t="n">
        <v>30</v>
      </c>
      <c r="L516" s="5" t="inlineStr">
        <is>
          <t>SFST81000050</t>
        </is>
      </c>
      <c r="M516" s="7" t="inlineStr">
        <is>
          <t>Tool and Equipment PD M/C</t>
        </is>
      </c>
      <c r="N516" s="7" t="inlineStr">
        <is>
          <t>Tool and Equipment</t>
        </is>
      </c>
      <c r="O516" s="11" t="n">
        <v>1</v>
      </c>
      <c r="P516" s="10" t="inlineStr">
        <is>
          <t>Weksler model BY14 Pressure Gauge pressure gauge
dial 4 inch thread 1/4" NPT 0-200 psi.</t>
        </is>
      </c>
      <c r="Q516" s="277" t="n">
        <v>6</v>
      </c>
      <c r="R516" s="5" t="inlineStr">
        <is>
          <t>PCS.</t>
        </is>
      </c>
      <c r="S516" s="292">
        <f>RawDataGenPO[[#This Row],[Total price]]/RawDataGenPO[[#This Row],[Qty'']]</f>
        <v/>
      </c>
      <c r="T516" s="278" t="n">
        <v>10080</v>
      </c>
      <c r="U516" s="291" t="n"/>
      <c r="V516" s="7" t="inlineStr">
        <is>
          <t>V1000259 - JJP SUPPLY CO., LTD</t>
        </is>
      </c>
      <c r="W516" s="5" t="inlineStr">
        <is>
          <t>Recive bill and GRN already</t>
        </is>
      </c>
      <c r="X516" s="5" t="n"/>
      <c r="Y516" s="3" t="n">
        <v>45604</v>
      </c>
      <c r="Z516" s="3" t="n"/>
      <c r="AA516" s="17">
        <f>IF(RawDataGenPO[[#This Row],[Date Gen PO]]="","",RawDataGenPO[[#This Row],[Date recive bill]]-RawDataGenPO[[#This Row],[Date Gen PO]])</f>
        <v/>
      </c>
      <c r="AB516" s="16">
        <f>IF(RawDataGenPO[[#This Row],[GRN-PO date]]&gt;RawDataGenPO[[#This Row],[Lead time delivery (day)]],"over deliverry","Ontime")</f>
        <v/>
      </c>
      <c r="AC516" s="22" t="n"/>
    </row>
    <row r="517" ht="30" customFormat="1" customHeight="1" s="125">
      <c r="A517" s="5">
        <f>ROW()-ROW(RawDataGenPO[[#Headers],[No.]])</f>
        <v/>
      </c>
      <c r="B517" s="7" t="inlineStr">
        <is>
          <t>Expent  cost</t>
        </is>
      </c>
      <c r="C517" s="275" t="n">
        <v>45581</v>
      </c>
      <c r="D517" s="276" t="n"/>
      <c r="E517" s="276" t="n"/>
      <c r="F517" s="275" t="n">
        <v>45581</v>
      </c>
      <c r="G517" s="5" t="inlineStr">
        <is>
          <t>PR2425-03906</t>
        </is>
      </c>
      <c r="H517" s="5" t="inlineStr">
        <is>
          <t>PO2425-04346</t>
        </is>
      </c>
      <c r="I517" s="290">
        <f>IF(RawDataGenPO[[#This Row],[PO No.]]="","",RawDataGenPO[[#This Row],[DMY Create PR]]+7)</f>
        <v/>
      </c>
      <c r="J517" s="290" t="n"/>
      <c r="K517" s="20" t="n">
        <v>30</v>
      </c>
      <c r="L517" s="5" t="inlineStr">
        <is>
          <t>SFST81000050</t>
        </is>
      </c>
      <c r="M517" s="7" t="inlineStr">
        <is>
          <t>Tool and Equipment PD M/C</t>
        </is>
      </c>
      <c r="N517" s="7" t="inlineStr">
        <is>
          <t>Tool and Equipment</t>
        </is>
      </c>
      <c r="O517" s="11" t="n">
        <v>2</v>
      </c>
      <c r="P517" s="10" t="inlineStr">
        <is>
          <t>pcsadapterthread ADAPTER (pressure gaugedial 4"
willtothread 1/4" usepcsadapterthreadfrom 1/4" to 1/2")</t>
        </is>
      </c>
      <c r="Q517" s="277" t="n">
        <v>3</v>
      </c>
      <c r="R517" s="5" t="inlineStr">
        <is>
          <t>PCS.</t>
        </is>
      </c>
      <c r="S517" s="292">
        <f>RawDataGenPO[[#This Row],[Total price]]/RawDataGenPO[[#This Row],[Qty'']]</f>
        <v/>
      </c>
      <c r="T517" s="278" t="n">
        <v>360</v>
      </c>
      <c r="U517" s="291" t="n"/>
      <c r="V517" s="7" t="inlineStr">
        <is>
          <t>V1000259 - JJP SUPPLY CO., LTD</t>
        </is>
      </c>
      <c r="W517" s="5" t="inlineStr">
        <is>
          <t>Recive bill and GRN already</t>
        </is>
      </c>
      <c r="X517" s="5" t="n"/>
      <c r="Y517" s="3" t="n">
        <v>45604</v>
      </c>
      <c r="Z517" s="3" t="n"/>
      <c r="AA517" s="17">
        <f>IF(RawDataGenPO[[#This Row],[Date Gen PO]]="","",RawDataGenPO[[#This Row],[Date recive bill]]-RawDataGenPO[[#This Row],[Date Gen PO]])</f>
        <v/>
      </c>
      <c r="AB517" s="16">
        <f>IF(RawDataGenPO[[#This Row],[GRN-PO date]]&gt;RawDataGenPO[[#This Row],[Lead time delivery (day)]],"over deliverry","Ontime")</f>
        <v/>
      </c>
      <c r="AC517" s="22" t="n"/>
    </row>
    <row r="518" ht="15" customFormat="1" customHeight="1" s="125">
      <c r="A518" s="5">
        <f>ROW()-ROW(RawDataGenPO[[#Headers],[No.]])</f>
        <v/>
      </c>
      <c r="B518" s="7" t="inlineStr">
        <is>
          <t>Expent  cost</t>
        </is>
      </c>
      <c r="C518" s="275" t="n">
        <v>45581</v>
      </c>
      <c r="D518" s="276" t="n"/>
      <c r="E518" s="276" t="n"/>
      <c r="F518" s="275" t="n">
        <v>45581</v>
      </c>
      <c r="G518" s="5" t="inlineStr">
        <is>
          <t xml:space="preserve">PR2425-03917 </t>
        </is>
      </c>
      <c r="H518" s="5" t="inlineStr">
        <is>
          <t xml:space="preserve">PO2425-04348 </t>
        </is>
      </c>
      <c r="I518" s="290">
        <f>IF(RawDataGenPO[[#This Row],[PO No.]]="","",RawDataGenPO[[#This Row],[DMY Create PR]]+7)</f>
        <v/>
      </c>
      <c r="J518" s="290" t="n"/>
      <c r="K518" s="20" t="n">
        <v>30</v>
      </c>
      <c r="L518" s="5" t="inlineStr">
        <is>
          <t>SFST81000048</t>
        </is>
      </c>
      <c r="M518" s="7" t="inlineStr">
        <is>
          <t>Utility Jobs  (Boiler-Air compress-Transformer-LPG)</t>
        </is>
      </c>
      <c r="N518" s="7" t="inlineStr">
        <is>
          <t>Machanical jobs</t>
        </is>
      </c>
      <c r="O518" s="11" t="n">
        <v>1</v>
      </c>
      <c r="P518" s="10" t="inlineStr">
        <is>
          <t>Air conditioner inspection checklist</t>
        </is>
      </c>
      <c r="Q518" s="277" t="n">
        <v>1</v>
      </c>
      <c r="R518" s="5" t="inlineStr">
        <is>
          <t>JOB.</t>
        </is>
      </c>
      <c r="S518" s="292">
        <f>RawDataGenPO[[#This Row],[Total price]]/RawDataGenPO[[#This Row],[Qty'']]</f>
        <v/>
      </c>
      <c r="T518" s="278" t="n">
        <v>1500</v>
      </c>
      <c r="U518" s="291" t="n"/>
      <c r="V518" s="7" t="inlineStr">
        <is>
          <t>V1000682 - Ratchanee Kamyuang</t>
        </is>
      </c>
      <c r="W518" s="5" t="inlineStr">
        <is>
          <t>Recive bill and GRN already</t>
        </is>
      </c>
      <c r="X518" s="5" t="n"/>
      <c r="Y518" s="3" t="n">
        <v>45600</v>
      </c>
      <c r="Z518" s="3" t="n"/>
      <c r="AA518" s="17">
        <f>IF(RawDataGenPO[[#This Row],[Date Gen PO]]="","",RawDataGenPO[[#This Row],[Date recive bill]]-RawDataGenPO[[#This Row],[Date Gen PO]])</f>
        <v/>
      </c>
      <c r="AB518" s="16">
        <f>IF(RawDataGenPO[[#This Row],[GRN-PO date]]&gt;RawDataGenPO[[#This Row],[Lead time delivery (day)]],"over deliverry","Ontime")</f>
        <v/>
      </c>
      <c r="AC518" s="22" t="n"/>
    </row>
    <row r="519" ht="15" customFormat="1" customHeight="1" s="125">
      <c r="A519" s="5">
        <f>ROW()-ROW(RawDataGenPO[[#Headers],[No.]])</f>
        <v/>
      </c>
      <c r="B519" s="7" t="inlineStr">
        <is>
          <t>Expent  cost</t>
        </is>
      </c>
      <c r="C519" s="275" t="n">
        <v>45583</v>
      </c>
      <c r="D519" s="276" t="n"/>
      <c r="E519" s="276" t="n"/>
      <c r="F519" s="275" t="n">
        <v>45583</v>
      </c>
      <c r="G519" s="5" t="inlineStr">
        <is>
          <t>PR2425-03976</t>
        </is>
      </c>
      <c r="H519" s="5" t="inlineStr">
        <is>
          <t>PO2425-04367</t>
        </is>
      </c>
      <c r="I519" s="290">
        <f>IF(RawDataGenPO[[#This Row],[PO No.]]="","",RawDataGenPO[[#This Row],[DMY Create PR]]+7)</f>
        <v/>
      </c>
      <c r="J519" s="290" t="n"/>
      <c r="K519" s="20" t="n">
        <v>30</v>
      </c>
      <c r="L519" s="5" t="inlineStr">
        <is>
          <t>SFST81000050</t>
        </is>
      </c>
      <c r="M519" s="7" t="inlineStr">
        <is>
          <t>Tool and Equipment  Engineering</t>
        </is>
      </c>
      <c r="N519" s="7" t="inlineStr">
        <is>
          <t>Consumable part</t>
        </is>
      </c>
      <c r="O519" s="11" t="n">
        <v>1</v>
      </c>
      <c r="P519" s="10" t="inlineStr">
        <is>
          <t>TOA No. 600 sandpaper for metal</t>
        </is>
      </c>
      <c r="Q519" s="277" t="n">
        <v>60</v>
      </c>
      <c r="R519" s="5" t="inlineStr">
        <is>
          <t>PCS.</t>
        </is>
      </c>
      <c r="S519" s="292">
        <f>RawDataGenPO[[#This Row],[Total price]]/RawDataGenPO[[#This Row],[Qty'']]</f>
        <v/>
      </c>
      <c r="T519" s="278" t="n">
        <v>660</v>
      </c>
      <c r="U519" s="291" t="n"/>
      <c r="V519" s="7" t="inlineStr">
        <is>
          <t>V1000306 - Inter Supply (1992) Co., Ltd.</t>
        </is>
      </c>
      <c r="W519" s="5" t="inlineStr">
        <is>
          <t>Recive bill and GRN already</t>
        </is>
      </c>
      <c r="X519" s="5" t="n"/>
      <c r="Y519" s="3" t="n">
        <v>45609</v>
      </c>
      <c r="Z519" s="3" t="n"/>
      <c r="AA519" s="17">
        <f>IF(RawDataGenPO[[#This Row],[Date Gen PO]]="","",RawDataGenPO[[#This Row],[Date recive bill]]-RawDataGenPO[[#This Row],[Date Gen PO]])</f>
        <v/>
      </c>
      <c r="AB519" s="16">
        <f>IF(RawDataGenPO[[#This Row],[GRN-PO date]]&gt;RawDataGenPO[[#This Row],[Lead time delivery (day)]],"over deliverry","Ontime")</f>
        <v/>
      </c>
      <c r="AC519" s="22" t="n"/>
    </row>
    <row r="520" ht="15" customFormat="1" customHeight="1" s="125">
      <c r="A520" s="5">
        <f>ROW()-ROW(RawDataGenPO[[#Headers],[No.]])</f>
        <v/>
      </c>
      <c r="B520" s="7" t="inlineStr">
        <is>
          <t>Expent  cost</t>
        </is>
      </c>
      <c r="C520" s="275" t="n">
        <v>45583</v>
      </c>
      <c r="D520" s="276" t="n"/>
      <c r="E520" s="276" t="n"/>
      <c r="F520" s="275" t="n">
        <v>45583</v>
      </c>
      <c r="G520" s="5" t="inlineStr">
        <is>
          <t>PR2425-03976</t>
        </is>
      </c>
      <c r="H520" s="5" t="inlineStr">
        <is>
          <t>PO2425-04367</t>
        </is>
      </c>
      <c r="I520" s="290">
        <f>IF(RawDataGenPO[[#This Row],[PO No.]]="","",RawDataGenPO[[#This Row],[DMY Create PR]]+7)</f>
        <v/>
      </c>
      <c r="J520" s="290" t="n"/>
      <c r="K520" s="20" t="n">
        <v>30</v>
      </c>
      <c r="L520" s="5" t="inlineStr">
        <is>
          <t>SFST81000050</t>
        </is>
      </c>
      <c r="M520" s="7" t="inlineStr">
        <is>
          <t>Tool and Equipment  Engineering</t>
        </is>
      </c>
      <c r="N520" s="7" t="inlineStr">
        <is>
          <t>Consumable part</t>
        </is>
      </c>
      <c r="O520" s="11" t="n">
        <v>2</v>
      </c>
      <c r="P520" s="10" t="inlineStr">
        <is>
          <t>TOA No. 800 sandpaper for metal</t>
        </is>
      </c>
      <c r="Q520" s="277" t="n">
        <v>60</v>
      </c>
      <c r="R520" s="5" t="inlineStr">
        <is>
          <t>PCS.</t>
        </is>
      </c>
      <c r="S520" s="292">
        <f>RawDataGenPO[[#This Row],[Total price]]/RawDataGenPO[[#This Row],[Qty'']]</f>
        <v/>
      </c>
      <c r="T520" s="278" t="n">
        <v>660</v>
      </c>
      <c r="U520" s="291" t="n"/>
      <c r="V520" s="7" t="inlineStr">
        <is>
          <t>V1000306 - Inter Supply (1992) Co., Ltd.</t>
        </is>
      </c>
      <c r="W520" s="5" t="inlineStr">
        <is>
          <t>Recive bill and GRN already</t>
        </is>
      </c>
      <c r="X520" s="5" t="n"/>
      <c r="Y520" s="3" t="n">
        <v>45609</v>
      </c>
      <c r="Z520" s="3" t="n"/>
      <c r="AA520" s="17">
        <f>IF(RawDataGenPO[[#This Row],[Date Gen PO]]="","",RawDataGenPO[[#This Row],[Date recive bill]]-RawDataGenPO[[#This Row],[Date Gen PO]])</f>
        <v/>
      </c>
      <c r="AB520" s="16">
        <f>IF(RawDataGenPO[[#This Row],[GRN-PO date]]&gt;RawDataGenPO[[#This Row],[Lead time delivery (day)]],"over deliverry","Ontime")</f>
        <v/>
      </c>
      <c r="AC520" s="22" t="n"/>
    </row>
    <row r="521" ht="15" customFormat="1" customHeight="1" s="125">
      <c r="A521" s="5">
        <f>ROW()-ROW(RawDataGenPO[[#Headers],[No.]])</f>
        <v/>
      </c>
      <c r="B521" s="7" t="inlineStr">
        <is>
          <t>Expent  cost</t>
        </is>
      </c>
      <c r="C521" s="275" t="n">
        <v>45583</v>
      </c>
      <c r="D521" s="276" t="n"/>
      <c r="E521" s="276" t="n"/>
      <c r="F521" s="275" t="n">
        <v>45583</v>
      </c>
      <c r="G521" s="5" t="inlineStr">
        <is>
          <t>PR2425-03976</t>
        </is>
      </c>
      <c r="H521" s="5" t="inlineStr">
        <is>
          <t>PO2425-04367</t>
        </is>
      </c>
      <c r="I521" s="290">
        <f>IF(RawDataGenPO[[#This Row],[PO No.]]="","",RawDataGenPO[[#This Row],[DMY Create PR]]+7)</f>
        <v/>
      </c>
      <c r="J521" s="290" t="n"/>
      <c r="K521" s="20" t="n">
        <v>30</v>
      </c>
      <c r="L521" s="5" t="inlineStr">
        <is>
          <t>SFST81000050</t>
        </is>
      </c>
      <c r="M521" s="7" t="inlineStr">
        <is>
          <t>Tool and Equipment  Engineering</t>
        </is>
      </c>
      <c r="N521" s="7" t="inlineStr">
        <is>
          <t>Consumable part</t>
        </is>
      </c>
      <c r="O521" s="11" t="n">
        <v>3</v>
      </c>
      <c r="P521" s="10" t="inlineStr">
        <is>
          <t>TOA No. 1000 sandpaper for metal</t>
        </is>
      </c>
      <c r="Q521" s="277" t="n">
        <v>60</v>
      </c>
      <c r="R521" s="5" t="inlineStr">
        <is>
          <t>PCS.</t>
        </is>
      </c>
      <c r="S521" s="292">
        <f>RawDataGenPO[[#This Row],[Total price]]/RawDataGenPO[[#This Row],[Qty'']]</f>
        <v/>
      </c>
      <c r="T521" s="278" t="n">
        <v>750</v>
      </c>
      <c r="U521" s="291" t="n"/>
      <c r="V521" s="7" t="inlineStr">
        <is>
          <t>V1000306 - Inter Supply (1992) Co., Ltd.</t>
        </is>
      </c>
      <c r="W521" s="5" t="inlineStr">
        <is>
          <t>Recive bill and GRN already</t>
        </is>
      </c>
      <c r="X521" s="5" t="n"/>
      <c r="Y521" s="3" t="n">
        <v>45609</v>
      </c>
      <c r="Z521" s="3" t="n"/>
      <c r="AA521" s="17">
        <f>IF(RawDataGenPO[[#This Row],[Date Gen PO]]="","",RawDataGenPO[[#This Row],[Date recive bill]]-RawDataGenPO[[#This Row],[Date Gen PO]])</f>
        <v/>
      </c>
      <c r="AB521" s="16">
        <f>IF(RawDataGenPO[[#This Row],[GRN-PO date]]&gt;RawDataGenPO[[#This Row],[Lead time delivery (day)]],"over deliverry","Ontime")</f>
        <v/>
      </c>
      <c r="AC521" s="22" t="n"/>
    </row>
    <row r="522" ht="15" customFormat="1" customHeight="1" s="125">
      <c r="A522" s="5">
        <f>ROW()-ROW(RawDataGenPO[[#Headers],[No.]])</f>
        <v/>
      </c>
      <c r="B522" s="7" t="inlineStr">
        <is>
          <t>Expent  cost</t>
        </is>
      </c>
      <c r="C522" s="275" t="n">
        <v>45583</v>
      </c>
      <c r="D522" s="276" t="n"/>
      <c r="E522" s="276" t="n"/>
      <c r="F522" s="275" t="n">
        <v>45583</v>
      </c>
      <c r="G522" s="5" t="inlineStr">
        <is>
          <t>PR2425-03976</t>
        </is>
      </c>
      <c r="H522" s="5" t="inlineStr">
        <is>
          <t>PO2425-04367</t>
        </is>
      </c>
      <c r="I522" s="290">
        <f>IF(RawDataGenPO[[#This Row],[PO No.]]="","",RawDataGenPO[[#This Row],[DMY Create PR]]+7)</f>
        <v/>
      </c>
      <c r="J522" s="290" t="n"/>
      <c r="K522" s="20" t="n">
        <v>30</v>
      </c>
      <c r="L522" s="5" t="inlineStr">
        <is>
          <t>SFST81000050</t>
        </is>
      </c>
      <c r="M522" s="7" t="inlineStr">
        <is>
          <t>Tool and Equipment  Engineering</t>
        </is>
      </c>
      <c r="N522" s="7" t="inlineStr">
        <is>
          <t>Consumable part</t>
        </is>
      </c>
      <c r="O522" s="11" t="n">
        <v>4</v>
      </c>
      <c r="P522" s="10" t="inlineStr">
        <is>
          <t>cutting disc 4x1 SUMO SUPER CUT 2-layer fiber green (50pcs/box)</t>
        </is>
      </c>
      <c r="Q522" s="277" t="n">
        <v>3</v>
      </c>
      <c r="R522" s="5" t="inlineStr">
        <is>
          <t>PCS.</t>
        </is>
      </c>
      <c r="S522" s="292">
        <f>RawDataGenPO[[#This Row],[Total price]]/RawDataGenPO[[#This Row],[Qty'']]</f>
        <v/>
      </c>
      <c r="T522" s="278" t="n">
        <v>1500</v>
      </c>
      <c r="U522" s="291" t="n"/>
      <c r="V522" s="7" t="inlineStr">
        <is>
          <t>V1000306 - Inter Supply (1992) Co., Ltd.</t>
        </is>
      </c>
      <c r="W522" s="5" t="inlineStr">
        <is>
          <t>Recive bill and GRN already</t>
        </is>
      </c>
      <c r="X522" s="5" t="n"/>
      <c r="Y522" s="3" t="n">
        <v>45609</v>
      </c>
      <c r="Z522" s="3" t="n"/>
      <c r="AA522" s="17">
        <f>IF(RawDataGenPO[[#This Row],[Date Gen PO]]="","",RawDataGenPO[[#This Row],[Date recive bill]]-RawDataGenPO[[#This Row],[Date Gen PO]])</f>
        <v/>
      </c>
      <c r="AB522" s="16">
        <f>IF(RawDataGenPO[[#This Row],[GRN-PO date]]&gt;RawDataGenPO[[#This Row],[Lead time delivery (day)]],"over deliverry","Ontime")</f>
        <v/>
      </c>
      <c r="AC522" s="22" t="n"/>
    </row>
    <row r="523" ht="15" customFormat="1" customHeight="1" s="125">
      <c r="A523" s="5">
        <f>ROW()-ROW(RawDataGenPO[[#Headers],[No.]])</f>
        <v/>
      </c>
      <c r="B523" s="7" t="inlineStr">
        <is>
          <t>Expent  cost</t>
        </is>
      </c>
      <c r="C523" s="275" t="n">
        <v>45583</v>
      </c>
      <c r="D523" s="276" t="n"/>
      <c r="E523" s="276" t="n"/>
      <c r="F523" s="275" t="n">
        <v>45583</v>
      </c>
      <c r="G523" s="5" t="inlineStr">
        <is>
          <t>PR2425-03976</t>
        </is>
      </c>
      <c r="H523" s="5" t="inlineStr">
        <is>
          <t>PO2425-04367</t>
        </is>
      </c>
      <c r="I523" s="290">
        <f>IF(RawDataGenPO[[#This Row],[PO No.]]="","",RawDataGenPO[[#This Row],[DMY Create PR]]+7)</f>
        <v/>
      </c>
      <c r="J523" s="290" t="n"/>
      <c r="K523" s="20" t="n">
        <v>30</v>
      </c>
      <c r="L523" s="5" t="inlineStr">
        <is>
          <t>SFST81000050</t>
        </is>
      </c>
      <c r="M523" s="7" t="inlineStr">
        <is>
          <t>Tool and Equipment  Engineering</t>
        </is>
      </c>
      <c r="N523" s="7" t="inlineStr">
        <is>
          <t>Consumable part</t>
        </is>
      </c>
      <c r="O523" s="11" t="n">
        <v>5</v>
      </c>
      <c r="P523" s="10" t="inlineStr">
        <is>
          <t>flat bar width 1 inch length 6 m thick 3 mm</t>
        </is>
      </c>
      <c r="Q523" s="277" t="n">
        <v>5</v>
      </c>
      <c r="R523" s="5" t="inlineStr">
        <is>
          <t>PCS.</t>
        </is>
      </c>
      <c r="S523" s="292">
        <f>RawDataGenPO[[#This Row],[Total price]]/RawDataGenPO[[#This Row],[Qty'']]</f>
        <v/>
      </c>
      <c r="T523" s="278" t="n">
        <v>500</v>
      </c>
      <c r="U523" s="291" t="n"/>
      <c r="V523" s="7" t="inlineStr">
        <is>
          <t>V1000306 - Inter Supply (1992) Co., Ltd.</t>
        </is>
      </c>
      <c r="W523" s="5" t="inlineStr">
        <is>
          <t>Recive bill and GRN already</t>
        </is>
      </c>
      <c r="X523" s="5" t="n"/>
      <c r="Y523" s="3" t="n">
        <v>45609</v>
      </c>
      <c r="Z523" s="3" t="n"/>
      <c r="AA523" s="17">
        <f>IF(RawDataGenPO[[#This Row],[Date Gen PO]]="","",RawDataGenPO[[#This Row],[Date recive bill]]-RawDataGenPO[[#This Row],[Date Gen PO]])</f>
        <v/>
      </c>
      <c r="AB523" s="16">
        <f>IF(RawDataGenPO[[#This Row],[GRN-PO date]]&gt;RawDataGenPO[[#This Row],[Lead time delivery (day)]],"over deliverry","Ontime")</f>
        <v/>
      </c>
      <c r="AC523" s="22" t="n"/>
    </row>
    <row r="524" ht="15" customFormat="1" customHeight="1" s="125">
      <c r="A524" s="5">
        <f>ROW()-ROW(RawDataGenPO[[#Headers],[No.]])</f>
        <v/>
      </c>
      <c r="B524" s="7" t="inlineStr">
        <is>
          <t>Expent  cost</t>
        </is>
      </c>
      <c r="C524" s="275" t="n">
        <v>45583</v>
      </c>
      <c r="D524" s="276" t="n"/>
      <c r="E524" s="276" t="n"/>
      <c r="F524" s="275" t="n">
        <v>45583</v>
      </c>
      <c r="G524" s="5" t="inlineStr">
        <is>
          <t>PR2425-03976</t>
        </is>
      </c>
      <c r="H524" s="5" t="inlineStr">
        <is>
          <t>PO2425-04367</t>
        </is>
      </c>
      <c r="I524" s="290">
        <f>IF(RawDataGenPO[[#This Row],[PO No.]]="","",RawDataGenPO[[#This Row],[DMY Create PR]]+7)</f>
        <v/>
      </c>
      <c r="J524" s="290" t="n"/>
      <c r="K524" s="20" t="n">
        <v>30</v>
      </c>
      <c r="L524" s="5" t="inlineStr">
        <is>
          <t>SFST81000050</t>
        </is>
      </c>
      <c r="M524" s="7" t="inlineStr">
        <is>
          <t>Tool and Equipment  Engineering</t>
        </is>
      </c>
      <c r="N524" s="7" t="inlineStr">
        <is>
          <t>Consumable part</t>
        </is>
      </c>
      <c r="O524" s="11" t="n">
        <v>6</v>
      </c>
      <c r="P524" s="10" t="inlineStr">
        <is>
          <t>Angle steel width 1 inch length 6 m thick 3 mm</t>
        </is>
      </c>
      <c r="Q524" s="277" t="n">
        <v>5</v>
      </c>
      <c r="R524" s="5" t="inlineStr">
        <is>
          <t>PCS.</t>
        </is>
      </c>
      <c r="S524" s="292">
        <f>RawDataGenPO[[#This Row],[Total price]]/RawDataGenPO[[#This Row],[Qty'']]</f>
        <v/>
      </c>
      <c r="T524" s="278" t="n">
        <v>950</v>
      </c>
      <c r="U524" s="291" t="n"/>
      <c r="V524" s="7" t="inlineStr">
        <is>
          <t>V1000306 - Inter Supply (1992) Co., Ltd.</t>
        </is>
      </c>
      <c r="W524" s="5" t="inlineStr">
        <is>
          <t>Recive bill and GRN already</t>
        </is>
      </c>
      <c r="X524" s="5" t="n"/>
      <c r="Y524" s="3" t="n">
        <v>45609</v>
      </c>
      <c r="Z524" s="3" t="n"/>
      <c r="AA524" s="17">
        <f>IF(RawDataGenPO[[#This Row],[Date Gen PO]]="","",RawDataGenPO[[#This Row],[Date recive bill]]-RawDataGenPO[[#This Row],[Date Gen PO]])</f>
        <v/>
      </c>
      <c r="AB524" s="16">
        <f>IF(RawDataGenPO[[#This Row],[GRN-PO date]]&gt;RawDataGenPO[[#This Row],[Lead time delivery (day)]],"over deliverry","Ontime")</f>
        <v/>
      </c>
      <c r="AC524" s="22" t="n"/>
    </row>
    <row r="525" ht="30" customFormat="1" customHeight="1" s="125">
      <c r="A525" s="5">
        <f>ROW()-ROW(RawDataGenPO[[#Headers],[No.]])</f>
        <v/>
      </c>
      <c r="B525" s="7" t="inlineStr">
        <is>
          <t>Expent  cost</t>
        </is>
      </c>
      <c r="C525" s="275" t="n">
        <v>45583</v>
      </c>
      <c r="D525" s="276" t="n"/>
      <c r="E525" s="276" t="n"/>
      <c r="F525" s="275" t="n">
        <v>45583</v>
      </c>
      <c r="G525" s="5" t="inlineStr">
        <is>
          <t>PR2425-03976</t>
        </is>
      </c>
      <c r="H525" s="5" t="inlineStr">
        <is>
          <t>PO2425-04367</t>
        </is>
      </c>
      <c r="I525" s="290">
        <f>IF(RawDataGenPO[[#This Row],[PO No.]]="","",RawDataGenPO[[#This Row],[DMY Create PR]]+7)</f>
        <v/>
      </c>
      <c r="J525" s="290" t="n"/>
      <c r="K525" s="20" t="n">
        <v>30</v>
      </c>
      <c r="L525" s="5" t="inlineStr">
        <is>
          <t>SFST81000050</t>
        </is>
      </c>
      <c r="M525" s="7" t="inlineStr">
        <is>
          <t>Tool and Equipment  Engineering</t>
        </is>
      </c>
      <c r="N525" s="7" t="inlineStr">
        <is>
          <t>Consumable part</t>
        </is>
      </c>
      <c r="O525" s="11" t="n">
        <v>7</v>
      </c>
      <c r="P525" s="10" t="inlineStr">
        <is>
          <t>welding rodmild steel YAWATA model FT-51
size 2.6 mm weight 2 kg</t>
        </is>
      </c>
      <c r="Q525" s="277" t="n">
        <v>2</v>
      </c>
      <c r="R525" s="5" t="inlineStr">
        <is>
          <t>PCS.</t>
        </is>
      </c>
      <c r="S525" s="292">
        <f>RawDataGenPO[[#This Row],[Total price]]/RawDataGenPO[[#This Row],[Qty'']]</f>
        <v/>
      </c>
      <c r="T525" s="278" t="n">
        <v>280</v>
      </c>
      <c r="U525" s="291" t="n"/>
      <c r="V525" s="7" t="inlineStr">
        <is>
          <t>V1000306 - Inter Supply (1992) Co., Ltd.</t>
        </is>
      </c>
      <c r="W525" s="5" t="inlineStr">
        <is>
          <t>Recive bill and GRN already</t>
        </is>
      </c>
      <c r="X525" s="5" t="n"/>
      <c r="Y525" s="3" t="n">
        <v>45609</v>
      </c>
      <c r="Z525" s="3" t="n"/>
      <c r="AA525" s="17">
        <f>IF(RawDataGenPO[[#This Row],[Date Gen PO]]="","",RawDataGenPO[[#This Row],[Date recive bill]]-RawDataGenPO[[#This Row],[Date Gen PO]])</f>
        <v/>
      </c>
      <c r="AB525" s="16">
        <f>IF(RawDataGenPO[[#This Row],[GRN-PO date]]&gt;RawDataGenPO[[#This Row],[Lead time delivery (day)]],"over deliverry","Ontime")</f>
        <v/>
      </c>
      <c r="AC525" s="22" t="n"/>
    </row>
    <row r="526" ht="15" customFormat="1" customHeight="1" s="125">
      <c r="A526" s="5">
        <f>ROW()-ROW(RawDataGenPO[[#Headers],[No.]])</f>
        <v/>
      </c>
      <c r="B526" s="7" t="inlineStr">
        <is>
          <t>Expent  cost</t>
        </is>
      </c>
      <c r="C526" s="275" t="n">
        <v>45583</v>
      </c>
      <c r="D526" s="276" t="n"/>
      <c r="E526" s="276" t="n"/>
      <c r="F526" s="275" t="n">
        <v>45583</v>
      </c>
      <c r="G526" s="5" t="inlineStr">
        <is>
          <t>PR2425-03976</t>
        </is>
      </c>
      <c r="H526" s="5" t="inlineStr">
        <is>
          <t>PO2425-04367</t>
        </is>
      </c>
      <c r="I526" s="290">
        <f>IF(RawDataGenPO[[#This Row],[PO No.]]="","",RawDataGenPO[[#This Row],[DMY Create PR]]+7)</f>
        <v/>
      </c>
      <c r="J526" s="290" t="n"/>
      <c r="K526" s="20" t="n">
        <v>30</v>
      </c>
      <c r="L526" s="5" t="inlineStr">
        <is>
          <t>SFST81000050</t>
        </is>
      </c>
      <c r="M526" s="7" t="inlineStr">
        <is>
          <t>Tool and Equipment  Engineering</t>
        </is>
      </c>
      <c r="N526" s="7" t="inlineStr">
        <is>
          <t>Consumable part</t>
        </is>
      </c>
      <c r="O526" s="11" t="n">
        <v>8</v>
      </c>
      <c r="P526" s="10" t="inlineStr">
        <is>
          <t>welding rodstainless steel YAWATA model 308L size 2.6 mm weight 1 kg</t>
        </is>
      </c>
      <c r="Q526" s="277" t="n">
        <v>3</v>
      </c>
      <c r="R526" s="5" t="inlineStr">
        <is>
          <t>PCS.</t>
        </is>
      </c>
      <c r="S526" s="292">
        <f>RawDataGenPO[[#This Row],[Total price]]/RawDataGenPO[[#This Row],[Qty'']]</f>
        <v/>
      </c>
      <c r="T526" s="278" t="n">
        <v>990</v>
      </c>
      <c r="U526" s="291" t="n"/>
      <c r="V526" s="7" t="inlineStr">
        <is>
          <t>V1000306 - Inter Supply (1992) Co., Ltd.</t>
        </is>
      </c>
      <c r="W526" s="5" t="inlineStr">
        <is>
          <t>Recive bill and GRN already</t>
        </is>
      </c>
      <c r="X526" s="5" t="n"/>
      <c r="Y526" s="3" t="n">
        <v>45609</v>
      </c>
      <c r="Z526" s="3" t="n"/>
      <c r="AA526" s="17">
        <f>IF(RawDataGenPO[[#This Row],[Date Gen PO]]="","",RawDataGenPO[[#This Row],[Date recive bill]]-RawDataGenPO[[#This Row],[Date Gen PO]])</f>
        <v/>
      </c>
      <c r="AB526" s="16">
        <f>IF(RawDataGenPO[[#This Row],[GRN-PO date]]&gt;RawDataGenPO[[#This Row],[Lead time delivery (day)]],"over deliverry","Ontime")</f>
        <v/>
      </c>
      <c r="AC526" s="22" t="n"/>
    </row>
    <row r="527" ht="30" customFormat="1" customHeight="1" s="125">
      <c r="A527" s="5">
        <f>ROW()-ROW(RawDataGenPO[[#Headers],[No.]])</f>
        <v/>
      </c>
      <c r="B527" s="7" t="inlineStr">
        <is>
          <t>Expent  cost</t>
        </is>
      </c>
      <c r="C527" s="275" t="n">
        <v>45583</v>
      </c>
      <c r="D527" s="276" t="n"/>
      <c r="E527" s="276" t="n"/>
      <c r="F527" s="275" t="n">
        <v>45583</v>
      </c>
      <c r="G527" s="5" t="inlineStr">
        <is>
          <t>PR2425-03977</t>
        </is>
      </c>
      <c r="H527" s="5" t="inlineStr">
        <is>
          <t>PO2425-04368</t>
        </is>
      </c>
      <c r="I527" s="290">
        <f>IF(RawDataGenPO[[#This Row],[PO No.]]="","",RawDataGenPO[[#This Row],[DMY Create PR]]+7)</f>
        <v/>
      </c>
      <c r="J527" s="290" t="n"/>
      <c r="K527" s="20" t="n">
        <v>30</v>
      </c>
      <c r="L527" s="5" t="inlineStr">
        <is>
          <t>SFST81000050</t>
        </is>
      </c>
      <c r="M527" s="7" t="inlineStr">
        <is>
          <t>Tool and Equipment PD M/C</t>
        </is>
      </c>
      <c r="N527" s="7" t="inlineStr">
        <is>
          <t>Tool and Equipment</t>
        </is>
      </c>
      <c r="O527" s="11" t="n">
        <v>1</v>
      </c>
      <c r="P527" s="10" t="inlineStr">
        <is>
          <t>BUTTERFLY VALVE MALE PART / LINER&amp;NUT
(EPDM) 316L DN-65</t>
        </is>
      </c>
      <c r="Q527" s="277" t="n">
        <v>5</v>
      </c>
      <c r="R527" s="5" t="inlineStr">
        <is>
          <t>PCS.</t>
        </is>
      </c>
      <c r="S527" s="292">
        <f>RawDataGenPO[[#This Row],[Total price]]/RawDataGenPO[[#This Row],[Qty'']]</f>
        <v/>
      </c>
      <c r="T527" s="278" t="n">
        <v>27500</v>
      </c>
      <c r="U527" s="291" t="n"/>
      <c r="V527" s="7" t="inlineStr">
        <is>
          <t>V1000655 - SRM ENGINEERING 1991 CO., LTD.</t>
        </is>
      </c>
      <c r="W527" s="5" t="inlineStr">
        <is>
          <t>Recive bill and GRN already</t>
        </is>
      </c>
      <c r="X527" s="5" t="n"/>
      <c r="Y527" s="3" t="n">
        <v>45611</v>
      </c>
      <c r="Z527" s="3" t="n"/>
      <c r="AA527" s="17">
        <f>IF(RawDataGenPO[[#This Row],[Date Gen PO]]="","",RawDataGenPO[[#This Row],[Date recive bill]]-RawDataGenPO[[#This Row],[Date Gen PO]])</f>
        <v/>
      </c>
      <c r="AB527" s="16">
        <f>IF(RawDataGenPO[[#This Row],[GRN-PO date]]&gt;RawDataGenPO[[#This Row],[Lead time delivery (day)]],"over deliverry","Ontime")</f>
        <v/>
      </c>
      <c r="AC527" s="22" t="n"/>
    </row>
    <row r="528" ht="60" customFormat="1" customHeight="1" s="125">
      <c r="A528" s="5">
        <f>ROW()-ROW(RawDataGenPO[[#Headers],[No.]])</f>
        <v/>
      </c>
      <c r="B528" s="7" t="inlineStr">
        <is>
          <t>CAPEX  (Budget)</t>
        </is>
      </c>
      <c r="C528" s="275" t="n">
        <v>45567</v>
      </c>
      <c r="D528" s="276" t="n"/>
      <c r="E528" s="276" t="n"/>
      <c r="F528" s="275" t="n">
        <v>45567</v>
      </c>
      <c r="G528" s="5" t="inlineStr">
        <is>
          <t>PR2425-03745</t>
        </is>
      </c>
      <c r="H528" s="5" t="inlineStr">
        <is>
          <t>PO2425-04335</t>
        </is>
      </c>
      <c r="I528" s="290">
        <f>IF(RawDataGenPO[[#This Row],[PO No.]]="","",RawDataGenPO[[#This Row],[DMY Create PR]]+7)</f>
        <v/>
      </c>
      <c r="J528" s="290" t="n"/>
      <c r="K528" s="20" t="n">
        <v>90</v>
      </c>
      <c r="L528" s="5" t="inlineStr">
        <is>
          <t>SFST82000006</t>
        </is>
      </c>
      <c r="M528" s="7" t="inlineStr">
        <is>
          <t>Transformer-Hight voltage</t>
        </is>
      </c>
      <c r="N528" s="7" t="inlineStr">
        <is>
          <t>Exhaust No.3</t>
        </is>
      </c>
      <c r="O528" s="11" t="n">
        <v>1</v>
      </c>
      <c r="P528" s="10" t="inlineStr">
        <is>
          <t>Dismantling workair duct Exhaust Round Duct replaceair ductnew
-Replaceair duct unit 1
-Replaceair duct unit 2
-workweld pipe Blowdown that is damaged approx. 3 m</t>
        </is>
      </c>
      <c r="Q528" s="277" t="n">
        <v>1</v>
      </c>
      <c r="R528" s="5" t="inlineStr">
        <is>
          <t>JOB.</t>
        </is>
      </c>
      <c r="S528" s="292">
        <f>RawDataGenPO[[#This Row],[Total price]]/RawDataGenPO[[#This Row],[Qty'']]</f>
        <v/>
      </c>
      <c r="T528" s="278" t="n">
        <v>46000</v>
      </c>
      <c r="U528" s="161" t="inlineStr">
        <is>
          <t>Puneet Approval</t>
        </is>
      </c>
      <c r="V528" s="7" t="inlineStr">
        <is>
          <t>V1000687 - UM.TECH COMPANY LIMITED</t>
        </is>
      </c>
      <c r="W528" s="5" t="inlineStr">
        <is>
          <t>Recive bill and GRN already</t>
        </is>
      </c>
      <c r="X528" s="5" t="n"/>
      <c r="Y528" s="3" t="n">
        <v>45645</v>
      </c>
      <c r="Z528" s="3" t="n"/>
      <c r="AA528" s="17">
        <f>IF(RawDataGenPO[[#This Row],[Date Gen PO]]="","",RawDataGenPO[[#This Row],[Date recive bill]]-RawDataGenPO[[#This Row],[Date Gen PO]])</f>
        <v/>
      </c>
      <c r="AB528" s="16">
        <f>IF(RawDataGenPO[[#This Row],[GRN-PO date]]&gt;RawDataGenPO[[#This Row],[Lead time delivery (day)]],"over deliverry","Ontime")</f>
        <v/>
      </c>
      <c r="AC528" s="22" t="n"/>
    </row>
    <row r="529" ht="30" customFormat="1" customHeight="1" s="125">
      <c r="A529" s="5">
        <f>ROW()-ROW(RawDataGenPO[[#Headers],[No.]])</f>
        <v/>
      </c>
      <c r="B529" s="7" t="inlineStr">
        <is>
          <t>Expent  cost</t>
        </is>
      </c>
      <c r="C529" s="275" t="n">
        <v>45583</v>
      </c>
      <c r="D529" s="276" t="n"/>
      <c r="E529" s="276" t="n"/>
      <c r="F529" s="275" t="n">
        <v>45583</v>
      </c>
      <c r="G529" s="5" t="inlineStr">
        <is>
          <t>PR2425-03979</t>
        </is>
      </c>
      <c r="H529" s="5" t="inlineStr">
        <is>
          <t>PO2425-04370</t>
        </is>
      </c>
      <c r="I529" s="290">
        <f>IF(RawDataGenPO[[#This Row],[PO No.]]="","",RawDataGenPO[[#This Row],[DMY Create PR]]+7)</f>
        <v/>
      </c>
      <c r="J529" s="290" t="n"/>
      <c r="K529" s="20">
        <f>IF(RawDataGenPO[[#This Row],[PO No.]]="","",10)</f>
        <v/>
      </c>
      <c r="L529" s="5" t="inlineStr">
        <is>
          <t>SFST81000050</t>
        </is>
      </c>
      <c r="M529" s="7" t="inlineStr">
        <is>
          <t>Tool and Equipment PD M/C</t>
        </is>
      </c>
      <c r="N529" s="7" t="inlineStr">
        <is>
          <t>Tool and Equipment</t>
        </is>
      </c>
      <c r="O529" s="11" t="n">
        <v>1</v>
      </c>
      <c r="P529" s="10" t="inlineStr">
        <is>
          <t>SWEM82 emergency switch Emergency Switch Stop ABS
1NC Contact 10A IP65 JM-B110</t>
        </is>
      </c>
      <c r="Q529" s="277" t="n">
        <v>6</v>
      </c>
      <c r="R529" s="5" t="inlineStr">
        <is>
          <t>PCS.</t>
        </is>
      </c>
      <c r="S529" s="292">
        <f>RawDataGenPO[[#This Row],[Total price]]/RawDataGenPO[[#This Row],[Qty'']]</f>
        <v/>
      </c>
      <c r="T529" s="278" t="n">
        <v>2100</v>
      </c>
      <c r="U529" s="291" t="n"/>
      <c r="V529" s="7" t="inlineStr">
        <is>
          <t>V1000276 - SN. ELECTRIC AND SUPPLY CO., LTD.</t>
        </is>
      </c>
      <c r="W529" s="5" t="inlineStr">
        <is>
          <t>Recive bill and GRN already</t>
        </is>
      </c>
      <c r="X529" s="5" t="n"/>
      <c r="Y529" s="3" t="n">
        <v>45600</v>
      </c>
      <c r="Z529" s="3" t="n"/>
      <c r="AA529" s="17">
        <f>IF(RawDataGenPO[[#This Row],[Date Gen PO]]="","",RawDataGenPO[[#This Row],[Date recive bill]]-RawDataGenPO[[#This Row],[Date Gen PO]])</f>
        <v/>
      </c>
      <c r="AB529" s="16">
        <f>IF(RawDataGenPO[[#This Row],[GRN-PO date]]&gt;RawDataGenPO[[#This Row],[Lead time delivery (day)]],"over deliverry","Ontime")</f>
        <v/>
      </c>
      <c r="AC529" s="22" t="n"/>
    </row>
    <row r="530" ht="15" customFormat="1" customHeight="1" s="125">
      <c r="A530" s="5">
        <f>ROW()-ROW(RawDataGenPO[[#Headers],[No.]])</f>
        <v/>
      </c>
      <c r="B530" s="7" t="inlineStr">
        <is>
          <t>CAPEX  (Budget)</t>
        </is>
      </c>
      <c r="C530" s="275" t="n">
        <v>45567</v>
      </c>
      <c r="D530" s="276" t="n"/>
      <c r="E530" s="276" t="n"/>
      <c r="F530" s="275" t="n">
        <v>45567</v>
      </c>
      <c r="G530" s="5" t="inlineStr">
        <is>
          <t>PR2425-03745</t>
        </is>
      </c>
      <c r="H530" s="5" t="inlineStr">
        <is>
          <t>PO2425-04335</t>
        </is>
      </c>
      <c r="I530" s="290">
        <f>IF(RawDataGenPO[[#This Row],[PO No.]]="","",RawDataGenPO[[#This Row],[DMY Create PR]]+7)</f>
        <v/>
      </c>
      <c r="J530" s="290" t="n"/>
      <c r="K530" s="20" t="n">
        <v>90</v>
      </c>
      <c r="L530" s="5" t="inlineStr">
        <is>
          <t>SFST82000006</t>
        </is>
      </c>
      <c r="M530" s="7" t="inlineStr">
        <is>
          <t>Utility Jobs  (Boiler-Air compress-Transformer-LPG)</t>
        </is>
      </c>
      <c r="N530" s="7" t="inlineStr">
        <is>
          <t>Exhaust No.3</t>
        </is>
      </c>
      <c r="O530" s="11" t="n">
        <v>2</v>
      </c>
      <c r="P530" s="10" t="inlineStr">
        <is>
          <t>Protection work</t>
        </is>
      </c>
      <c r="Q530" s="277" t="n">
        <v>1</v>
      </c>
      <c r="R530" s="5" t="inlineStr">
        <is>
          <t>JOB.</t>
        </is>
      </c>
      <c r="S530" s="292">
        <f>RawDataGenPO[[#This Row],[Total price]]/RawDataGenPO[[#This Row],[Qty'']]</f>
        <v/>
      </c>
      <c r="T530" s="278" t="n">
        <v>68000</v>
      </c>
      <c r="U530" s="161" t="inlineStr">
        <is>
          <t>Puneet Approval</t>
        </is>
      </c>
      <c r="V530" s="7" t="inlineStr">
        <is>
          <t>V1000687 - UM.TECH COMPANY LIMITED</t>
        </is>
      </c>
      <c r="W530" s="5" t="inlineStr">
        <is>
          <t>Recive bill and GRN already</t>
        </is>
      </c>
      <c r="X530" s="5" t="n"/>
      <c r="Y530" s="3" t="n">
        <v>45645</v>
      </c>
      <c r="Z530" s="3" t="n"/>
      <c r="AA530" s="17">
        <f>IF(RawDataGenPO[[#This Row],[Date Gen PO]]="","",RawDataGenPO[[#This Row],[Date recive bill]]-RawDataGenPO[[#This Row],[Date Gen PO]])</f>
        <v/>
      </c>
      <c r="AB530" s="16">
        <f>IF(RawDataGenPO[[#This Row],[GRN-PO date]]&gt;RawDataGenPO[[#This Row],[Lead time delivery (day)]],"over deliverry","Ontime")</f>
        <v/>
      </c>
      <c r="AC530" s="22" t="n"/>
    </row>
    <row r="531" ht="15" customFormat="1" customHeight="1" s="125">
      <c r="A531" s="5">
        <f>ROW()-ROW(RawDataGenPO[[#Headers],[No.]])</f>
        <v/>
      </c>
      <c r="B531" s="7" t="inlineStr">
        <is>
          <t>CAPEX  (Budget)</t>
        </is>
      </c>
      <c r="C531" s="275" t="n">
        <v>45567</v>
      </c>
      <c r="D531" s="276" t="n"/>
      <c r="E531" s="276" t="n"/>
      <c r="F531" s="275" t="n">
        <v>45567</v>
      </c>
      <c r="G531" s="5" t="inlineStr">
        <is>
          <t>PR2425-03745</t>
        </is>
      </c>
      <c r="H531" s="5" t="inlineStr">
        <is>
          <t>PO2425-04335</t>
        </is>
      </c>
      <c r="I531" s="290">
        <f>IF(RawDataGenPO[[#This Row],[PO No.]]="","",RawDataGenPO[[#This Row],[DMY Create PR]]+7)</f>
        <v/>
      </c>
      <c r="J531" s="290" t="n"/>
      <c r="K531" s="20" t="n">
        <v>90</v>
      </c>
      <c r="L531" s="5" t="inlineStr">
        <is>
          <t>SFST82000006</t>
        </is>
      </c>
      <c r="M531" s="7" t="inlineStr">
        <is>
          <t>Utility Jobs  (Boiler-Air compress-Transformer-LPG)</t>
        </is>
      </c>
      <c r="N531" s="7" t="inlineStr">
        <is>
          <t>Exhaust No.3</t>
        </is>
      </c>
      <c r="O531" s="11" t="n">
        <v>3</v>
      </c>
      <c r="P531" s="10" t="inlineStr">
        <is>
          <t>Delivery charge, service fee</t>
        </is>
      </c>
      <c r="Q531" s="277" t="n">
        <v>1</v>
      </c>
      <c r="R531" s="5" t="inlineStr">
        <is>
          <t>JOB.</t>
        </is>
      </c>
      <c r="S531" s="292">
        <f>RawDataGenPO[[#This Row],[Total price]]/RawDataGenPO[[#This Row],[Qty'']]</f>
        <v/>
      </c>
      <c r="T531" s="278" t="n">
        <v>56000</v>
      </c>
      <c r="U531" s="161" t="inlineStr">
        <is>
          <t>Puneet Approval</t>
        </is>
      </c>
      <c r="V531" s="7" t="inlineStr">
        <is>
          <t>V1000687 - UM.TECH COMPANY LIMITED</t>
        </is>
      </c>
      <c r="W531" s="5" t="inlineStr">
        <is>
          <t>Recive bill and GRN already</t>
        </is>
      </c>
      <c r="X531" s="5" t="n"/>
      <c r="Y531" s="3" t="n">
        <v>45645</v>
      </c>
      <c r="Z531" s="3" t="n"/>
      <c r="AA531" s="17">
        <f>IF(RawDataGenPO[[#This Row],[Date Gen PO]]="","",RawDataGenPO[[#This Row],[Date recive bill]]-RawDataGenPO[[#This Row],[Date Gen PO]])</f>
        <v/>
      </c>
      <c r="AB531" s="16">
        <f>IF(RawDataGenPO[[#This Row],[GRN-PO date]]&gt;RawDataGenPO[[#This Row],[Lead time delivery (day)]],"over deliverry","Ontime")</f>
        <v/>
      </c>
      <c r="AC531" s="22" t="n"/>
    </row>
    <row r="532" ht="15" customFormat="1" customHeight="1" s="125">
      <c r="A532" s="5">
        <f>ROW()-ROW(RawDataGenPO[[#Headers],[No.]])</f>
        <v/>
      </c>
      <c r="B532" s="7" t="inlineStr">
        <is>
          <t>CAPEX  (Budget)</t>
        </is>
      </c>
      <c r="C532" s="275" t="n">
        <v>45583</v>
      </c>
      <c r="D532" s="276" t="n"/>
      <c r="E532" s="276" t="n"/>
      <c r="F532" s="275" t="n">
        <v>45583</v>
      </c>
      <c r="G532" s="5" t="inlineStr">
        <is>
          <t>PR2425-03981</t>
        </is>
      </c>
      <c r="H532" s="5" t="inlineStr">
        <is>
          <t xml:space="preserve">PO2425-04371 </t>
        </is>
      </c>
      <c r="I532" s="290">
        <f>IF(RawDataGenPO[[#This Row],[PO No.]]="","",RawDataGenPO[[#This Row],[DMY Create PR]]+7)</f>
        <v/>
      </c>
      <c r="J532" s="290" t="n"/>
      <c r="K532" s="20" t="n">
        <v>30</v>
      </c>
      <c r="L532" s="5" t="inlineStr">
        <is>
          <t>SFST81000050</t>
        </is>
      </c>
      <c r="M532" s="7" t="inlineStr">
        <is>
          <t>Water plant</t>
        </is>
      </c>
      <c r="N532" s="7" t="inlineStr">
        <is>
          <t>Tool and Equipment</t>
        </is>
      </c>
      <c r="O532" s="11" t="n">
        <v>1</v>
      </c>
      <c r="P532" s="10" t="inlineStr">
        <is>
          <t>straight coupling HDPE 50 mm.</t>
        </is>
      </c>
      <c r="Q532" s="277" t="n">
        <v>4</v>
      </c>
      <c r="R532" s="5" t="inlineStr">
        <is>
          <t>PCS.</t>
        </is>
      </c>
      <c r="S532" s="292">
        <f>RawDataGenPO[[#This Row],[Total price]]/RawDataGenPO[[#This Row],[Qty'']]</f>
        <v/>
      </c>
      <c r="T532" s="278" t="n">
        <v>600</v>
      </c>
      <c r="U532" s="291" t="n"/>
      <c r="V532" s="7" t="inlineStr">
        <is>
          <t>V1000259 - JJP SUPPLY CO., LTD</t>
        </is>
      </c>
      <c r="W532" s="5" t="inlineStr">
        <is>
          <t>Recive bill and GRN already</t>
        </is>
      </c>
      <c r="X532" s="5" t="n"/>
      <c r="Y532" s="3" t="n">
        <v>45604</v>
      </c>
      <c r="Z532" s="3" t="n"/>
      <c r="AA532" s="17">
        <f>IF(RawDataGenPO[[#This Row],[Date Gen PO]]="","",RawDataGenPO[[#This Row],[Date recive bill]]-RawDataGenPO[[#This Row],[Date Gen PO]])</f>
        <v/>
      </c>
      <c r="AB532" s="16">
        <f>IF(RawDataGenPO[[#This Row],[GRN-PO date]]&gt;RawDataGenPO[[#This Row],[Lead time delivery (day)]],"over deliverry","Ontime")</f>
        <v/>
      </c>
      <c r="AC532" s="22" t="n"/>
    </row>
    <row r="533" ht="15" customFormat="1" customHeight="1" s="125">
      <c r="A533" s="5">
        <f>ROW()-ROW(RawDataGenPO[[#Headers],[No.]])</f>
        <v/>
      </c>
      <c r="B533" s="7" t="inlineStr">
        <is>
          <t>CAPEX  (Budget)</t>
        </is>
      </c>
      <c r="C533" s="275" t="n">
        <v>45583</v>
      </c>
      <c r="D533" s="276" t="n"/>
      <c r="E533" s="276" t="n"/>
      <c r="F533" s="275" t="n">
        <v>45583</v>
      </c>
      <c r="G533" s="5" t="inlineStr">
        <is>
          <t>PR2425-03981</t>
        </is>
      </c>
      <c r="H533" s="5" t="inlineStr">
        <is>
          <t xml:space="preserve">PO2425-04371 </t>
        </is>
      </c>
      <c r="I533" s="290">
        <f>IF(RawDataGenPO[[#This Row],[PO No.]]="","",RawDataGenPO[[#This Row],[DMY Create PR]]+7)</f>
        <v/>
      </c>
      <c r="J533" s="290" t="n"/>
      <c r="K533" s="20" t="n">
        <v>30</v>
      </c>
      <c r="L533" s="5" t="inlineStr">
        <is>
          <t>SFST81000050</t>
        </is>
      </c>
      <c r="M533" s="7" t="inlineStr">
        <is>
          <t>Water plant</t>
        </is>
      </c>
      <c r="N533" s="7" t="inlineStr">
        <is>
          <t>Tool and Equipment</t>
        </is>
      </c>
      <c r="O533" s="11" t="n">
        <v>2</v>
      </c>
      <c r="P533" s="10" t="inlineStr">
        <is>
          <t>elbow 90 HDPE size 50 mm</t>
        </is>
      </c>
      <c r="Q533" s="277" t="n">
        <v>4</v>
      </c>
      <c r="R533" s="5" t="inlineStr">
        <is>
          <t>PCS.</t>
        </is>
      </c>
      <c r="S533" s="292">
        <f>RawDataGenPO[[#This Row],[Total price]]/RawDataGenPO[[#This Row],[Qty'']]</f>
        <v/>
      </c>
      <c r="T533" s="278" t="n">
        <v>600</v>
      </c>
      <c r="U533" s="291" t="n"/>
      <c r="V533" s="7" t="inlineStr">
        <is>
          <t>V1000259 - JJP SUPPLY CO., LTD</t>
        </is>
      </c>
      <c r="W533" s="5" t="inlineStr">
        <is>
          <t>Recive bill and GRN already</t>
        </is>
      </c>
      <c r="X533" s="5" t="n"/>
      <c r="Y533" s="3" t="n">
        <v>45604</v>
      </c>
      <c r="Z533" s="3" t="n"/>
      <c r="AA533" s="17">
        <f>IF(RawDataGenPO[[#This Row],[Date Gen PO]]="","",RawDataGenPO[[#This Row],[Date recive bill]]-RawDataGenPO[[#This Row],[Date Gen PO]])</f>
        <v/>
      </c>
      <c r="AB533" s="16">
        <f>IF(RawDataGenPO[[#This Row],[GRN-PO date]]&gt;RawDataGenPO[[#This Row],[Lead time delivery (day)]],"over deliverry","Ontime")</f>
        <v/>
      </c>
      <c r="AC533" s="22" t="n"/>
    </row>
    <row r="534" ht="15" customFormat="1" customHeight="1" s="125">
      <c r="A534" s="5">
        <f>ROW()-ROW(RawDataGenPO[[#Headers],[No.]])</f>
        <v/>
      </c>
      <c r="B534" s="7" t="inlineStr">
        <is>
          <t>CAPEX  (Budget)</t>
        </is>
      </c>
      <c r="C534" s="275" t="n">
        <v>45583</v>
      </c>
      <c r="D534" s="276" t="n"/>
      <c r="E534" s="276" t="n"/>
      <c r="F534" s="275" t="n">
        <v>45583</v>
      </c>
      <c r="G534" s="5" t="inlineStr">
        <is>
          <t>PR2425-03981</t>
        </is>
      </c>
      <c r="H534" s="5" t="inlineStr">
        <is>
          <t xml:space="preserve">PO2425-04371 </t>
        </is>
      </c>
      <c r="I534" s="290">
        <f>IF(RawDataGenPO[[#This Row],[PO No.]]="","",RawDataGenPO[[#This Row],[DMY Create PR]]+7)</f>
        <v/>
      </c>
      <c r="J534" s="290" t="n"/>
      <c r="K534" s="20" t="n">
        <v>30</v>
      </c>
      <c r="L534" s="5" t="inlineStr">
        <is>
          <t>SFST81000050</t>
        </is>
      </c>
      <c r="M534" s="7" t="inlineStr">
        <is>
          <t>Water plant</t>
        </is>
      </c>
      <c r="N534" s="7" t="inlineStr">
        <is>
          <t>Tool and Equipment</t>
        </is>
      </c>
      <c r="O534" s="11" t="n">
        <v>3</v>
      </c>
      <c r="P534" s="10" t="inlineStr">
        <is>
          <t>saddle clamp outlet HDPE size 50 mm outlet 6 buhn</t>
        </is>
      </c>
      <c r="Q534" s="277" t="n">
        <v>2</v>
      </c>
      <c r="R534" s="5" t="inlineStr">
        <is>
          <t>PCS.</t>
        </is>
      </c>
      <c r="S534" s="292">
        <f>RawDataGenPO[[#This Row],[Total price]]/RawDataGenPO[[#This Row],[Qty'']]</f>
        <v/>
      </c>
      <c r="T534" s="278" t="n">
        <v>170</v>
      </c>
      <c r="U534" s="291" t="n"/>
      <c r="V534" s="7" t="inlineStr">
        <is>
          <t>V1000259 - JJP SUPPLY CO., LTD</t>
        </is>
      </c>
      <c r="W534" s="5" t="inlineStr">
        <is>
          <t>Recive bill and GRN already</t>
        </is>
      </c>
      <c r="X534" s="5" t="n"/>
      <c r="Y534" s="3" t="n">
        <v>45604</v>
      </c>
      <c r="Z534" s="3" t="n"/>
      <c r="AA534" s="17">
        <f>IF(RawDataGenPO[[#This Row],[Date Gen PO]]="","",RawDataGenPO[[#This Row],[Date recive bill]]-RawDataGenPO[[#This Row],[Date Gen PO]])</f>
        <v/>
      </c>
      <c r="AB534" s="16">
        <f>IF(RawDataGenPO[[#This Row],[GRN-PO date]]&gt;RawDataGenPO[[#This Row],[Lead time delivery (day)]],"over deliverry","Ontime")</f>
        <v/>
      </c>
      <c r="AC534" s="22" t="n"/>
    </row>
    <row r="535" ht="15" customFormat="1" customHeight="1" s="125">
      <c r="A535" s="5">
        <f>ROW()-ROW(RawDataGenPO[[#Headers],[No.]])</f>
        <v/>
      </c>
      <c r="B535" s="7" t="inlineStr">
        <is>
          <t>CAPEX  (Budget)</t>
        </is>
      </c>
      <c r="C535" s="275" t="n">
        <v>45581</v>
      </c>
      <c r="D535" s="276" t="n"/>
      <c r="E535" s="276" t="n"/>
      <c r="F535" s="275" t="n">
        <v>45581</v>
      </c>
      <c r="G535" s="5" t="inlineStr">
        <is>
          <t>PR2425-03905</t>
        </is>
      </c>
      <c r="H535" s="5" t="inlineStr">
        <is>
          <t>PO2425-04345</t>
        </is>
      </c>
      <c r="I535" s="290">
        <f>IF(RawDataGenPO[[#This Row],[PO No.]]="","",RawDataGenPO[[#This Row],[DMY Create PR]]+7)</f>
        <v/>
      </c>
      <c r="J535" s="290" t="n"/>
      <c r="K535" s="20">
        <f>IF(RawDataGenPO[[#This Row],[PO No.]]="","",10)</f>
        <v/>
      </c>
      <c r="L535" s="5" t="inlineStr">
        <is>
          <t>SFST81000050</t>
        </is>
      </c>
      <c r="M535" s="7" t="inlineStr">
        <is>
          <t>Tool and Equipment PD M/C</t>
        </is>
      </c>
      <c r="N535" s="7" t="inlineStr">
        <is>
          <t>Tool and Equipment</t>
        </is>
      </c>
      <c r="O535" s="11" t="n">
        <v>1</v>
      </c>
      <c r="P535" s="10" t="inlineStr">
        <is>
          <t>Y STAINER SS304 10K 3"</t>
        </is>
      </c>
      <c r="Q535" s="277" t="n">
        <v>1</v>
      </c>
      <c r="R535" s="5" t="inlineStr">
        <is>
          <t>PCS.</t>
        </is>
      </c>
      <c r="S535" s="292">
        <f>RawDataGenPO[[#This Row],[Total price]]/RawDataGenPO[[#This Row],[Qty'']]</f>
        <v/>
      </c>
      <c r="T535" s="278" t="n">
        <v>7550</v>
      </c>
      <c r="U535" s="291" t="n"/>
      <c r="V535" s="7" t="inlineStr">
        <is>
          <t>V1000655 - SRM ENGINEERING 1991 CO., LTD.</t>
        </is>
      </c>
      <c r="W535" s="5" t="inlineStr">
        <is>
          <t>Recive bill and GRN already</t>
        </is>
      </c>
      <c r="X535" s="5" t="n"/>
      <c r="Y535" s="3" t="n">
        <v>45590</v>
      </c>
      <c r="Z535" s="3" t="n"/>
      <c r="AA535" s="17">
        <f>IF(RawDataGenPO[[#This Row],[Date Gen PO]]="","",RawDataGenPO[[#This Row],[Date recive bill]]-RawDataGenPO[[#This Row],[Date Gen PO]])</f>
        <v/>
      </c>
      <c r="AB535" s="16">
        <f>IF(RawDataGenPO[[#This Row],[GRN-PO date]]&gt;RawDataGenPO[[#This Row],[Lead time delivery (day)]],"over deliverry","Ontime")</f>
        <v/>
      </c>
      <c r="AC535" s="22" t="n"/>
    </row>
    <row r="536" ht="30" customFormat="1" customHeight="1" s="125">
      <c r="A536" s="5">
        <f>ROW()-ROW(RawDataGenPO[[#Headers],[No.]])</f>
        <v/>
      </c>
      <c r="B536" s="7" t="inlineStr">
        <is>
          <t>CAPEX  (Budget)</t>
        </is>
      </c>
      <c r="C536" s="275" t="n">
        <v>45583</v>
      </c>
      <c r="D536" s="276" t="n"/>
      <c r="E536" s="276" t="n"/>
      <c r="F536" s="275" t="n">
        <v>45583</v>
      </c>
      <c r="G536" s="5" t="inlineStr">
        <is>
          <t>PR2425-03982</t>
        </is>
      </c>
      <c r="H536" s="5" t="inlineStr">
        <is>
          <t>PO2425-04373</t>
        </is>
      </c>
      <c r="I536" s="290">
        <f>IF(RawDataGenPO[[#This Row],[PO No.]]="","",RawDataGenPO[[#This Row],[DMY Create PR]]+7)</f>
        <v/>
      </c>
      <c r="J536" s="290" t="n"/>
      <c r="K536" s="20" t="n">
        <v>35</v>
      </c>
      <c r="L536" s="5" t="inlineStr">
        <is>
          <t>SFST81000048</t>
        </is>
      </c>
      <c r="M536" s="7" t="inlineStr">
        <is>
          <t>PD Machine</t>
        </is>
      </c>
      <c r="N536" s="7" t="inlineStr">
        <is>
          <t>Condencer Unit No.33 (Ice Maker)</t>
        </is>
      </c>
      <c r="O536" s="11" t="n">
        <v>1</v>
      </c>
      <c r="P536" s="10" t="inlineStr">
        <is>
          <t>PK PART SI 2500 COOLING JOINT 1-5/8" (LEFT)
SILICON+CARBON</t>
        </is>
      </c>
      <c r="Q536" s="277" t="n">
        <v>1</v>
      </c>
      <c r="R536" s="5" t="inlineStr">
        <is>
          <t>JOB.</t>
        </is>
      </c>
      <c r="S536" s="292">
        <f>RawDataGenPO[[#This Row],[Total price]]/RawDataGenPO[[#This Row],[Qty'']]</f>
        <v/>
      </c>
      <c r="T536" s="278" t="n">
        <v>22500</v>
      </c>
      <c r="U536" s="291" t="n"/>
      <c r="V536" s="7" t="inlineStr">
        <is>
          <t>V1000654 - A AND B REFRIGERATION CO., LTD.</t>
        </is>
      </c>
      <c r="W536" s="5" t="inlineStr">
        <is>
          <t>Recive bill and GRN already</t>
        </is>
      </c>
      <c r="X536" s="5" t="n"/>
      <c r="Y536" s="3" t="n">
        <v>45621</v>
      </c>
      <c r="Z536" s="3" t="n"/>
      <c r="AA536" s="17">
        <f>IF(RawDataGenPO[[#This Row],[Date Gen PO]]="","",RawDataGenPO[[#This Row],[Date recive bill]]-RawDataGenPO[[#This Row],[Date Gen PO]])</f>
        <v/>
      </c>
      <c r="AB536" s="16">
        <f>IF(RawDataGenPO[[#This Row],[GRN-PO date]]&gt;RawDataGenPO[[#This Row],[Lead time delivery (day)]],"over deliverry","Ontime")</f>
        <v/>
      </c>
      <c r="AC536" s="22" t="n"/>
    </row>
    <row r="537" ht="15" customFormat="1" customHeight="1" s="125">
      <c r="A537" s="5">
        <f>ROW()-ROW(RawDataGenPO[[#Headers],[No.]])</f>
        <v/>
      </c>
      <c r="B537" s="7" t="inlineStr">
        <is>
          <t>CAPEX  (Budget)</t>
        </is>
      </c>
      <c r="C537" s="275" t="n">
        <v>45583</v>
      </c>
      <c r="D537" s="276" t="n"/>
      <c r="E537" s="276" t="n"/>
      <c r="F537" s="275" t="n">
        <v>45583</v>
      </c>
      <c r="G537" s="5" t="inlineStr">
        <is>
          <t>PR2425-03982</t>
        </is>
      </c>
      <c r="H537" s="5" t="inlineStr">
        <is>
          <t>PO2425-04373</t>
        </is>
      </c>
      <c r="I537" s="290">
        <f>IF(RawDataGenPO[[#This Row],[PO No.]]="","",RawDataGenPO[[#This Row],[DMY Create PR]]+7)</f>
        <v/>
      </c>
      <c r="J537" s="290" t="n"/>
      <c r="K537" s="20" t="n">
        <v>35</v>
      </c>
      <c r="L537" s="5" t="inlineStr">
        <is>
          <t>SFST81000048</t>
        </is>
      </c>
      <c r="M537" s="7" t="inlineStr">
        <is>
          <t>PD Machine</t>
        </is>
      </c>
      <c r="N537" s="7" t="inlineStr">
        <is>
          <t>Condencer Unit No.33 (Ice Maker)</t>
        </is>
      </c>
      <c r="O537" s="11" t="n">
        <v>2</v>
      </c>
      <c r="P537" s="10" t="inlineStr">
        <is>
          <t>U-CUP PU 95 X 110 X 12</t>
        </is>
      </c>
      <c r="Q537" s="277" t="n">
        <v>1</v>
      </c>
      <c r="R537" s="5" t="inlineStr">
        <is>
          <t>JOB.</t>
        </is>
      </c>
      <c r="S537" s="292">
        <f>RawDataGenPO[[#This Row],[Total price]]/RawDataGenPO[[#This Row],[Qty'']]</f>
        <v/>
      </c>
      <c r="T537" s="278" t="n">
        <v>1260</v>
      </c>
      <c r="U537" s="291" t="n"/>
      <c r="V537" s="7" t="inlineStr">
        <is>
          <t>V1000654 - A AND B REFRIGERATION CO., LTD.</t>
        </is>
      </c>
      <c r="W537" s="5" t="inlineStr">
        <is>
          <t>Recive bill and GRN already</t>
        </is>
      </c>
      <c r="X537" s="5" t="n"/>
      <c r="Y537" s="3" t="n">
        <v>45621</v>
      </c>
      <c r="Z537" s="3" t="n"/>
      <c r="AA537" s="17">
        <f>IF(RawDataGenPO[[#This Row],[Date Gen PO]]="","",RawDataGenPO[[#This Row],[Date recive bill]]-RawDataGenPO[[#This Row],[Date Gen PO]])</f>
        <v/>
      </c>
      <c r="AB537" s="16">
        <f>IF(RawDataGenPO[[#This Row],[GRN-PO date]]&gt;RawDataGenPO[[#This Row],[Lead time delivery (day)]],"over deliverry","Ontime")</f>
        <v/>
      </c>
      <c r="AC537" s="22" t="n"/>
    </row>
    <row r="538" ht="15" customFormat="1" customHeight="1" s="125">
      <c r="A538" s="5">
        <f>ROW()-ROW(RawDataGenPO[[#Headers],[No.]])</f>
        <v/>
      </c>
      <c r="B538" s="7" t="inlineStr">
        <is>
          <t>CAPEX  (Budget)</t>
        </is>
      </c>
      <c r="C538" s="275" t="n">
        <v>45583</v>
      </c>
      <c r="D538" s="276" t="n"/>
      <c r="E538" s="276" t="n"/>
      <c r="F538" s="275" t="n">
        <v>45583</v>
      </c>
      <c r="G538" s="5" t="inlineStr">
        <is>
          <t>PR2425-03982</t>
        </is>
      </c>
      <c r="H538" s="5" t="inlineStr">
        <is>
          <t>PO2425-04373</t>
        </is>
      </c>
      <c r="I538" s="290">
        <f>IF(RawDataGenPO[[#This Row],[PO No.]]="","",RawDataGenPO[[#This Row],[DMY Create PR]]+7)</f>
        <v/>
      </c>
      <c r="J538" s="290" t="n"/>
      <c r="K538" s="20" t="n">
        <v>35</v>
      </c>
      <c r="L538" s="5" t="inlineStr">
        <is>
          <t>SFST81000048</t>
        </is>
      </c>
      <c r="M538" s="7" t="inlineStr">
        <is>
          <t>PD Machine</t>
        </is>
      </c>
      <c r="N538" s="7" t="inlineStr">
        <is>
          <t>Condencer Unit No.33 (Ice Maker)</t>
        </is>
      </c>
      <c r="O538" s="11" t="n">
        <v>3</v>
      </c>
      <c r="P538" s="10" t="inlineStr">
        <is>
          <t>PK PART SI 2500 KG CUTTER</t>
        </is>
      </c>
      <c r="Q538" s="277" t="n">
        <v>1</v>
      </c>
      <c r="R538" s="5" t="inlineStr">
        <is>
          <t>JOB.</t>
        </is>
      </c>
      <c r="S538" s="292">
        <f>RawDataGenPO[[#This Row],[Total price]]/RawDataGenPO[[#This Row],[Qty'']]</f>
        <v/>
      </c>
      <c r="T538" s="278" t="n">
        <v>19800</v>
      </c>
      <c r="U538" s="291" t="n"/>
      <c r="V538" s="7" t="inlineStr">
        <is>
          <t>V1000654 - A AND B REFRIGERATION CO., LTD.</t>
        </is>
      </c>
      <c r="W538" s="5" t="inlineStr">
        <is>
          <t>Recive bill and GRN already</t>
        </is>
      </c>
      <c r="X538" s="5" t="n"/>
      <c r="Y538" s="3" t="n">
        <v>45621</v>
      </c>
      <c r="Z538" s="3" t="n"/>
      <c r="AA538" s="17">
        <f>IF(RawDataGenPO[[#This Row],[Date Gen PO]]="","",RawDataGenPO[[#This Row],[Date recive bill]]-RawDataGenPO[[#This Row],[Date Gen PO]])</f>
        <v/>
      </c>
      <c r="AB538" s="16">
        <f>IF(RawDataGenPO[[#This Row],[GRN-PO date]]&gt;RawDataGenPO[[#This Row],[Lead time delivery (day)]],"over deliverry","Ontime")</f>
        <v/>
      </c>
      <c r="AC538" s="22" t="n"/>
    </row>
    <row r="539" ht="15" customFormat="1" customHeight="1" s="125">
      <c r="A539" s="5">
        <f>ROW()-ROW(RawDataGenPO[[#Headers],[No.]])</f>
        <v/>
      </c>
      <c r="B539" s="7" t="inlineStr">
        <is>
          <t>CAPEX  (Budget)</t>
        </is>
      </c>
      <c r="C539" s="275" t="n">
        <v>45583</v>
      </c>
      <c r="D539" s="276" t="n"/>
      <c r="E539" s="276" t="n"/>
      <c r="F539" s="275" t="n">
        <v>45583</v>
      </c>
      <c r="G539" s="5" t="inlineStr">
        <is>
          <t>PR2425-03982</t>
        </is>
      </c>
      <c r="H539" s="5" t="inlineStr">
        <is>
          <t>PO2425-04373</t>
        </is>
      </c>
      <c r="I539" s="290">
        <f>IF(RawDataGenPO[[#This Row],[PO No.]]="","",RawDataGenPO[[#This Row],[DMY Create PR]]+7)</f>
        <v/>
      </c>
      <c r="J539" s="290" t="n"/>
      <c r="K539" s="20" t="n">
        <v>35</v>
      </c>
      <c r="L539" s="5" t="inlineStr">
        <is>
          <t>SFST81000048</t>
        </is>
      </c>
      <c r="M539" s="7" t="inlineStr">
        <is>
          <t>PD Machine</t>
        </is>
      </c>
      <c r="N539" s="7" t="inlineStr">
        <is>
          <t>Condencer Unit No.33 (Ice Maker)</t>
        </is>
      </c>
      <c r="O539" s="11" t="n">
        <v>4</v>
      </c>
      <c r="P539" s="10" t="inlineStr">
        <is>
          <t>ASCO BRASS WATER SOLENOID VALVE 1/2 ΙΝ.</t>
        </is>
      </c>
      <c r="Q539" s="277" t="n">
        <v>1</v>
      </c>
      <c r="R539" s="5" t="inlineStr">
        <is>
          <t>JOB.</t>
        </is>
      </c>
      <c r="S539" s="292">
        <f>RawDataGenPO[[#This Row],[Total price]]/RawDataGenPO[[#This Row],[Qty'']]</f>
        <v/>
      </c>
      <c r="T539" s="278" t="n">
        <v>4950</v>
      </c>
      <c r="U539" s="291" t="n"/>
      <c r="V539" s="7" t="inlineStr">
        <is>
          <t>V1000654 - A AND B REFRIGERATION CO., LTD.</t>
        </is>
      </c>
      <c r="W539" s="5" t="inlineStr">
        <is>
          <t>Recive bill and GRN already</t>
        </is>
      </c>
      <c r="X539" s="5" t="n"/>
      <c r="Y539" s="3" t="n">
        <v>45621</v>
      </c>
      <c r="Z539" s="3" t="n"/>
      <c r="AA539" s="17">
        <f>IF(RawDataGenPO[[#This Row],[Date Gen PO]]="","",RawDataGenPO[[#This Row],[Date recive bill]]-RawDataGenPO[[#This Row],[Date Gen PO]])</f>
        <v/>
      </c>
      <c r="AB539" s="16">
        <f>IF(RawDataGenPO[[#This Row],[GRN-PO date]]&gt;RawDataGenPO[[#This Row],[Lead time delivery (day)]],"over deliverry","Ontime")</f>
        <v/>
      </c>
      <c r="AC539" s="22" t="n"/>
    </row>
    <row r="540" ht="30" customFormat="1" customHeight="1" s="125">
      <c r="A540" s="5">
        <f>ROW()-ROW(RawDataGenPO[[#Headers],[No.]])</f>
        <v/>
      </c>
      <c r="B540" s="7" t="inlineStr">
        <is>
          <t>CAPEX  (Budget)</t>
        </is>
      </c>
      <c r="C540" s="275" t="n">
        <v>45583</v>
      </c>
      <c r="D540" s="276" t="n"/>
      <c r="E540" s="276" t="n"/>
      <c r="F540" s="275" t="n">
        <v>45583</v>
      </c>
      <c r="G540" s="5" t="inlineStr">
        <is>
          <t>PR2425-03982</t>
        </is>
      </c>
      <c r="H540" s="5" t="inlineStr">
        <is>
          <t>PO2425-04373</t>
        </is>
      </c>
      <c r="I540" s="290">
        <f>IF(RawDataGenPO[[#This Row],[PO No.]]="","",RawDataGenPO[[#This Row],[DMY Create PR]]+7)</f>
        <v/>
      </c>
      <c r="J540" s="290" t="n"/>
      <c r="K540" s="20" t="n">
        <v>35</v>
      </c>
      <c r="L540" s="5" t="inlineStr">
        <is>
          <t>SFST81000048</t>
        </is>
      </c>
      <c r="M540" s="7" t="inlineStr">
        <is>
          <t>PD Machine</t>
        </is>
      </c>
      <c r="N540" s="7" t="inlineStr">
        <is>
          <t>Condencer Unit No.33 (Ice Maker)</t>
        </is>
      </c>
      <c r="O540" s="11" t="n">
        <v>5</v>
      </c>
      <c r="P540" s="10" t="inlineStr">
        <is>
          <t>Inspection service chargemachineflake ice
including repair and round-trip travel cost</t>
        </is>
      </c>
      <c r="Q540" s="277" t="n">
        <v>1</v>
      </c>
      <c r="R540" s="5" t="inlineStr">
        <is>
          <t>JOB.</t>
        </is>
      </c>
      <c r="S540" s="292">
        <f>RawDataGenPO[[#This Row],[Total price]]/RawDataGenPO[[#This Row],[Qty'']]</f>
        <v/>
      </c>
      <c r="T540" s="278" t="n">
        <v>6300</v>
      </c>
      <c r="U540" s="291" t="n"/>
      <c r="V540" s="7" t="inlineStr">
        <is>
          <t>V1000654 - A AND B REFRIGERATION CO., LTD.</t>
        </is>
      </c>
      <c r="W540" s="5" t="inlineStr">
        <is>
          <t>Recive bill and GRN already</t>
        </is>
      </c>
      <c r="X540" s="5" t="n"/>
      <c r="Y540" s="3" t="n">
        <v>45621</v>
      </c>
      <c r="Z540" s="3" t="n"/>
      <c r="AA540" s="17">
        <f>IF(RawDataGenPO[[#This Row],[Date Gen PO]]="","",RawDataGenPO[[#This Row],[Date recive bill]]-RawDataGenPO[[#This Row],[Date Gen PO]])</f>
        <v/>
      </c>
      <c r="AB540" s="16">
        <f>IF(RawDataGenPO[[#This Row],[GRN-PO date]]&gt;RawDataGenPO[[#This Row],[Lead time delivery (day)]],"over deliverry","Ontime")</f>
        <v/>
      </c>
      <c r="AC540" s="22" t="n"/>
    </row>
    <row r="541" ht="30" customFormat="1" customHeight="1" s="125">
      <c r="A541" s="5">
        <f>ROW()-ROW(RawDataGenPO[[#Headers],[No.]])</f>
        <v/>
      </c>
      <c r="B541" s="7" t="inlineStr">
        <is>
          <t>CAPEX  (Budget)</t>
        </is>
      </c>
      <c r="C541" s="275" t="n">
        <v>45583</v>
      </c>
      <c r="D541" s="276" t="n"/>
      <c r="E541" s="276" t="n"/>
      <c r="F541" s="275" t="n">
        <v>45583</v>
      </c>
      <c r="G541" s="5" t="inlineStr">
        <is>
          <t>PR2425-03983</t>
        </is>
      </c>
      <c r="H541" s="5" t="inlineStr">
        <is>
          <t>PO2425-04375</t>
        </is>
      </c>
      <c r="I541" s="290">
        <f>IF(RawDataGenPO[[#This Row],[PO No.]]="","",RawDataGenPO[[#This Row],[DMY Create PR]]+7)</f>
        <v/>
      </c>
      <c r="J541" s="290" t="n"/>
      <c r="K541" s="20" t="n">
        <v>40</v>
      </c>
      <c r="L541" s="5" t="inlineStr">
        <is>
          <t>SFST81000050</t>
        </is>
      </c>
      <c r="M541" s="7" t="inlineStr">
        <is>
          <t>Tool and Equipment PD M/C</t>
        </is>
      </c>
      <c r="N541" s="7" t="inlineStr">
        <is>
          <t>Tool and Equipment</t>
        </is>
      </c>
      <c r="O541" s="11" t="n">
        <v>1</v>
      </c>
      <c r="P541" s="10" t="inlineStr">
        <is>
          <t>Roller Brush for Flame grill (Brush belt wash)
-Blue Color</t>
        </is>
      </c>
      <c r="Q541" s="277" t="n">
        <v>1</v>
      </c>
      <c r="R541" s="5" t="inlineStr">
        <is>
          <t>SET</t>
        </is>
      </c>
      <c r="S541" s="292">
        <f>RawDataGenPO[[#This Row],[Total price]]/RawDataGenPO[[#This Row],[Qty'']]</f>
        <v/>
      </c>
      <c r="T541" s="278" t="n">
        <v>21600</v>
      </c>
      <c r="U541" s="291" t="n"/>
      <c r="V541" s="7" t="inlineStr">
        <is>
          <t>V1000100 - VIRIYA TECHNOLOGY CO., LTD.</t>
        </is>
      </c>
      <c r="W541" s="5" t="inlineStr">
        <is>
          <t>Recive bill and GRN already</t>
        </is>
      </c>
      <c r="X541" s="5" t="n"/>
      <c r="Y541" s="3" t="n">
        <v>45628</v>
      </c>
      <c r="Z541" s="3" t="n"/>
      <c r="AA541" s="17">
        <f>IF(RawDataGenPO[[#This Row],[Date Gen PO]]="","",RawDataGenPO[[#This Row],[Date recive bill]]-RawDataGenPO[[#This Row],[Date Gen PO]])</f>
        <v/>
      </c>
      <c r="AB541" s="16">
        <f>IF(RawDataGenPO[[#This Row],[GRN-PO date]]&gt;RawDataGenPO[[#This Row],[Lead time delivery (day)]],"over deliverry","Ontime")</f>
        <v/>
      </c>
      <c r="AC541" s="22" t="n"/>
    </row>
    <row r="542" ht="15" customFormat="1" customHeight="1" s="125">
      <c r="A542" s="5">
        <f>ROW()-ROW(RawDataGenPO[[#Headers],[No.]])</f>
        <v/>
      </c>
      <c r="B542" s="7" t="inlineStr">
        <is>
          <t>CAPEX  (Budget)</t>
        </is>
      </c>
      <c r="C542" s="275" t="n">
        <v>45583</v>
      </c>
      <c r="D542" s="276" t="n"/>
      <c r="E542" s="276" t="n"/>
      <c r="F542" s="275" t="n">
        <v>45583</v>
      </c>
      <c r="G542" s="5" t="inlineStr">
        <is>
          <t>PR2425-03984</t>
        </is>
      </c>
      <c r="H542" s="5" t="inlineStr">
        <is>
          <t>PO2425-04376</t>
        </is>
      </c>
      <c r="I542" s="290">
        <f>IF(RawDataGenPO[[#This Row],[PO No.]]="","",RawDataGenPO[[#This Row],[DMY Create PR]]+7)</f>
        <v/>
      </c>
      <c r="J542" s="290" t="n"/>
      <c r="K542" s="20" t="n">
        <v>35</v>
      </c>
      <c r="L542" s="5" t="inlineStr">
        <is>
          <t>SFST81000050</t>
        </is>
      </c>
      <c r="M542" s="7" t="inlineStr">
        <is>
          <t>Tool and Equipment  Engineering</t>
        </is>
      </c>
      <c r="N542" s="7" t="inlineStr">
        <is>
          <t>Tool and Equipment</t>
        </is>
      </c>
      <c r="O542" s="11" t="n">
        <v>1</v>
      </c>
      <c r="P542" s="10" t="inlineStr">
        <is>
          <t>POLO" model P301 electric float switch 220V PC-8A (cablelength 3 m)</t>
        </is>
      </c>
      <c r="Q542" s="277" t="n">
        <v>5</v>
      </c>
      <c r="R542" s="5" t="inlineStr">
        <is>
          <t>SET</t>
        </is>
      </c>
      <c r="S542" s="292">
        <f>RawDataGenPO[[#This Row],[Total price]]/RawDataGenPO[[#This Row],[Qty'']]</f>
        <v/>
      </c>
      <c r="T542" s="278" t="n">
        <v>1400</v>
      </c>
      <c r="U542" s="291" t="n"/>
      <c r="V542" s="7" t="inlineStr">
        <is>
          <t>V1000259 - JJP SUPPLY CO., LTD</t>
        </is>
      </c>
      <c r="W542" s="5" t="inlineStr">
        <is>
          <t>Recive bill and GRN already</t>
        </is>
      </c>
      <c r="X542" s="5" t="n"/>
      <c r="Y542" s="3" t="n">
        <v>45604</v>
      </c>
      <c r="Z542" s="3" t="n"/>
      <c r="AA542" s="17">
        <f>IF(RawDataGenPO[[#This Row],[Date Gen PO]]="","",RawDataGenPO[[#This Row],[Date recive bill]]-RawDataGenPO[[#This Row],[Date Gen PO]])</f>
        <v/>
      </c>
      <c r="AB542" s="16">
        <f>IF(RawDataGenPO[[#This Row],[GRN-PO date]]&gt;RawDataGenPO[[#This Row],[Lead time delivery (day)]],"over deliverry","Ontime")</f>
        <v/>
      </c>
      <c r="AC542" s="22" t="n"/>
    </row>
    <row r="543" ht="15" customFormat="1" customHeight="1" s="125">
      <c r="A543" s="5">
        <f>ROW()-ROW(RawDataGenPO[[#Headers],[No.]])</f>
        <v/>
      </c>
      <c r="B543" s="7" t="inlineStr">
        <is>
          <t>CAPEX  (Budget)</t>
        </is>
      </c>
      <c r="C543" s="275" t="n">
        <v>45583</v>
      </c>
      <c r="D543" s="276" t="n"/>
      <c r="E543" s="276" t="n"/>
      <c r="F543" s="275" t="n">
        <v>45583</v>
      </c>
      <c r="G543" s="5" t="inlineStr">
        <is>
          <t>PR2425-03984</t>
        </is>
      </c>
      <c r="H543" s="5" t="inlineStr">
        <is>
          <t>PO2425-04376</t>
        </is>
      </c>
      <c r="I543" s="290">
        <f>IF(RawDataGenPO[[#This Row],[PO No.]]="","",RawDataGenPO[[#This Row],[DMY Create PR]]+7)</f>
        <v/>
      </c>
      <c r="J543" s="290" t="n"/>
      <c r="K543" s="20" t="n">
        <v>35</v>
      </c>
      <c r="L543" s="5" t="inlineStr">
        <is>
          <t>SFST81000050</t>
        </is>
      </c>
      <c r="M543" s="7" t="inlineStr">
        <is>
          <t>Tool and Equipment  Engineering</t>
        </is>
      </c>
      <c r="N543" s="7" t="inlineStr">
        <is>
          <t>Tool and Equipment</t>
        </is>
      </c>
      <c r="O543" s="11" t="n">
        <v>2</v>
      </c>
      <c r="P543" s="10" t="inlineStr">
        <is>
          <t>LA42DWQ-22 Rotary Potentiometer pcsrotary volume control adjustable 22mm 1K</t>
        </is>
      </c>
      <c r="Q543" s="277" t="n">
        <v>4</v>
      </c>
      <c r="R543" s="5" t="inlineStr">
        <is>
          <t>SET</t>
        </is>
      </c>
      <c r="S543" s="292">
        <f>RawDataGenPO[[#This Row],[Total price]]/RawDataGenPO[[#This Row],[Qty'']]</f>
        <v/>
      </c>
      <c r="T543" s="278" t="n">
        <v>720</v>
      </c>
      <c r="U543" s="291" t="n"/>
      <c r="V543" s="7" t="inlineStr">
        <is>
          <t>V1000259 - JJP SUPPLY CO., LTD</t>
        </is>
      </c>
      <c r="W543" s="5" t="inlineStr">
        <is>
          <t>Recive bill and GRN already</t>
        </is>
      </c>
      <c r="X543" s="5" t="n"/>
      <c r="Y543" s="3" t="n">
        <v>45604</v>
      </c>
      <c r="Z543" s="3" t="n"/>
      <c r="AA543" s="17">
        <f>IF(RawDataGenPO[[#This Row],[Date Gen PO]]="","",RawDataGenPO[[#This Row],[Date recive bill]]-RawDataGenPO[[#This Row],[Date Gen PO]])</f>
        <v/>
      </c>
      <c r="AB543" s="16">
        <f>IF(RawDataGenPO[[#This Row],[GRN-PO date]]&gt;RawDataGenPO[[#This Row],[Lead time delivery (day)]],"over deliverry","Ontime")</f>
        <v/>
      </c>
      <c r="AC543" s="22" t="n"/>
    </row>
    <row r="544" ht="60" customFormat="1" customHeight="1" s="125">
      <c r="A544" s="5">
        <f>ROW()-ROW(RawDataGenPO[[#Headers],[No.]])</f>
        <v/>
      </c>
      <c r="B544" s="7" t="inlineStr">
        <is>
          <t>CAPEX  (Budget)</t>
        </is>
      </c>
      <c r="C544" s="275" t="n">
        <v>45581</v>
      </c>
      <c r="D544" s="276" t="n"/>
      <c r="E544" s="276" t="n"/>
      <c r="F544" s="275" t="n">
        <v>45581</v>
      </c>
      <c r="G544" s="5" t="inlineStr">
        <is>
          <t>PR2425-03905</t>
        </is>
      </c>
      <c r="H544" s="5" t="inlineStr">
        <is>
          <t>PO2425-04345</t>
        </is>
      </c>
      <c r="I544" s="290">
        <f>IF(RawDataGenPO[[#This Row],[PO No.]]="","",RawDataGenPO[[#This Row],[DMY Create PR]]+7)</f>
        <v/>
      </c>
      <c r="J544" s="290" t="n"/>
      <c r="K544" s="20">
        <f>IF(RawDataGenPO[[#This Row],[PO No.]]="","",10)</f>
        <v/>
      </c>
      <c r="L544" s="5" t="inlineStr">
        <is>
          <t>SFST81000050</t>
        </is>
      </c>
      <c r="M544" s="7" t="inlineStr">
        <is>
          <t>Tool and Equipment PD M/C</t>
        </is>
      </c>
      <c r="N544" s="7" t="inlineStr">
        <is>
          <t>Tool and Equipment</t>
        </is>
      </c>
      <c r="O544" s="11" t="n">
        <v>2</v>
      </c>
      <c r="P544" s="10" t="inlineStr">
        <is>
          <t>FLEXIBLE HOSE STAINLESS STEEL SS304 FMA304-3"
- SIZE: 3"
- END TO END: 15 CM.
- CONNECTION: FLANG10K x 2 (FIX-LOOSE</t>
        </is>
      </c>
      <c r="Q544" s="277" t="n">
        <v>1</v>
      </c>
      <c r="R544" s="5" t="inlineStr">
        <is>
          <t>PCS.</t>
        </is>
      </c>
      <c r="S544" s="292">
        <f>RawDataGenPO[[#This Row],[Total price]]/RawDataGenPO[[#This Row],[Qty'']]</f>
        <v/>
      </c>
      <c r="T544" s="278" t="n">
        <v>2500</v>
      </c>
      <c r="U544" s="291" t="n"/>
      <c r="V544" s="7" t="inlineStr">
        <is>
          <t>V1000655 - SRM ENGINEERING 1991 CO., LTD.</t>
        </is>
      </c>
      <c r="W544" s="5" t="inlineStr">
        <is>
          <t>Recive bill and GRN already</t>
        </is>
      </c>
      <c r="X544" s="5" t="n"/>
      <c r="Y544" s="3" t="n">
        <v>45590</v>
      </c>
      <c r="Z544" s="3" t="n"/>
      <c r="AA544" s="17">
        <f>IF(RawDataGenPO[[#This Row],[Date Gen PO]]="","",RawDataGenPO[[#This Row],[Date recive bill]]-RawDataGenPO[[#This Row],[Date Gen PO]])</f>
        <v/>
      </c>
      <c r="AB544" s="16">
        <f>IF(RawDataGenPO[[#This Row],[GRN-PO date]]&gt;RawDataGenPO[[#This Row],[Lead time delivery (day)]],"over deliverry","Ontime")</f>
        <v/>
      </c>
      <c r="AC544" s="22" t="n"/>
    </row>
    <row r="545" ht="75" customFormat="1" customHeight="1" s="125">
      <c r="A545" s="5">
        <f>ROW()-ROW(RawDataGenPO[[#Headers],[No.]])</f>
        <v/>
      </c>
      <c r="B545" s="7" t="inlineStr">
        <is>
          <t>CAPEX  (Budget)</t>
        </is>
      </c>
      <c r="C545" s="275" t="n">
        <v>45583</v>
      </c>
      <c r="D545" s="276" t="n"/>
      <c r="E545" s="276" t="n"/>
      <c r="F545" s="275" t="n">
        <v>45583</v>
      </c>
      <c r="G545" s="5" t="inlineStr">
        <is>
          <t>PR2425-03986</t>
        </is>
      </c>
      <c r="H545" s="5" t="inlineStr">
        <is>
          <t>PO2425-04378</t>
        </is>
      </c>
      <c r="I545" s="290">
        <f>IF(RawDataGenPO[[#This Row],[PO No.]]="","",RawDataGenPO[[#This Row],[DMY Create PR]]+7)</f>
        <v/>
      </c>
      <c r="J545" s="290" t="n"/>
      <c r="K545" s="20" t="n">
        <v>35</v>
      </c>
      <c r="L545" s="5" t="inlineStr">
        <is>
          <t>SFST81000048</t>
        </is>
      </c>
      <c r="M545" s="7" t="inlineStr">
        <is>
          <t>Cooling machine for PD line</t>
        </is>
      </c>
      <c r="N545" s="7" t="inlineStr">
        <is>
          <t>Inspect cost</t>
        </is>
      </c>
      <c r="O545" s="11" t="n">
        <v>1</v>
      </c>
      <c r="P545" s="10" t="inlineStr">
        <is>
          <t>Inspection and troubleshooting service chargeLink system
- test signal transmission to identify and fix the Link system
- check config and operation of Micro BOSS equipment
- check operation of ITCLink software
- Additional chargeequipment added to the system Link+ Update Software</t>
        </is>
      </c>
      <c r="Q545" s="277" t="n">
        <v>1</v>
      </c>
      <c r="R545" s="5" t="inlineStr">
        <is>
          <t>JOB.</t>
        </is>
      </c>
      <c r="S545" s="292">
        <f>RawDataGenPO[[#This Row],[Total price]]/RawDataGenPO[[#This Row],[Qty'']]</f>
        <v/>
      </c>
      <c r="T545" s="278" t="n">
        <v>14000</v>
      </c>
      <c r="U545" s="291" t="n"/>
      <c r="V545" s="7" t="inlineStr">
        <is>
          <t>V1000055 - I.T.C.(1993) CO.,LTD.</t>
        </is>
      </c>
      <c r="W545" s="5" t="inlineStr">
        <is>
          <t>Recive bill and GRN already</t>
        </is>
      </c>
      <c r="X545" s="5" t="n"/>
      <c r="Y545" s="3" t="n">
        <v>45621</v>
      </c>
      <c r="Z545" s="3" t="n"/>
      <c r="AA545" s="17">
        <f>IF(RawDataGenPO[[#This Row],[Date Gen PO]]="","",RawDataGenPO[[#This Row],[Date recive bill]]-RawDataGenPO[[#This Row],[Date Gen PO]])</f>
        <v/>
      </c>
      <c r="AB545" s="16">
        <f>IF(RawDataGenPO[[#This Row],[GRN-PO date]]&gt;RawDataGenPO[[#This Row],[Lead time delivery (day)]],"over deliverry","Ontime")</f>
        <v/>
      </c>
      <c r="AC545" s="22" t="n"/>
    </row>
    <row r="546" ht="30" customFormat="1" customHeight="1" s="125">
      <c r="A546" s="5">
        <f>ROW()-ROW(RawDataGenPO[[#Headers],[No.]])</f>
        <v/>
      </c>
      <c r="B546" s="7" t="inlineStr">
        <is>
          <t>CAPEX  (Budget)</t>
        </is>
      </c>
      <c r="C546" s="275" t="n">
        <v>45583</v>
      </c>
      <c r="D546" s="276" t="n"/>
      <c r="E546" s="276" t="n"/>
      <c r="F546" s="275" t="n">
        <v>45583</v>
      </c>
      <c r="G546" s="5" t="inlineStr">
        <is>
          <t>PR2425-03978</t>
        </is>
      </c>
      <c r="H546" s="5" t="inlineStr">
        <is>
          <t>PO2425-04369</t>
        </is>
      </c>
      <c r="I546" s="290">
        <f>IF(RawDataGenPO[[#This Row],[PO No.]]="","",RawDataGenPO[[#This Row],[DMY Create PR]]+7)</f>
        <v/>
      </c>
      <c r="J546" s="290" t="n"/>
      <c r="K546" s="20">
        <f>IF(RawDataGenPO[[#This Row],[PO No.]]="","",10)</f>
        <v/>
      </c>
      <c r="L546" s="5" t="inlineStr">
        <is>
          <t>SFST81000050</t>
        </is>
      </c>
      <c r="M546" s="7" t="inlineStr">
        <is>
          <t>Water plant</t>
        </is>
      </c>
      <c r="N546" s="7" t="inlineStr">
        <is>
          <t>RO Unit</t>
        </is>
      </c>
      <c r="O546" s="11" t="n">
        <v>1</v>
      </c>
      <c r="P546" s="10" t="inlineStr">
        <is>
          <t>DPD no.1 "Lovibond" 511052BT 500 Tablets
(1 Box/500 Pcs)</t>
        </is>
      </c>
      <c r="Q546" s="277" t="n">
        <v>4</v>
      </c>
      <c r="R546" s="5" t="inlineStr">
        <is>
          <t>PCS.</t>
        </is>
      </c>
      <c r="S546" s="292">
        <f>RawDataGenPO[[#This Row],[Total price]]/RawDataGenPO[[#This Row],[Qty'']]</f>
        <v/>
      </c>
      <c r="T546" s="278" t="n">
        <v>5000</v>
      </c>
      <c r="U546" s="291" t="n"/>
      <c r="V546" s="7" t="inlineStr">
        <is>
          <t>V1000210 - U.P. MARKETING GENERAL SUPPLY CO., LTD.</t>
        </is>
      </c>
      <c r="W546" s="5" t="inlineStr">
        <is>
          <t>Recive bill and GRN already</t>
        </is>
      </c>
      <c r="X546" s="5" t="n"/>
      <c r="Y546" s="3" t="n">
        <v>45590</v>
      </c>
      <c r="Z546" s="3" t="n"/>
      <c r="AA546" s="17">
        <f>IF(RawDataGenPO[[#This Row],[Date Gen PO]]="","",RawDataGenPO[[#This Row],[Date recive bill]]-RawDataGenPO[[#This Row],[Date Gen PO]])</f>
        <v/>
      </c>
      <c r="AB546" s="16">
        <f>IF(RawDataGenPO[[#This Row],[GRN-PO date]]&gt;RawDataGenPO[[#This Row],[Lead time delivery (day)]],"over deliverry","Ontime")</f>
        <v/>
      </c>
      <c r="AC546" s="22" t="inlineStr">
        <is>
          <t xml:space="preserve"> </t>
        </is>
      </c>
    </row>
    <row r="547" ht="15" customFormat="1" customHeight="1" s="125">
      <c r="A547" s="5">
        <f>ROW()-ROW(RawDataGenPO[[#Headers],[No.]])</f>
        <v/>
      </c>
      <c r="B547" s="7" t="inlineStr">
        <is>
          <t>CAPEX  (Budget)</t>
        </is>
      </c>
      <c r="C547" s="275" t="n">
        <v>45583</v>
      </c>
      <c r="D547" s="276" t="n"/>
      <c r="E547" s="276" t="n"/>
      <c r="F547" s="275" t="n">
        <v>45583</v>
      </c>
      <c r="G547" s="5" t="inlineStr">
        <is>
          <t>PR2425-03979</t>
        </is>
      </c>
      <c r="H547" s="5" t="inlineStr">
        <is>
          <t>PO2425-04370</t>
        </is>
      </c>
      <c r="I547" s="290">
        <f>IF(RawDataGenPO[[#This Row],[PO No.]]="","",RawDataGenPO[[#This Row],[DMY Create PR]]+7)</f>
        <v/>
      </c>
      <c r="J547" s="290" t="n"/>
      <c r="K547" s="20">
        <f>IF(RawDataGenPO[[#This Row],[PO No.]]="","",10)</f>
        <v/>
      </c>
      <c r="L547" s="5" t="inlineStr">
        <is>
          <t>SFST81000050</t>
        </is>
      </c>
      <c r="M547" s="7" t="inlineStr">
        <is>
          <t>Tool and Equipment PD M/C</t>
        </is>
      </c>
      <c r="N547" s="7" t="inlineStr">
        <is>
          <t>Electrical jobs</t>
        </is>
      </c>
      <c r="O547" s="11" t="n">
        <v>2</v>
      </c>
      <c r="P547" s="10" t="inlineStr">
        <is>
          <t>"YAZAKI" electrical cableVCT-G 2x2.5 Sq.mm (length100m/roll)</t>
        </is>
      </c>
      <c r="Q547" s="277" t="n">
        <v>1</v>
      </c>
      <c r="R547" s="5" t="inlineStr">
        <is>
          <t>roll</t>
        </is>
      </c>
      <c r="S547" s="292">
        <f>RawDataGenPO[[#This Row],[Total price]]/RawDataGenPO[[#This Row],[Qty'']]</f>
        <v/>
      </c>
      <c r="T547" s="278" t="n">
        <v>7000</v>
      </c>
      <c r="U547" s="291" t="n"/>
      <c r="V547" s="7" t="inlineStr">
        <is>
          <t>V1000276 - SN. ELECTRIC AND SUPPLY CO., LTD.</t>
        </is>
      </c>
      <c r="W547" s="5" t="inlineStr">
        <is>
          <t>Recive bill and GRN already</t>
        </is>
      </c>
      <c r="X547" s="5" t="n"/>
      <c r="Y547" s="3" t="n">
        <v>45590</v>
      </c>
      <c r="Z547" s="3" t="n"/>
      <c r="AA547" s="17">
        <f>IF(RawDataGenPO[[#This Row],[Date Gen PO]]="","",RawDataGenPO[[#This Row],[Date recive bill]]-RawDataGenPO[[#This Row],[Date Gen PO]])</f>
        <v/>
      </c>
      <c r="AB547" s="16">
        <f>IF(RawDataGenPO[[#This Row],[GRN-PO date]]&gt;RawDataGenPO[[#This Row],[Lead time delivery (day)]],"over deliverry","Ontime")</f>
        <v/>
      </c>
      <c r="AC547" s="22" t="n"/>
    </row>
    <row r="548" ht="15" customFormat="1" customHeight="1" s="125">
      <c r="A548" s="5">
        <f>ROW()-ROW(RawDataGenPO[[#Headers],[No.]])</f>
        <v/>
      </c>
      <c r="B548" s="7" t="inlineStr">
        <is>
          <t>CAPEX  (Budget)</t>
        </is>
      </c>
      <c r="C548" s="275" t="n">
        <v>45583</v>
      </c>
      <c r="D548" s="276" t="n"/>
      <c r="E548" s="276" t="n"/>
      <c r="F548" s="275" t="n">
        <v>45583</v>
      </c>
      <c r="G548" s="5" t="inlineStr">
        <is>
          <t>PR2425-03979</t>
        </is>
      </c>
      <c r="H548" s="5" t="inlineStr">
        <is>
          <t>PO2425-04370</t>
        </is>
      </c>
      <c r="I548" s="290">
        <f>IF(RawDataGenPO[[#This Row],[PO No.]]="","",RawDataGenPO[[#This Row],[DMY Create PR]]+7)</f>
        <v/>
      </c>
      <c r="J548" s="290" t="n"/>
      <c r="K548" s="20">
        <f>IF(RawDataGenPO[[#This Row],[PO No.]]="","",10)</f>
        <v/>
      </c>
      <c r="L548" s="5" t="inlineStr">
        <is>
          <t>SFST81000050</t>
        </is>
      </c>
      <c r="M548" s="7" t="inlineStr">
        <is>
          <t>Tool and Equipment PD M/C</t>
        </is>
      </c>
      <c r="N548" s="7" t="inlineStr">
        <is>
          <t>Electrical jobs</t>
        </is>
      </c>
      <c r="O548" s="11" t="n">
        <v>3</v>
      </c>
      <c r="P548" s="10" t="inlineStr">
        <is>
          <t>"YAZAKI" electrical cableVCT-G 4x6 Sq.mm (length100m/roll)</t>
        </is>
      </c>
      <c r="Q548" s="277" t="n">
        <v>1</v>
      </c>
      <c r="R548" s="5" t="inlineStr">
        <is>
          <t>roll</t>
        </is>
      </c>
      <c r="S548" s="292">
        <f>RawDataGenPO[[#This Row],[Total price]]/RawDataGenPO[[#This Row],[Qty'']]</f>
        <v/>
      </c>
      <c r="T548" s="278" t="n">
        <v>26500</v>
      </c>
      <c r="U548" s="291" t="n"/>
      <c r="V548" s="7" t="inlineStr">
        <is>
          <t>V1000276 - SN. ELECTRIC AND SUPPLY CO., LTD.</t>
        </is>
      </c>
      <c r="W548" s="5" t="inlineStr">
        <is>
          <t>Recive bill and GRN already</t>
        </is>
      </c>
      <c r="X548" s="5" t="n"/>
      <c r="Y548" s="3" t="n">
        <v>45590</v>
      </c>
      <c r="Z548" s="3" t="n"/>
      <c r="AA548" s="17">
        <f>IF(RawDataGenPO[[#This Row],[Date Gen PO]]="","",RawDataGenPO[[#This Row],[Date recive bill]]-RawDataGenPO[[#This Row],[Date Gen PO]])</f>
        <v/>
      </c>
      <c r="AB548" s="16">
        <f>IF(RawDataGenPO[[#This Row],[GRN-PO date]]&gt;RawDataGenPO[[#This Row],[Lead time delivery (day)]],"over deliverry","Ontime")</f>
        <v/>
      </c>
      <c r="AC548" s="22" t="n"/>
    </row>
    <row r="549" ht="30" customFormat="1" customHeight="1" s="125">
      <c r="A549" s="5">
        <f>ROW()-ROW(RawDataGenPO[[#Headers],[No.]])</f>
        <v/>
      </c>
      <c r="B549" s="7" t="inlineStr">
        <is>
          <t>CAPEX  (Budget)</t>
        </is>
      </c>
      <c r="C549" s="275" t="n">
        <v>45581</v>
      </c>
      <c r="D549" s="276" t="n"/>
      <c r="E549" s="276" t="n"/>
      <c r="F549" s="275" t="n">
        <v>45581</v>
      </c>
      <c r="G549" s="5" t="inlineStr">
        <is>
          <t>PR2425-03909</t>
        </is>
      </c>
      <c r="H549" s="5" t="inlineStr">
        <is>
          <t>PO2425-04398</t>
        </is>
      </c>
      <c r="I549" s="290">
        <f>IF(RawDataGenPO[[#This Row],[PO No.]]="","",RawDataGenPO[[#This Row],[DMY Create PR]]+7)</f>
        <v/>
      </c>
      <c r="J549" s="290" t="n"/>
      <c r="K549" s="20" t="n">
        <v>50</v>
      </c>
      <c r="L549" s="5" t="inlineStr">
        <is>
          <t>SFST81000087</t>
        </is>
      </c>
      <c r="M549" s="7" t="inlineStr">
        <is>
          <t>Safety equipment</t>
        </is>
      </c>
      <c r="N549" s="7" t="inlineStr">
        <is>
          <t>Inspect cost</t>
        </is>
      </c>
      <c r="O549" s="11" t="n">
        <v>1</v>
      </c>
      <c r="P549" s="10" t="inlineStr">
        <is>
          <t>Instructor fee for basic fire-fighting training with certificate (1 day)
- basic fire-fighting training equipment fee</t>
        </is>
      </c>
      <c r="Q549" s="277" t="n">
        <v>1</v>
      </c>
      <c r="R549" s="5" t="inlineStr">
        <is>
          <t>PCS.</t>
        </is>
      </c>
      <c r="S549" s="292">
        <f>RawDataGenPO[[#This Row],[Total price]]/RawDataGenPO[[#This Row],[Qty'']]</f>
        <v/>
      </c>
      <c r="T549" s="278" t="n">
        <v>8000</v>
      </c>
      <c r="U549" s="291" t="n"/>
      <c r="V549" s="7" t="inlineStr">
        <is>
          <t>V1000689 - KHLONGSA FIRE CO., LTD.</t>
        </is>
      </c>
      <c r="W549" s="5" t="inlineStr">
        <is>
          <t>Recive bill and GRN already</t>
        </is>
      </c>
      <c r="X549" s="5" t="n"/>
      <c r="Y549" s="3" t="n">
        <v>45628</v>
      </c>
      <c r="Z549" s="3" t="n"/>
      <c r="AA549" s="17">
        <f>IF(RawDataGenPO[[#This Row],[Date Gen PO]]="","",RawDataGenPO[[#This Row],[Date recive bill]]-RawDataGenPO[[#This Row],[Date Gen PO]])</f>
        <v/>
      </c>
      <c r="AB549" s="16">
        <f>IF(RawDataGenPO[[#This Row],[GRN-PO date]]&gt;RawDataGenPO[[#This Row],[Lead time delivery (day)]],"over deliverry","Ontime")</f>
        <v/>
      </c>
      <c r="AC549" s="22" t="n"/>
    </row>
    <row r="550" ht="15" customFormat="1" customHeight="1" s="125">
      <c r="A550" s="5">
        <f>ROW()-ROW(RawDataGenPO[[#Headers],[No.]])</f>
        <v/>
      </c>
      <c r="B550" s="7" t="inlineStr">
        <is>
          <t>CAPEX  (Budget)</t>
        </is>
      </c>
      <c r="C550" s="275" t="n">
        <v>45581</v>
      </c>
      <c r="D550" s="276" t="n"/>
      <c r="E550" s="276" t="n"/>
      <c r="F550" s="275" t="n">
        <v>45581</v>
      </c>
      <c r="G550" s="5" t="inlineStr">
        <is>
          <t>PR2425-03909</t>
        </is>
      </c>
      <c r="H550" s="5" t="inlineStr">
        <is>
          <t>PO2425-04398</t>
        </is>
      </c>
      <c r="I550" s="290">
        <f>IF(RawDataGenPO[[#This Row],[PO No.]]="","",RawDataGenPO[[#This Row],[DMY Create PR]]+7)</f>
        <v/>
      </c>
      <c r="J550" s="290" t="n"/>
      <c r="K550" s="20" t="n">
        <v>50</v>
      </c>
      <c r="L550" s="5" t="inlineStr">
        <is>
          <t>SFST81000087</t>
        </is>
      </c>
      <c r="M550" s="7" t="inlineStr">
        <is>
          <t>Safety equipment</t>
        </is>
      </c>
      <c r="N550" s="7" t="inlineStr">
        <is>
          <t>Inspect cost</t>
        </is>
      </c>
      <c r="O550" s="11" t="n">
        <v>2</v>
      </c>
      <c r="P550" s="10" t="inlineStr">
        <is>
          <t>Instructor fee for fire evacuation drill (morning shift, night shift)</t>
        </is>
      </c>
      <c r="Q550" s="277" t="n">
        <v>2</v>
      </c>
      <c r="R550" s="5" t="inlineStr">
        <is>
          <t>PCS.</t>
        </is>
      </c>
      <c r="S550" s="292">
        <f>RawDataGenPO[[#This Row],[Total price]]/RawDataGenPO[[#This Row],[Qty'']]</f>
        <v/>
      </c>
      <c r="T550" s="278" t="n">
        <v>8000</v>
      </c>
      <c r="U550" s="291" t="n"/>
      <c r="V550" s="7" t="inlineStr">
        <is>
          <t>V1000689 - KHLONGSA FIRE CO., LTD.</t>
        </is>
      </c>
      <c r="W550" s="5" t="inlineStr">
        <is>
          <t>Recive bill and GRN already</t>
        </is>
      </c>
      <c r="X550" s="5" t="n"/>
      <c r="Y550" s="3" t="n">
        <v>45628</v>
      </c>
      <c r="Z550" s="3" t="n"/>
      <c r="AA550" s="17">
        <f>IF(RawDataGenPO[[#This Row],[Date Gen PO]]="","",RawDataGenPO[[#This Row],[Date recive bill]]-RawDataGenPO[[#This Row],[Date Gen PO]])</f>
        <v/>
      </c>
      <c r="AB550" s="16">
        <f>IF(RawDataGenPO[[#This Row],[GRN-PO date]]&gt;RawDataGenPO[[#This Row],[Lead time delivery (day)]],"over deliverry","Ontime")</f>
        <v/>
      </c>
      <c r="AC550" s="22" t="n"/>
    </row>
    <row r="551" ht="15" customFormat="1" customHeight="1" s="125">
      <c r="A551" s="5">
        <f>ROW()-ROW(RawDataGenPO[[#Headers],[No.]])</f>
        <v/>
      </c>
      <c r="B551" s="7" t="inlineStr">
        <is>
          <t>CAPEX  (Budget)</t>
        </is>
      </c>
      <c r="C551" s="275" t="n">
        <v>45581</v>
      </c>
      <c r="D551" s="276" t="n"/>
      <c r="E551" s="276" t="n"/>
      <c r="F551" s="275" t="n">
        <v>45581</v>
      </c>
      <c r="G551" s="5" t="inlineStr">
        <is>
          <t>PR2425-03909</t>
        </is>
      </c>
      <c r="H551" s="5" t="inlineStr">
        <is>
          <t>PO2425-04398</t>
        </is>
      </c>
      <c r="I551" s="290">
        <f>IF(RawDataGenPO[[#This Row],[PO No.]]="","",RawDataGenPO[[#This Row],[DMY Create PR]]+7)</f>
        <v/>
      </c>
      <c r="J551" s="290" t="n"/>
      <c r="K551" s="20" t="n">
        <v>50</v>
      </c>
      <c r="L551" s="5" t="inlineStr">
        <is>
          <t>SFST81000087</t>
        </is>
      </c>
      <c r="M551" s="7" t="inlineStr">
        <is>
          <t>Safety equipment</t>
        </is>
      </c>
      <c r="N551" s="7" t="inlineStr">
        <is>
          <t>Inspect cost</t>
        </is>
      </c>
      <c r="O551" s="11" t="n">
        <v>3</v>
      </c>
      <c r="P551" s="10" t="inlineStr">
        <is>
          <t>Fire truck</t>
        </is>
      </c>
      <c r="Q551" s="277" t="n">
        <v>1</v>
      </c>
      <c r="R551" s="5" t="inlineStr">
        <is>
          <t>PCS.</t>
        </is>
      </c>
      <c r="S551" s="292">
        <f>RawDataGenPO[[#This Row],[Total price]]/RawDataGenPO[[#This Row],[Qty'']]</f>
        <v/>
      </c>
      <c r="T551" s="278" t="n">
        <v>3000</v>
      </c>
      <c r="U551" s="291" t="n"/>
      <c r="V551" s="7" t="inlineStr">
        <is>
          <t>V1000689 - KHLONGSA FIRE CO., LTD.</t>
        </is>
      </c>
      <c r="W551" s="5" t="inlineStr">
        <is>
          <t>Recive bill and GRN already</t>
        </is>
      </c>
      <c r="X551" s="5" t="n"/>
      <c r="Y551" s="3" t="n">
        <v>45628</v>
      </c>
      <c r="Z551" s="3" t="n"/>
      <c r="AA551" s="17">
        <f>IF(RawDataGenPO[[#This Row],[Date Gen PO]]="","",RawDataGenPO[[#This Row],[Date recive bill]]-RawDataGenPO[[#This Row],[Date Gen PO]])</f>
        <v/>
      </c>
      <c r="AB551" s="16">
        <f>IF(RawDataGenPO[[#This Row],[GRN-PO date]]&gt;RawDataGenPO[[#This Row],[Lead time delivery (day)]],"over deliverry","Ontime")</f>
        <v/>
      </c>
      <c r="AC551" s="22" t="n"/>
    </row>
    <row r="552" ht="15" customFormat="1" customHeight="1" s="125">
      <c r="A552" s="5">
        <f>ROW()-ROW(RawDataGenPO[[#Headers],[No.]])</f>
        <v/>
      </c>
      <c r="B552" s="7" t="inlineStr">
        <is>
          <t>CAPEX  (Budget)</t>
        </is>
      </c>
      <c r="C552" s="275" t="n">
        <v>45581</v>
      </c>
      <c r="D552" s="276" t="n"/>
      <c r="E552" s="276" t="n"/>
      <c r="F552" s="275" t="n">
        <v>45581</v>
      </c>
      <c r="G552" s="5" t="inlineStr">
        <is>
          <t>PR2425-03909</t>
        </is>
      </c>
      <c r="H552" s="5" t="inlineStr">
        <is>
          <t>PO2425-04398</t>
        </is>
      </c>
      <c r="I552" s="290">
        <f>IF(RawDataGenPO[[#This Row],[PO No.]]="","",RawDataGenPO[[#This Row],[DMY Create PR]]+7)</f>
        <v/>
      </c>
      <c r="J552" s="290" t="n"/>
      <c r="K552" s="20" t="n">
        <v>50</v>
      </c>
      <c r="L552" s="5" t="inlineStr">
        <is>
          <t>SFST81000087</t>
        </is>
      </c>
      <c r="M552" s="7" t="inlineStr">
        <is>
          <t>Safety equipment</t>
        </is>
      </c>
      <c r="N552" s="7" t="inlineStr">
        <is>
          <t>Inspect cost</t>
        </is>
      </c>
      <c r="O552" s="11" t="n">
        <v>4</v>
      </c>
      <c r="P552" s="10" t="inlineStr">
        <is>
          <t>Rescue ambulance</t>
        </is>
      </c>
      <c r="Q552" s="277" t="n">
        <v>1</v>
      </c>
      <c r="R552" s="5" t="inlineStr">
        <is>
          <t>PCS.</t>
        </is>
      </c>
      <c r="S552" s="292">
        <f>RawDataGenPO[[#This Row],[Total price]]/RawDataGenPO[[#This Row],[Qty'']]</f>
        <v/>
      </c>
      <c r="T552" s="278" t="n">
        <v>3000</v>
      </c>
      <c r="U552" s="291" t="n"/>
      <c r="V552" s="7" t="inlineStr">
        <is>
          <t>V1000689 - KHLONGSA FIRE CO., LTD.</t>
        </is>
      </c>
      <c r="W552" s="5" t="inlineStr">
        <is>
          <t>Recive bill and GRN already</t>
        </is>
      </c>
      <c r="X552" s="5" t="n"/>
      <c r="Y552" s="3" t="n">
        <v>45628</v>
      </c>
      <c r="Z552" s="3" t="n"/>
      <c r="AA552" s="17">
        <f>IF(RawDataGenPO[[#This Row],[Date Gen PO]]="","",RawDataGenPO[[#This Row],[Date recive bill]]-RawDataGenPO[[#This Row],[Date Gen PO]])</f>
        <v/>
      </c>
      <c r="AB552" s="16">
        <f>IF(RawDataGenPO[[#This Row],[GRN-PO date]]&gt;RawDataGenPO[[#This Row],[Lead time delivery (day)]],"over deliverry","Ontime")</f>
        <v/>
      </c>
      <c r="AC552" s="22" t="n"/>
    </row>
    <row r="553" ht="30" customFormat="1" customHeight="1" s="125">
      <c r="A553" s="5">
        <f>ROW()-ROW(RawDataGenPO[[#Headers],[No.]])</f>
        <v/>
      </c>
      <c r="B553" s="7" t="inlineStr">
        <is>
          <t>CAPEX  (Budget)</t>
        </is>
      </c>
      <c r="C553" s="275" t="n">
        <v>45581</v>
      </c>
      <c r="D553" s="276" t="n"/>
      <c r="E553" s="276" t="n"/>
      <c r="F553" s="275" t="n">
        <v>45581</v>
      </c>
      <c r="G553" s="5" t="inlineStr">
        <is>
          <t>PR2425-03907</t>
        </is>
      </c>
      <c r="H553" s="5" t="inlineStr">
        <is>
          <t>PO2425-04399</t>
        </is>
      </c>
      <c r="I553" s="290">
        <f>IF(RawDataGenPO[[#This Row],[PO No.]]="","",RawDataGenPO[[#This Row],[DMY Create PR]]+7)</f>
        <v/>
      </c>
      <c r="J553" s="290" t="n"/>
      <c r="K553" s="20" t="n">
        <v>30</v>
      </c>
      <c r="L553" s="5" t="inlineStr">
        <is>
          <t>SFST81000050</t>
        </is>
      </c>
      <c r="M553" s="7" t="inlineStr">
        <is>
          <t>Utility Jobs  (Boiler-Air compress-Transformer-LPG)</t>
        </is>
      </c>
      <c r="N553" s="7" t="inlineStr">
        <is>
          <t>Utility jobs</t>
        </is>
      </c>
      <c r="O553" s="11" t="n">
        <v>1</v>
      </c>
      <c r="P553" s="10" t="inlineStr">
        <is>
          <t>FIDA" GLOBE VALVE GLAND Packing Con PN16-40
- Model FD-31 Size: 3"</t>
        </is>
      </c>
      <c r="Q553" s="277" t="n">
        <v>4</v>
      </c>
      <c r="R553" s="5" t="inlineStr">
        <is>
          <t>PCS.</t>
        </is>
      </c>
      <c r="S553" s="292">
        <f>RawDataGenPO[[#This Row],[Total price]]/RawDataGenPO[[#This Row],[Qty'']]</f>
        <v/>
      </c>
      <c r="T553" s="278" t="n">
        <v>28800</v>
      </c>
      <c r="U553" s="291" t="n"/>
      <c r="V553" s="7" t="inlineStr">
        <is>
          <t>V1000682 - Ratchanee Kamyuang</t>
        </is>
      </c>
      <c r="W553" s="5" t="inlineStr">
        <is>
          <t>Recive bill and GRN already</t>
        </is>
      </c>
      <c r="X553" s="5" t="n"/>
      <c r="Y553" s="3" t="n">
        <v>45615</v>
      </c>
      <c r="Z553" s="3" t="n"/>
      <c r="AA553" s="17">
        <f>IF(RawDataGenPO[[#This Row],[Date Gen PO]]="","",RawDataGenPO[[#This Row],[Date recive bill]]-RawDataGenPO[[#This Row],[Date Gen PO]])</f>
        <v/>
      </c>
      <c r="AB553" s="16">
        <f>IF(RawDataGenPO[[#This Row],[GRN-PO date]]&gt;RawDataGenPO[[#This Row],[Lead time delivery (day)]],"over deliverry","Ontime")</f>
        <v/>
      </c>
      <c r="AC553" s="22" t="n"/>
    </row>
    <row r="554" ht="30" customFormat="1" customHeight="1" s="125">
      <c r="A554" s="5">
        <f>ROW()-ROW(RawDataGenPO[[#Headers],[No.]])</f>
        <v/>
      </c>
      <c r="B554" s="7" t="inlineStr">
        <is>
          <t>CAPEX  (Budget)</t>
        </is>
      </c>
      <c r="C554" s="275" t="n">
        <v>45581</v>
      </c>
      <c r="D554" s="276" t="n"/>
      <c r="E554" s="276" t="n"/>
      <c r="F554" s="275" t="n">
        <v>45581</v>
      </c>
      <c r="G554" s="5" t="inlineStr">
        <is>
          <t>PR2425-03907</t>
        </is>
      </c>
      <c r="H554" s="5" t="inlineStr">
        <is>
          <t>PO2425-04399</t>
        </is>
      </c>
      <c r="I554" s="290">
        <f>IF(RawDataGenPO[[#This Row],[PO No.]]="","",RawDataGenPO[[#This Row],[DMY Create PR]]+7)</f>
        <v/>
      </c>
      <c r="J554" s="290" t="n"/>
      <c r="K554" s="20" t="n">
        <v>30</v>
      </c>
      <c r="L554" s="5" t="inlineStr">
        <is>
          <t>SFST81000050</t>
        </is>
      </c>
      <c r="M554" s="7" t="inlineStr">
        <is>
          <t>Utility Jobs  (Boiler-Air compress-Transformer-LPG)</t>
        </is>
      </c>
      <c r="N554" s="7" t="inlineStr">
        <is>
          <t>Utility jobs</t>
        </is>
      </c>
      <c r="O554" s="11" t="n">
        <v>2</v>
      </c>
      <c r="P554" s="10" t="inlineStr">
        <is>
          <t>FIDA" GLOBE VALVE GLAND Packing Con PN16-40
- Model FD-31 Size: 1-1/2"</t>
        </is>
      </c>
      <c r="Q554" s="277" t="n">
        <v>2</v>
      </c>
      <c r="R554" s="5" t="inlineStr">
        <is>
          <t>PCS.</t>
        </is>
      </c>
      <c r="S554" s="292">
        <f>RawDataGenPO[[#This Row],[Total price]]/RawDataGenPO[[#This Row],[Qty'']]</f>
        <v/>
      </c>
      <c r="T554" s="278" t="n">
        <v>6600</v>
      </c>
      <c r="U554" s="291" t="n"/>
      <c r="V554" s="7" t="inlineStr">
        <is>
          <t>V1000682 - Ratchanee Kamyuang</t>
        </is>
      </c>
      <c r="W554" s="5" t="inlineStr">
        <is>
          <t>Recive bill and GRN already</t>
        </is>
      </c>
      <c r="X554" s="5" t="n"/>
      <c r="Y554" s="3" t="n">
        <v>45615</v>
      </c>
      <c r="Z554" s="3" t="n"/>
      <c r="AA554" s="17">
        <f>IF(RawDataGenPO[[#This Row],[Date Gen PO]]="","",RawDataGenPO[[#This Row],[Date recive bill]]-RawDataGenPO[[#This Row],[Date Gen PO]])</f>
        <v/>
      </c>
      <c r="AB554" s="16">
        <f>IF(RawDataGenPO[[#This Row],[GRN-PO date]]&gt;RawDataGenPO[[#This Row],[Lead time delivery (day)]],"over deliverry","Ontime")</f>
        <v/>
      </c>
      <c r="AC554" s="22" t="n"/>
    </row>
    <row r="555" ht="15" customFormat="1" customHeight="1" s="125">
      <c r="A555" s="5">
        <f>ROW()-ROW(RawDataGenPO[[#Headers],[No.]])</f>
        <v/>
      </c>
      <c r="B555" s="7" t="inlineStr">
        <is>
          <t>CAPEX  (Budget)</t>
        </is>
      </c>
      <c r="C555" s="275" t="n">
        <v>45581</v>
      </c>
      <c r="D555" s="276" t="n"/>
      <c r="E555" s="276" t="n"/>
      <c r="F555" s="275" t="n">
        <v>45581</v>
      </c>
      <c r="G555" s="5" t="inlineStr">
        <is>
          <t>PR2425-03900</t>
        </is>
      </c>
      <c r="H555" s="5" t="inlineStr">
        <is>
          <t>PO2425-04436</t>
        </is>
      </c>
      <c r="I555" s="290">
        <f>IF(RawDataGenPO[[#This Row],[PO No.]]="","",RawDataGenPO[[#This Row],[DMY Create PR]]+7)</f>
        <v/>
      </c>
      <c r="J555" s="290" t="n"/>
      <c r="K555" s="20" t="n">
        <v>30</v>
      </c>
      <c r="L555" s="5" t="inlineStr">
        <is>
          <t>SFST81000048</t>
        </is>
      </c>
      <c r="M555" s="7" t="inlineStr">
        <is>
          <t>Electrical system out  PD area</t>
        </is>
      </c>
      <c r="N555" s="7" t="inlineStr">
        <is>
          <t>Electrical jobs</t>
        </is>
      </c>
      <c r="O555" s="11" t="n">
        <v>1</v>
      </c>
      <c r="P555" s="10" t="inlineStr">
        <is>
          <t>Clean insulators repair Tie wire 1.2.4</t>
        </is>
      </c>
      <c r="Q555" s="277" t="n">
        <v>1</v>
      </c>
      <c r="R555" s="5" t="inlineStr">
        <is>
          <t>JOB</t>
        </is>
      </c>
      <c r="S555" s="292">
        <f>RawDataGenPO[[#This Row],[Total price]]/RawDataGenPO[[#This Row],[Qty'']]</f>
        <v/>
      </c>
      <c r="T555" s="278" t="n">
        <v>5000</v>
      </c>
      <c r="U555" s="291" t="n"/>
      <c r="V555" s="7" t="inlineStr">
        <is>
          <t>V1000681 - THAI PATANAKIT TRANSFORMER COMPANY LIMITED</t>
        </is>
      </c>
      <c r="W555" s="5" t="inlineStr">
        <is>
          <t>Recive bill and GRN already</t>
        </is>
      </c>
      <c r="X555" s="5" t="n"/>
      <c r="Y555" s="3" t="n">
        <v>45601</v>
      </c>
      <c r="Z555" s="3" t="n"/>
      <c r="AA555" s="17">
        <f>IF(RawDataGenPO[[#This Row],[Date Gen PO]]="","",RawDataGenPO[[#This Row],[Date recive bill]]-RawDataGenPO[[#This Row],[Date Gen PO]])</f>
        <v/>
      </c>
      <c r="AB555" s="16">
        <f>IF(RawDataGenPO[[#This Row],[GRN-PO date]]&gt;RawDataGenPO[[#This Row],[Lead time delivery (day)]],"over deliverry","Ontime")</f>
        <v/>
      </c>
      <c r="AC555" s="22" t="n"/>
    </row>
    <row r="556" ht="15" customFormat="1" customHeight="1" s="125">
      <c r="A556" s="5">
        <f>ROW()-ROW(RawDataGenPO[[#Headers],[No.]])</f>
        <v/>
      </c>
      <c r="B556" s="7" t="inlineStr">
        <is>
          <t>CAPEX  (Budget)</t>
        </is>
      </c>
      <c r="C556" s="275" t="n">
        <v>45581</v>
      </c>
      <c r="D556" s="276" t="n"/>
      <c r="E556" s="276" t="n"/>
      <c r="F556" s="275" t="n">
        <v>45581</v>
      </c>
      <c r="G556" s="5" t="inlineStr">
        <is>
          <t>PR2425-03900</t>
        </is>
      </c>
      <c r="H556" s="5" t="inlineStr">
        <is>
          <t>PO2425-04436</t>
        </is>
      </c>
      <c r="I556" s="290">
        <f>IF(RawDataGenPO[[#This Row],[PO No.]]="","",RawDataGenPO[[#This Row],[DMY Create PR]]+7)</f>
        <v/>
      </c>
      <c r="J556" s="290" t="n"/>
      <c r="K556" s="20" t="n">
        <v>30</v>
      </c>
      <c r="L556" s="5" t="inlineStr">
        <is>
          <t>SFST81000048</t>
        </is>
      </c>
      <c r="M556" s="7" t="inlineStr">
        <is>
          <t>Electrical system out  PD area</t>
        </is>
      </c>
      <c r="N556" s="7" t="inlineStr">
        <is>
          <t>Electrical jobs</t>
        </is>
      </c>
      <c r="O556" s="11" t="n">
        <v>2</v>
      </c>
      <c r="P556" s="10" t="inlineStr">
        <is>
          <t>replaceinsulator ANSI 57-21. 24 kv.</t>
        </is>
      </c>
      <c r="Q556" s="277" t="n">
        <v>3</v>
      </c>
      <c r="R556" s="5" t="inlineStr">
        <is>
          <t>JOB</t>
        </is>
      </c>
      <c r="S556" s="292">
        <f>RawDataGenPO[[#This Row],[Total price]]/RawDataGenPO[[#This Row],[Qty'']]</f>
        <v/>
      </c>
      <c r="T556" s="278" t="n">
        <v>4500</v>
      </c>
      <c r="U556" s="291" t="n"/>
      <c r="V556" s="7" t="inlineStr">
        <is>
          <t>V1000681 - THAI PATANAKIT TRANSFORMER COMPANY LIMITED</t>
        </is>
      </c>
      <c r="W556" s="5" t="inlineStr">
        <is>
          <t>Recive bill and GRN already</t>
        </is>
      </c>
      <c r="X556" s="5" t="n"/>
      <c r="Y556" s="3" t="n">
        <v>45601</v>
      </c>
      <c r="Z556" s="3" t="n"/>
      <c r="AA556" s="17">
        <f>IF(RawDataGenPO[[#This Row],[Date Gen PO]]="","",RawDataGenPO[[#This Row],[Date recive bill]]-RawDataGenPO[[#This Row],[Date Gen PO]])</f>
        <v/>
      </c>
      <c r="AB556" s="16">
        <f>IF(RawDataGenPO[[#This Row],[GRN-PO date]]&gt;RawDataGenPO[[#This Row],[Lead time delivery (day)]],"over deliverry","Ontime")</f>
        <v/>
      </c>
      <c r="AC556" s="22" t="n"/>
    </row>
    <row r="557" ht="15" customFormat="1" customHeight="1" s="125">
      <c r="A557" s="5">
        <f>ROW()-ROW(RawDataGenPO[[#Headers],[No.]])</f>
        <v/>
      </c>
      <c r="B557" s="7" t="inlineStr">
        <is>
          <t>CAPEX  (Budget)</t>
        </is>
      </c>
      <c r="C557" s="275" t="n">
        <v>45581</v>
      </c>
      <c r="D557" s="276" t="n"/>
      <c r="E557" s="276" t="n"/>
      <c r="F557" s="275" t="n">
        <v>45581</v>
      </c>
      <c r="G557" s="5" t="inlineStr">
        <is>
          <t>PR2425-03900</t>
        </is>
      </c>
      <c r="H557" s="5" t="inlineStr">
        <is>
          <t>PO2425-04436</t>
        </is>
      </c>
      <c r="I557" s="290">
        <f>IF(RawDataGenPO[[#This Row],[PO No.]]="","",RawDataGenPO[[#This Row],[DMY Create PR]]+7)</f>
        <v/>
      </c>
      <c r="J557" s="290" t="n"/>
      <c r="K557" s="20" t="n">
        <v>30</v>
      </c>
      <c r="L557" s="5" t="inlineStr">
        <is>
          <t>SFST81000048</t>
        </is>
      </c>
      <c r="M557" s="7" t="inlineStr">
        <is>
          <t>Electrical system out  PD area</t>
        </is>
      </c>
      <c r="N557" s="7" t="inlineStr">
        <is>
          <t>Electrical jobs</t>
        </is>
      </c>
      <c r="O557" s="11" t="n">
        <v>3</v>
      </c>
      <c r="P557" s="10" t="inlineStr">
        <is>
          <t>Service charge</t>
        </is>
      </c>
      <c r="Q557" s="277" t="n">
        <v>1</v>
      </c>
      <c r="R557" s="5" t="inlineStr">
        <is>
          <t>JOB</t>
        </is>
      </c>
      <c r="S557" s="292">
        <f>RawDataGenPO[[#This Row],[Total price]]/RawDataGenPO[[#This Row],[Qty'']]</f>
        <v/>
      </c>
      <c r="T557" s="278" t="n">
        <v>8000</v>
      </c>
      <c r="U557" s="291" t="n"/>
      <c r="V557" s="7" t="inlineStr">
        <is>
          <t>V1000681 - THAI PATANAKIT TRANSFORMER COMPANY LIMITED</t>
        </is>
      </c>
      <c r="W557" s="5" t="inlineStr">
        <is>
          <t>Recive bill and GRN already</t>
        </is>
      </c>
      <c r="X557" s="5" t="n"/>
      <c r="Y557" s="3" t="n">
        <v>45601</v>
      </c>
      <c r="Z557" s="3" t="n"/>
      <c r="AA557" s="17">
        <f>IF(RawDataGenPO[[#This Row],[Date Gen PO]]="","",RawDataGenPO[[#This Row],[Date recive bill]]-RawDataGenPO[[#This Row],[Date Gen PO]])</f>
        <v/>
      </c>
      <c r="AB557" s="16">
        <f>IF(RawDataGenPO[[#This Row],[GRN-PO date]]&gt;RawDataGenPO[[#This Row],[Lead time delivery (day)]],"over deliverry","Ontime")</f>
        <v/>
      </c>
      <c r="AC557" s="22" t="n"/>
    </row>
    <row r="558" ht="30" customFormat="1" customHeight="1" s="125">
      <c r="A558" s="5">
        <f>ROW()-ROW(RawDataGenPO[[#Headers],[No.]])</f>
        <v/>
      </c>
      <c r="B558" s="7" t="inlineStr">
        <is>
          <t>CAPEX  (Budget)</t>
        </is>
      </c>
      <c r="C558" s="275" t="n">
        <v>45581</v>
      </c>
      <c r="D558" s="276" t="n"/>
      <c r="E558" s="276" t="n"/>
      <c r="F558" s="275" t="n">
        <v>45581</v>
      </c>
      <c r="G558" s="5" t="inlineStr">
        <is>
          <t>PR2425-03902</t>
        </is>
      </c>
      <c r="H558" s="5" t="inlineStr">
        <is>
          <t xml:space="preserve">PO2425-04438 </t>
        </is>
      </c>
      <c r="I558" s="290">
        <f>IF(RawDataGenPO[[#This Row],[PO No.]]="","",RawDataGenPO[[#This Row],[DMY Create PR]]+7)</f>
        <v/>
      </c>
      <c r="J558" s="290" t="n"/>
      <c r="K558" s="20">
        <f>IF(RawDataGenPO[[#This Row],[PO No.]]="","",10)</f>
        <v/>
      </c>
      <c r="L558" s="5" t="inlineStr">
        <is>
          <t>SFST81000050</t>
        </is>
      </c>
      <c r="M558" s="7" t="inlineStr">
        <is>
          <t>Tool and Equipment PD M/C</t>
        </is>
      </c>
      <c r="N558" s="7" t="inlineStr">
        <is>
          <t>Tool and Equipment</t>
        </is>
      </c>
      <c r="O558" s="11" t="n">
        <v>1</v>
      </c>
      <c r="P558" s="10" t="inlineStr">
        <is>
          <t>Belt 1 PU070 Blue W195 mm x L630 mm
Endless Joint (Part No. 16750000807)</t>
        </is>
      </c>
      <c r="Q558" s="277" t="n">
        <v>3</v>
      </c>
      <c r="R558" s="5" t="inlineStr">
        <is>
          <t>JOB.</t>
        </is>
      </c>
      <c r="S558" s="292">
        <f>RawDataGenPO[[#This Row],[Total price]]/RawDataGenPO[[#This Row],[Qty'']]</f>
        <v/>
      </c>
      <c r="T558" s="278" t="n">
        <v>1950</v>
      </c>
      <c r="U558" s="291" t="n"/>
      <c r="V558" s="7" t="inlineStr">
        <is>
          <t>V1000693 - APN POWER SUPPLY COMPANY LIMITED</t>
        </is>
      </c>
      <c r="W558" s="5" t="inlineStr">
        <is>
          <t>Recive bill and GRN already</t>
        </is>
      </c>
      <c r="X558" s="5" t="n"/>
      <c r="Y558" s="3" t="n">
        <v>45597</v>
      </c>
      <c r="Z558" s="3" t="n"/>
      <c r="AA558" s="17">
        <f>IF(RawDataGenPO[[#This Row],[Date Gen PO]]="","",RawDataGenPO[[#This Row],[Date recive bill]]-RawDataGenPO[[#This Row],[Date Gen PO]])</f>
        <v/>
      </c>
      <c r="AB558" s="16">
        <f>IF(RawDataGenPO[[#This Row],[GRN-PO date]]&gt;RawDataGenPO[[#This Row],[Lead time delivery (day)]],"over deliverry","Ontime")</f>
        <v/>
      </c>
      <c r="AC558" s="22" t="n"/>
    </row>
    <row r="559" ht="30" customFormat="1" customHeight="1" s="125">
      <c r="A559" s="5">
        <f>ROW()-ROW(RawDataGenPO[[#Headers],[No.]])</f>
        <v/>
      </c>
      <c r="B559" s="7" t="inlineStr">
        <is>
          <t>CAPEX  (Budget)</t>
        </is>
      </c>
      <c r="C559" s="275" t="n">
        <v>45581</v>
      </c>
      <c r="D559" s="276" t="n"/>
      <c r="E559" s="276" t="n"/>
      <c r="F559" s="275" t="n">
        <v>45581</v>
      </c>
      <c r="G559" s="5" t="inlineStr">
        <is>
          <t>PR2425-03902</t>
        </is>
      </c>
      <c r="H559" s="5" t="inlineStr">
        <is>
          <t xml:space="preserve">PO2425-04438 </t>
        </is>
      </c>
      <c r="I559" s="290">
        <f>IF(RawDataGenPO[[#This Row],[PO No.]]="","",RawDataGenPO[[#This Row],[DMY Create PR]]+7)</f>
        <v/>
      </c>
      <c r="J559" s="290" t="n"/>
      <c r="K559" s="20">
        <f>IF(RawDataGenPO[[#This Row],[PO No.]]="","",10)</f>
        <v/>
      </c>
      <c r="L559" s="5" t="inlineStr">
        <is>
          <t>SFST81000050</t>
        </is>
      </c>
      <c r="M559" s="7" t="inlineStr">
        <is>
          <t>Tool and Equipment PD M/C</t>
        </is>
      </c>
      <c r="N559" s="7" t="inlineStr">
        <is>
          <t>Tool and Equipment</t>
        </is>
      </c>
      <c r="O559" s="11" t="n">
        <v>2</v>
      </c>
      <c r="P559" s="10" t="inlineStr">
        <is>
          <t>Belt 1 PU070 Blue W195 mm x L630 mm
Endless Joint (Part No. 16750000812)</t>
        </is>
      </c>
      <c r="Q559" s="277" t="n">
        <v>3</v>
      </c>
      <c r="R559" s="5" t="inlineStr">
        <is>
          <t>JOB.</t>
        </is>
      </c>
      <c r="S559" s="292">
        <f>RawDataGenPO[[#This Row],[Total price]]/RawDataGenPO[[#This Row],[Qty'']]</f>
        <v/>
      </c>
      <c r="T559" s="278" t="n">
        <v>1950</v>
      </c>
      <c r="U559" s="291" t="n"/>
      <c r="V559" s="7" t="inlineStr">
        <is>
          <t>V1000693 - APN POWER SUPPLY COMPANY LIMITED</t>
        </is>
      </c>
      <c r="W559" s="5" t="inlineStr">
        <is>
          <t>Recive bill and GRN already</t>
        </is>
      </c>
      <c r="X559" s="5" t="n"/>
      <c r="Y559" s="3" t="n">
        <v>45597</v>
      </c>
      <c r="Z559" s="3" t="n"/>
      <c r="AA559" s="17">
        <f>IF(RawDataGenPO[[#This Row],[Date Gen PO]]="","",RawDataGenPO[[#This Row],[Date recive bill]]-RawDataGenPO[[#This Row],[Date Gen PO]])</f>
        <v/>
      </c>
      <c r="AB559" s="16">
        <f>IF(RawDataGenPO[[#This Row],[GRN-PO date]]&gt;RawDataGenPO[[#This Row],[Lead time delivery (day)]],"over deliverry","Ontime")</f>
        <v/>
      </c>
      <c r="AC559" s="22" t="n"/>
    </row>
    <row r="560" ht="30" customFormat="1" customHeight="1" s="125">
      <c r="A560" s="5">
        <f>ROW()-ROW(RawDataGenPO[[#Headers],[No.]])</f>
        <v/>
      </c>
      <c r="B560" s="7" t="inlineStr">
        <is>
          <t>CAPEX  (Budget)</t>
        </is>
      </c>
      <c r="C560" s="275" t="n">
        <v>45581</v>
      </c>
      <c r="D560" s="276" t="n"/>
      <c r="E560" s="276" t="n"/>
      <c r="F560" s="275" t="n">
        <v>45581</v>
      </c>
      <c r="G560" s="5" t="inlineStr">
        <is>
          <t>PR2425-03902</t>
        </is>
      </c>
      <c r="H560" s="5" t="inlineStr">
        <is>
          <t xml:space="preserve">PO2425-04438 </t>
        </is>
      </c>
      <c r="I560" s="290">
        <f>IF(RawDataGenPO[[#This Row],[PO No.]]="","",RawDataGenPO[[#This Row],[DMY Create PR]]+7)</f>
        <v/>
      </c>
      <c r="J560" s="290" t="n"/>
      <c r="K560" s="20">
        <f>IF(RawDataGenPO[[#This Row],[PO No.]]="","",10)</f>
        <v/>
      </c>
      <c r="L560" s="5" t="inlineStr">
        <is>
          <t>SFST81000050</t>
        </is>
      </c>
      <c r="M560" s="7" t="inlineStr">
        <is>
          <t>Tool and Equipment PD M/C</t>
        </is>
      </c>
      <c r="N560" s="7" t="inlineStr">
        <is>
          <t>Tool and Equipment</t>
        </is>
      </c>
      <c r="O560" s="11" t="n">
        <v>3</v>
      </c>
      <c r="P560" s="10" t="inlineStr">
        <is>
          <t>Belt 1 PU070 Blue W195 mm x L1,230 mm
Endless Joint (Part No. 16750000819)</t>
        </is>
      </c>
      <c r="Q560" s="277" t="n">
        <v>3</v>
      </c>
      <c r="R560" s="5" t="inlineStr">
        <is>
          <t>JOB.</t>
        </is>
      </c>
      <c r="S560" s="292">
        <f>RawDataGenPO[[#This Row],[Total price]]/RawDataGenPO[[#This Row],[Qty'']]</f>
        <v/>
      </c>
      <c r="T560" s="278" t="n">
        <v>2700</v>
      </c>
      <c r="U560" s="291" t="n"/>
      <c r="V560" s="7" t="inlineStr">
        <is>
          <t>V1000693 - APN POWER SUPPLY COMPANY LIMITED</t>
        </is>
      </c>
      <c r="W560" s="5" t="inlineStr">
        <is>
          <t>Recive bill and GRN already</t>
        </is>
      </c>
      <c r="X560" s="5" t="n"/>
      <c r="Y560" s="3" t="n">
        <v>45597</v>
      </c>
      <c r="Z560" s="3" t="n"/>
      <c r="AA560" s="17">
        <f>IF(RawDataGenPO[[#This Row],[Date Gen PO]]="","",RawDataGenPO[[#This Row],[Date recive bill]]-RawDataGenPO[[#This Row],[Date Gen PO]])</f>
        <v/>
      </c>
      <c r="AB560" s="16">
        <f>IF(RawDataGenPO[[#This Row],[GRN-PO date]]&gt;RawDataGenPO[[#This Row],[Lead time delivery (day)]],"over deliverry","Ontime")</f>
        <v/>
      </c>
      <c r="AC560" s="22" t="n"/>
    </row>
    <row r="561" ht="15" customFormat="1" customHeight="1" s="125">
      <c r="A561" s="5">
        <f>ROW()-ROW(RawDataGenPO[[#Headers],[No.]])</f>
        <v/>
      </c>
      <c r="B561" s="7" t="inlineStr">
        <is>
          <t>CAPEX  (Budget)</t>
        </is>
      </c>
      <c r="C561" s="275" t="n">
        <v>45588</v>
      </c>
      <c r="D561" s="276" t="n"/>
      <c r="E561" s="276" t="n"/>
      <c r="F561" s="275" t="n">
        <v>45588</v>
      </c>
      <c r="G561" s="5" t="inlineStr">
        <is>
          <t>PR2425-04065</t>
        </is>
      </c>
      <c r="H561" s="5" t="inlineStr">
        <is>
          <t>PO2425-04463</t>
        </is>
      </c>
      <c r="I561" s="290">
        <f>IF(RawDataGenPO[[#This Row],[PO No.]]="","",RawDataGenPO[[#This Row],[DMY Create PR]]+7)</f>
        <v/>
      </c>
      <c r="J561" s="290" t="n"/>
      <c r="K561" s="20">
        <f>IF(RawDataGenPO[[#This Row],[PO No.]]="","",10)</f>
        <v/>
      </c>
      <c r="L561" s="5" t="inlineStr">
        <is>
          <t>SFST34000071</t>
        </is>
      </c>
      <c r="M561" s="7" t="inlineStr">
        <is>
          <t>Consumable part for MN</t>
        </is>
      </c>
      <c r="N561" s="7" t="inlineStr">
        <is>
          <t>Cooling system jobs</t>
        </is>
      </c>
      <c r="O561" s="11" t="n">
        <v>1</v>
      </c>
      <c r="P561" s="10" t="inlineStr">
        <is>
          <t>Probe, NTC0150055, _50/90C</t>
        </is>
      </c>
      <c r="Q561" s="277" t="n">
        <v>10</v>
      </c>
      <c r="R561" s="5" t="inlineStr">
        <is>
          <t>PCS.</t>
        </is>
      </c>
      <c r="S561" s="292">
        <f>RawDataGenPO[[#This Row],[Total price]]/RawDataGenPO[[#This Row],[Qty'']]</f>
        <v/>
      </c>
      <c r="T561" s="278" t="n">
        <v>2414</v>
      </c>
      <c r="U561" s="291" t="n"/>
      <c r="V561" s="7" t="inlineStr">
        <is>
          <t>V1000265 - Q Inter Supply Co., Ltd</t>
        </is>
      </c>
      <c r="W561" s="5" t="inlineStr">
        <is>
          <t>Recive bill and GRN already</t>
        </is>
      </c>
      <c r="X561" s="5" t="n"/>
      <c r="Y561" s="3" t="n">
        <v>45601</v>
      </c>
      <c r="Z561" s="3" t="n"/>
      <c r="AA561" s="17">
        <f>IF(RawDataGenPO[[#This Row],[Date Gen PO]]="","",RawDataGenPO[[#This Row],[Date recive bill]]-RawDataGenPO[[#This Row],[Date Gen PO]])</f>
        <v/>
      </c>
      <c r="AB561" s="16">
        <f>IF(RawDataGenPO[[#This Row],[GRN-PO date]]&gt;RawDataGenPO[[#This Row],[Lead time delivery (day)]],"over deliverry","Ontime")</f>
        <v/>
      </c>
      <c r="AC561" s="22" t="n"/>
    </row>
    <row r="562" ht="30" customFormat="1" customHeight="1" s="125">
      <c r="A562" s="5">
        <f>ROW()-ROW(RawDataGenPO[[#Headers],[No.]])</f>
        <v/>
      </c>
      <c r="B562" s="7" t="inlineStr">
        <is>
          <t>CAPEX  (Budget)</t>
        </is>
      </c>
      <c r="C562" s="275" t="n">
        <v>45588</v>
      </c>
      <c r="D562" s="276" t="n"/>
      <c r="E562" s="276" t="n"/>
      <c r="F562" s="275" t="n">
        <v>45588</v>
      </c>
      <c r="G562" s="5" t="inlineStr">
        <is>
          <t>PR2425-04064</t>
        </is>
      </c>
      <c r="H562" s="5" t="inlineStr">
        <is>
          <t>PO2425-04464</t>
        </is>
      </c>
      <c r="I562" s="290">
        <f>IF(RawDataGenPO[[#This Row],[PO No.]]="","",RawDataGenPO[[#This Row],[DMY Create PR]]+7)</f>
        <v/>
      </c>
      <c r="J562" s="290" t="n"/>
      <c r="K562" s="20">
        <f>IF(RawDataGenPO[[#This Row],[PO No.]]="","",10)</f>
        <v/>
      </c>
      <c r="L562" s="5" t="inlineStr">
        <is>
          <t>SFST81000050</t>
        </is>
      </c>
      <c r="M562" s="7" t="inlineStr">
        <is>
          <t>Tool and Equipment PD M/C</t>
        </is>
      </c>
      <c r="N562" s="7" t="inlineStr">
        <is>
          <t>Tool and Equipment</t>
        </is>
      </c>
      <c r="O562" s="11" t="n">
        <v>2</v>
      </c>
      <c r="P562" s="10" t="inlineStr">
        <is>
          <t>"RYOBI" model D1504 non-handed fire door closer weight 65-80 kg. Japan standard UL</t>
        </is>
      </c>
      <c r="Q562" s="277" t="n">
        <v>1</v>
      </c>
      <c r="R562" s="5" t="inlineStr">
        <is>
          <t>PCS.</t>
        </is>
      </c>
      <c r="S562" s="292">
        <f>RawDataGenPO[[#This Row],[Total price]]/RawDataGenPO[[#This Row],[Qty'']]</f>
        <v/>
      </c>
      <c r="T562" s="278" t="n">
        <v>2300</v>
      </c>
      <c r="U562" s="291" t="n"/>
      <c r="V562" s="7" t="inlineStr">
        <is>
          <t>V1000259 - JJP SUPPLY CO., LTD</t>
        </is>
      </c>
      <c r="W562" s="5" t="inlineStr">
        <is>
          <t>Recive bill and GRN already</t>
        </is>
      </c>
      <c r="X562" s="5" t="n"/>
      <c r="Y562" s="3" t="n">
        <v>45604</v>
      </c>
      <c r="Z562" s="3" t="n"/>
      <c r="AA562" s="17">
        <f>IF(RawDataGenPO[[#This Row],[Date Gen PO]]="","",RawDataGenPO[[#This Row],[Date recive bill]]-RawDataGenPO[[#This Row],[Date Gen PO]])</f>
        <v/>
      </c>
      <c r="AB562" s="16">
        <f>IF(RawDataGenPO[[#This Row],[GRN-PO date]]&gt;RawDataGenPO[[#This Row],[Lead time delivery (day)]],"over deliverry","Ontime")</f>
        <v/>
      </c>
      <c r="AC562" s="22" t="n"/>
    </row>
    <row r="563" ht="15" customFormat="1" customHeight="1" s="125">
      <c r="A563" s="5">
        <f>ROW()-ROW(RawDataGenPO[[#Headers],[No.]])</f>
        <v/>
      </c>
      <c r="B563" s="7" t="inlineStr">
        <is>
          <t>CAPEX  (Budget)</t>
        </is>
      </c>
      <c r="C563" s="275" t="n">
        <v>45583</v>
      </c>
      <c r="D563" s="276" t="n"/>
      <c r="E563" s="276" t="n"/>
      <c r="F563" s="275" t="n">
        <v>45583</v>
      </c>
      <c r="G563" s="5" t="inlineStr">
        <is>
          <t>PR2425-03981</t>
        </is>
      </c>
      <c r="H563" s="5" t="inlineStr">
        <is>
          <t>PO2425-04372</t>
        </is>
      </c>
      <c r="I563" s="290">
        <f>IF(RawDataGenPO[[#This Row],[PO No.]]="","",RawDataGenPO[[#This Row],[DMY Create PR]]+7)</f>
        <v/>
      </c>
      <c r="J563" s="290" t="n"/>
      <c r="K563" s="20">
        <f>IF(RawDataGenPO[[#This Row],[PO No.]]="","",10)</f>
        <v/>
      </c>
      <c r="L563" s="5" t="inlineStr">
        <is>
          <t>SFST81000050</t>
        </is>
      </c>
      <c r="M563" s="7" t="inlineStr">
        <is>
          <t>Tool and Equipment  Engineering</t>
        </is>
      </c>
      <c r="N563" s="7" t="inlineStr">
        <is>
          <t>Tool and Equipment</t>
        </is>
      </c>
      <c r="O563" s="11" t="n">
        <v>1</v>
      </c>
      <c r="P563" s="10" t="inlineStr">
        <is>
          <t>blue-striped HDPE pipe size 50 mm (100M/Roll)</t>
        </is>
      </c>
      <c r="Q563" s="277" t="n">
        <v>1</v>
      </c>
      <c r="R563" s="5" t="inlineStr">
        <is>
          <t>PCS.</t>
        </is>
      </c>
      <c r="S563" s="292">
        <f>RawDataGenPO[[#This Row],[Total price]]/RawDataGenPO[[#This Row],[Qty'']]</f>
        <v/>
      </c>
      <c r="T563" s="278" t="n">
        <v>9987</v>
      </c>
      <c r="U563" s="291" t="n"/>
      <c r="V563" s="7" t="inlineStr">
        <is>
          <t>V1000529 - 168 Supply</t>
        </is>
      </c>
      <c r="W563" s="5" t="inlineStr">
        <is>
          <t>Recive bill and GRN already</t>
        </is>
      </c>
      <c r="X563" s="5" t="n"/>
      <c r="Y563" s="3" t="n">
        <v>45590</v>
      </c>
      <c r="Z563" s="3" t="n"/>
      <c r="AA563" s="17">
        <f>IF(RawDataGenPO[[#This Row],[Date Gen PO]]="","",RawDataGenPO[[#This Row],[Date recive bill]]-RawDataGenPO[[#This Row],[Date Gen PO]])</f>
        <v/>
      </c>
      <c r="AB563" s="16">
        <f>IF(RawDataGenPO[[#This Row],[GRN-PO date]]&gt;RawDataGenPO[[#This Row],[Lead time delivery (day)]],"over deliverry","Ontime")</f>
        <v/>
      </c>
      <c r="AC563" s="22" t="n"/>
    </row>
    <row r="564" ht="15" customFormat="1" customHeight="1" s="125">
      <c r="A564" s="5">
        <f>ROW()-ROW(RawDataGenPO[[#Headers],[No.]])</f>
        <v/>
      </c>
      <c r="B564" s="7" t="inlineStr">
        <is>
          <t>CAPEX  (Budget)</t>
        </is>
      </c>
      <c r="C564" s="275" t="n">
        <v>45583</v>
      </c>
      <c r="D564" s="276" t="n"/>
      <c r="E564" s="276" t="n"/>
      <c r="F564" s="275" t="n">
        <v>45583</v>
      </c>
      <c r="G564" s="5" t="inlineStr">
        <is>
          <t>PR2425-03985</t>
        </is>
      </c>
      <c r="H564" s="5" t="inlineStr">
        <is>
          <t>PO2425-04377</t>
        </is>
      </c>
      <c r="I564" s="290">
        <f>IF(RawDataGenPO[[#This Row],[PO No.]]="","",RawDataGenPO[[#This Row],[DMY Create PR]]+7)</f>
        <v/>
      </c>
      <c r="J564" s="290" t="n"/>
      <c r="K564" s="20">
        <f>IF(RawDataGenPO[[#This Row],[PO No.]]="","",10)</f>
        <v/>
      </c>
      <c r="L564" s="5" t="inlineStr">
        <is>
          <t>SFST81000050</t>
        </is>
      </c>
      <c r="M564" s="7" t="inlineStr">
        <is>
          <t>Tool and Equipment PD M/C</t>
        </is>
      </c>
      <c r="N564" s="7" t="inlineStr">
        <is>
          <t>Tool and Equipment</t>
        </is>
      </c>
      <c r="O564" s="11" t="n">
        <v>1</v>
      </c>
      <c r="P564" s="10" t="inlineStr">
        <is>
          <t>Mitsubishi Inverter FR-D740; 3P, 380VAC, 2.2KW</t>
        </is>
      </c>
      <c r="Q564" s="277" t="n">
        <v>1</v>
      </c>
      <c r="R564" s="5" t="inlineStr">
        <is>
          <t>PCS.</t>
        </is>
      </c>
      <c r="S564" s="292">
        <f>RawDataGenPO[[#This Row],[Total price]]/RawDataGenPO[[#This Row],[Qty'']]</f>
        <v/>
      </c>
      <c r="T564" s="278" t="n">
        <v>11400</v>
      </c>
      <c r="U564" s="291" t="n"/>
      <c r="V564" s="7" t="inlineStr">
        <is>
          <t>V1000481 - Company JW Tech Ltd.</t>
        </is>
      </c>
      <c r="W564" s="5" t="inlineStr">
        <is>
          <t>Recive bill and GRN already</t>
        </is>
      </c>
      <c r="X564" s="5" t="n"/>
      <c r="Y564" s="3" t="n">
        <v>45590</v>
      </c>
      <c r="Z564" s="3" t="n"/>
      <c r="AA564" s="17">
        <f>IF(RawDataGenPO[[#This Row],[Date Gen PO]]="","",RawDataGenPO[[#This Row],[Date recive bill]]-RawDataGenPO[[#This Row],[Date Gen PO]])</f>
        <v/>
      </c>
      <c r="AB564" s="16">
        <f>IF(RawDataGenPO[[#This Row],[GRN-PO date]]&gt;RawDataGenPO[[#This Row],[Lead time delivery (day)]],"over deliverry","Ontime")</f>
        <v/>
      </c>
      <c r="AC564" s="22" t="n"/>
    </row>
    <row r="565" ht="15" customFormat="1" customHeight="1" s="125">
      <c r="A565" s="5">
        <f>ROW()-ROW(RawDataGenPO[[#Headers],[No.]])</f>
        <v/>
      </c>
      <c r="B565" s="7" t="inlineStr">
        <is>
          <t>CAPEX  (Budget)</t>
        </is>
      </c>
      <c r="C565" s="275" t="n">
        <v>45583</v>
      </c>
      <c r="D565" s="276" t="n"/>
      <c r="E565" s="276" t="n"/>
      <c r="F565" s="275" t="n">
        <v>45583</v>
      </c>
      <c r="G565" s="5" t="inlineStr">
        <is>
          <t>PR2425-03987</t>
        </is>
      </c>
      <c r="H565" s="5" t="inlineStr">
        <is>
          <t xml:space="preserve">PO2425-04381 </t>
        </is>
      </c>
      <c r="I565" s="290">
        <f>IF(RawDataGenPO[[#This Row],[PO No.]]="","",RawDataGenPO[[#This Row],[DMY Create PR]]+7)</f>
        <v/>
      </c>
      <c r="J565" s="290" t="n"/>
      <c r="K565" s="20" t="n">
        <v>14</v>
      </c>
      <c r="L565" s="5" t="inlineStr">
        <is>
          <t>SFST34000043</t>
        </is>
      </c>
      <c r="M565" s="7" t="inlineStr">
        <is>
          <t>Consumable part for MN</t>
        </is>
      </c>
      <c r="N565" s="7" t="inlineStr">
        <is>
          <t>Electrical jobs</t>
        </is>
      </c>
      <c r="O565" s="11" t="n">
        <v>1</v>
      </c>
      <c r="P565" s="10" t="inlineStr">
        <is>
          <t>"Philip", TLD36/865, 36W, fluorescent tube</t>
        </is>
      </c>
      <c r="Q565" s="277" t="n">
        <v>50</v>
      </c>
      <c r="R565" s="5" t="inlineStr">
        <is>
          <t>PCS.</t>
        </is>
      </c>
      <c r="S565" s="292">
        <f>RawDataGenPO[[#This Row],[Total price]]/RawDataGenPO[[#This Row],[Qty'']]</f>
        <v/>
      </c>
      <c r="T565" s="297" t="n">
        <v>3150</v>
      </c>
      <c r="U565" s="291" t="n"/>
      <c r="V565" s="7" t="inlineStr">
        <is>
          <t>V1000276 - SN. ELECTRIC AND SUPPLY CO., LTD.</t>
        </is>
      </c>
      <c r="W565" s="5" t="inlineStr">
        <is>
          <t>Recive bill and GRN already</t>
        </is>
      </c>
      <c r="X565" s="5" t="n"/>
      <c r="Y565" s="3" t="n">
        <v>45590</v>
      </c>
      <c r="Z565" s="3" t="n"/>
      <c r="AA565" s="17">
        <f>IF(RawDataGenPO[[#This Row],[Date Gen PO]]="","",RawDataGenPO[[#This Row],[Date recive bill]]-RawDataGenPO[[#This Row],[Date Gen PO]])</f>
        <v/>
      </c>
      <c r="AB565" s="16">
        <f>IF(RawDataGenPO[[#This Row],[GRN-PO date]]&gt;RawDataGenPO[[#This Row],[Lead time delivery (day)]],"over deliverry","Ontime")</f>
        <v/>
      </c>
      <c r="AC565" s="22" t="n"/>
    </row>
    <row r="566" ht="15" customFormat="1" customHeight="1" s="136">
      <c r="A566" s="5">
        <f>ROW()-ROW(RawDataGenPO[[#Headers],[No.]])</f>
        <v/>
      </c>
      <c r="B566" s="7" t="inlineStr">
        <is>
          <t>CAPEX  (Budget)</t>
        </is>
      </c>
      <c r="C566" s="275" t="n">
        <v>45583</v>
      </c>
      <c r="D566" s="276" t="n"/>
      <c r="E566" s="276" t="n"/>
      <c r="F566" s="275" t="n">
        <v>45583</v>
      </c>
      <c r="G566" s="5" t="inlineStr">
        <is>
          <t>PR2425-03987</t>
        </is>
      </c>
      <c r="H566" s="5" t="inlineStr">
        <is>
          <t xml:space="preserve">PO2425-04381 </t>
        </is>
      </c>
      <c r="I566" s="290">
        <f>IF(RawDataGenPO[[#This Row],[PO No.]]="","",RawDataGenPO[[#This Row],[DMY Create PR]]+7)</f>
        <v/>
      </c>
      <c r="J566" s="290" t="n"/>
      <c r="K566" s="20">
        <f>IF(RawDataGenPO[[#This Row],[PO No.]]="","",10)</f>
        <v/>
      </c>
      <c r="L566" s="5" t="inlineStr">
        <is>
          <t>SFST34000044</t>
        </is>
      </c>
      <c r="M566" s="7" t="inlineStr">
        <is>
          <t>Consumable part for MN</t>
        </is>
      </c>
      <c r="N566" s="7" t="inlineStr">
        <is>
          <t>Electrical jobs</t>
        </is>
      </c>
      <c r="O566" s="11" t="n">
        <v>2</v>
      </c>
      <c r="P566" s="10" t="inlineStr">
        <is>
          <t>"Philip",T8,20W, 2100lm, ECO SOFT HO LED</t>
        </is>
      </c>
      <c r="Q566" s="277" t="n">
        <v>50</v>
      </c>
      <c r="R566" s="5" t="inlineStr">
        <is>
          <t>PCS.</t>
        </is>
      </c>
      <c r="S566" s="292">
        <f>RawDataGenPO[[#This Row],[Total price]]/RawDataGenPO[[#This Row],[Qty'']]</f>
        <v/>
      </c>
      <c r="T566" s="297" t="n">
        <v>6700</v>
      </c>
      <c r="U566" s="291" t="n"/>
      <c r="V566" s="7" t="inlineStr">
        <is>
          <t>V1000276 - SN. ELECTRIC AND SUPPLY CO., LTD.</t>
        </is>
      </c>
      <c r="W566" s="5" t="inlineStr">
        <is>
          <t>Recive bill and GRN already</t>
        </is>
      </c>
      <c r="X566" s="5" t="n"/>
      <c r="Y566" s="3" t="n">
        <v>45590</v>
      </c>
      <c r="Z566" s="3" t="n"/>
      <c r="AA566" s="17">
        <f>IF(RawDataGenPO[[#This Row],[Date Gen PO]]="","",RawDataGenPO[[#This Row],[Date recive bill]]-RawDataGenPO[[#This Row],[Date Gen PO]])</f>
        <v/>
      </c>
      <c r="AB566" s="16">
        <f>IF(RawDataGenPO[[#This Row],[GRN-PO date]]&gt;RawDataGenPO[[#This Row],[Lead time delivery (day)]],"over deliverry","Ontime")</f>
        <v/>
      </c>
      <c r="AC566" s="22" t="n"/>
    </row>
    <row r="567" ht="15" customFormat="1" customHeight="1" s="125">
      <c r="A567" s="5">
        <f>ROW()-ROW(RawDataGenPO[[#Headers],[No.]])</f>
        <v/>
      </c>
      <c r="B567" s="7" t="inlineStr">
        <is>
          <t>CAPEX  (Budget)</t>
        </is>
      </c>
      <c r="C567" s="275" t="n">
        <v>45583</v>
      </c>
      <c r="D567" s="276" t="n"/>
      <c r="E567" s="276" t="n"/>
      <c r="F567" s="275" t="n">
        <v>45583</v>
      </c>
      <c r="G567" s="5" t="inlineStr">
        <is>
          <t>PR2425-03987</t>
        </is>
      </c>
      <c r="H567" s="5" t="inlineStr">
        <is>
          <t xml:space="preserve">PO2425-04381 </t>
        </is>
      </c>
      <c r="I567" s="290">
        <f>IF(RawDataGenPO[[#This Row],[PO No.]]="","",RawDataGenPO[[#This Row],[DMY Create PR]]+7)</f>
        <v/>
      </c>
      <c r="J567" s="290" t="n"/>
      <c r="K567" s="20">
        <f>IF(RawDataGenPO[[#This Row],[PO No.]]="","",10)</f>
        <v/>
      </c>
      <c r="L567" s="5" t="inlineStr">
        <is>
          <t>SFST34000091</t>
        </is>
      </c>
      <c r="M567" s="7" t="inlineStr">
        <is>
          <t>Consumable part for MN</t>
        </is>
      </c>
      <c r="N567" s="7" t="inlineStr">
        <is>
          <t>Electrical jobs</t>
        </is>
      </c>
      <c r="O567" s="11" t="n">
        <v>3</v>
      </c>
      <c r="P567" s="10" t="inlineStr">
        <is>
          <t>3M tapeelectrical cable model Temflex Plus size 3/4inch - black</t>
        </is>
      </c>
      <c r="Q567" s="277" t="n">
        <v>40</v>
      </c>
      <c r="R567" s="5" t="inlineStr">
        <is>
          <t>PCS.</t>
        </is>
      </c>
      <c r="S567" s="292">
        <f>RawDataGenPO[[#This Row],[Total price]]/RawDataGenPO[[#This Row],[Qty'']]</f>
        <v/>
      </c>
      <c r="T567" s="297" t="n">
        <v>560</v>
      </c>
      <c r="U567" s="291" t="n"/>
      <c r="V567" s="7" t="inlineStr">
        <is>
          <t>V1000276 - SN. ELECTRIC AND SUPPLY CO., LTD.</t>
        </is>
      </c>
      <c r="W567" s="5" t="inlineStr">
        <is>
          <t>Recive bill and GRN already</t>
        </is>
      </c>
      <c r="X567" s="5" t="n"/>
      <c r="Y567" s="3" t="n">
        <v>45590</v>
      </c>
      <c r="Z567" s="3" t="n"/>
      <c r="AA567" s="17">
        <f>IF(RawDataGenPO[[#This Row],[Date Gen PO]]="","",RawDataGenPO[[#This Row],[Date recive bill]]-RawDataGenPO[[#This Row],[Date Gen PO]])</f>
        <v/>
      </c>
      <c r="AB567" s="16">
        <f>IF(RawDataGenPO[[#This Row],[GRN-PO date]]&gt;RawDataGenPO[[#This Row],[Lead time delivery (day)]],"over deliverry","Ontime")</f>
        <v/>
      </c>
      <c r="AC567" s="22" t="n"/>
    </row>
    <row r="568" ht="15" customFormat="1" customHeight="1" s="125">
      <c r="A568" s="5">
        <f>ROW()-ROW(RawDataGenPO[[#Headers],[No.]])</f>
        <v/>
      </c>
      <c r="B568" s="7" t="inlineStr">
        <is>
          <t>CAPEX  (Budget)</t>
        </is>
      </c>
      <c r="C568" s="276" t="n">
        <v>45589</v>
      </c>
      <c r="D568" s="276" t="n"/>
      <c r="E568" s="276" t="n"/>
      <c r="F568" s="276" t="n">
        <v>45589</v>
      </c>
      <c r="G568" s="5" t="inlineStr">
        <is>
          <t>PR2425-04110</t>
        </is>
      </c>
      <c r="H568" s="5" t="inlineStr">
        <is>
          <t>PO2425-04491</t>
        </is>
      </c>
      <c r="I568" s="290">
        <f>IF(RawDataGenPO[[#This Row],[PO No.]]="","",RawDataGenPO[[#This Row],[DMY Create PR]]+7)</f>
        <v/>
      </c>
      <c r="J568" s="290" t="n"/>
      <c r="K568" s="20" t="n">
        <v>30</v>
      </c>
      <c r="L568" s="5" t="inlineStr">
        <is>
          <t>SFST81000050</t>
        </is>
      </c>
      <c r="M568" s="7" t="inlineStr">
        <is>
          <t>Utility Jobs  (Boiler-Air compress-Transformer-LPG)</t>
        </is>
      </c>
      <c r="N568" s="7" t="inlineStr">
        <is>
          <t>Cooling  part</t>
        </is>
      </c>
      <c r="O568" s="11" t="n">
        <v>1</v>
      </c>
      <c r="P568" s="10" t="inlineStr">
        <is>
          <t>Danfoss" 48-F ELIMINATOR Filter drier strainer 023U1921</t>
        </is>
      </c>
      <c r="Q568" s="277" t="n">
        <v>6</v>
      </c>
      <c r="R568" s="5" t="inlineStr">
        <is>
          <t>PCS.</t>
        </is>
      </c>
      <c r="S568" s="292">
        <f>RawDataGenPO[[#This Row],[Total price]]/RawDataGenPO[[#This Row],[Qty'']]</f>
        <v/>
      </c>
      <c r="T568" s="297" t="n">
        <v>3336</v>
      </c>
      <c r="U568" s="291" t="n"/>
      <c r="V568" s="7" t="inlineStr">
        <is>
          <t>V1000310 - BOONBAWORN ENGINEERING CO., LTD</t>
        </is>
      </c>
      <c r="W568" s="5" t="inlineStr">
        <is>
          <t>Recive bill and GRN already</t>
        </is>
      </c>
      <c r="X568" s="5" t="inlineStr">
        <is>
          <t>GRN2425-0005169</t>
        </is>
      </c>
      <c r="Y568" s="3" t="n">
        <v>45610</v>
      </c>
      <c r="Z568" s="3" t="n"/>
      <c r="AA568" s="17">
        <f>IF(RawDataGenPO[[#This Row],[Date Gen PO]]="","",RawDataGenPO[[#This Row],[Date recive bill]]-RawDataGenPO[[#This Row],[Date Gen PO]])</f>
        <v/>
      </c>
      <c r="AB568" s="16">
        <f>IF(RawDataGenPO[[#This Row],[GRN-PO date]]&gt;RawDataGenPO[[#This Row],[Lead time delivery (day)]],"over deliverry","Ontime")</f>
        <v/>
      </c>
      <c r="AC568" s="22" t="n"/>
    </row>
    <row r="569" customFormat="1" s="125">
      <c r="A569" s="5">
        <f>ROW()-ROW(RawDataGenPO[[#Headers],[No.]])</f>
        <v/>
      </c>
      <c r="B569" s="7" t="inlineStr">
        <is>
          <t>CAPEX  (Budget)</t>
        </is>
      </c>
      <c r="C569" s="275" t="n">
        <v>45588</v>
      </c>
      <c r="D569" s="276" t="n"/>
      <c r="E569" s="276" t="n"/>
      <c r="F569" s="275" t="n">
        <v>45588</v>
      </c>
      <c r="G569" s="5" t="inlineStr">
        <is>
          <t>PR2526-03228</t>
        </is>
      </c>
      <c r="H569" s="5" t="inlineStr">
        <is>
          <t xml:space="preserve">PO2425-04465 </t>
        </is>
      </c>
      <c r="I569" s="290">
        <f>IF(RawDataGenPO[[#This Row],[PO No.]]="","",RawDataGenPO[[#This Row],[DMY Create PR]]+7)</f>
        <v/>
      </c>
      <c r="J569" s="290" t="n"/>
      <c r="K569" s="20" t="n">
        <v>90</v>
      </c>
      <c r="L569" s="5" t="inlineStr">
        <is>
          <t>SFST82000007</t>
        </is>
      </c>
      <c r="M569" s="7" t="inlineStr">
        <is>
          <t>Tool and Equipment  Engineering</t>
        </is>
      </c>
      <c r="N569" s="7" t="inlineStr">
        <is>
          <t>Tool and Equipment</t>
        </is>
      </c>
      <c r="O569" s="11" t="n">
        <v>1</v>
      </c>
      <c r="P569" s="10" t="inlineStr">
        <is>
          <t>"Fluke", 177, Digital multimeter</t>
        </is>
      </c>
      <c r="Q569" s="166" t="n">
        <v>1</v>
      </c>
      <c r="R569" s="5" t="inlineStr">
        <is>
          <t>PCS.</t>
        </is>
      </c>
      <c r="S569" s="326">
        <f>RawDataGenPO[[#This Row],[Total price]]/RawDataGenPO[[#This Row],[Qty'']]</f>
        <v/>
      </c>
      <c r="T569" s="172" t="n">
        <v>15961.3</v>
      </c>
      <c r="U569" s="291" t="n"/>
      <c r="V569" s="7" t="inlineStr">
        <is>
          <t>V1000125 - CALIBRATION LABORATORY CO.,LTD.</t>
        </is>
      </c>
      <c r="W569" s="5" t="inlineStr">
        <is>
          <t>Recive bill and GRN already</t>
        </is>
      </c>
      <c r="X569" s="5" t="inlineStr">
        <is>
          <t>GRN2425-0006532</t>
        </is>
      </c>
      <c r="Y569" s="3" t="n">
        <v>45674</v>
      </c>
      <c r="Z569" s="3" t="n"/>
      <c r="AA569" s="17">
        <f>IF(RawDataGenPO[[#This Row],[Date Gen PO]]="","",RawDataGenPO[[#This Row],[Date recive bill]]-RawDataGenPO[[#This Row],[Date Gen PO]])</f>
        <v/>
      </c>
      <c r="AB569" s="16">
        <f>IF(RawDataGenPO[[#This Row],[GRN-PO date]]&gt;RawDataGenPO[[#This Row],[Lead time delivery (day)]],"over deliverry","Ontime")</f>
        <v/>
      </c>
      <c r="AC569" s="22" t="n"/>
    </row>
    <row r="570" customFormat="1" s="125">
      <c r="A570" s="5">
        <f>ROW()-ROW(RawDataGenPO[[#Headers],[No.]])</f>
        <v/>
      </c>
      <c r="B570" s="7" t="inlineStr">
        <is>
          <t>CAPEX  (Unbudget)</t>
        </is>
      </c>
      <c r="C570" s="275" t="n">
        <v>45588</v>
      </c>
      <c r="D570" s="276" t="n"/>
      <c r="E570" s="276" t="n"/>
      <c r="F570" s="275" t="n">
        <v>45588</v>
      </c>
      <c r="G570" s="5" t="inlineStr">
        <is>
          <t>PR2526-03228</t>
        </is>
      </c>
      <c r="H570" s="5" t="inlineStr">
        <is>
          <t xml:space="preserve">PO2425-04465 </t>
        </is>
      </c>
      <c r="I570" s="290">
        <f>IF(RawDataGenPO[[#This Row],[PO No.]]="","",RawDataGenPO[[#This Row],[DMY Create PR]]+7)</f>
        <v/>
      </c>
      <c r="J570" s="290" t="n"/>
      <c r="K570" s="20" t="n">
        <v>90</v>
      </c>
      <c r="L570" s="5" t="inlineStr">
        <is>
          <t>SFST82000007</t>
        </is>
      </c>
      <c r="M570" s="7" t="inlineStr">
        <is>
          <t>Tool and Equipment  Engineering</t>
        </is>
      </c>
      <c r="N570" s="7" t="inlineStr">
        <is>
          <t>Tool and Equipment</t>
        </is>
      </c>
      <c r="O570" s="11" t="n">
        <v>2</v>
      </c>
      <c r="P570" s="10" t="inlineStr">
        <is>
          <t>"Fluke",TPAK, Tool Magnetic meter  hanger</t>
        </is>
      </c>
      <c r="Q570" s="166" t="n">
        <v>2</v>
      </c>
      <c r="R570" s="5" t="inlineStr">
        <is>
          <t>PCS.</t>
        </is>
      </c>
      <c r="S570" s="326">
        <f>RawDataGenPO[[#This Row],[Total price]]/RawDataGenPO[[#This Row],[Qty'']]</f>
        <v/>
      </c>
      <c r="T570" s="172" t="n">
        <v>2035.75</v>
      </c>
      <c r="U570" s="291" t="n"/>
      <c r="V570" s="7" t="inlineStr">
        <is>
          <t>V1000125 - CALIBRATION LABORATORY CO.,LTD.</t>
        </is>
      </c>
      <c r="W570" s="5" t="inlineStr">
        <is>
          <t>Recive bill and GRN already</t>
        </is>
      </c>
      <c r="X570" s="5" t="inlineStr">
        <is>
          <t>GRN2425-0006532</t>
        </is>
      </c>
      <c r="Y570" s="3" t="n">
        <v>45674</v>
      </c>
      <c r="Z570" s="3" t="n"/>
      <c r="AA570" s="17">
        <f>IF(RawDataGenPO[[#This Row],[Date Gen PO]]="","",RawDataGenPO[[#This Row],[Date recive bill]]-RawDataGenPO[[#This Row],[Date Gen PO]])</f>
        <v/>
      </c>
      <c r="AB570" s="16">
        <f>IF(RawDataGenPO[[#This Row],[GRN-PO date]]&gt;RawDataGenPO[[#This Row],[Lead time delivery (day)]],"over deliverry","Ontime")</f>
        <v/>
      </c>
      <c r="AC570" s="22" t="n"/>
    </row>
    <row r="571" customFormat="1" s="125">
      <c r="A571" s="5">
        <f>ROW()-ROW(RawDataGenPO[[#Headers],[No.]])</f>
        <v/>
      </c>
      <c r="B571" s="7" t="inlineStr">
        <is>
          <t>CAPEX  (Unbudget)</t>
        </is>
      </c>
      <c r="C571" s="275" t="n">
        <v>45588</v>
      </c>
      <c r="D571" s="276" t="n"/>
      <c r="E571" s="276" t="n"/>
      <c r="F571" s="275" t="n">
        <v>45588</v>
      </c>
      <c r="G571" s="5" t="inlineStr">
        <is>
          <t>PR2526-03228</t>
        </is>
      </c>
      <c r="H571" s="5" t="inlineStr">
        <is>
          <t xml:space="preserve">PO2425-04465 </t>
        </is>
      </c>
      <c r="I571" s="290">
        <f>IF(RawDataGenPO[[#This Row],[PO No.]]="","",RawDataGenPO[[#This Row],[DMY Create PR]]+7)</f>
        <v/>
      </c>
      <c r="J571" s="290" t="n"/>
      <c r="K571" s="20" t="n">
        <v>90</v>
      </c>
      <c r="L571" s="5" t="inlineStr">
        <is>
          <t>SFST82000007</t>
        </is>
      </c>
      <c r="M571" s="7" t="inlineStr">
        <is>
          <t>Tool and Equipment  Engineering</t>
        </is>
      </c>
      <c r="N571" s="7" t="inlineStr">
        <is>
          <t>Tool and Equipment</t>
        </is>
      </c>
      <c r="O571" s="11" t="n">
        <v>3</v>
      </c>
      <c r="P571" s="10" t="inlineStr">
        <is>
          <t>"Fluke", C11XT, Protective EVA Foam Hard case</t>
        </is>
      </c>
      <c r="Q571" s="166" t="n">
        <v>1</v>
      </c>
      <c r="R571" s="5" t="inlineStr">
        <is>
          <t>PCS.</t>
        </is>
      </c>
      <c r="S571" s="326">
        <f>RawDataGenPO[[#This Row],[Total price]]/RawDataGenPO[[#This Row],[Qty'']]</f>
        <v/>
      </c>
      <c r="T571" s="172" t="n">
        <v>1991.55</v>
      </c>
      <c r="U571" s="291" t="n"/>
      <c r="V571" s="7" t="inlineStr">
        <is>
          <t>V1000125 - CALIBRATION LABORATORY CO.,LTD.</t>
        </is>
      </c>
      <c r="W571" s="5" t="inlineStr">
        <is>
          <t>Recive bill and GRN already</t>
        </is>
      </c>
      <c r="X571" s="5" t="inlineStr">
        <is>
          <t>GRN2425-0006532</t>
        </is>
      </c>
      <c r="Y571" s="3" t="n">
        <v>45674</v>
      </c>
      <c r="Z571" s="3" t="n"/>
      <c r="AA571" s="17">
        <f>IF(RawDataGenPO[[#This Row],[Date Gen PO]]="","",RawDataGenPO[[#This Row],[Date recive bill]]-RawDataGenPO[[#This Row],[Date Gen PO]])</f>
        <v/>
      </c>
      <c r="AB571" s="16">
        <f>IF(RawDataGenPO[[#This Row],[GRN-PO date]]&gt;RawDataGenPO[[#This Row],[Lead time delivery (day)]],"over deliverry","Ontime")</f>
        <v/>
      </c>
      <c r="AC571" s="22" t="n"/>
    </row>
    <row r="572" customFormat="1" s="125">
      <c r="A572" s="5">
        <f>ROW()-ROW(RawDataGenPO[[#Headers],[No.]])</f>
        <v/>
      </c>
      <c r="B572" s="7" t="inlineStr">
        <is>
          <t>CAPEX  (Unbudget)</t>
        </is>
      </c>
      <c r="C572" s="275" t="n">
        <v>45588</v>
      </c>
      <c r="D572" s="276" t="n"/>
      <c r="E572" s="276" t="n"/>
      <c r="F572" s="275" t="n">
        <v>45588</v>
      </c>
      <c r="G572" s="5" t="inlineStr">
        <is>
          <t>PR2526-03228</t>
        </is>
      </c>
      <c r="H572" s="5" t="inlineStr">
        <is>
          <t xml:space="preserve">PO2425-04465 </t>
        </is>
      </c>
      <c r="I572" s="290">
        <f>IF(RawDataGenPO[[#This Row],[PO No.]]="","",RawDataGenPO[[#This Row],[DMY Create PR]]+7)</f>
        <v/>
      </c>
      <c r="J572" s="290" t="n"/>
      <c r="K572" s="20" t="n">
        <v>90</v>
      </c>
      <c r="L572" s="5" t="inlineStr">
        <is>
          <t>SFST82000007</t>
        </is>
      </c>
      <c r="M572" s="7" t="inlineStr">
        <is>
          <t>Tool and Equipment  Engineering</t>
        </is>
      </c>
      <c r="N572" s="7" t="inlineStr">
        <is>
          <t>Tool and Equipment</t>
        </is>
      </c>
      <c r="O572" s="11" t="n">
        <v>4</v>
      </c>
      <c r="P572" s="10" t="inlineStr">
        <is>
          <t>"Fluke", 374FC, Clamp meter</t>
        </is>
      </c>
      <c r="Q572" s="166" t="n">
        <v>1</v>
      </c>
      <c r="R572" s="5" t="inlineStr">
        <is>
          <t>PCS.</t>
        </is>
      </c>
      <c r="S572" s="326">
        <f>RawDataGenPO[[#This Row],[Total price]]/RawDataGenPO[[#This Row],[Qty'']]</f>
        <v/>
      </c>
      <c r="T572" s="172" t="n">
        <v>17975.55</v>
      </c>
      <c r="U572" s="291" t="n"/>
      <c r="V572" s="7" t="inlineStr">
        <is>
          <t>V1000125 - CALIBRATION LABORATORY CO.,LTD.</t>
        </is>
      </c>
      <c r="W572" s="5" t="inlineStr">
        <is>
          <t>Recive bill and GRN already</t>
        </is>
      </c>
      <c r="X572" s="5" t="inlineStr">
        <is>
          <t>GRN2425-0006532</t>
        </is>
      </c>
      <c r="Y572" s="3" t="n">
        <v>45674</v>
      </c>
      <c r="Z572" s="3" t="n"/>
      <c r="AA572" s="17">
        <f>IF(RawDataGenPO[[#This Row],[Date Gen PO]]="","",RawDataGenPO[[#This Row],[Date recive bill]]-RawDataGenPO[[#This Row],[Date Gen PO]])</f>
        <v/>
      </c>
      <c r="AB572" s="16">
        <f>IF(RawDataGenPO[[#This Row],[GRN-PO date]]&gt;RawDataGenPO[[#This Row],[Lead time delivery (day)]],"over deliverry","Ontime")</f>
        <v/>
      </c>
      <c r="AC572" s="22" t="n"/>
    </row>
    <row r="573" customFormat="1" s="125">
      <c r="A573" s="5">
        <f>ROW()-ROW(RawDataGenPO[[#Headers],[No.]])</f>
        <v/>
      </c>
      <c r="B573" s="7" t="inlineStr">
        <is>
          <t>CAPEX  (Unbudget)</t>
        </is>
      </c>
      <c r="C573" s="275" t="n">
        <v>45588</v>
      </c>
      <c r="D573" s="276" t="n"/>
      <c r="E573" s="276" t="n"/>
      <c r="F573" s="275" t="n">
        <v>45588</v>
      </c>
      <c r="G573" s="5" t="inlineStr">
        <is>
          <t>PR2526-03228</t>
        </is>
      </c>
      <c r="H573" s="5" t="inlineStr">
        <is>
          <t xml:space="preserve">PO2425-04465 </t>
        </is>
      </c>
      <c r="I573" s="290">
        <f>IF(RawDataGenPO[[#This Row],[PO No.]]="","",RawDataGenPO[[#This Row],[DMY Create PR]]+7)</f>
        <v/>
      </c>
      <c r="J573" s="290" t="n"/>
      <c r="K573" s="20" t="n">
        <v>90</v>
      </c>
      <c r="L573" s="5" t="inlineStr">
        <is>
          <t>SFST82000007</t>
        </is>
      </c>
      <c r="M573" s="7" t="inlineStr">
        <is>
          <t>Tool and Equipment  Engineering</t>
        </is>
      </c>
      <c r="N573" s="7" t="inlineStr">
        <is>
          <t>Tool and Equipment</t>
        </is>
      </c>
      <c r="O573" s="11" t="n">
        <v>5</v>
      </c>
      <c r="P573" s="10" t="inlineStr">
        <is>
          <t>"Fluke", i2500-18, Ilexible Current  probes</t>
        </is>
      </c>
      <c r="Q573" s="166" t="n">
        <v>1</v>
      </c>
      <c r="R573" s="5" t="inlineStr">
        <is>
          <t>PCS.</t>
        </is>
      </c>
      <c r="S573" s="326">
        <f>RawDataGenPO[[#This Row],[Total price]]/RawDataGenPO[[#This Row],[Qty'']]</f>
        <v/>
      </c>
      <c r="T573" s="172" t="n">
        <v>7998.5</v>
      </c>
      <c r="U573" s="291" t="n"/>
      <c r="V573" s="7" t="inlineStr">
        <is>
          <t>V1000125 - CALIBRATION LABORATORY CO.,LTD.</t>
        </is>
      </c>
      <c r="W573" s="5" t="inlineStr">
        <is>
          <t>Recive bill and GRN already</t>
        </is>
      </c>
      <c r="X573" s="5" t="inlineStr">
        <is>
          <t>GRN2425-0006532</t>
        </is>
      </c>
      <c r="Y573" s="3" t="n">
        <v>45674</v>
      </c>
      <c r="Z573" s="3" t="n"/>
      <c r="AA573" s="17">
        <f>IF(RawDataGenPO[[#This Row],[Date Gen PO]]="","",RawDataGenPO[[#This Row],[Date recive bill]]-RawDataGenPO[[#This Row],[Date Gen PO]])</f>
        <v/>
      </c>
      <c r="AB573" s="16">
        <f>IF(RawDataGenPO[[#This Row],[GRN-PO date]]&gt;RawDataGenPO[[#This Row],[Lead time delivery (day)]],"over deliverry","Ontime")</f>
        <v/>
      </c>
      <c r="AC573" s="22" t="n"/>
    </row>
    <row r="574" customFormat="1" s="125">
      <c r="A574" s="5">
        <f>ROW()-ROW(RawDataGenPO[[#Headers],[No.]])</f>
        <v/>
      </c>
      <c r="B574" s="7" t="inlineStr">
        <is>
          <t>CAPEX  (Unbudget)</t>
        </is>
      </c>
      <c r="C574" s="275" t="n">
        <v>45588</v>
      </c>
      <c r="D574" s="276" t="n"/>
      <c r="E574" s="276" t="n"/>
      <c r="F574" s="275" t="n">
        <v>45588</v>
      </c>
      <c r="G574" s="5" t="inlineStr">
        <is>
          <t>PR2526-03228</t>
        </is>
      </c>
      <c r="H574" s="5" t="inlineStr">
        <is>
          <t xml:space="preserve">PO2425-04465 </t>
        </is>
      </c>
      <c r="I574" s="290">
        <f>IF(RawDataGenPO[[#This Row],[PO No.]]="","",RawDataGenPO[[#This Row],[DMY Create PR]]+7)</f>
        <v/>
      </c>
      <c r="J574" s="290" t="n"/>
      <c r="K574" s="20" t="n">
        <v>90</v>
      </c>
      <c r="L574" s="5" t="inlineStr">
        <is>
          <t>SFST82000007</t>
        </is>
      </c>
      <c r="M574" s="7" t="inlineStr">
        <is>
          <t>Tool and Equipment  Engineering</t>
        </is>
      </c>
      <c r="N574" s="7" t="inlineStr">
        <is>
          <t>Tool and Equipment</t>
        </is>
      </c>
      <c r="O574" s="11" t="n">
        <v>6</v>
      </c>
      <c r="P574" s="10" t="inlineStr">
        <is>
          <t>"Fluke", C37XT, Protective EVA Hard case</t>
        </is>
      </c>
      <c r="Q574" s="166" t="n">
        <v>1</v>
      </c>
      <c r="R574" s="5" t="inlineStr">
        <is>
          <t>PCS.</t>
        </is>
      </c>
      <c r="S574" s="326">
        <f>RawDataGenPO[[#This Row],[Total price]]/RawDataGenPO[[#This Row],[Qty'']]</f>
        <v/>
      </c>
      <c r="T574" s="172" t="n">
        <v>2627.35</v>
      </c>
      <c r="U574" s="291" t="n"/>
      <c r="V574" s="7" t="inlineStr">
        <is>
          <t>V1000125 - CALIBRATION LABORATORY CO.,LTD.</t>
        </is>
      </c>
      <c r="W574" s="5" t="inlineStr">
        <is>
          <t>Recive bill and GRN already</t>
        </is>
      </c>
      <c r="X574" s="5" t="inlineStr">
        <is>
          <t>GRN2425-0006532</t>
        </is>
      </c>
      <c r="Y574" s="3" t="n">
        <v>45674</v>
      </c>
      <c r="Z574" s="3" t="n"/>
      <c r="AA574" s="17">
        <f>IF(RawDataGenPO[[#This Row],[Date Gen PO]]="","",RawDataGenPO[[#This Row],[Date recive bill]]-RawDataGenPO[[#This Row],[Date Gen PO]])</f>
        <v/>
      </c>
      <c r="AB574" s="16">
        <f>IF(RawDataGenPO[[#This Row],[GRN-PO date]]&gt;RawDataGenPO[[#This Row],[Lead time delivery (day)]],"over deliverry","Ontime")</f>
        <v/>
      </c>
      <c r="AC574" s="22" t="n"/>
    </row>
    <row r="575" customFormat="1" s="125">
      <c r="A575" s="5">
        <f>ROW()-ROW(RawDataGenPO[[#Headers],[No.]])</f>
        <v/>
      </c>
      <c r="B575" s="7" t="inlineStr">
        <is>
          <t>CAPEX  (Unbudget)</t>
        </is>
      </c>
      <c r="C575" s="275" t="n">
        <v>45588</v>
      </c>
      <c r="D575" s="276" t="n"/>
      <c r="E575" s="276" t="n"/>
      <c r="F575" s="275" t="n">
        <v>45588</v>
      </c>
      <c r="G575" s="5" t="inlineStr">
        <is>
          <t>PR2526-03228</t>
        </is>
      </c>
      <c r="H575" s="5" t="inlineStr">
        <is>
          <t xml:space="preserve">PO2425-04465 </t>
        </is>
      </c>
      <c r="I575" s="290">
        <f>IF(RawDataGenPO[[#This Row],[PO No.]]="","",RawDataGenPO[[#This Row],[DMY Create PR]]+7)</f>
        <v/>
      </c>
      <c r="J575" s="290" t="n"/>
      <c r="K575" s="20" t="n">
        <v>90</v>
      </c>
      <c r="L575" s="5" t="inlineStr">
        <is>
          <t>SFST82000007</t>
        </is>
      </c>
      <c r="M575" s="7" t="inlineStr">
        <is>
          <t>Tool and Equipment  Engineering</t>
        </is>
      </c>
      <c r="N575" s="7" t="inlineStr">
        <is>
          <t>Tool and Equipment</t>
        </is>
      </c>
      <c r="O575" s="11" t="n">
        <v>7</v>
      </c>
      <c r="P575" s="10" t="inlineStr">
        <is>
          <t>"Fluke", 1507, Insulation tester</t>
        </is>
      </c>
      <c r="Q575" s="166" t="n">
        <v>1</v>
      </c>
      <c r="R575" s="5" t="inlineStr">
        <is>
          <t>PCS.</t>
        </is>
      </c>
      <c r="S575" s="326">
        <f>RawDataGenPO[[#This Row],[Total price]]/RawDataGenPO[[#This Row],[Qty'']]</f>
        <v/>
      </c>
      <c r="T575" s="172" t="n">
        <v>28980.05</v>
      </c>
      <c r="U575" s="291" t="n"/>
      <c r="V575" s="7" t="inlineStr">
        <is>
          <t>V1000125 - CALIBRATION LABORATORY CO.,LTD.</t>
        </is>
      </c>
      <c r="W575" s="5" t="inlineStr">
        <is>
          <t>Recive bill and GRN already</t>
        </is>
      </c>
      <c r="X575" s="5" t="inlineStr">
        <is>
          <t>GRN2425-0006532</t>
        </is>
      </c>
      <c r="Y575" s="3" t="n">
        <v>45674</v>
      </c>
      <c r="Z575" s="3" t="n"/>
      <c r="AA575" s="17">
        <f>IF(RawDataGenPO[[#This Row],[Date Gen PO]]="","",RawDataGenPO[[#This Row],[Date recive bill]]-RawDataGenPO[[#This Row],[Date Gen PO]])</f>
        <v/>
      </c>
      <c r="AB575" s="16">
        <f>IF(RawDataGenPO[[#This Row],[GRN-PO date]]&gt;RawDataGenPO[[#This Row],[Lead time delivery (day)]],"over deliverry","Ontime")</f>
        <v/>
      </c>
      <c r="AC575" s="22" t="n"/>
    </row>
    <row r="576" customFormat="1" s="125">
      <c r="A576" s="5">
        <f>ROW()-ROW(RawDataGenPO[[#Headers],[No.]])</f>
        <v/>
      </c>
      <c r="B576" s="7" t="inlineStr">
        <is>
          <t>CAPEX  (Unbudget)</t>
        </is>
      </c>
      <c r="C576" s="275" t="n">
        <v>45588</v>
      </c>
      <c r="D576" s="276" t="n"/>
      <c r="E576" s="276" t="n"/>
      <c r="F576" s="275" t="n">
        <v>45588</v>
      </c>
      <c r="G576" s="5" t="inlineStr">
        <is>
          <t>PR2526-03228</t>
        </is>
      </c>
      <c r="H576" s="5" t="inlineStr">
        <is>
          <t xml:space="preserve">PO2425-04465 </t>
        </is>
      </c>
      <c r="I576" s="290" t="n">
        <v>45298</v>
      </c>
      <c r="J576" s="290" t="n"/>
      <c r="K576" s="20">
        <f>IF(RawDataGenPO[[#This Row],[PO No.]]="","",10)</f>
        <v/>
      </c>
      <c r="L576" s="5" t="inlineStr">
        <is>
          <t>SFST82000007</t>
        </is>
      </c>
      <c r="M576" s="7" t="inlineStr">
        <is>
          <t>Tool and Equipment  Engineering</t>
        </is>
      </c>
      <c r="N576" s="7" t="inlineStr">
        <is>
          <t>Tool and Equipment</t>
        </is>
      </c>
      <c r="O576" s="11" t="n">
        <v>8</v>
      </c>
      <c r="P576" s="10" t="inlineStr">
        <is>
          <t>"Fluke", TLK289,Industrial Master test lead set</t>
        </is>
      </c>
      <c r="Q576" s="166" t="n">
        <v>1</v>
      </c>
      <c r="R576" s="5" t="inlineStr">
        <is>
          <t>PCS.</t>
        </is>
      </c>
      <c r="S576" s="326">
        <f>RawDataGenPO[[#This Row],[Total price]]/RawDataGenPO[[#This Row],[Qty'']]</f>
        <v/>
      </c>
      <c r="T576" s="172" t="n">
        <v>7855.7</v>
      </c>
      <c r="U576" s="291" t="n"/>
      <c r="V576" s="7" t="inlineStr">
        <is>
          <t>V1000125 - CALIBRATION LABORATORY CO.,LTD.</t>
        </is>
      </c>
      <c r="W576" s="30" t="inlineStr">
        <is>
          <t>Recive bill and GRN already</t>
        </is>
      </c>
      <c r="X576" s="5" t="inlineStr">
        <is>
          <t>GRN2425-0006532</t>
        </is>
      </c>
      <c r="Y576" s="3" t="n">
        <v>45308</v>
      </c>
      <c r="Z576" s="3" t="n"/>
      <c r="AA576" s="17">
        <f>IF(RawDataGenPO[[#This Row],[Date Gen PO]]="","",RawDataGenPO[[#This Row],[Date recive bill]]-RawDataGenPO[[#This Row],[Date Gen PO]])</f>
        <v/>
      </c>
      <c r="AB576" s="16">
        <f>IF(RawDataGenPO[[#This Row],[GRN-PO date]]&gt;RawDataGenPO[[#This Row],[Lead time delivery (day)]],"over deliverry","Ontime")</f>
        <v/>
      </c>
      <c r="AC576" s="22" t="n"/>
    </row>
    <row r="577" ht="15" customFormat="1" customHeight="1" s="125">
      <c r="A577" s="5">
        <f>ROW()-ROW(RawDataGenPO[[#Headers],[No.]])</f>
        <v/>
      </c>
      <c r="B577" s="7" t="inlineStr">
        <is>
          <t>Expent  cost</t>
        </is>
      </c>
      <c r="C577" s="276" t="n">
        <v>45589</v>
      </c>
      <c r="D577" s="276" t="n"/>
      <c r="E577" s="276" t="n"/>
      <c r="F577" s="276" t="n">
        <v>45589</v>
      </c>
      <c r="G577" s="5" t="inlineStr">
        <is>
          <t>PR2425-04110</t>
        </is>
      </c>
      <c r="H577" s="5" t="inlineStr">
        <is>
          <t>PO2425-04491</t>
        </is>
      </c>
      <c r="I577" s="290">
        <f>IF(RawDataGenPO[[#This Row],[PO No.]]="","",RawDataGenPO[[#This Row],[DMY Create PR]]+7)</f>
        <v/>
      </c>
      <c r="J577" s="290" t="n"/>
      <c r="K577" s="20" t="n">
        <v>20</v>
      </c>
      <c r="L577" s="5" t="inlineStr">
        <is>
          <t>SFST81000050</t>
        </is>
      </c>
      <c r="M577" s="7" t="inlineStr">
        <is>
          <t>Utility Jobs  (Boiler-Air compress-Transformer-LPG)</t>
        </is>
      </c>
      <c r="N577" s="7" t="inlineStr">
        <is>
          <t>Cooling  part</t>
        </is>
      </c>
      <c r="O577" s="11" t="n">
        <v>3</v>
      </c>
      <c r="P577" s="10" t="inlineStr">
        <is>
          <t>"EMERSON" Filter Drier (pcsfilterpiece) EK-3055 (weld) 5/8"</t>
        </is>
      </c>
      <c r="Q577" s="277" t="n">
        <v>4</v>
      </c>
      <c r="R577" s="5" t="inlineStr">
        <is>
          <t>PCS.</t>
        </is>
      </c>
      <c r="S577" s="326">
        <f>RawDataGenPO[[#This Row],[Total price]]/RawDataGenPO[[#This Row],[Qty'']]</f>
        <v/>
      </c>
      <c r="T577" s="327" t="n">
        <v>2660</v>
      </c>
      <c r="U577" s="291" t="n"/>
      <c r="V577" s="7" t="inlineStr">
        <is>
          <t>V1000310 - BOONBAWORN ENGINEERING CO., LTD</t>
        </is>
      </c>
      <c r="W577" s="5" t="inlineStr">
        <is>
          <t>Recive bill and GRN already</t>
        </is>
      </c>
      <c r="X577" s="132" t="inlineStr">
        <is>
          <t>GRN2425-0005169</t>
        </is>
      </c>
      <c r="Y577" s="3" t="n">
        <v>45610</v>
      </c>
      <c r="Z577" s="3" t="n"/>
      <c r="AA577" s="17">
        <f>IF(RawDataGenPO[[#This Row],[Date Gen PO]]="","",RawDataGenPO[[#This Row],[Date recive bill]]-RawDataGenPO[[#This Row],[Date Gen PO]])</f>
        <v/>
      </c>
      <c r="AB577" s="16">
        <f>IF(RawDataGenPO[[#This Row],[GRN-PO date]]&gt;RawDataGenPO[[#This Row],[Lead time delivery (day)]],"over deliverry","Ontime")</f>
        <v/>
      </c>
      <c r="AC577" s="22" t="n"/>
    </row>
    <row r="578" ht="15" customFormat="1" customHeight="1" s="125">
      <c r="A578" s="5">
        <f>ROW()-ROW(RawDataGenPO[[#Headers],[No.]])</f>
        <v/>
      </c>
      <c r="B578" s="7" t="inlineStr">
        <is>
          <t>Expent  cost</t>
        </is>
      </c>
      <c r="C578" s="281" t="n">
        <v>45589</v>
      </c>
      <c r="D578" s="276" t="n"/>
      <c r="E578" s="281" t="n"/>
      <c r="F578" s="281" t="n">
        <v>45589</v>
      </c>
      <c r="G578" s="5" t="inlineStr">
        <is>
          <t>PR2425-04110</t>
        </is>
      </c>
      <c r="H578" s="5" t="inlineStr">
        <is>
          <t>PO2425-04491</t>
        </is>
      </c>
      <c r="I578" s="290">
        <f>IF(RawDataGenPO[[#This Row],[PO No.]]="","",RawDataGenPO[[#This Row],[DMY Create PR]]+7)</f>
        <v/>
      </c>
      <c r="J578" s="290" t="n"/>
      <c r="K578" s="20" t="n">
        <v>120</v>
      </c>
      <c r="L578" s="5" t="inlineStr">
        <is>
          <t>SFST81000050</t>
        </is>
      </c>
      <c r="M578" s="7" t="inlineStr">
        <is>
          <t>Utility Jobs  (Boiler-Air compress-Transformer-LPG)</t>
        </is>
      </c>
      <c r="N578" s="7" t="inlineStr">
        <is>
          <t>Cooling  part</t>
        </is>
      </c>
      <c r="O578" s="11" t="n">
        <v>2</v>
      </c>
      <c r="P578" s="10" t="inlineStr">
        <is>
          <t>"EMERSON" core D-48 air dryer filter core</t>
        </is>
      </c>
      <c r="Q578" s="277" t="n">
        <v>6</v>
      </c>
      <c r="R578" s="5" t="inlineStr">
        <is>
          <t>PCS.</t>
        </is>
      </c>
      <c r="S578" s="292">
        <f>RawDataGenPO[[#This Row],[Total price]]/RawDataGenPO[[#This Row],[Qty'']]</f>
        <v/>
      </c>
      <c r="T578" s="278" t="n">
        <v>3300</v>
      </c>
      <c r="U578" s="291" t="n"/>
      <c r="V578" s="7" t="inlineStr">
        <is>
          <t>V1000310 - BOONBAWORN ENGINEERING CO., LTD</t>
        </is>
      </c>
      <c r="W578" s="5" t="inlineStr">
        <is>
          <t>Recive bill and GRN already</t>
        </is>
      </c>
      <c r="X578" s="132" t="inlineStr">
        <is>
          <t>GRN2425-0007234</t>
        </is>
      </c>
      <c r="Y578" s="3" t="n">
        <v>45706</v>
      </c>
      <c r="Z578" s="3" t="n"/>
      <c r="AA578" s="17">
        <f>IF(RawDataGenPO[[#This Row],[Date Gen PO]]="","",RawDataGenPO[[#This Row],[Date recive bill]]-RawDataGenPO[[#This Row],[Date Gen PO]])</f>
        <v/>
      </c>
      <c r="AB578" s="16">
        <f>IF(RawDataGenPO[[#This Row],[GRN-PO date]]&gt;RawDataGenPO[[#This Row],[Lead time delivery (day)]],"over deliverry","Ontime")</f>
        <v/>
      </c>
      <c r="AC578" s="22" t="n"/>
    </row>
    <row r="579" ht="30" customFormat="1" customHeight="1" s="125">
      <c r="A579" s="5">
        <f>ROW()-ROW(RawDataGenPO[[#Headers],[No.]])</f>
        <v/>
      </c>
      <c r="B579" s="7" t="inlineStr">
        <is>
          <t>Expent  cost</t>
        </is>
      </c>
      <c r="C579" s="301" t="n">
        <v>45595</v>
      </c>
      <c r="D579" s="276" t="n"/>
      <c r="E579" s="281" t="n"/>
      <c r="F579" s="301" t="n">
        <v>45595</v>
      </c>
      <c r="G579" s="5" t="inlineStr">
        <is>
          <t>PR2425-04200</t>
        </is>
      </c>
      <c r="H579" s="5" t="inlineStr">
        <is>
          <t>PO2425-04717</t>
        </is>
      </c>
      <c r="I579" s="290">
        <f>IF(RawDataGenPO[[#This Row],[PO No.]]="","",RawDataGenPO[[#This Row],[DMY Create PR]]+7)</f>
        <v/>
      </c>
      <c r="J579" s="290" t="n"/>
      <c r="K579" s="20" t="n">
        <v>20</v>
      </c>
      <c r="L579" s="5" t="inlineStr">
        <is>
          <t>SFST81000050</t>
        </is>
      </c>
      <c r="M579" s="7" t="inlineStr">
        <is>
          <t>Safety equipment</t>
        </is>
      </c>
      <c r="N579" s="7" t="inlineStr">
        <is>
          <t>Tool and Equipment</t>
        </is>
      </c>
      <c r="O579" s="11" t="n">
        <v>1</v>
      </c>
      <c r="P579" s="10" t="inlineStr">
        <is>
          <t>"UK SAFETY" model OXFORD safety shoes composite toe Kevlar sole
Size: 43 = 1 / 45 = 2</t>
        </is>
      </c>
      <c r="Q579" s="277" t="n">
        <v>3</v>
      </c>
      <c r="R579" s="5" t="inlineStr">
        <is>
          <t>PCS.</t>
        </is>
      </c>
      <c r="S579" s="292">
        <f>RawDataGenPO[[#This Row],[Total price]]/RawDataGenPO[[#This Row],[Qty'']]</f>
        <v/>
      </c>
      <c r="T579" s="278" t="n">
        <v>2250</v>
      </c>
      <c r="U579" s="291" t="n"/>
      <c r="V579" s="7" t="inlineStr">
        <is>
          <t xml:space="preserve"> V1000556 - Team Safety Sales Co., Ltd.</t>
        </is>
      </c>
      <c r="W579" s="5" t="inlineStr">
        <is>
          <t>Recive bill and GRN already</t>
        </is>
      </c>
      <c r="X579" s="5" t="n"/>
      <c r="Y579" s="3" t="n">
        <v>45621</v>
      </c>
      <c r="Z579" s="3" t="n"/>
      <c r="AA579" s="17">
        <f>IF(RawDataGenPO[[#This Row],[Date Gen PO]]="","",RawDataGenPO[[#This Row],[Date recive bill]]-RawDataGenPO[[#This Row],[Date Gen PO]])</f>
        <v/>
      </c>
      <c r="AB579" s="16">
        <f>IF(RawDataGenPO[[#This Row],[GRN-PO date]]&gt;RawDataGenPO[[#This Row],[Lead time delivery (day)]],"over deliverry","Ontime")</f>
        <v/>
      </c>
      <c r="AC579" s="22" t="n"/>
    </row>
    <row r="580" ht="15" customHeight="1">
      <c r="A580" s="5">
        <f>ROW()-ROW(RawDataGenPO[[#Headers],[No.]])</f>
        <v/>
      </c>
      <c r="B580" s="7" t="inlineStr">
        <is>
          <t>Expent  cost</t>
        </is>
      </c>
      <c r="C580" s="301" t="n">
        <v>45595</v>
      </c>
      <c r="E580" s="281" t="n"/>
      <c r="F580" s="301" t="n">
        <v>45595</v>
      </c>
      <c r="G580" s="5" t="inlineStr">
        <is>
          <t>PR2425-04200</t>
        </is>
      </c>
      <c r="H580" s="5" t="inlineStr">
        <is>
          <t>PO2425-04717</t>
        </is>
      </c>
      <c r="I580" s="290">
        <f>IF(RawDataGenPO[[#This Row],[PO No.]]="","",RawDataGenPO[[#This Row],[DMY Create PR]]+7)</f>
        <v/>
      </c>
      <c r="J580" s="290" t="n"/>
      <c r="K580" s="20" t="n">
        <v>90</v>
      </c>
      <c r="L580" s="5" t="inlineStr">
        <is>
          <t>SFST81000050</t>
        </is>
      </c>
      <c r="M580" s="7" t="inlineStr">
        <is>
          <t>Safety equipment</t>
        </is>
      </c>
      <c r="N580" s="7" t="inlineStr">
        <is>
          <t>Tool and Equipment</t>
        </is>
      </c>
      <c r="O580" s="11" t="n">
        <v>2</v>
      </c>
      <c r="P580" s="10" t="inlineStr">
        <is>
          <t>Delivery charge</t>
        </is>
      </c>
      <c r="Q580" s="277" t="n">
        <v>1</v>
      </c>
      <c r="R580" s="5" t="inlineStr">
        <is>
          <t>PCS.</t>
        </is>
      </c>
      <c r="S580" s="292">
        <f>RawDataGenPO[[#This Row],[Total price]]/RawDataGenPO[[#This Row],[Qty'']]</f>
        <v/>
      </c>
      <c r="T580" s="278" t="n">
        <v>250</v>
      </c>
      <c r="U580" s="291" t="n"/>
      <c r="V580" s="7" t="inlineStr">
        <is>
          <t xml:space="preserve"> V1000556 - Team Safety Sales Co., Ltd.</t>
        </is>
      </c>
      <c r="W580" s="5" t="inlineStr">
        <is>
          <t>Recive bill and GRN already</t>
        </is>
      </c>
      <c r="Y580" s="3" t="n">
        <v>45621</v>
      </c>
      <c r="AA580" s="17">
        <f>IF(RawDataGenPO[[#This Row],[Date Gen PO]]="","",RawDataGenPO[[#This Row],[Date recive bill]]-RawDataGenPO[[#This Row],[Date Gen PO]])</f>
        <v/>
      </c>
      <c r="AB580" s="16">
        <f>IF(RawDataGenPO[[#This Row],[GRN-PO date]]&gt;RawDataGenPO[[#This Row],[Lead time delivery (day)]],"over deliverry","Ontime")</f>
        <v/>
      </c>
      <c r="AC580" s="22" t="n"/>
    </row>
    <row r="581" ht="15" customHeight="1">
      <c r="A581" s="5">
        <f>ROW()-ROW(RawDataGenPO[[#Headers],[No.]])</f>
        <v/>
      </c>
      <c r="B581" s="7" t="inlineStr">
        <is>
          <t>Expent  cost</t>
        </is>
      </c>
      <c r="C581" s="301" t="n">
        <v>45595</v>
      </c>
      <c r="E581" s="281" t="n"/>
      <c r="F581" s="301" t="n">
        <v>45595</v>
      </c>
      <c r="G581" s="5" t="inlineStr">
        <is>
          <t>PR2425-04201</t>
        </is>
      </c>
      <c r="H581" s="5" t="inlineStr">
        <is>
          <t>PO2425-04725</t>
        </is>
      </c>
      <c r="I581" s="290">
        <f>IF(RawDataGenPO[[#This Row],[PO No.]]="","",RawDataGenPO[[#This Row],[DMY Create PR]]+7)</f>
        <v/>
      </c>
      <c r="J581" s="290" t="n"/>
      <c r="K581" s="20">
        <f>IF(RawDataGenPO[[#This Row],[PO No.]]="","",10)</f>
        <v/>
      </c>
      <c r="L581" s="5" t="inlineStr">
        <is>
          <t>SFST81000009</t>
        </is>
      </c>
      <c r="M581" s="7" t="inlineStr">
        <is>
          <t>Tool and Equipment PD M/C</t>
        </is>
      </c>
      <c r="N581" s="7" t="inlineStr">
        <is>
          <t>Electrical jobs</t>
        </is>
      </c>
      <c r="O581" s="11" t="n">
        <v>1</v>
      </c>
      <c r="P581" s="10" t="inlineStr">
        <is>
          <t>"HACO" CC20 20 mm. pipe saddle clamp (1box/100pcs) white</t>
        </is>
      </c>
      <c r="Q581" s="277" t="n">
        <v>100</v>
      </c>
      <c r="R581" s="5" t="inlineStr">
        <is>
          <t>PCS.</t>
        </is>
      </c>
      <c r="S581" s="292">
        <f>RawDataGenPO[[#This Row],[Total price]]/RawDataGenPO[[#This Row],[Qty'']]</f>
        <v/>
      </c>
      <c r="T581" s="278" t="n">
        <v>240</v>
      </c>
      <c r="U581" s="291" t="n"/>
      <c r="V581" s="7" t="inlineStr">
        <is>
          <t>V1000276 - SN. ELECTRIC AND SUPPLY CO., LTD.</t>
        </is>
      </c>
      <c r="W581" s="5" t="inlineStr">
        <is>
          <t>Recive bill and GRN already</t>
        </is>
      </c>
      <c r="Y581" s="3" t="n">
        <v>45609</v>
      </c>
      <c r="AA581" s="17">
        <f>IF(RawDataGenPO[[#This Row],[Date Gen PO]]="","",RawDataGenPO[[#This Row],[Date recive bill]]-RawDataGenPO[[#This Row],[Date Gen PO]])</f>
        <v/>
      </c>
      <c r="AB581" s="16">
        <f>IF(RawDataGenPO[[#This Row],[GRN-PO date]]&gt;RawDataGenPO[[#This Row],[Lead time delivery (day)]],"over deliverry","Ontime")</f>
        <v/>
      </c>
      <c r="AC581" s="22" t="n"/>
    </row>
    <row r="582" ht="53.40000152587891" customHeight="1">
      <c r="A582" s="5">
        <f>ROW()-ROW(RawDataGenPO[[#Headers],[No.]])</f>
        <v/>
      </c>
      <c r="B582" s="7" t="inlineStr">
        <is>
          <t>Expent  cost</t>
        </is>
      </c>
      <c r="C582" s="301" t="n">
        <v>45595</v>
      </c>
      <c r="E582" s="281" t="n"/>
      <c r="F582" s="301" t="n">
        <v>45595</v>
      </c>
      <c r="G582" s="5" t="inlineStr">
        <is>
          <t>PR2425-04201</t>
        </is>
      </c>
      <c r="H582" s="5" t="inlineStr">
        <is>
          <t>PO2425-04725</t>
        </is>
      </c>
      <c r="I582" s="290">
        <f>IF(RawDataGenPO[[#This Row],[PO No.]]="","",RawDataGenPO[[#This Row],[DMY Create PR]]+7)</f>
        <v/>
      </c>
      <c r="J582" s="290" t="n"/>
      <c r="K582" s="20">
        <f>IF(RawDataGenPO[[#This Row],[PO No.]]="","",10)</f>
        <v/>
      </c>
      <c r="L582" s="5" t="inlineStr">
        <is>
          <t>SFST81000009</t>
        </is>
      </c>
      <c r="M582" s="7" t="inlineStr">
        <is>
          <t>Tool and Equipment PD M/C</t>
        </is>
      </c>
      <c r="N582" s="7" t="inlineStr">
        <is>
          <t>Electrical jobs</t>
        </is>
      </c>
      <c r="O582" s="11" t="n">
        <v>2</v>
      </c>
      <c r="P582" s="10" t="inlineStr">
        <is>
          <t>HACO BC20 20 mm. connector (1box/100pcs) white</t>
        </is>
      </c>
      <c r="Q582" s="277" t="n">
        <v>100</v>
      </c>
      <c r="R582" s="5" t="inlineStr">
        <is>
          <t>PCS.</t>
        </is>
      </c>
      <c r="S582" s="292">
        <f>RawDataGenPO[[#This Row],[Total price]]/RawDataGenPO[[#This Row],[Qty'']]</f>
        <v/>
      </c>
      <c r="T582" s="278" t="n">
        <v>480</v>
      </c>
      <c r="U582" s="291" t="n"/>
      <c r="V582" s="7" t="inlineStr">
        <is>
          <t>V1000276 - SN. ELECTRIC AND SUPPLY CO., LTD.</t>
        </is>
      </c>
      <c r="W582" s="5" t="inlineStr">
        <is>
          <t>Recive bill and GRN already</t>
        </is>
      </c>
      <c r="Y582" s="3" t="n">
        <v>45609</v>
      </c>
      <c r="AA582" s="17">
        <f>IF(RawDataGenPO[[#This Row],[Date Gen PO]]="","",RawDataGenPO[[#This Row],[Date recive bill]]-RawDataGenPO[[#This Row],[Date Gen PO]])</f>
        <v/>
      </c>
      <c r="AB582" s="16">
        <f>IF(RawDataGenPO[[#This Row],[GRN-PO date]]&gt;RawDataGenPO[[#This Row],[Lead time delivery (day)]],"over deliverry","Ontime")</f>
        <v/>
      </c>
      <c r="AC582" s="22" t="n"/>
    </row>
    <row r="583" ht="15" customHeight="1">
      <c r="A583" s="5">
        <f>ROW()-ROW(RawDataGenPO[[#Headers],[No.]])</f>
        <v/>
      </c>
      <c r="B583" s="7" t="inlineStr">
        <is>
          <t>Expent  cost</t>
        </is>
      </c>
      <c r="C583" s="301" t="n">
        <v>45595</v>
      </c>
      <c r="E583" s="281" t="n"/>
      <c r="F583" s="301" t="n">
        <v>45595</v>
      </c>
      <c r="G583" s="169" t="inlineStr">
        <is>
          <t>PR2425-04201</t>
        </is>
      </c>
      <c r="H583" s="5" t="inlineStr">
        <is>
          <t>PO2425-04725</t>
        </is>
      </c>
      <c r="I583" s="290">
        <f>IF(RawDataGenPO[[#This Row],[PO No.]]="","",RawDataGenPO[[#This Row],[DMY Create PR]]+7)</f>
        <v/>
      </c>
      <c r="J583" s="290" t="n"/>
      <c r="K583" s="20">
        <f>IF(RawDataGenPO[[#This Row],[PO No.]]="","",10)</f>
        <v/>
      </c>
      <c r="L583" s="5" t="inlineStr">
        <is>
          <t>SFST81000009</t>
        </is>
      </c>
      <c r="M583" s="7" t="inlineStr">
        <is>
          <t>Tool and Equipment PD M/C</t>
        </is>
      </c>
      <c r="N583" s="7" t="inlineStr">
        <is>
          <t>Electrical jobs</t>
        </is>
      </c>
      <c r="O583" s="11" t="n">
        <v>3</v>
      </c>
      <c r="P583" s="10" t="inlineStr">
        <is>
          <t>"HACO" EC20 20 mm. length 2.9 m. electrical conduit pipesize white</t>
        </is>
      </c>
      <c r="Q583" s="277" t="n">
        <v>15</v>
      </c>
      <c r="R583" s="5" t="inlineStr">
        <is>
          <t>PCS.</t>
        </is>
      </c>
      <c r="S583" s="292">
        <f>RawDataGenPO[[#This Row],[Total price]]/RawDataGenPO[[#This Row],[Qty'']]</f>
        <v/>
      </c>
      <c r="T583" s="278" t="n">
        <v>570</v>
      </c>
      <c r="U583" s="291" t="n"/>
      <c r="V583" s="7" t="inlineStr">
        <is>
          <t>V1000276 - SN. ELECTRIC AND SUPPLY CO., LTD.</t>
        </is>
      </c>
      <c r="W583" s="5" t="inlineStr">
        <is>
          <t>Recive bill and GRN already</t>
        </is>
      </c>
      <c r="Y583" s="3" t="n">
        <v>45609</v>
      </c>
      <c r="AA583" s="17">
        <f>IF(RawDataGenPO[[#This Row],[Date Gen PO]]="","",RawDataGenPO[[#This Row],[Date recive bill]]-RawDataGenPO[[#This Row],[Date Gen PO]])</f>
        <v/>
      </c>
      <c r="AB583" s="16">
        <f>IF(RawDataGenPO[[#This Row],[GRN-PO date]]&gt;RawDataGenPO[[#This Row],[Lead time delivery (day)]],"over deliverry","Ontime")</f>
        <v/>
      </c>
      <c r="AC583" s="22" t="n"/>
    </row>
    <row r="584" ht="15" customHeight="1">
      <c r="A584" s="5">
        <f>ROW()-ROW(RawDataGenPO[[#Headers],[No.]])</f>
        <v/>
      </c>
      <c r="B584" s="7" t="inlineStr">
        <is>
          <t>Expent  cost</t>
        </is>
      </c>
      <c r="C584" s="301" t="n">
        <v>45595</v>
      </c>
      <c r="E584" s="281" t="n"/>
      <c r="F584" s="301" t="n">
        <v>45595</v>
      </c>
      <c r="G584" s="169" t="inlineStr">
        <is>
          <t>PR2425-04213</t>
        </is>
      </c>
      <c r="H584" s="5" t="inlineStr">
        <is>
          <t>PO2425-04726</t>
        </is>
      </c>
      <c r="I584" s="290">
        <f>IF(RawDataGenPO[[#This Row],[PO No.]]="","",RawDataGenPO[[#This Row],[DMY Create PR]]+7)</f>
        <v/>
      </c>
      <c r="J584" s="290" t="n"/>
      <c r="K584" s="20">
        <f>IF(RawDataGenPO[[#This Row],[PO No.]]="","",10)</f>
        <v/>
      </c>
      <c r="L584" s="5" t="inlineStr">
        <is>
          <t>SFST81000009</t>
        </is>
      </c>
      <c r="M584" s="7" t="inlineStr">
        <is>
          <t>Tool and Equipment PD M/C</t>
        </is>
      </c>
      <c r="N584" s="7" t="inlineStr">
        <is>
          <t>Electrical jobs</t>
        </is>
      </c>
      <c r="O584" s="11" t="n">
        <v>1</v>
      </c>
      <c r="P584" s="10" t="inlineStr">
        <is>
          <t>"Panasonic" WEG5001K WIDE SERIES 16A 250V</t>
        </is>
      </c>
      <c r="Q584" s="277" t="n">
        <v>10</v>
      </c>
      <c r="R584" s="5" t="inlineStr">
        <is>
          <t>PCS.</t>
        </is>
      </c>
      <c r="S584" s="292">
        <f>RawDataGenPO[[#This Row],[Total price]]/RawDataGenPO[[#This Row],[Qty'']]</f>
        <v/>
      </c>
      <c r="T584" s="278" t="n">
        <v>290</v>
      </c>
      <c r="U584" s="291" t="n"/>
      <c r="V584" s="7" t="inlineStr">
        <is>
          <t>V1000276 - SN. ELECTRIC AND SUPPLY CO., LTD.</t>
        </is>
      </c>
      <c r="W584" s="5" t="inlineStr">
        <is>
          <t>Recive bill and GRN already</t>
        </is>
      </c>
      <c r="Y584" s="3" t="n">
        <v>45609</v>
      </c>
      <c r="AA584" s="17">
        <f>IF(RawDataGenPO[[#This Row],[Date Gen PO]]="","",RawDataGenPO[[#This Row],[Date recive bill]]-RawDataGenPO[[#This Row],[Date Gen PO]])</f>
        <v/>
      </c>
      <c r="AB584" s="16">
        <f>IF(RawDataGenPO[[#This Row],[GRN-PO date]]&gt;RawDataGenPO[[#This Row],[Lead time delivery (day)]],"over deliverry","Ontime")</f>
        <v/>
      </c>
      <c r="AC584" s="22" t="n"/>
    </row>
    <row r="585" ht="15" customHeight="1">
      <c r="A585" s="5">
        <f>ROW()-ROW(RawDataGenPO[[#Headers],[No.]])</f>
        <v/>
      </c>
      <c r="B585" s="7" t="inlineStr">
        <is>
          <t>Expent  cost</t>
        </is>
      </c>
      <c r="C585" s="301" t="n">
        <v>45595</v>
      </c>
      <c r="E585" s="281" t="n"/>
      <c r="F585" s="301" t="n">
        <v>45595</v>
      </c>
      <c r="G585" s="5" t="inlineStr">
        <is>
          <t>PR2425-04213</t>
        </is>
      </c>
      <c r="H585" s="5" t="inlineStr">
        <is>
          <t>PO2425-04726</t>
        </is>
      </c>
      <c r="I585" s="290">
        <f>IF(RawDataGenPO[[#This Row],[PO No.]]="","",RawDataGenPO[[#This Row],[DMY Create PR]]+7)</f>
        <v/>
      </c>
      <c r="J585" s="290" t="n"/>
      <c r="K585" s="20">
        <f>IF(RawDataGenPO[[#This Row],[PO No.]]="","",10)</f>
        <v/>
      </c>
      <c r="L585" s="5" t="inlineStr">
        <is>
          <t>SFST81000009</t>
        </is>
      </c>
      <c r="M585" s="7" t="inlineStr">
        <is>
          <t>Tool and Equipment PD M/C</t>
        </is>
      </c>
      <c r="N585" s="7" t="inlineStr">
        <is>
          <t>Electrical jobs</t>
        </is>
      </c>
      <c r="O585" s="11" t="n">
        <v>2</v>
      </c>
      <c r="P585" s="10" t="inlineStr">
        <is>
          <t>"Panasonic" WEG6801WK WIDE 1-gang plastic cover white</t>
        </is>
      </c>
      <c r="Q585" s="277" t="n">
        <v>10</v>
      </c>
      <c r="R585" s="5" t="inlineStr">
        <is>
          <t>PCS.</t>
        </is>
      </c>
      <c r="S585" s="292">
        <f>RawDataGenPO[[#This Row],[Total price]]/RawDataGenPO[[#This Row],[Qty'']]</f>
        <v/>
      </c>
      <c r="T585" s="278" t="n">
        <v>190</v>
      </c>
      <c r="U585" s="291" t="n"/>
      <c r="V585" s="7" t="inlineStr">
        <is>
          <t>V1000276 - SN. ELECTRIC AND SUPPLY CO., LTD.</t>
        </is>
      </c>
      <c r="W585" s="5" t="inlineStr">
        <is>
          <t>Recive bill and GRN already</t>
        </is>
      </c>
      <c r="Y585" s="3" t="n">
        <v>45609</v>
      </c>
      <c r="AA585" s="17">
        <f>IF(RawDataGenPO[[#This Row],[Date Gen PO]]="","",RawDataGenPO[[#This Row],[Date recive bill]]-RawDataGenPO[[#This Row],[Date Gen PO]])</f>
        <v/>
      </c>
      <c r="AB585" s="16">
        <f>IF(RawDataGenPO[[#This Row],[GRN-PO date]]&gt;RawDataGenPO[[#This Row],[Lead time delivery (day)]],"over deliverry","Ontime")</f>
        <v/>
      </c>
      <c r="AC585" s="22" t="n"/>
    </row>
    <row r="586" ht="15" customFormat="1" customHeight="1" s="125">
      <c r="A586" s="5">
        <f>ROW()-ROW(RawDataGenPO[[#Headers],[No.]])</f>
        <v/>
      </c>
      <c r="B586" s="7" t="inlineStr">
        <is>
          <t>Expent  cost</t>
        </is>
      </c>
      <c r="C586" s="301" t="n">
        <v>45595</v>
      </c>
      <c r="D586" s="276" t="n"/>
      <c r="E586" s="281" t="n"/>
      <c r="F586" s="301" t="n">
        <v>45595</v>
      </c>
      <c r="G586" s="5" t="inlineStr">
        <is>
          <t>PR2425-04213</t>
        </is>
      </c>
      <c r="H586" s="5" t="inlineStr">
        <is>
          <t>PO2425-04726</t>
        </is>
      </c>
      <c r="I586" s="290">
        <f>IF(RawDataGenPO[[#This Row],[PO No.]]="","",RawDataGenPO[[#This Row],[DMY Create PR]]+7)</f>
        <v/>
      </c>
      <c r="J586" s="290" t="n"/>
      <c r="K586" s="20">
        <f>IF(RawDataGenPO[[#This Row],[PO No.]]="","",10)</f>
        <v/>
      </c>
      <c r="L586" s="5" t="inlineStr">
        <is>
          <t>SFST81000009</t>
        </is>
      </c>
      <c r="M586" s="7" t="inlineStr">
        <is>
          <t>Tool and Equipment PD M/C</t>
        </is>
      </c>
      <c r="N586" s="7" t="inlineStr">
        <is>
          <t>Electrical jobs</t>
        </is>
      </c>
      <c r="O586" s="11" t="n">
        <v>3</v>
      </c>
      <c r="P586" s="10" t="inlineStr">
        <is>
          <t>"Nano" PVC Box surface-mounted 2x4" surface-mounted single plastic box white</t>
        </is>
      </c>
      <c r="Q586" s="277" t="n">
        <v>10</v>
      </c>
      <c r="R586" s="5" t="inlineStr">
        <is>
          <t>PCS.</t>
        </is>
      </c>
      <c r="S586" s="292">
        <f>RawDataGenPO[[#This Row],[Total price]]/RawDataGenPO[[#This Row],[Qty'']]</f>
        <v/>
      </c>
      <c r="T586" s="278" t="n">
        <v>100</v>
      </c>
      <c r="U586" s="291" t="n"/>
      <c r="V586" s="7" t="inlineStr">
        <is>
          <t>V1000276 - SN. ELECTRIC AND SUPPLY CO., LTD.</t>
        </is>
      </c>
      <c r="W586" s="5" t="inlineStr">
        <is>
          <t>Recive bill and GRN already</t>
        </is>
      </c>
      <c r="X586" s="5" t="n"/>
      <c r="Y586" s="3" t="n">
        <v>45609</v>
      </c>
      <c r="Z586" s="3" t="n"/>
      <c r="AA586" s="17">
        <f>IF(RawDataGenPO[[#This Row],[Date Gen PO]]="","",RawDataGenPO[[#This Row],[Date recive bill]]-RawDataGenPO[[#This Row],[Date Gen PO]])</f>
        <v/>
      </c>
      <c r="AB586" s="16">
        <f>IF(RawDataGenPO[[#This Row],[GRN-PO date]]&gt;RawDataGenPO[[#This Row],[Lead time delivery (day)]],"over deliverry","Ontime")</f>
        <v/>
      </c>
      <c r="AC586" s="22" t="n"/>
    </row>
    <row r="587" ht="15" customFormat="1" customHeight="1" s="125">
      <c r="A587" s="5">
        <f>ROW()-ROW(RawDataGenPO[[#Headers],[No.]])</f>
        <v/>
      </c>
      <c r="B587" s="7" t="inlineStr">
        <is>
          <t>Expent  cost</t>
        </is>
      </c>
      <c r="C587" s="281" t="n">
        <v>45589</v>
      </c>
      <c r="D587" s="276" t="n"/>
      <c r="E587" s="281" t="n"/>
      <c r="F587" s="281" t="n">
        <v>45589</v>
      </c>
      <c r="G587" s="276" t="inlineStr">
        <is>
          <t>PR2425-04113</t>
        </is>
      </c>
      <c r="H587" s="5" t="inlineStr">
        <is>
          <t>PO2425-04492</t>
        </is>
      </c>
      <c r="I587" s="286">
        <f>IF(RawDataGenPO[[#This Row],[PO No.]]="","",RawDataGenPO[[#This Row],[DMY Create PR]]+7)</f>
        <v/>
      </c>
      <c r="J587" s="286" t="n"/>
      <c r="K587" s="77" t="n">
        <v>120</v>
      </c>
      <c r="L587" s="5" t="inlineStr">
        <is>
          <t>SFST81000050</t>
        </is>
      </c>
      <c r="M587" s="7" t="inlineStr">
        <is>
          <t>Utility Jobs  (Boiler-Air compress-Transformer-LPG)</t>
        </is>
      </c>
      <c r="N587" s="7" t="inlineStr">
        <is>
          <t>Cooling system jobs</t>
        </is>
      </c>
      <c r="O587" s="11" t="n">
        <v>1</v>
      </c>
      <c r="P587" s="10" t="inlineStr">
        <is>
          <t>P.C.B Inverter Trane Model: TYA200JD00AA</t>
        </is>
      </c>
      <c r="Q587" s="277" t="n">
        <v>1</v>
      </c>
      <c r="R587" s="5" t="inlineStr">
        <is>
          <t>PCS.</t>
        </is>
      </c>
      <c r="S587" s="292">
        <f>RawDataGenPO[[#This Row],[Total price]]/RawDataGenPO[[#This Row],[Qty'']]</f>
        <v/>
      </c>
      <c r="T587" s="278" t="n">
        <v>21400</v>
      </c>
      <c r="U587" s="291" t="n"/>
      <c r="V587" s="7" t="inlineStr">
        <is>
          <t>V1000682 - Ratchanee Kamyuang</t>
        </is>
      </c>
      <c r="W587" s="5" t="inlineStr">
        <is>
          <t xml:space="preserve">Waitting Supplier transportation </t>
        </is>
      </c>
      <c r="X587" s="5" t="n"/>
      <c r="Y587" s="3" t="n"/>
      <c r="Z587" s="3" t="n"/>
      <c r="AA587" s="17">
        <f>IF(RawDataGenPO[[#This Row],[Date Gen PO]]="","",RawDataGenPO[[#This Row],[Date recive bill]]-RawDataGenPO[[#This Row],[Date Gen PO]])</f>
        <v/>
      </c>
      <c r="AB587" s="16">
        <f>IF(RawDataGenPO[[#This Row],[GRN-PO date]]&gt;RawDataGenPO[[#This Row],[Lead time delivery (day)]],"over deliverry","Ontime")</f>
        <v/>
      </c>
      <c r="AC587" s="22" t="n"/>
    </row>
    <row r="588" ht="15" customFormat="1" customHeight="1" s="125">
      <c r="A588" s="5">
        <f>ROW()-ROW(RawDataGenPO[[#Headers],[No.]])</f>
        <v/>
      </c>
      <c r="B588" s="7" t="inlineStr">
        <is>
          <t>Expent  cost</t>
        </is>
      </c>
      <c r="C588" s="281" t="n">
        <v>45589</v>
      </c>
      <c r="D588" s="276" t="n"/>
      <c r="E588" s="281" t="n"/>
      <c r="F588" s="281" t="n">
        <v>45589</v>
      </c>
      <c r="G588" s="276" t="inlineStr">
        <is>
          <t>PR2425-04113</t>
        </is>
      </c>
      <c r="H588" s="5" t="inlineStr">
        <is>
          <t>PO2425-04492</t>
        </is>
      </c>
      <c r="I588" s="290">
        <f>IF(RawDataGenPO[[#This Row],[PO No.]]="","",RawDataGenPO[[#This Row],[DMY Create PR]]+7)</f>
        <v/>
      </c>
      <c r="J588" s="290" t="n"/>
      <c r="K588" s="20" t="n">
        <v>90</v>
      </c>
      <c r="L588" s="5" t="inlineStr">
        <is>
          <t>SFST81000050</t>
        </is>
      </c>
      <c r="M588" s="7" t="inlineStr">
        <is>
          <t>Utility Jobs  (Boiler-Air compress-Transformer-LPG)</t>
        </is>
      </c>
      <c r="N588" s="7" t="inlineStr">
        <is>
          <t>Cooling system jobs</t>
        </is>
      </c>
      <c r="O588" s="11" t="n">
        <v>2</v>
      </c>
      <c r="P588" s="10" t="inlineStr">
        <is>
          <t>labor costandService charge</t>
        </is>
      </c>
      <c r="Q588" s="277" t="n">
        <v>1</v>
      </c>
      <c r="R588" s="5" t="inlineStr">
        <is>
          <t>PCS.</t>
        </is>
      </c>
      <c r="S588" s="292">
        <f>RawDataGenPO[[#This Row],[Total price]]/RawDataGenPO[[#This Row],[Qty'']]</f>
        <v/>
      </c>
      <c r="T588" s="278" t="n">
        <v>2500</v>
      </c>
      <c r="U588" s="291" t="n"/>
      <c r="V588" s="7" t="inlineStr">
        <is>
          <t>V1000682 - Ratchanee Kamyuang</t>
        </is>
      </c>
      <c r="W588" s="30" t="inlineStr">
        <is>
          <t>Recive bill and GRN already</t>
        </is>
      </c>
      <c r="X588" s="5" t="n"/>
      <c r="Y588" s="3" t="n">
        <v>45679</v>
      </c>
      <c r="Z588" s="3" t="n"/>
      <c r="AA588" s="17">
        <f>IF(RawDataGenPO[[#This Row],[Date Gen PO]]="","",RawDataGenPO[[#This Row],[Date recive bill]]-RawDataGenPO[[#This Row],[Date Gen PO]])</f>
        <v/>
      </c>
      <c r="AB588" s="16">
        <f>IF(RawDataGenPO[[#This Row],[GRN-PO date]]&gt;RawDataGenPO[[#This Row],[Lead time delivery (day)]],"over deliverry","Ontime")</f>
        <v/>
      </c>
      <c r="AC588" s="22" t="n"/>
    </row>
    <row r="589" ht="15" customFormat="1" customHeight="1" s="125">
      <c r="A589" s="5">
        <f>ROW()-ROW(RawDataGenPO[[#Headers],[No.]])</f>
        <v/>
      </c>
      <c r="B589" s="7" t="inlineStr">
        <is>
          <t>Expent  cost</t>
        </is>
      </c>
      <c r="C589" s="281" t="n">
        <v>45589</v>
      </c>
      <c r="D589" s="276" t="n"/>
      <c r="E589" s="281" t="n"/>
      <c r="F589" s="281" t="n">
        <v>45589</v>
      </c>
      <c r="G589" s="5" t="inlineStr">
        <is>
          <t xml:space="preserve">PR2425-04111 </t>
        </is>
      </c>
      <c r="H589" s="5" t="inlineStr">
        <is>
          <t xml:space="preserve">PO2425-04588 </t>
        </is>
      </c>
      <c r="I589" s="290">
        <f>IF(RawDataGenPO[[#This Row],[PO No.]]="","",RawDataGenPO[[#This Row],[DMY Create PR]]+7)</f>
        <v/>
      </c>
      <c r="J589" s="290" t="n"/>
      <c r="K589" s="20" t="n">
        <v>60</v>
      </c>
      <c r="L589" s="5" t="inlineStr">
        <is>
          <t>SFST81000050</t>
        </is>
      </c>
      <c r="M589" s="7" t="inlineStr">
        <is>
          <t>Tool and Equipment PD M/C</t>
        </is>
      </c>
      <c r="N589" s="7" t="inlineStr">
        <is>
          <t>Cooling  part</t>
        </is>
      </c>
      <c r="O589" s="11" t="n">
        <v>1</v>
      </c>
      <c r="P589" s="10" t="inlineStr">
        <is>
          <t>Type: Aluminum filter, AL Size: 289x594x44 mm</t>
        </is>
      </c>
      <c r="Q589" s="277" t="n">
        <v>2</v>
      </c>
      <c r="R589" s="5" t="inlineStr">
        <is>
          <t>PCS.</t>
        </is>
      </c>
      <c r="S589" s="292">
        <f>RawDataGenPO[[#This Row],[Total price]]/RawDataGenPO[[#This Row],[Qty'']]</f>
        <v/>
      </c>
      <c r="T589" s="278" t="n">
        <v>900</v>
      </c>
      <c r="U589" s="291" t="n"/>
      <c r="V589" s="7" t="inlineStr">
        <is>
          <t>V1000699 - FILTECH PLUS ENGINEERING COMPANY LIMITED</t>
        </is>
      </c>
      <c r="W589" s="30" t="inlineStr">
        <is>
          <t>Recive bill and GRN already</t>
        </is>
      </c>
      <c r="X589" s="5" t="n"/>
      <c r="Y589" s="3" t="n">
        <v>45643</v>
      </c>
      <c r="Z589" s="3" t="n"/>
      <c r="AA589" s="17">
        <f>IF(RawDataGenPO[[#This Row],[Date Gen PO]]="","",RawDataGenPO[[#This Row],[Date recive bill]]-RawDataGenPO[[#This Row],[Date Gen PO]])</f>
        <v/>
      </c>
      <c r="AB589" s="16">
        <f>IF(RawDataGenPO[[#This Row],[GRN-PO date]]&gt;RawDataGenPO[[#This Row],[Lead time delivery (day)]],"over deliverry","Ontime")</f>
        <v/>
      </c>
      <c r="AC589" s="22" t="n"/>
    </row>
    <row r="590" ht="15" customFormat="1" customHeight="1" s="125">
      <c r="A590" s="5">
        <f>ROW()-ROW(RawDataGenPO[[#Headers],[No.]])</f>
        <v/>
      </c>
      <c r="B590" s="7" t="inlineStr">
        <is>
          <t>Expent  cost</t>
        </is>
      </c>
      <c r="C590" s="281" t="n">
        <v>45589</v>
      </c>
      <c r="D590" s="276" t="n"/>
      <c r="E590" s="281" t="n"/>
      <c r="F590" s="281" t="n">
        <v>45589</v>
      </c>
      <c r="G590" s="5" t="inlineStr">
        <is>
          <t xml:space="preserve">PR2425-04111 </t>
        </is>
      </c>
      <c r="H590" s="5" t="inlineStr">
        <is>
          <t xml:space="preserve">PO2425-04588 </t>
        </is>
      </c>
      <c r="I590" s="290">
        <f>IF(RawDataGenPO[[#This Row],[PO No.]]="","",RawDataGenPO[[#This Row],[DMY Create PR]]+7)</f>
        <v/>
      </c>
      <c r="J590" s="290" t="n"/>
      <c r="K590" s="20" t="n">
        <v>60</v>
      </c>
      <c r="L590" s="5" t="inlineStr">
        <is>
          <t>SFST81000050</t>
        </is>
      </c>
      <c r="M590" s="7" t="inlineStr">
        <is>
          <t>Tool and Equipment PD M/C</t>
        </is>
      </c>
      <c r="N590" s="7" t="inlineStr">
        <is>
          <t>Cooling  part</t>
        </is>
      </c>
      <c r="O590" s="11" t="n">
        <v>2</v>
      </c>
      <c r="P590" s="10" t="inlineStr">
        <is>
          <t>Type: Aluminum filter, AL Size: 492x594x44 mm</t>
        </is>
      </c>
      <c r="Q590" s="277" t="n">
        <v>2</v>
      </c>
      <c r="R590" s="5" t="inlineStr">
        <is>
          <t>PCS.</t>
        </is>
      </c>
      <c r="S590" s="292">
        <f>RawDataGenPO[[#This Row],[Total price]]/RawDataGenPO[[#This Row],[Qty'']]</f>
        <v/>
      </c>
      <c r="T590" s="278" t="n">
        <v>1100</v>
      </c>
      <c r="U590" s="291" t="n"/>
      <c r="V590" s="7" t="inlineStr">
        <is>
          <t>V1000699 - FILTECH PLUS ENGINEERING COMPANY LIMITED</t>
        </is>
      </c>
      <c r="W590" s="30" t="inlineStr">
        <is>
          <t>Recive bill and GRN already</t>
        </is>
      </c>
      <c r="X590" s="5" t="n"/>
      <c r="Y590" s="3" t="n">
        <v>45643</v>
      </c>
      <c r="Z590" s="3" t="n"/>
      <c r="AA590" s="17">
        <f>IF(RawDataGenPO[[#This Row],[Date Gen PO]]="","",RawDataGenPO[[#This Row],[Date recive bill]]-RawDataGenPO[[#This Row],[Date Gen PO]])</f>
        <v/>
      </c>
      <c r="AB590" s="16">
        <f>IF(RawDataGenPO[[#This Row],[GRN-PO date]]&gt;RawDataGenPO[[#This Row],[Lead time delivery (day)]],"over deliverry","Ontime")</f>
        <v/>
      </c>
      <c r="AC590" s="22" t="n"/>
    </row>
    <row r="591" ht="45" customFormat="1" customHeight="1" s="125">
      <c r="A591" s="5">
        <f>ROW()-ROW(RawDataGenPO[[#Headers],[No.]])</f>
        <v/>
      </c>
      <c r="B591" s="7" t="inlineStr">
        <is>
          <t>Expent  cost</t>
        </is>
      </c>
      <c r="C591" s="281" t="n">
        <v>45589</v>
      </c>
      <c r="D591" s="276" t="n"/>
      <c r="E591" s="281" t="n"/>
      <c r="F591" s="281" t="n">
        <v>45589</v>
      </c>
      <c r="G591" s="5" t="inlineStr">
        <is>
          <t xml:space="preserve">PR2425-04111 </t>
        </is>
      </c>
      <c r="H591" s="5" t="inlineStr">
        <is>
          <t xml:space="preserve">PO2425-04588 </t>
        </is>
      </c>
      <c r="I591" s="290">
        <f>IF(RawDataGenPO[[#This Row],[PO No.]]="","",RawDataGenPO[[#This Row],[DMY Create PR]]+7)</f>
        <v/>
      </c>
      <c r="J591" s="290" t="n"/>
      <c r="K591" s="20" t="n">
        <v>60</v>
      </c>
      <c r="L591" s="5" t="inlineStr">
        <is>
          <t>SFST81000050</t>
        </is>
      </c>
      <c r="M591" s="7" t="inlineStr">
        <is>
          <t>Tool and Equipment PD M/C</t>
        </is>
      </c>
      <c r="N591" s="7" t="inlineStr">
        <is>
          <t>Cooling  part</t>
        </is>
      </c>
      <c r="O591" s="11" t="n">
        <v>3</v>
      </c>
      <c r="P591" s="10" t="inlineStr">
        <is>
          <t>Medium Filter (Box Type), Size: 295x595x95 mm
- Frame: Extruded
- Eff: 90-95% yellow</t>
        </is>
      </c>
      <c r="Q591" s="277" t="n">
        <v>2</v>
      </c>
      <c r="R591" s="5" t="inlineStr">
        <is>
          <t>PCS.</t>
        </is>
      </c>
      <c r="S591" s="292">
        <f>RawDataGenPO[[#This Row],[Total price]]/RawDataGenPO[[#This Row],[Qty'']]</f>
        <v/>
      </c>
      <c r="T591" s="278" t="n">
        <v>3000</v>
      </c>
      <c r="U591" s="291" t="n"/>
      <c r="V591" s="7" t="inlineStr">
        <is>
          <t>V1000699 - FILTECH PLUS ENGINEERING COMPANY LIMITED</t>
        </is>
      </c>
      <c r="W591" s="30" t="inlineStr">
        <is>
          <t>Recive bill and GRN already</t>
        </is>
      </c>
      <c r="X591" s="5" t="n"/>
      <c r="Y591" s="3" t="n">
        <v>45643</v>
      </c>
      <c r="Z591" s="3" t="n"/>
      <c r="AA591" s="17">
        <f>IF(RawDataGenPO[[#This Row],[Date Gen PO]]="","",RawDataGenPO[[#This Row],[Date recive bill]]-RawDataGenPO[[#This Row],[Date Gen PO]])</f>
        <v/>
      </c>
      <c r="AB591" s="16">
        <f>IF(RawDataGenPO[[#This Row],[GRN-PO date]]&gt;RawDataGenPO[[#This Row],[Lead time delivery (day)]],"over deliverry","Ontime")</f>
        <v/>
      </c>
      <c r="AC591" s="22" t="n"/>
    </row>
    <row r="592" ht="45" customFormat="1" customHeight="1" s="125">
      <c r="A592" s="5">
        <f>ROW()-ROW(RawDataGenPO[[#Headers],[No.]])</f>
        <v/>
      </c>
      <c r="B592" s="7" t="inlineStr">
        <is>
          <t>Expent  cost</t>
        </is>
      </c>
      <c r="C592" s="301" t="n">
        <v>45595</v>
      </c>
      <c r="D592" s="276" t="n"/>
      <c r="E592" s="281" t="n"/>
      <c r="F592" s="301" t="n">
        <v>45595</v>
      </c>
      <c r="G592" s="5" t="inlineStr">
        <is>
          <t>PR2425-04194</t>
        </is>
      </c>
      <c r="H592" s="5" t="inlineStr">
        <is>
          <t>PO2425-04743</t>
        </is>
      </c>
      <c r="I592" s="290">
        <f>IF(RawDataGenPO[[#This Row],[PO No.]]="","",RawDataGenPO[[#This Row],[DMY Create PR]]+7)</f>
        <v/>
      </c>
      <c r="J592" s="290" t="n"/>
      <c r="K592" s="20" t="n">
        <v>160</v>
      </c>
      <c r="L592" s="5" t="inlineStr">
        <is>
          <t>SFST81000064</t>
        </is>
      </c>
      <c r="M592" s="7" t="inlineStr">
        <is>
          <t>Annual cost</t>
        </is>
      </c>
      <c r="N592" s="7" t="inlineStr">
        <is>
          <t>Inspect cost</t>
        </is>
      </c>
      <c r="O592" s="11" t="n">
        <v>1</v>
      </c>
      <c r="P592" s="10" t="inlineStr">
        <is>
          <t>Service charge Energy management system certification inspection service
- for year 2024
- details as attached quotation</t>
        </is>
      </c>
      <c r="Q592" s="277" t="n">
        <v>1</v>
      </c>
      <c r="R592" s="5" t="inlineStr">
        <is>
          <t>JOB.</t>
        </is>
      </c>
      <c r="S592" s="292">
        <f>RawDataGenPO[[#This Row],[Total price]]/RawDataGenPO[[#This Row],[Qty'']]</f>
        <v/>
      </c>
      <c r="T592" s="278" t="n">
        <v>25000</v>
      </c>
      <c r="U592" s="291" t="n"/>
      <c r="V592" s="135" t="inlineStr">
        <is>
          <t>V1000694 - JIRAKIN ENGINEERING SERVICE CO., LTD.</t>
        </is>
      </c>
      <c r="W592" s="30" t="inlineStr">
        <is>
          <t>Recive bill and GRN already</t>
        </is>
      </c>
      <c r="X592" s="5" t="inlineStr">
        <is>
          <t>GRN2526-0000143</t>
        </is>
      </c>
      <c r="Y592" s="3" t="n">
        <v>45755</v>
      </c>
      <c r="Z592" s="3" t="n"/>
      <c r="AA592" s="17">
        <f>IF(RawDataGenPO[[#This Row],[Date Gen PO]]="","",RawDataGenPO[[#This Row],[Date recive bill]]-RawDataGenPO[[#This Row],[Date Gen PO]])</f>
        <v/>
      </c>
      <c r="AB592" s="16">
        <f>IF(RawDataGenPO[[#This Row],[GRN-PO date]]&gt;RawDataGenPO[[#This Row],[Lead time delivery (day)]],"over deliverry","Ontime")</f>
        <v/>
      </c>
      <c r="AC592" s="22" t="n"/>
    </row>
    <row r="593" ht="15" customFormat="1" customHeight="1" s="125">
      <c r="A593" s="5">
        <f>ROW()-ROW(RawDataGenPO[[#Headers],[No.]])</f>
        <v/>
      </c>
      <c r="B593" s="7" t="inlineStr">
        <is>
          <t>Expent  cost</t>
        </is>
      </c>
      <c r="C593" s="301" t="n">
        <v>45597</v>
      </c>
      <c r="D593" s="276" t="n"/>
      <c r="E593" s="281" t="n"/>
      <c r="F593" s="301" t="n">
        <v>45597</v>
      </c>
      <c r="G593" s="5" t="inlineStr">
        <is>
          <t>PR2425-04232</t>
        </is>
      </c>
      <c r="H593" s="5" t="inlineStr">
        <is>
          <t xml:space="preserve">PO2425-04767 </t>
        </is>
      </c>
      <c r="I593" s="290">
        <f>IF(RawDataGenPO[[#This Row],[PO No.]]="","",RawDataGenPO[[#This Row],[DMY Create PR]]+7)</f>
        <v/>
      </c>
      <c r="J593" s="290" t="n"/>
      <c r="K593" s="20" t="n">
        <v>120</v>
      </c>
      <c r="L593" s="5" t="inlineStr">
        <is>
          <t>SFST81000048</t>
        </is>
      </c>
      <c r="M593" s="7" t="inlineStr">
        <is>
          <t>Utility Jobs  (Boiler-Air compress-Transformer-LPG)</t>
        </is>
      </c>
      <c r="N593" s="7" t="inlineStr">
        <is>
          <t>Cooling system jobs</t>
        </is>
      </c>
      <c r="O593" s="11" t="n">
        <v>1</v>
      </c>
      <c r="P593" s="167" t="inlineStr">
        <is>
          <t>Suction valve Header 2-5/8" STAS-9621</t>
        </is>
      </c>
      <c r="Q593" s="277" t="n">
        <v>1</v>
      </c>
      <c r="R593" s="5" t="inlineStr">
        <is>
          <t>JOB.</t>
        </is>
      </c>
      <c r="S593" s="292">
        <f>RawDataGenPO[[#This Row],[Total price]]/RawDataGenPO[[#This Row],[Qty'']]</f>
        <v/>
      </c>
      <c r="T593" s="278" t="n">
        <v>6250</v>
      </c>
      <c r="U593" s="291" t="n"/>
      <c r="V593" s="7" t="inlineStr">
        <is>
          <t>V1000055 - I.T.C.(1993) CO.,LTD.</t>
        </is>
      </c>
      <c r="W593" s="30" t="inlineStr">
        <is>
          <t>Recive bill and GRN already</t>
        </is>
      </c>
      <c r="X593" s="5" t="inlineStr">
        <is>
          <t>GRN2526-0005756</t>
        </is>
      </c>
      <c r="Y593" s="3" t="n">
        <v>45993</v>
      </c>
      <c r="Z593" s="3" t="n"/>
      <c r="AA593" s="17">
        <f>IF(RawDataGenPO[[#This Row],[Date Gen PO]]="","",RawDataGenPO[[#This Row],[Date recive bill]]-RawDataGenPO[[#This Row],[Date Gen PO]])</f>
        <v/>
      </c>
      <c r="AB593" s="16">
        <f>IF(RawDataGenPO[[#This Row],[GRN-PO date]]&gt;RawDataGenPO[[#This Row],[Lead time delivery (day)]],"over deliverry","Ontime")</f>
        <v/>
      </c>
      <c r="AC593" s="22" t="n"/>
    </row>
    <row r="594" ht="15" customHeight="1">
      <c r="A594" s="5">
        <f>ROW()-ROW(RawDataGenPO[[#Headers],[No.]])</f>
        <v/>
      </c>
      <c r="B594" s="7" t="inlineStr">
        <is>
          <t>Expent  cost</t>
        </is>
      </c>
      <c r="C594" s="301" t="n">
        <v>45597</v>
      </c>
      <c r="E594" s="281" t="n"/>
      <c r="F594" s="301" t="n">
        <v>45597</v>
      </c>
      <c r="G594" s="5" t="inlineStr">
        <is>
          <t>PR2425-04232</t>
        </is>
      </c>
      <c r="H594" s="5" t="inlineStr">
        <is>
          <t xml:space="preserve">PO2425-04767 </t>
        </is>
      </c>
      <c r="I594" s="290">
        <f>IF(RawDataGenPO[[#This Row],[PO No.]]="","",RawDataGenPO[[#This Row],[DMY Create PR]]+7)</f>
        <v/>
      </c>
      <c r="J594" s="290" t="n"/>
      <c r="K594" s="20" t="n">
        <v>120</v>
      </c>
      <c r="L594" s="5" t="inlineStr">
        <is>
          <t>SFST81000048</t>
        </is>
      </c>
      <c r="M594" s="7" t="inlineStr">
        <is>
          <t>Utility Jobs  (Boiler-Air compress-Transformer-LPG)</t>
        </is>
      </c>
      <c r="N594" s="7" t="inlineStr">
        <is>
          <t>Cooling system jobs</t>
        </is>
      </c>
      <c r="O594" s="11" t="n">
        <v>2</v>
      </c>
      <c r="P594" s="167" t="inlineStr">
        <is>
          <t>Drier Core: F48 for Suction header</t>
        </is>
      </c>
      <c r="Q594" s="277" t="n">
        <v>2</v>
      </c>
      <c r="R594" s="5" t="inlineStr">
        <is>
          <t>JOB.</t>
        </is>
      </c>
      <c r="S594" s="292">
        <f>RawDataGenPO[[#This Row],[Total price]]/RawDataGenPO[[#This Row],[Qty'']]</f>
        <v/>
      </c>
      <c r="T594" s="297" t="n">
        <v>520</v>
      </c>
      <c r="U594" s="291" t="n"/>
      <c r="V594" s="7" t="inlineStr">
        <is>
          <t>V1000055 - I.T.C.(1993) CO.,LTD.</t>
        </is>
      </c>
      <c r="W594" s="30" t="inlineStr">
        <is>
          <t>Recive bill and GRN already</t>
        </is>
      </c>
      <c r="X594" s="5" t="inlineStr">
        <is>
          <t>GRN2526-0005756</t>
        </is>
      </c>
      <c r="Y594" s="3" t="n">
        <v>45993</v>
      </c>
      <c r="AA594" s="17">
        <f>IF(RawDataGenPO[[#This Row],[Date Gen PO]]="","",RawDataGenPO[[#This Row],[Date recive bill]]-RawDataGenPO[[#This Row],[Date Gen PO]])</f>
        <v/>
      </c>
      <c r="AB594" s="16">
        <f>IF(RawDataGenPO[[#This Row],[GRN-PO date]]&gt;RawDataGenPO[[#This Row],[Lead time delivery (day)]],"over deliverry","Ontime")</f>
        <v/>
      </c>
      <c r="AC594" s="22" t="n"/>
    </row>
    <row r="595" ht="15" customHeight="1">
      <c r="A595" s="5">
        <f>ROW()-ROW(RawDataGenPO[[#Headers],[No.]])</f>
        <v/>
      </c>
      <c r="B595" s="7" t="inlineStr">
        <is>
          <t>Expent  cost</t>
        </is>
      </c>
      <c r="C595" s="301" t="n">
        <v>45597</v>
      </c>
      <c r="E595" s="281" t="n"/>
      <c r="F595" s="301" t="n">
        <v>45597</v>
      </c>
      <c r="G595" s="5" t="inlineStr">
        <is>
          <t>PR2425-04232</t>
        </is>
      </c>
      <c r="H595" s="5" t="inlineStr">
        <is>
          <t xml:space="preserve">PO2425-04767 </t>
        </is>
      </c>
      <c r="I595" s="290">
        <f>IF(RawDataGenPO[[#This Row],[PO No.]]="","",RawDataGenPO[[#This Row],[DMY Create PR]]+7)</f>
        <v/>
      </c>
      <c r="J595" s="290" t="n"/>
      <c r="K595" s="20" t="n">
        <v>120</v>
      </c>
      <c r="L595" s="5" t="inlineStr">
        <is>
          <t>SFST81000048</t>
        </is>
      </c>
      <c r="M595" s="7" t="inlineStr">
        <is>
          <t>Utility Jobs  (Boiler-Air compress-Transformer-LPG)</t>
        </is>
      </c>
      <c r="N595" s="7" t="inlineStr">
        <is>
          <t>Cooling system jobs</t>
        </is>
      </c>
      <c r="O595" s="11" t="n">
        <v>3</v>
      </c>
      <c r="P595" s="167" t="inlineStr">
        <is>
          <t>Oil Strainer 1/2" (Flare)</t>
        </is>
      </c>
      <c r="Q595" s="277" t="n">
        <v>1</v>
      </c>
      <c r="R595" s="5" t="inlineStr">
        <is>
          <t>JOB.</t>
        </is>
      </c>
      <c r="S595" s="292">
        <f>RawDataGenPO[[#This Row],[Total price]]/RawDataGenPO[[#This Row],[Qty'']]</f>
        <v/>
      </c>
      <c r="T595" s="297" t="n">
        <v>450</v>
      </c>
      <c r="U595" s="291" t="n"/>
      <c r="V595" s="7" t="inlineStr">
        <is>
          <t>V1000055 - I.T.C.(1993) CO.,LTD.</t>
        </is>
      </c>
      <c r="W595" s="30" t="inlineStr">
        <is>
          <t>Recive bill and GRN already</t>
        </is>
      </c>
      <c r="X595" s="5" t="inlineStr">
        <is>
          <t>GRN2526-0005756</t>
        </is>
      </c>
      <c r="Y595" s="3" t="n">
        <v>45993</v>
      </c>
      <c r="AA595" s="17">
        <f>IF(RawDataGenPO[[#This Row],[Date Gen PO]]="","",RawDataGenPO[[#This Row],[Date recive bill]]-RawDataGenPO[[#This Row],[Date Gen PO]])</f>
        <v/>
      </c>
      <c r="AB595" s="16">
        <f>IF(RawDataGenPO[[#This Row],[GRN-PO date]]&gt;RawDataGenPO[[#This Row],[Lead time delivery (day)]],"over deliverry","Ontime")</f>
        <v/>
      </c>
      <c r="AC595" s="22" t="n"/>
    </row>
    <row r="596" ht="15" customHeight="1">
      <c r="A596" s="5">
        <f>ROW()-ROW(RawDataGenPO[[#Headers],[No.]])</f>
        <v/>
      </c>
      <c r="B596" s="7" t="inlineStr">
        <is>
          <t>Expent  cost</t>
        </is>
      </c>
      <c r="C596" s="301" t="n">
        <v>45597</v>
      </c>
      <c r="E596" s="281" t="n"/>
      <c r="F596" s="301" t="n">
        <v>45597</v>
      </c>
      <c r="G596" s="5" t="inlineStr">
        <is>
          <t>PR2425-04232</t>
        </is>
      </c>
      <c r="H596" s="5" t="inlineStr">
        <is>
          <t xml:space="preserve">PO2425-04767 </t>
        </is>
      </c>
      <c r="I596" s="290">
        <f>IF(RawDataGenPO[[#This Row],[PO No.]]="","",RawDataGenPO[[#This Row],[DMY Create PR]]+7)</f>
        <v/>
      </c>
      <c r="J596" s="290" t="n"/>
      <c r="K596" s="20" t="n">
        <v>120</v>
      </c>
      <c r="L596" s="5" t="inlineStr">
        <is>
          <t>SFST81000048</t>
        </is>
      </c>
      <c r="M596" s="7" t="inlineStr">
        <is>
          <t>Utility Jobs  (Boiler-Air compress-Transformer-LPG)</t>
        </is>
      </c>
      <c r="N596" s="7" t="inlineStr">
        <is>
          <t>Cooling system jobs</t>
        </is>
      </c>
      <c r="O596" s="11" t="n">
        <v>4</v>
      </c>
      <c r="P596" s="167" t="inlineStr">
        <is>
          <t>Low Pressure Gauge MR-205-DS-Multi-16 Bar outletrear</t>
        </is>
      </c>
      <c r="Q596" s="277" t="n">
        <v>4</v>
      </c>
      <c r="R596" s="5" t="inlineStr">
        <is>
          <t>JOB.</t>
        </is>
      </c>
      <c r="S596" s="284">
        <f>RawDataGenPO[[#This Row],[Total price]]/RawDataGenPO[[#This Row],[Qty'']]</f>
        <v/>
      </c>
      <c r="T596" s="297" t="n">
        <v>1200</v>
      </c>
      <c r="U596" s="291" t="n"/>
      <c r="V596" s="7" t="inlineStr">
        <is>
          <t>V1000055 - I.T.C.(1993) CO.,LTD.</t>
        </is>
      </c>
      <c r="W596" s="30" t="inlineStr">
        <is>
          <t>Recive bill and GRN already</t>
        </is>
      </c>
      <c r="X596" s="5" t="inlineStr">
        <is>
          <t>GRN2526-0005756</t>
        </is>
      </c>
      <c r="Y596" s="3" t="n">
        <v>45993</v>
      </c>
      <c r="AA596" s="17">
        <f>IF(RawDataGenPO[[#This Row],[Date Gen PO]]="","",RawDataGenPO[[#This Row],[Date recive bill]]-RawDataGenPO[[#This Row],[Date Gen PO]])</f>
        <v/>
      </c>
      <c r="AB596" s="16">
        <f>IF(RawDataGenPO[[#This Row],[GRN-PO date]]&gt;RawDataGenPO[[#This Row],[Lead time delivery (day)]],"over deliverry","Ontime")</f>
        <v/>
      </c>
      <c r="AC596" s="168" t="n"/>
    </row>
    <row r="597" ht="15" customHeight="1">
      <c r="A597" s="5">
        <f>ROW()-ROW(RawDataGenPO[[#Headers],[No.]])</f>
        <v/>
      </c>
      <c r="B597" s="7" t="inlineStr">
        <is>
          <t>Expent  cost</t>
        </is>
      </c>
      <c r="C597" s="301" t="n">
        <v>45597</v>
      </c>
      <c r="E597" s="281" t="n"/>
      <c r="F597" s="301" t="n">
        <v>45597</v>
      </c>
      <c r="G597" s="5" t="inlineStr">
        <is>
          <t>PR2425-04232</t>
        </is>
      </c>
      <c r="H597" s="5" t="inlineStr">
        <is>
          <t xml:space="preserve">PO2425-04767 </t>
        </is>
      </c>
      <c r="I597" s="290">
        <f>IF(RawDataGenPO[[#This Row],[PO No.]]="","",RawDataGenPO[[#This Row],[DMY Create PR]]+7)</f>
        <v/>
      </c>
      <c r="J597" s="290" t="n"/>
      <c r="K597" s="20" t="n">
        <v>120</v>
      </c>
      <c r="L597" s="5" t="inlineStr">
        <is>
          <t>SFST81000048</t>
        </is>
      </c>
      <c r="M597" s="7" t="inlineStr">
        <is>
          <t>Utility Jobs  (Boiler-Air compress-Transformer-LPG)</t>
        </is>
      </c>
      <c r="N597" s="7" t="inlineStr">
        <is>
          <t>Cooling system jobs</t>
        </is>
      </c>
      <c r="O597" s="11" t="n">
        <v>5</v>
      </c>
      <c r="P597" s="167" t="inlineStr">
        <is>
          <t>Hi Pressure Gauge MR-306-DS-Multi-35 Bar outletrear</t>
        </is>
      </c>
      <c r="Q597" s="277" t="n">
        <v>2</v>
      </c>
      <c r="R597" s="5" t="inlineStr">
        <is>
          <t>JOB.</t>
        </is>
      </c>
      <c r="S597" s="284">
        <f>RawDataGenPO[[#This Row],[Total price]]/RawDataGenPO[[#This Row],[Qty'']]</f>
        <v/>
      </c>
      <c r="T597" s="297" t="n">
        <v>1200</v>
      </c>
      <c r="U597" s="291" t="n"/>
      <c r="V597" s="7" t="inlineStr">
        <is>
          <t>V1000055 - I.T.C.(1993) CO.,LTD.</t>
        </is>
      </c>
      <c r="W597" s="30" t="inlineStr">
        <is>
          <t>Recive bill and GRN already</t>
        </is>
      </c>
      <c r="X597" s="5" t="inlineStr">
        <is>
          <t>GRN2526-0005756</t>
        </is>
      </c>
      <c r="Y597" s="3" t="n">
        <v>45993</v>
      </c>
      <c r="AA597" s="17">
        <f>IF(RawDataGenPO[[#This Row],[Date Gen PO]]="","",RawDataGenPO[[#This Row],[Date recive bill]]-RawDataGenPO[[#This Row],[Date Gen PO]])</f>
        <v/>
      </c>
      <c r="AB597" s="16">
        <f>IF(RawDataGenPO[[#This Row],[GRN-PO date]]&gt;RawDataGenPO[[#This Row],[Lead time delivery (day)]],"over deliverry","Ontime")</f>
        <v/>
      </c>
      <c r="AC597" s="22" t="n"/>
    </row>
    <row r="598" ht="15" customHeight="1">
      <c r="A598" s="5">
        <f>ROW()-ROW(RawDataGenPO[[#Headers],[No.]])</f>
        <v/>
      </c>
      <c r="B598" s="7" t="inlineStr">
        <is>
          <t>Expent  cost</t>
        </is>
      </c>
      <c r="C598" s="301" t="n">
        <v>45597</v>
      </c>
      <c r="E598" s="281" t="n"/>
      <c r="F598" s="301" t="n">
        <v>45597</v>
      </c>
      <c r="G598" s="5" t="inlineStr">
        <is>
          <t>PR2425-04232</t>
        </is>
      </c>
      <c r="H598" s="5" t="inlineStr">
        <is>
          <t xml:space="preserve">PO2425-04767 </t>
        </is>
      </c>
      <c r="I598" s="290">
        <f>IF(RawDataGenPO[[#This Row],[PO No.]]="","",RawDataGenPO[[#This Row],[DMY Create PR]]+7)</f>
        <v/>
      </c>
      <c r="J598" s="290" t="n"/>
      <c r="K598" s="20" t="n">
        <v>120</v>
      </c>
      <c r="L598" s="5" t="inlineStr">
        <is>
          <t>SFST81000048</t>
        </is>
      </c>
      <c r="M598" s="7" t="inlineStr">
        <is>
          <t>Utility Jobs  (Boiler-Air compress-Transformer-LPG)</t>
        </is>
      </c>
      <c r="N598" s="7" t="inlineStr">
        <is>
          <t>Cooling system jobs</t>
        </is>
      </c>
      <c r="O598" s="11" t="n">
        <v>6</v>
      </c>
      <c r="P598" s="167" t="inlineStr">
        <is>
          <t>labor costReplacepipe Suction Compressor</t>
        </is>
      </c>
      <c r="Q598" s="277" t="n">
        <v>1</v>
      </c>
      <c r="R598" s="5" t="inlineStr">
        <is>
          <t>JOB.</t>
        </is>
      </c>
      <c r="S598" s="284">
        <f>RawDataGenPO[[#This Row],[Total price]]/RawDataGenPO[[#This Row],[Qty'']]</f>
        <v/>
      </c>
      <c r="T598" s="297" t="n">
        <v>18000</v>
      </c>
      <c r="U598" s="291" t="n"/>
      <c r="V598" s="7" t="inlineStr">
        <is>
          <t>V1000055 - I.T.C.(1993) CO.,LTD.</t>
        </is>
      </c>
      <c r="W598" s="30" t="inlineStr">
        <is>
          <t>Recive bill and GRN already</t>
        </is>
      </c>
      <c r="X598" s="5" t="inlineStr">
        <is>
          <t>GRN2526-0005756</t>
        </is>
      </c>
      <c r="Y598" s="3" t="n">
        <v>45993</v>
      </c>
      <c r="AA598" s="17">
        <f>IF(RawDataGenPO[[#This Row],[Date Gen PO]]="","",RawDataGenPO[[#This Row],[Date recive bill]]-RawDataGenPO[[#This Row],[Date Gen PO]])</f>
        <v/>
      </c>
      <c r="AB598" s="16">
        <f>IF(RawDataGenPO[[#This Row],[GRN-PO date]]&gt;RawDataGenPO[[#This Row],[Lead time delivery (day)]],"over deliverry","Ontime")</f>
        <v/>
      </c>
      <c r="AC598" s="22" t="n"/>
    </row>
    <row r="599">
      <c r="A599" s="5">
        <f>ROW()-ROW(RawDataGenPO[[#Headers],[No.]])</f>
        <v/>
      </c>
      <c r="B599" s="7" t="inlineStr">
        <is>
          <t>Expent  cost</t>
        </is>
      </c>
      <c r="C599" s="301" t="n">
        <v>45604</v>
      </c>
      <c r="E599" s="281" t="n"/>
      <c r="F599" s="301" t="n">
        <v>45604</v>
      </c>
      <c r="G599" s="5" t="inlineStr">
        <is>
          <t>PR2425-04303</t>
        </is>
      </c>
      <c r="H599" s="5" t="inlineStr">
        <is>
          <t>PO2425-04770</t>
        </is>
      </c>
      <c r="I599" s="290">
        <f>IF(RawDataGenPO[[#This Row],[PO No.]]="","",RawDataGenPO[[#This Row],[DMY Create PR]]+7)</f>
        <v/>
      </c>
      <c r="J599" s="290" t="n"/>
      <c r="K599" s="20" t="n">
        <v>20</v>
      </c>
      <c r="L599" s="5" t="inlineStr">
        <is>
          <t>SFST81000009</t>
        </is>
      </c>
      <c r="M599" s="7" t="inlineStr">
        <is>
          <t>Tool and Equipment  Engineering</t>
        </is>
      </c>
      <c r="N599" s="7" t="inlineStr">
        <is>
          <t>Consumable part</t>
        </is>
      </c>
      <c r="O599" s="11" t="n">
        <v>1</v>
      </c>
      <c r="P599" s="10" t="inlineStr">
        <is>
          <t>"Chang brand" elbow 90 degree 2" PVC</t>
        </is>
      </c>
      <c r="Q599" s="277" t="n">
        <v>6</v>
      </c>
      <c r="R599" s="5" t="inlineStr">
        <is>
          <t>PCS.</t>
        </is>
      </c>
      <c r="S599" s="284">
        <f>RawDataGenPO[[#This Row],[Total price]]/RawDataGenPO[[#This Row],[Qty'']]</f>
        <v/>
      </c>
      <c r="T599" s="166" t="n">
        <v>234</v>
      </c>
      <c r="U599" s="291" t="n"/>
      <c r="V599" s="7" t="inlineStr">
        <is>
          <t>V1000306 - Inter Supply (1992) Co., Ltd.</t>
        </is>
      </c>
      <c r="W599" s="5" t="inlineStr">
        <is>
          <t>Recive bill and GRN already</t>
        </is>
      </c>
      <c r="Y599" s="3" t="n">
        <v>45629</v>
      </c>
      <c r="AA599" s="17">
        <f>IF(RawDataGenPO[[#This Row],[Date Gen PO]]="","",RawDataGenPO[[#This Row],[Date recive bill]]-RawDataGenPO[[#This Row],[Date Gen PO]])</f>
        <v/>
      </c>
      <c r="AB599" s="16">
        <f>IF(RawDataGenPO[[#This Row],[GRN-PO date]]&gt;RawDataGenPO[[#This Row],[Lead time delivery (day)]],"over deliverry","Ontime")</f>
        <v/>
      </c>
      <c r="AC599" s="22" t="n"/>
    </row>
    <row r="600">
      <c r="A600" s="5">
        <f>ROW()-ROW(RawDataGenPO[[#Headers],[No.]])</f>
        <v/>
      </c>
      <c r="B600" s="7" t="inlineStr">
        <is>
          <t>Expent  cost</t>
        </is>
      </c>
      <c r="C600" s="301" t="n">
        <v>45604</v>
      </c>
      <c r="E600" s="281" t="n"/>
      <c r="F600" s="301" t="n">
        <v>45604</v>
      </c>
      <c r="G600" s="5" t="inlineStr">
        <is>
          <t>PR2425-04303</t>
        </is>
      </c>
      <c r="H600" s="5" t="inlineStr">
        <is>
          <t>PO2425-04770</t>
        </is>
      </c>
      <c r="I600" s="290">
        <f>IF(RawDataGenPO[[#This Row],[PO No.]]="","",RawDataGenPO[[#This Row],[DMY Create PR]]+7)</f>
        <v/>
      </c>
      <c r="J600" s="290" t="n"/>
      <c r="K600" s="20" t="n">
        <v>20</v>
      </c>
      <c r="L600" s="5" t="inlineStr">
        <is>
          <t>SFST81000009</t>
        </is>
      </c>
      <c r="M600" s="7" t="inlineStr">
        <is>
          <t>Tool and Equipment  Engineering</t>
        </is>
      </c>
      <c r="N600" s="7" t="inlineStr">
        <is>
          <t>Consumable part</t>
        </is>
      </c>
      <c r="O600" s="11" t="n">
        <v>2</v>
      </c>
      <c r="P600" s="10" t="inlineStr">
        <is>
          <t>"Chang brand" fittingstraight coupling 2" PVC</t>
        </is>
      </c>
      <c r="Q600" s="277" t="n">
        <v>6</v>
      </c>
      <c r="R600" s="5" t="inlineStr">
        <is>
          <t>PCS.</t>
        </is>
      </c>
      <c r="S600" s="292">
        <f>RawDataGenPO[[#This Row],[Total price]]/RawDataGenPO[[#This Row],[Qty'']]</f>
        <v/>
      </c>
      <c r="T600" s="166" t="n">
        <v>174</v>
      </c>
      <c r="U600" s="291" t="n"/>
      <c r="V600" s="7" t="inlineStr">
        <is>
          <t>V1000306 - Inter Supply (1992) Co., Ltd.</t>
        </is>
      </c>
      <c r="W600" s="5" t="inlineStr">
        <is>
          <t>Recive bill and GRN already</t>
        </is>
      </c>
      <c r="Y600" s="3" t="n">
        <v>45629</v>
      </c>
      <c r="AA600" s="17">
        <f>IF(RawDataGenPO[[#This Row],[Date Gen PO]]="","",RawDataGenPO[[#This Row],[Date recive bill]]-RawDataGenPO[[#This Row],[Date Gen PO]])</f>
        <v/>
      </c>
      <c r="AB600" s="16">
        <f>IF(RawDataGenPO[[#This Row],[GRN-PO date]]&gt;RawDataGenPO[[#This Row],[Lead time delivery (day)]],"over deliverry","Ontime")</f>
        <v/>
      </c>
      <c r="AC600" s="22" t="n"/>
    </row>
    <row r="601">
      <c r="A601" s="5">
        <f>ROW()-ROW(RawDataGenPO[[#Headers],[No.]])</f>
        <v/>
      </c>
      <c r="B601" s="7" t="inlineStr">
        <is>
          <t>Expent  cost</t>
        </is>
      </c>
      <c r="C601" s="301" t="n">
        <v>45604</v>
      </c>
      <c r="E601" s="281" t="n"/>
      <c r="F601" s="301" t="n">
        <v>45604</v>
      </c>
      <c r="G601" s="5" t="inlineStr">
        <is>
          <t>PR2425-04303</t>
        </is>
      </c>
      <c r="H601" s="5" t="inlineStr">
        <is>
          <t>PO2425-04770</t>
        </is>
      </c>
      <c r="I601" s="290">
        <f>IF(RawDataGenPO[[#This Row],[PO No.]]="","",RawDataGenPO[[#This Row],[DMY Create PR]]+7)</f>
        <v/>
      </c>
      <c r="J601" s="290" t="n"/>
      <c r="K601" s="20" t="n">
        <v>20</v>
      </c>
      <c r="L601" s="5" t="inlineStr">
        <is>
          <t>SFST81000009</t>
        </is>
      </c>
      <c r="M601" s="7" t="inlineStr">
        <is>
          <t>Tool and Equipment  Engineering</t>
        </is>
      </c>
      <c r="N601" s="7" t="inlineStr">
        <is>
          <t>Consumable part</t>
        </is>
      </c>
      <c r="O601" s="11" t="n">
        <v>3</v>
      </c>
      <c r="P601" s="10" t="inlineStr">
        <is>
          <t>"Chang brand" reducing coupling 3"x2" PVC</t>
        </is>
      </c>
      <c r="Q601" s="277" t="n">
        <v>6</v>
      </c>
      <c r="R601" s="5" t="inlineStr">
        <is>
          <t>PCS.</t>
        </is>
      </c>
      <c r="S601" s="292">
        <f>RawDataGenPO[[#This Row],[Total price]]/RawDataGenPO[[#This Row],[Qty'']]</f>
        <v/>
      </c>
      <c r="T601" s="166" t="n">
        <v>468</v>
      </c>
      <c r="U601" s="291" t="n"/>
      <c r="V601" s="7" t="inlineStr">
        <is>
          <t>V1000306 - Inter Supply (1992) Co., Ltd.</t>
        </is>
      </c>
      <c r="W601" s="5" t="inlineStr">
        <is>
          <t>Recive bill and GRN already</t>
        </is>
      </c>
      <c r="Y601" s="3" t="n">
        <v>45629</v>
      </c>
      <c r="AA601" s="17">
        <f>IF(RawDataGenPO[[#This Row],[Date Gen PO]]="","",RawDataGenPO[[#This Row],[Date recive bill]]-RawDataGenPO[[#This Row],[Date Gen PO]])</f>
        <v/>
      </c>
      <c r="AB601" s="16">
        <f>IF(RawDataGenPO[[#This Row],[GRN-PO date]]&gt;RawDataGenPO[[#This Row],[Lead time delivery (day)]],"over deliverry","Ontime")</f>
        <v/>
      </c>
      <c r="AC601" s="22" t="n"/>
    </row>
    <row r="602" customFormat="1" s="125">
      <c r="A602" s="5">
        <f>ROW()-ROW(RawDataGenPO[[#Headers],[No.]])</f>
        <v/>
      </c>
      <c r="B602" s="7" t="inlineStr">
        <is>
          <t>Expent  cost</t>
        </is>
      </c>
      <c r="C602" s="301" t="n">
        <v>45604</v>
      </c>
      <c r="D602" s="276" t="n"/>
      <c r="E602" s="281" t="n"/>
      <c r="F602" s="301" t="n">
        <v>45604</v>
      </c>
      <c r="G602" s="5" t="inlineStr">
        <is>
          <t>PR2425-04303</t>
        </is>
      </c>
      <c r="H602" s="5" t="inlineStr">
        <is>
          <t>PO2425-04770</t>
        </is>
      </c>
      <c r="I602" s="290">
        <f>IF(RawDataGenPO[[#This Row],[PO No.]]="","",RawDataGenPO[[#This Row],[DMY Create PR]]+7)</f>
        <v/>
      </c>
      <c r="J602" s="290" t="n"/>
      <c r="K602" s="20" t="n">
        <v>20</v>
      </c>
      <c r="L602" s="5" t="inlineStr">
        <is>
          <t>SFST81000009</t>
        </is>
      </c>
      <c r="M602" s="7" t="inlineStr">
        <is>
          <t>Tool and Equipment  Engineering</t>
        </is>
      </c>
      <c r="N602" s="7" t="inlineStr">
        <is>
          <t>Consumable part</t>
        </is>
      </c>
      <c r="O602" s="11" t="n">
        <v>4</v>
      </c>
      <c r="P602" s="10" t="inlineStr">
        <is>
          <t>"Chang brand" reducing coupling 3"x2-1/2" PVC</t>
        </is>
      </c>
      <c r="Q602" s="277" t="n">
        <v>6</v>
      </c>
      <c r="R602" s="5" t="inlineStr">
        <is>
          <t>PCS.</t>
        </is>
      </c>
      <c r="S602" s="292">
        <f>RawDataGenPO[[#This Row],[Total price]]/RawDataGenPO[[#This Row],[Qty'']]</f>
        <v/>
      </c>
      <c r="T602" s="162" t="n">
        <v>468</v>
      </c>
      <c r="U602" s="291" t="n"/>
      <c r="V602" s="7" t="inlineStr">
        <is>
          <t>V1000306 - Inter Supply (1992) Co., Ltd.</t>
        </is>
      </c>
      <c r="W602" s="5" t="inlineStr">
        <is>
          <t>Recive bill and GRN already</t>
        </is>
      </c>
      <c r="X602" s="5" t="n"/>
      <c r="Y602" s="3" t="n">
        <v>45629</v>
      </c>
      <c r="Z602" s="3" t="n"/>
      <c r="AA602" s="17">
        <f>IF(RawDataGenPO[[#This Row],[Date Gen PO]]="","",RawDataGenPO[[#This Row],[Date recive bill]]-RawDataGenPO[[#This Row],[Date Gen PO]])</f>
        <v/>
      </c>
      <c r="AB602" s="16">
        <f>IF(RawDataGenPO[[#This Row],[GRN-PO date]]&gt;RawDataGenPO[[#This Row],[Lead time delivery (day)]],"over deliverry","Ontime")</f>
        <v/>
      </c>
      <c r="AC602" s="22" t="n"/>
    </row>
    <row r="603">
      <c r="A603" s="5">
        <f>ROW()-ROW(RawDataGenPO[[#Headers],[No.]])</f>
        <v/>
      </c>
      <c r="B603" s="7" t="inlineStr">
        <is>
          <t>Expent  cost</t>
        </is>
      </c>
      <c r="C603" s="301" t="n">
        <v>45604</v>
      </c>
      <c r="E603" s="281" t="n"/>
      <c r="F603" s="301" t="n">
        <v>45604</v>
      </c>
      <c r="G603" s="5" t="inlineStr">
        <is>
          <t>PR2425-04303</t>
        </is>
      </c>
      <c r="H603" s="5" t="inlineStr">
        <is>
          <t>PO2425-04770</t>
        </is>
      </c>
      <c r="I603" s="290">
        <f>IF(RawDataGenPO[[#This Row],[PO No.]]="","",RawDataGenPO[[#This Row],[DMY Create PR]]+7)</f>
        <v/>
      </c>
      <c r="J603" s="290" t="n"/>
      <c r="K603" s="20" t="n">
        <v>20</v>
      </c>
      <c r="L603" s="5" t="inlineStr">
        <is>
          <t>SFST81000009</t>
        </is>
      </c>
      <c r="M603" s="7" t="inlineStr">
        <is>
          <t>Tool and Equipment  Engineering</t>
        </is>
      </c>
      <c r="N603" s="7" t="inlineStr">
        <is>
          <t>Consumable part</t>
        </is>
      </c>
      <c r="O603" s="11" t="n">
        <v>5</v>
      </c>
      <c r="P603" s="10" t="inlineStr">
        <is>
          <t>"TTC" ball valve PVC socket type 2"</t>
        </is>
      </c>
      <c r="Q603" s="277" t="n">
        <v>6</v>
      </c>
      <c r="R603" s="5" t="inlineStr">
        <is>
          <t>PCS.</t>
        </is>
      </c>
      <c r="S603" s="292">
        <f>RawDataGenPO[[#This Row],[Total price]]/RawDataGenPO[[#This Row],[Qty'']]</f>
        <v/>
      </c>
      <c r="T603" s="162" t="n">
        <v>720</v>
      </c>
      <c r="U603" s="291" t="n"/>
      <c r="V603" s="7" t="inlineStr">
        <is>
          <t>V1000306 - Inter Supply (1992) Co., Ltd.</t>
        </is>
      </c>
      <c r="W603" s="5" t="inlineStr">
        <is>
          <t>Recive bill and GRN already</t>
        </is>
      </c>
      <c r="Y603" s="3" t="n">
        <v>45629</v>
      </c>
      <c r="AA603" s="17">
        <f>IF(RawDataGenPO[[#This Row],[Date Gen PO]]="","",RawDataGenPO[[#This Row],[Date recive bill]]-RawDataGenPO[[#This Row],[Date Gen PO]])</f>
        <v/>
      </c>
      <c r="AB603" s="16">
        <f>IF(RawDataGenPO[[#This Row],[GRN-PO date]]&gt;RawDataGenPO[[#This Row],[Lead time delivery (day)]],"over deliverry","Ontime")</f>
        <v/>
      </c>
      <c r="AC603" s="22" t="n"/>
    </row>
    <row r="604">
      <c r="A604" s="5">
        <f>ROW()-ROW(RawDataGenPO[[#Headers],[No.]])</f>
        <v/>
      </c>
      <c r="B604" s="7" t="inlineStr">
        <is>
          <t>Expent  cost</t>
        </is>
      </c>
      <c r="C604" s="301" t="n">
        <v>45604</v>
      </c>
      <c r="E604" s="281" t="n"/>
      <c r="F604" s="301" t="n">
        <v>45604</v>
      </c>
      <c r="G604" s="5" t="inlineStr">
        <is>
          <t>PR2425-04303</t>
        </is>
      </c>
      <c r="H604" s="5" t="inlineStr">
        <is>
          <t>PO2425-04770</t>
        </is>
      </c>
      <c r="I604" s="290">
        <f>IF(RawDataGenPO[[#This Row],[PO No.]]="","",RawDataGenPO[[#This Row],[DMY Create PR]]+7)</f>
        <v/>
      </c>
      <c r="J604" s="290" t="n"/>
      <c r="K604" s="20" t="n">
        <v>20</v>
      </c>
      <c r="L604" s="5" t="inlineStr">
        <is>
          <t>SFST81000009</t>
        </is>
      </c>
      <c r="M604" s="7" t="inlineStr">
        <is>
          <t>Tool and Equipment  Engineering</t>
        </is>
      </c>
      <c r="N604" s="7" t="inlineStr">
        <is>
          <t>Consumable part</t>
        </is>
      </c>
      <c r="O604" s="11" t="n">
        <v>6</v>
      </c>
      <c r="P604" s="10" t="inlineStr">
        <is>
          <t>"Suea brand" PVC pipe 2" class 13.5 length 4 m.</t>
        </is>
      </c>
      <c r="Q604" s="277" t="n">
        <v>6</v>
      </c>
      <c r="R604" s="5" t="inlineStr">
        <is>
          <t>PCS.</t>
        </is>
      </c>
      <c r="S604" s="292">
        <f>RawDataGenPO[[#This Row],[Total price]]/RawDataGenPO[[#This Row],[Qty'']]</f>
        <v/>
      </c>
      <c r="T604" s="162" t="n">
        <v>1560</v>
      </c>
      <c r="U604" s="291" t="n"/>
      <c r="V604" s="7" t="inlineStr">
        <is>
          <t>V1000306 - Inter Supply (1992) Co., Ltd.</t>
        </is>
      </c>
      <c r="W604" s="5" t="inlineStr">
        <is>
          <t>Recive bill and GRN already</t>
        </is>
      </c>
      <c r="Y604" s="3" t="n">
        <v>45629</v>
      </c>
      <c r="AA604" s="17">
        <f>IF(RawDataGenPO[[#This Row],[Date Gen PO]]="","",RawDataGenPO[[#This Row],[Date recive bill]]-RawDataGenPO[[#This Row],[Date Gen PO]])</f>
        <v/>
      </c>
      <c r="AB604" s="16">
        <f>IF(RawDataGenPO[[#This Row],[GRN-PO date]]&gt;RawDataGenPO[[#This Row],[Lead time delivery (day)]],"over deliverry","Ontime")</f>
        <v/>
      </c>
      <c r="AC604" s="22" t="n"/>
    </row>
    <row r="605">
      <c r="A605" s="5">
        <f>ROW()-ROW(RawDataGenPO[[#Headers],[No.]])</f>
        <v/>
      </c>
      <c r="B605" s="7" t="inlineStr">
        <is>
          <t>Expent  cost</t>
        </is>
      </c>
      <c r="C605" s="301" t="n">
        <v>45604</v>
      </c>
      <c r="E605" s="281" t="n"/>
      <c r="F605" s="301" t="n">
        <v>45604</v>
      </c>
      <c r="G605" s="5" t="inlineStr">
        <is>
          <t>PR2425-04303</t>
        </is>
      </c>
      <c r="H605" s="5" t="inlineStr">
        <is>
          <t>PO2425-04770</t>
        </is>
      </c>
      <c r="I605" s="290">
        <f>IF(RawDataGenPO[[#This Row],[PO No.]]="","",RawDataGenPO[[#This Row],[DMY Create PR]]+7)</f>
        <v/>
      </c>
      <c r="J605" s="290" t="n"/>
      <c r="K605" s="20" t="n">
        <v>20</v>
      </c>
      <c r="L605" s="5" t="inlineStr">
        <is>
          <t>SFST81000009</t>
        </is>
      </c>
      <c r="M605" s="7" t="inlineStr">
        <is>
          <t>Tool and Equipment  Engineering</t>
        </is>
      </c>
      <c r="N605" s="7" t="inlineStr">
        <is>
          <t>Consumable part</t>
        </is>
      </c>
      <c r="O605" s="11" t="n">
        <v>7</v>
      </c>
      <c r="P605" s="10" t="inlineStr">
        <is>
          <t>"Suea brand" PVC pipe 3" class 13.5 length 4 m.</t>
        </is>
      </c>
      <c r="Q605" s="277" t="n">
        <v>6</v>
      </c>
      <c r="R605" s="5" t="inlineStr">
        <is>
          <t>PCS.</t>
        </is>
      </c>
      <c r="S605" s="292">
        <f>RawDataGenPO[[#This Row],[Total price]]/RawDataGenPO[[#This Row],[Qty'']]</f>
        <v/>
      </c>
      <c r="T605" s="162" t="n">
        <v>3540</v>
      </c>
      <c r="U605" s="291" t="n"/>
      <c r="V605" s="7" t="inlineStr">
        <is>
          <t>V1000306 - Inter Supply (1992) Co., Ltd.</t>
        </is>
      </c>
      <c r="W605" s="5" t="inlineStr">
        <is>
          <t>Recive bill and GRN already</t>
        </is>
      </c>
      <c r="Y605" s="3" t="n">
        <v>45629</v>
      </c>
      <c r="AA605" s="17">
        <f>IF(RawDataGenPO[[#This Row],[Date Gen PO]]="","",RawDataGenPO[[#This Row],[Date recive bill]]-RawDataGenPO[[#This Row],[Date Gen PO]])</f>
        <v/>
      </c>
      <c r="AB605" s="16">
        <f>IF(RawDataGenPO[[#This Row],[GRN-PO date]]&gt;RawDataGenPO[[#This Row],[Lead time delivery (day)]],"over deliverry","Ontime")</f>
        <v/>
      </c>
      <c r="AC605" s="22" t="n"/>
    </row>
    <row r="606" ht="18" customHeight="1">
      <c r="A606" s="5">
        <f>ROW()-ROW(RawDataGenPO[[#Headers],[No.]])</f>
        <v/>
      </c>
      <c r="B606" s="7" t="inlineStr">
        <is>
          <t>Expent  cost</t>
        </is>
      </c>
      <c r="C606" s="301" t="n">
        <v>45604</v>
      </c>
      <c r="E606" s="281" t="n"/>
      <c r="F606" s="301" t="n">
        <v>45604</v>
      </c>
      <c r="G606" s="5" t="inlineStr">
        <is>
          <t>PR2425-04303</t>
        </is>
      </c>
      <c r="H606" s="5" t="inlineStr">
        <is>
          <t>PO2425-04770</t>
        </is>
      </c>
      <c r="I606" s="290">
        <f>IF(RawDataGenPO[[#This Row],[PO No.]]="","",RawDataGenPO[[#This Row],[DMY Create PR]]+7)</f>
        <v/>
      </c>
      <c r="J606" s="290" t="n"/>
      <c r="K606" s="20" t="n">
        <v>20</v>
      </c>
      <c r="L606" s="5" t="inlineStr">
        <is>
          <t>SFST81000009</t>
        </is>
      </c>
      <c r="M606" s="7" t="inlineStr">
        <is>
          <t>Tool and Equipment  Engineering</t>
        </is>
      </c>
      <c r="N606" s="7" t="inlineStr">
        <is>
          <t>Consumable part</t>
        </is>
      </c>
      <c r="O606" s="11" t="n">
        <v>8</v>
      </c>
      <c r="P606" s="10" t="inlineStr">
        <is>
          <t>"Suea brand" PVC pipe 2-1/2" class 13.5 length 4 m.</t>
        </is>
      </c>
      <c r="Q606" s="277" t="n">
        <v>6</v>
      </c>
      <c r="R606" s="5" t="inlineStr">
        <is>
          <t>PCS.</t>
        </is>
      </c>
      <c r="S606" s="292">
        <f>RawDataGenPO[[#This Row],[Total price]]/RawDataGenPO[[#This Row],[Qty'']]</f>
        <v/>
      </c>
      <c r="T606" s="162" t="n">
        <v>2490</v>
      </c>
      <c r="U606" s="291" t="n"/>
      <c r="V606" s="7" t="inlineStr">
        <is>
          <t>V1000306 - Inter Supply (1992) Co., Ltd.</t>
        </is>
      </c>
      <c r="W606" s="5" t="inlineStr">
        <is>
          <t>Recive bill and GRN already</t>
        </is>
      </c>
      <c r="Y606" s="3" t="n">
        <v>45629</v>
      </c>
      <c r="AA606" s="17">
        <f>IF(RawDataGenPO[[#This Row],[Date Gen PO]]="","",RawDataGenPO[[#This Row],[Date recive bill]]-RawDataGenPO[[#This Row],[Date Gen PO]])</f>
        <v/>
      </c>
      <c r="AB606" s="16">
        <f>IF(RawDataGenPO[[#This Row],[GRN-PO date]]&gt;RawDataGenPO[[#This Row],[Lead time delivery (day)]],"over deliverry","Ontime")</f>
        <v/>
      </c>
      <c r="AC606" s="22" t="n"/>
    </row>
    <row r="607">
      <c r="A607" s="5">
        <f>ROW()-ROW(RawDataGenPO[[#Headers],[No.]])</f>
        <v/>
      </c>
      <c r="B607" s="7" t="inlineStr">
        <is>
          <t>Expent  cost</t>
        </is>
      </c>
      <c r="C607" s="301" t="n">
        <v>45604</v>
      </c>
      <c r="E607" s="281" t="n"/>
      <c r="F607" s="301" t="n">
        <v>45604</v>
      </c>
      <c r="G607" s="5" t="inlineStr">
        <is>
          <t>PR2425-04303</t>
        </is>
      </c>
      <c r="H607" s="5" t="inlineStr">
        <is>
          <t>PO2425-04770</t>
        </is>
      </c>
      <c r="I607" s="290">
        <f>IF(RawDataGenPO[[#This Row],[PO No.]]="","",RawDataGenPO[[#This Row],[DMY Create PR]]+7)</f>
        <v/>
      </c>
      <c r="J607" s="290" t="n"/>
      <c r="K607" s="20" t="n">
        <v>20</v>
      </c>
      <c r="L607" s="5" t="inlineStr">
        <is>
          <t>SFST81000009</t>
        </is>
      </c>
      <c r="M607" s="7" t="inlineStr">
        <is>
          <t>Tool and Equipment  Engineering</t>
        </is>
      </c>
      <c r="N607" s="7" t="inlineStr">
        <is>
          <t>Consumable part</t>
        </is>
      </c>
      <c r="O607" s="11" t="n">
        <v>9</v>
      </c>
      <c r="P607" s="10" t="inlineStr">
        <is>
          <t>"Suea brand" PVC pipe 1" class 13.5 length 4 m.</t>
        </is>
      </c>
      <c r="Q607" s="277" t="n">
        <v>6</v>
      </c>
      <c r="R607" s="5" t="inlineStr">
        <is>
          <t>PCS.</t>
        </is>
      </c>
      <c r="S607" s="292">
        <f>RawDataGenPO[[#This Row],[Total price]]/RawDataGenPO[[#This Row],[Qty'']]</f>
        <v/>
      </c>
      <c r="T607" s="162" t="n">
        <v>618</v>
      </c>
      <c r="U607" s="291" t="n"/>
      <c r="V607" s="7" t="inlineStr">
        <is>
          <t>V1000306 - Inter Supply (1992) Co., Ltd.</t>
        </is>
      </c>
      <c r="W607" s="5" t="inlineStr">
        <is>
          <t>Recive bill and GRN already</t>
        </is>
      </c>
      <c r="Y607" s="3" t="n">
        <v>45629</v>
      </c>
      <c r="AA607" s="17">
        <f>IF(RawDataGenPO[[#This Row],[Date Gen PO]]="","",RawDataGenPO[[#This Row],[Date recive bill]]-RawDataGenPO[[#This Row],[Date Gen PO]])</f>
        <v/>
      </c>
      <c r="AB607" s="16">
        <f>IF(RawDataGenPO[[#This Row],[GRN-PO date]]&gt;RawDataGenPO[[#This Row],[Lead time delivery (day)]],"over deliverry","Ontime")</f>
        <v/>
      </c>
      <c r="AC607" s="22" t="n"/>
    </row>
    <row r="608">
      <c r="A608" s="5">
        <f>ROW()-ROW(RawDataGenPO[[#Headers],[No.]])</f>
        <v/>
      </c>
      <c r="B608" s="7" t="inlineStr">
        <is>
          <t>Expent  cost</t>
        </is>
      </c>
      <c r="C608" s="301" t="n">
        <v>45604</v>
      </c>
      <c r="E608" s="281" t="n"/>
      <c r="F608" s="301" t="n">
        <v>45604</v>
      </c>
      <c r="G608" s="5" t="inlineStr">
        <is>
          <t>PR2425-04303</t>
        </is>
      </c>
      <c r="H608" s="5" t="inlineStr">
        <is>
          <t>PO2425-04770</t>
        </is>
      </c>
      <c r="I608" s="290">
        <f>IF(RawDataGenPO[[#This Row],[PO No.]]="","",RawDataGenPO[[#This Row],[DMY Create PR]]+7)</f>
        <v/>
      </c>
      <c r="J608" s="290" t="n"/>
      <c r="K608" s="20" t="n">
        <v>20</v>
      </c>
      <c r="L608" s="5" t="inlineStr">
        <is>
          <t>SFST81000009</t>
        </is>
      </c>
      <c r="M608" s="7" t="inlineStr">
        <is>
          <t>Tool and Equipment  Engineering</t>
        </is>
      </c>
      <c r="N608" s="7" t="inlineStr">
        <is>
          <t>Consumable part</t>
        </is>
      </c>
      <c r="O608" s="11" t="n">
        <v>10</v>
      </c>
      <c r="P608" s="10" t="inlineStr">
        <is>
          <t>"Suea brand" PVC pipe 1/2" class 13.5 length 4 m.</t>
        </is>
      </c>
      <c r="Q608" s="277" t="n">
        <v>6</v>
      </c>
      <c r="R608" s="5" t="inlineStr">
        <is>
          <t>PCS.</t>
        </is>
      </c>
      <c r="S608" s="292">
        <f>RawDataGenPO[[#This Row],[Total price]]/RawDataGenPO[[#This Row],[Qty'']]</f>
        <v/>
      </c>
      <c r="T608" s="162" t="n">
        <v>324</v>
      </c>
      <c r="U608" s="291" t="n"/>
      <c r="V608" s="7" t="inlineStr">
        <is>
          <t>V1000306 - Inter Supply (1992) Co., Ltd.</t>
        </is>
      </c>
      <c r="W608" s="5" t="inlineStr">
        <is>
          <t>Recive bill and GRN already</t>
        </is>
      </c>
      <c r="Y608" s="3" t="n">
        <v>45629</v>
      </c>
      <c r="AA608" s="17">
        <f>IF(RawDataGenPO[[#This Row],[Date Gen PO]]="","",RawDataGenPO[[#This Row],[Date recive bill]]-RawDataGenPO[[#This Row],[Date Gen PO]])</f>
        <v/>
      </c>
      <c r="AB608" s="16">
        <f>IF(RawDataGenPO[[#This Row],[GRN-PO date]]&gt;RawDataGenPO[[#This Row],[Lead time delivery (day)]],"over deliverry","Ontime")</f>
        <v/>
      </c>
      <c r="AC608" s="22" t="n"/>
    </row>
    <row r="609">
      <c r="A609" s="5">
        <f>ROW()-ROW(RawDataGenPO[[#Headers],[No.]])</f>
        <v/>
      </c>
      <c r="B609" s="7" t="inlineStr">
        <is>
          <t>Expent  cost</t>
        </is>
      </c>
      <c r="C609" s="301" t="n">
        <v>45604</v>
      </c>
      <c r="E609" s="281" t="n"/>
      <c r="F609" s="301" t="n">
        <v>45604</v>
      </c>
      <c r="G609" s="5" t="inlineStr">
        <is>
          <t>PR2425-04303</t>
        </is>
      </c>
      <c r="H609" s="5" t="inlineStr">
        <is>
          <t>PO2425-04770</t>
        </is>
      </c>
      <c r="I609" s="290">
        <f>IF(RawDataGenPO[[#This Row],[PO No.]]="","",RawDataGenPO[[#This Row],[DMY Create PR]]+7)</f>
        <v/>
      </c>
      <c r="J609" s="290" t="n"/>
      <c r="K609" s="20" t="n">
        <v>20</v>
      </c>
      <c r="L609" s="5" t="inlineStr">
        <is>
          <t>SFST81000009</t>
        </is>
      </c>
      <c r="M609" s="7" t="inlineStr">
        <is>
          <t>Tool and Equipment  Engineering</t>
        </is>
      </c>
      <c r="N609" s="7" t="inlineStr">
        <is>
          <t>Consumable part</t>
        </is>
      </c>
      <c r="O609" s="11" t="n">
        <v>11</v>
      </c>
      <c r="P609" s="10" t="inlineStr">
        <is>
          <t>"Suea brand" PVC pipe 3/4" class 13.5 length 4 m.</t>
        </is>
      </c>
      <c r="Q609" s="277" t="n">
        <v>6</v>
      </c>
      <c r="R609" s="5" t="inlineStr">
        <is>
          <t>PCS.</t>
        </is>
      </c>
      <c r="S609" s="292">
        <f>RawDataGenPO[[#This Row],[Total price]]/RawDataGenPO[[#This Row],[Qty'']]</f>
        <v/>
      </c>
      <c r="T609" s="162" t="n">
        <v>390</v>
      </c>
      <c r="U609" s="291" t="n"/>
      <c r="V609" s="7" t="inlineStr">
        <is>
          <t>V1000306 - Inter Supply (1992) Co., Ltd.</t>
        </is>
      </c>
      <c r="W609" s="5" t="inlineStr">
        <is>
          <t>Recive bill and GRN already</t>
        </is>
      </c>
      <c r="Y609" s="3" t="n">
        <v>45629</v>
      </c>
      <c r="AA609" s="17">
        <f>IF(RawDataGenPO[[#This Row],[Date Gen PO]]="","",RawDataGenPO[[#This Row],[Date recive bill]]-RawDataGenPO[[#This Row],[Date Gen PO]])</f>
        <v/>
      </c>
      <c r="AB609" s="16">
        <f>IF(RawDataGenPO[[#This Row],[GRN-PO date]]&gt;RawDataGenPO[[#This Row],[Lead time delivery (day)]],"over deliverry","Ontime")</f>
        <v/>
      </c>
      <c r="AC609" s="22" t="n"/>
    </row>
    <row r="610">
      <c r="A610" s="5">
        <f>ROW()-ROW(RawDataGenPO[[#Headers],[No.]])</f>
        <v/>
      </c>
      <c r="B610" s="7" t="inlineStr">
        <is>
          <t>Expent  cost</t>
        </is>
      </c>
      <c r="C610" s="301" t="n">
        <v>45604</v>
      </c>
      <c r="E610" s="281" t="n"/>
      <c r="F610" s="301" t="n">
        <v>45604</v>
      </c>
      <c r="G610" s="5" t="inlineStr">
        <is>
          <t>PR2425-04303</t>
        </is>
      </c>
      <c r="H610" s="5" t="inlineStr">
        <is>
          <t>PO2425-04770</t>
        </is>
      </c>
      <c r="I610" s="290">
        <f>IF(RawDataGenPO[[#This Row],[PO No.]]="","",RawDataGenPO[[#This Row],[DMY Create PR]]+7)</f>
        <v/>
      </c>
      <c r="J610" s="290" t="n"/>
      <c r="K610" s="20" t="n">
        <v>20</v>
      </c>
      <c r="L610" s="5" t="inlineStr">
        <is>
          <t>SFST81000009</t>
        </is>
      </c>
      <c r="M610" s="7" t="inlineStr">
        <is>
          <t>Tool and Equipment  Engineering</t>
        </is>
      </c>
      <c r="N610" s="7" t="inlineStr">
        <is>
          <t>Consumable part</t>
        </is>
      </c>
      <c r="O610" s="11" t="n">
        <v>12</v>
      </c>
      <c r="P610" s="10" t="inlineStr">
        <is>
          <t>"Suea brand" PVC pipe 1-1/2" class 13.5 length 4 m.</t>
        </is>
      </c>
      <c r="Q610" s="277" t="n">
        <v>6</v>
      </c>
      <c r="R610" s="5" t="inlineStr">
        <is>
          <t>PCS.</t>
        </is>
      </c>
      <c r="S610" s="292">
        <f>RawDataGenPO[[#This Row],[Total price]]/RawDataGenPO[[#This Row],[Qty'']]</f>
        <v/>
      </c>
      <c r="T610" s="166" t="n">
        <v>1020</v>
      </c>
      <c r="U610" s="291" t="n"/>
      <c r="V610" s="7" t="inlineStr">
        <is>
          <t>V1000306 - Inter Supply (1992) Co., Ltd.</t>
        </is>
      </c>
      <c r="W610" s="5" t="inlineStr">
        <is>
          <t>Recive bill and GRN already</t>
        </is>
      </c>
      <c r="Y610" s="3" t="n">
        <v>45629</v>
      </c>
      <c r="AA610" s="17">
        <f>IF(RawDataGenPO[[#This Row],[Date Gen PO]]="","",RawDataGenPO[[#This Row],[Date recive bill]]-RawDataGenPO[[#This Row],[Date Gen PO]])</f>
        <v/>
      </c>
      <c r="AB610" s="16">
        <f>IF(RawDataGenPO[[#This Row],[GRN-PO date]]&gt;RawDataGenPO[[#This Row],[Lead time delivery (day)]],"over deliverry","Ontime")</f>
        <v/>
      </c>
      <c r="AC610" s="22" t="n"/>
    </row>
    <row r="611" ht="90" customHeight="1">
      <c r="A611" s="5">
        <f>ROW()-ROW(RawDataGenPO[[#Headers],[No.]])</f>
        <v/>
      </c>
      <c r="B611" s="7" t="inlineStr">
        <is>
          <t>CAPEX  (Budget)</t>
        </is>
      </c>
      <c r="C611" s="301" t="n">
        <v>45595</v>
      </c>
      <c r="E611" s="281" t="n"/>
      <c r="F611" s="301" t="n">
        <v>45595</v>
      </c>
      <c r="G611" s="5" t="inlineStr">
        <is>
          <t xml:space="preserve">PR2425-04221 </t>
        </is>
      </c>
      <c r="H611" s="5" t="inlineStr">
        <is>
          <t>PO2425-04798</t>
        </is>
      </c>
      <c r="I611" s="290">
        <f>IF(RawDataGenPO[[#This Row],[PO No.]]="","",RawDataGenPO[[#This Row],[DMY Create PR]]+7)</f>
        <v/>
      </c>
      <c r="J611" s="290" t="n"/>
      <c r="K611" s="20">
        <f>IF(RawDataGenPO[[#This Row],[PO No.]]="","",10)</f>
        <v/>
      </c>
      <c r="L611" s="5" t="inlineStr">
        <is>
          <t>SFST82000007</t>
        </is>
      </c>
      <c r="M611" s="7" t="inlineStr">
        <is>
          <t>Utility Jobs  (Boiler-Air compress-Transformer-LPG)</t>
        </is>
      </c>
      <c r="N611" s="7" t="inlineStr">
        <is>
          <t>Tool and Equipment</t>
        </is>
      </c>
      <c r="O611" s="11" t="n">
        <v>1</v>
      </c>
      <c r="P611" s="10" t="inlineStr">
        <is>
          <t>GESTRA BLOWDOWN VALVE MPA46 PN40 DN40
- TYPE: BOTTOM *AUTOMATIC BLOWDOWN VALVE
- P/N: 0051700
- BODY: FORGED STEEL 1.0460
- CONNECTION: FLANGED PN40
- MAX. TEMP.: 300°C</t>
        </is>
      </c>
      <c r="Q611" s="277" t="n">
        <v>1</v>
      </c>
      <c r="R611" s="5" t="inlineStr">
        <is>
          <t>PCS.</t>
        </is>
      </c>
      <c r="S611" s="292">
        <f>RawDataGenPO[[#This Row],[Total price]]/RawDataGenPO[[#This Row],[Qty'']]</f>
        <v/>
      </c>
      <c r="T611" s="297" t="n">
        <v>65000</v>
      </c>
      <c r="U611" s="291" t="n"/>
      <c r="V611" s="7" t="inlineStr">
        <is>
          <t>V1000552 - Alpha group co.,Ltd</t>
        </is>
      </c>
      <c r="W611" s="5" t="inlineStr">
        <is>
          <t>Recive bill and GRN already</t>
        </is>
      </c>
      <c r="Y611" s="3" t="n">
        <v>45611</v>
      </c>
      <c r="AA611" s="17">
        <f>IF(RawDataGenPO[[#This Row],[Date Gen PO]]="","",RawDataGenPO[[#This Row],[Date recive bill]]-RawDataGenPO[[#This Row],[Date Gen PO]])</f>
        <v/>
      </c>
      <c r="AB611" s="16">
        <f>IF(RawDataGenPO[[#This Row],[GRN-PO date]]&gt;RawDataGenPO[[#This Row],[Lead time delivery (day)]],"over deliverry","Ontime")</f>
        <v/>
      </c>
      <c r="AC611" s="22" t="n"/>
    </row>
    <row r="612" ht="15" customHeight="1">
      <c r="A612" s="5">
        <f>ROW()-ROW(RawDataGenPO[[#Headers],[No.]])</f>
        <v/>
      </c>
      <c r="B612" s="7" t="inlineStr">
        <is>
          <t>Expent  cost</t>
        </is>
      </c>
      <c r="C612" s="301" t="n">
        <v>45604</v>
      </c>
      <c r="E612" s="281" t="n"/>
      <c r="F612" s="301" t="n">
        <v>45604</v>
      </c>
      <c r="G612" s="5" t="inlineStr">
        <is>
          <t>PR2425-04305</t>
        </is>
      </c>
      <c r="H612" s="5" t="inlineStr">
        <is>
          <t>PO2425-04799</t>
        </is>
      </c>
      <c r="I612" s="290">
        <f>IF(RawDataGenPO[[#This Row],[PO No.]]="","",RawDataGenPO[[#This Row],[DMY Create PR]]+7)</f>
        <v/>
      </c>
      <c r="J612" s="290" t="n"/>
      <c r="K612" s="20">
        <f>IF(RawDataGenPO[[#This Row],[PO No.]]="","",10)</f>
        <v/>
      </c>
      <c r="L612" s="5" t="inlineStr">
        <is>
          <t>SFST81000050</t>
        </is>
      </c>
      <c r="M612" s="7" t="inlineStr">
        <is>
          <t>Safety equipment</t>
        </is>
      </c>
      <c r="N612" s="7" t="inlineStr">
        <is>
          <t>Tool and Equipment</t>
        </is>
      </c>
      <c r="O612" s="11" t="n">
        <v>1</v>
      </c>
      <c r="P612" s="10" t="inlineStr">
        <is>
          <t>Fire evacuation flagV.1 (fuchsia) 30x45 cm</t>
        </is>
      </c>
      <c r="Q612" s="277" t="n">
        <v>1</v>
      </c>
      <c r="R612" s="5" t="inlineStr">
        <is>
          <t>PCS.</t>
        </is>
      </c>
      <c r="S612" s="292">
        <f>RawDataGenPO[[#This Row],[Total price]]/RawDataGenPO[[#This Row],[Qty'']]</f>
        <v/>
      </c>
      <c r="T612" s="297" t="n">
        <v>121.5</v>
      </c>
      <c r="U612" s="291" t="n"/>
      <c r="V612" s="7" t="inlineStr">
        <is>
          <t>V1000708 - THONGPRACHATHIPATAI CO., LTD.</t>
        </is>
      </c>
      <c r="W612" s="5" t="inlineStr">
        <is>
          <t>Recive bill and GRN already</t>
        </is>
      </c>
      <c r="Y612" s="3" t="n">
        <v>45621</v>
      </c>
      <c r="AA612" s="17">
        <f>IF(RawDataGenPO[[#This Row],[Date Gen PO]]="","",RawDataGenPO[[#This Row],[Date recive bill]]-RawDataGenPO[[#This Row],[Date Gen PO]])</f>
        <v/>
      </c>
      <c r="AB612" s="16">
        <f>IF(RawDataGenPO[[#This Row],[GRN-PO date]]&gt;RawDataGenPO[[#This Row],[Lead time delivery (day)]],"over deliverry","Ontime")</f>
        <v/>
      </c>
      <c r="AC612" s="22" t="n"/>
    </row>
    <row r="613" ht="15" customHeight="1">
      <c r="A613" s="5">
        <f>ROW()-ROW(RawDataGenPO[[#Headers],[No.]])</f>
        <v/>
      </c>
      <c r="B613" s="7" t="inlineStr">
        <is>
          <t>Expent  cost</t>
        </is>
      </c>
      <c r="C613" s="301" t="n">
        <v>45604</v>
      </c>
      <c r="E613" s="281" t="n"/>
      <c r="F613" s="301" t="n">
        <v>45604</v>
      </c>
      <c r="G613" s="5" t="inlineStr">
        <is>
          <t>PR2425-04305</t>
        </is>
      </c>
      <c r="H613" s="5" t="inlineStr">
        <is>
          <t>PO2425-04799</t>
        </is>
      </c>
      <c r="I613" s="290">
        <f>IF(RawDataGenPO[[#This Row],[PO No.]]="","",RawDataGenPO[[#This Row],[DMY Create PR]]+7)</f>
        <v/>
      </c>
      <c r="J613" s="290" t="n"/>
      <c r="K613" s="20">
        <f>IF(RawDataGenPO[[#This Row],[PO No.]]="","",10)</f>
        <v/>
      </c>
      <c r="L613" s="5" t="inlineStr">
        <is>
          <t>SFST81000050</t>
        </is>
      </c>
      <c r="M613" s="7" t="inlineStr">
        <is>
          <t>Safety equipment</t>
        </is>
      </c>
      <c r="N613" s="7" t="inlineStr">
        <is>
          <t>Tool and Equipment</t>
        </is>
      </c>
      <c r="O613" s="11" t="n">
        <v>2</v>
      </c>
      <c r="P613" s="10" t="inlineStr">
        <is>
          <t>Fire evacuation flagV.1 (maroon) 30x45 cm</t>
        </is>
      </c>
      <c r="Q613" s="277" t="n">
        <v>1</v>
      </c>
      <c r="R613" s="5" t="inlineStr">
        <is>
          <t>PCS.</t>
        </is>
      </c>
      <c r="S613" s="292">
        <f>RawDataGenPO[[#This Row],[Total price]]/RawDataGenPO[[#This Row],[Qty'']]</f>
        <v/>
      </c>
      <c r="T613" s="297" t="n">
        <v>121.5</v>
      </c>
      <c r="U613" s="291" t="n"/>
      <c r="V613" s="7" t="inlineStr">
        <is>
          <t>V1000708 - THONGPRACHATHIPATAI CO., LTD.</t>
        </is>
      </c>
      <c r="W613" s="5" t="inlineStr">
        <is>
          <t>Recive bill and GRN already</t>
        </is>
      </c>
      <c r="Y613" s="3" t="n">
        <v>45621</v>
      </c>
      <c r="AA613" s="17">
        <f>IF(RawDataGenPO[[#This Row],[Date Gen PO]]="","",RawDataGenPO[[#This Row],[Date recive bill]]-RawDataGenPO[[#This Row],[Date Gen PO]])</f>
        <v/>
      </c>
      <c r="AB613" s="16">
        <f>IF(RawDataGenPO[[#This Row],[GRN-PO date]]&gt;RawDataGenPO[[#This Row],[Lead time delivery (day)]],"over deliverry","Ontime")</f>
        <v/>
      </c>
      <c r="AC613" s="22" t="n"/>
    </row>
    <row r="614" ht="15" customHeight="1">
      <c r="A614" s="5">
        <f>ROW()-ROW(RawDataGenPO[[#Headers],[No.]])</f>
        <v/>
      </c>
      <c r="B614" s="7" t="inlineStr">
        <is>
          <t>Expent  cost</t>
        </is>
      </c>
      <c r="C614" s="301" t="n">
        <v>45604</v>
      </c>
      <c r="E614" s="281" t="n"/>
      <c r="F614" s="301" t="n">
        <v>45604</v>
      </c>
      <c r="G614" s="5" t="inlineStr">
        <is>
          <t>PR2425-04305</t>
        </is>
      </c>
      <c r="H614" s="5" t="inlineStr">
        <is>
          <t>PO2425-04799</t>
        </is>
      </c>
      <c r="I614" s="290">
        <f>IF(RawDataGenPO[[#This Row],[PO No.]]="","",RawDataGenPO[[#This Row],[DMY Create PR]]+7)</f>
        <v/>
      </c>
      <c r="J614" s="290" t="n"/>
      <c r="K614" s="20">
        <f>IF(RawDataGenPO[[#This Row],[PO No.]]="","",10)</f>
        <v/>
      </c>
      <c r="L614" s="5" t="inlineStr">
        <is>
          <t>SFST81000050</t>
        </is>
      </c>
      <c r="M614" s="7" t="inlineStr">
        <is>
          <t>Safety equipment</t>
        </is>
      </c>
      <c r="N614" s="7" t="inlineStr">
        <is>
          <t>Tool and Equipment</t>
        </is>
      </c>
      <c r="O614" s="11" t="n">
        <v>3</v>
      </c>
      <c r="P614" s="10" t="inlineStr">
        <is>
          <t>Fire evacuation flagV.1 (green) 30x45 cm</t>
        </is>
      </c>
      <c r="Q614" s="277" t="n">
        <v>1</v>
      </c>
      <c r="R614" s="5" t="inlineStr">
        <is>
          <t>PCS.</t>
        </is>
      </c>
      <c r="S614" s="292">
        <f>RawDataGenPO[[#This Row],[Total price]]/RawDataGenPO[[#This Row],[Qty'']]</f>
        <v/>
      </c>
      <c r="T614" s="297" t="n">
        <v>121.5</v>
      </c>
      <c r="U614" s="291" t="n"/>
      <c r="V614" s="7" t="inlineStr">
        <is>
          <t>V1000708 - THONGPRACHATHIPATAI CO., LTD.</t>
        </is>
      </c>
      <c r="W614" s="5" t="inlineStr">
        <is>
          <t>Recive bill and GRN already</t>
        </is>
      </c>
      <c r="Y614" s="3" t="n">
        <v>45621</v>
      </c>
      <c r="AA614" s="17">
        <f>IF(RawDataGenPO[[#This Row],[Date Gen PO]]="","",RawDataGenPO[[#This Row],[Date recive bill]]-RawDataGenPO[[#This Row],[Date Gen PO]])</f>
        <v/>
      </c>
      <c r="AB614" s="16">
        <f>IF(RawDataGenPO[[#This Row],[GRN-PO date]]&gt;RawDataGenPO[[#This Row],[Lead time delivery (day)]],"over deliverry","Ontime")</f>
        <v/>
      </c>
      <c r="AC614" s="22" t="n"/>
    </row>
    <row r="615" ht="15" customHeight="1">
      <c r="A615" s="5">
        <f>ROW()-ROW(RawDataGenPO[[#Headers],[No.]])</f>
        <v/>
      </c>
      <c r="B615" s="7" t="inlineStr">
        <is>
          <t>Expent  cost</t>
        </is>
      </c>
      <c r="C615" s="301" t="n">
        <v>45604</v>
      </c>
      <c r="E615" s="281" t="n"/>
      <c r="F615" s="301" t="n">
        <v>45604</v>
      </c>
      <c r="G615" s="5" t="inlineStr">
        <is>
          <t>PR2425-04305</t>
        </is>
      </c>
      <c r="H615" s="5" t="inlineStr">
        <is>
          <t>PO2425-04799</t>
        </is>
      </c>
      <c r="I615" s="290">
        <f>IF(RawDataGenPO[[#This Row],[PO No.]]="","",RawDataGenPO[[#This Row],[DMY Create PR]]+7)</f>
        <v/>
      </c>
      <c r="J615" s="290" t="n"/>
      <c r="K615" s="20">
        <f>IF(RawDataGenPO[[#This Row],[PO No.]]="","",10)</f>
        <v/>
      </c>
      <c r="L615" s="5" t="inlineStr">
        <is>
          <t>SFST81000050</t>
        </is>
      </c>
      <c r="M615" s="7" t="inlineStr">
        <is>
          <t>Safety equipment</t>
        </is>
      </c>
      <c r="N615" s="7" t="inlineStr">
        <is>
          <t>Tool and Equipment</t>
        </is>
      </c>
      <c r="O615" s="11" t="n">
        <v>4</v>
      </c>
      <c r="P615" s="10" t="inlineStr">
        <is>
          <t>Fire evacuation flagV.1 (yellow) 30x45 cm</t>
        </is>
      </c>
      <c r="Q615" s="277" t="n">
        <v>1</v>
      </c>
      <c r="R615" s="5" t="inlineStr">
        <is>
          <t>PCS.</t>
        </is>
      </c>
      <c r="S615" s="292">
        <f>RawDataGenPO[[#This Row],[Total price]]/RawDataGenPO[[#This Row],[Qty'']]</f>
        <v/>
      </c>
      <c r="T615" s="297" t="n">
        <v>121.5</v>
      </c>
      <c r="U615" s="291" t="n"/>
      <c r="V615" s="7" t="inlineStr">
        <is>
          <t>V1000708 - THONGPRACHATHIPATAI CO., LTD.</t>
        </is>
      </c>
      <c r="W615" s="5" t="inlineStr">
        <is>
          <t>Recive bill and GRN already</t>
        </is>
      </c>
      <c r="Y615" s="3" t="n">
        <v>45621</v>
      </c>
      <c r="AA615" s="17">
        <f>IF(RawDataGenPO[[#This Row],[Date Gen PO]]="","",RawDataGenPO[[#This Row],[Date recive bill]]-RawDataGenPO[[#This Row],[Date Gen PO]])</f>
        <v/>
      </c>
      <c r="AB615" s="16">
        <f>IF(RawDataGenPO[[#This Row],[GRN-PO date]]&gt;RawDataGenPO[[#This Row],[Lead time delivery (day)]],"over deliverry","Ontime")</f>
        <v/>
      </c>
      <c r="AC615" s="22" t="n"/>
    </row>
    <row r="616" ht="15" customHeight="1">
      <c r="A616" s="5">
        <f>ROW()-ROW(RawDataGenPO[[#Headers],[No.]])</f>
        <v/>
      </c>
      <c r="B616" s="7" t="inlineStr">
        <is>
          <t>Expent  cost</t>
        </is>
      </c>
      <c r="C616" s="301" t="n">
        <v>45604</v>
      </c>
      <c r="E616" s="281" t="n"/>
      <c r="F616" s="301" t="n">
        <v>45604</v>
      </c>
      <c r="G616" s="5" t="inlineStr">
        <is>
          <t>PR2425-04305</t>
        </is>
      </c>
      <c r="H616" s="5" t="inlineStr">
        <is>
          <t>PO2425-04799</t>
        </is>
      </c>
      <c r="I616" s="290">
        <f>IF(RawDataGenPO[[#This Row],[PO No.]]="","",RawDataGenPO[[#This Row],[DMY Create PR]]+7)</f>
        <v/>
      </c>
      <c r="J616" s="290" t="n"/>
      <c r="K616" s="20">
        <f>IF(RawDataGenPO[[#This Row],[PO No.]]="","",10)</f>
        <v/>
      </c>
      <c r="L616" s="5" t="inlineStr">
        <is>
          <t>SFST81000050</t>
        </is>
      </c>
      <c r="M616" s="7" t="inlineStr">
        <is>
          <t>Safety equipment</t>
        </is>
      </c>
      <c r="N616" s="7" t="inlineStr">
        <is>
          <t>Tool and Equipment</t>
        </is>
      </c>
      <c r="O616" s="11" t="n">
        <v>5</v>
      </c>
      <c r="P616" s="10" t="inlineStr">
        <is>
          <t>Fire evacuation flagV.1 (purple) 30x45 cm</t>
        </is>
      </c>
      <c r="Q616" s="277" t="n">
        <v>1</v>
      </c>
      <c r="R616" s="5" t="inlineStr">
        <is>
          <t>PCS.</t>
        </is>
      </c>
      <c r="S616" s="292">
        <f>RawDataGenPO[[#This Row],[Total price]]/RawDataGenPO[[#This Row],[Qty'']]</f>
        <v/>
      </c>
      <c r="T616" s="297" t="n">
        <v>121.5</v>
      </c>
      <c r="U616" s="291" t="n"/>
      <c r="V616" s="7" t="inlineStr">
        <is>
          <t>V1000708 - THONGPRACHATHIPATAI CO., LTD.</t>
        </is>
      </c>
      <c r="W616" s="5" t="inlineStr">
        <is>
          <t>Recive bill and GRN already</t>
        </is>
      </c>
      <c r="Y616" s="3" t="n">
        <v>45621</v>
      </c>
      <c r="AA616" s="17">
        <f>IF(RawDataGenPO[[#This Row],[Date Gen PO]]="","",RawDataGenPO[[#This Row],[Date recive bill]]-RawDataGenPO[[#This Row],[Date Gen PO]])</f>
        <v/>
      </c>
      <c r="AB616" s="16">
        <f>IF(RawDataGenPO[[#This Row],[GRN-PO date]]&gt;RawDataGenPO[[#This Row],[Lead time delivery (day)]],"over deliverry","Ontime")</f>
        <v/>
      </c>
      <c r="AC616" s="22" t="n"/>
    </row>
    <row r="617" ht="15" customHeight="1">
      <c r="A617" s="5">
        <f>ROW()-ROW(RawDataGenPO[[#Headers],[No.]])</f>
        <v/>
      </c>
      <c r="B617" s="7" t="inlineStr">
        <is>
          <t>Expent  cost</t>
        </is>
      </c>
      <c r="C617" s="301" t="n">
        <v>45604</v>
      </c>
      <c r="E617" s="281" t="n"/>
      <c r="F617" s="301" t="n">
        <v>45604</v>
      </c>
      <c r="G617" s="5" t="inlineStr">
        <is>
          <t>PR2425-04305</t>
        </is>
      </c>
      <c r="H617" s="5" t="inlineStr">
        <is>
          <t>PO2425-04799</t>
        </is>
      </c>
      <c r="I617" s="290">
        <f>IF(RawDataGenPO[[#This Row],[PO No.]]="","",RawDataGenPO[[#This Row],[DMY Create PR]]+7)</f>
        <v/>
      </c>
      <c r="J617" s="290" t="n"/>
      <c r="K617" s="20">
        <f>IF(RawDataGenPO[[#This Row],[PO No.]]="","",10)</f>
        <v/>
      </c>
      <c r="L617" s="5" t="inlineStr">
        <is>
          <t>SFST81000050</t>
        </is>
      </c>
      <c r="M617" s="7" t="inlineStr">
        <is>
          <t>Safety equipment</t>
        </is>
      </c>
      <c r="N617" s="7" t="inlineStr">
        <is>
          <t>Tool and Equipment</t>
        </is>
      </c>
      <c r="O617" s="11" t="n">
        <v>6</v>
      </c>
      <c r="P617" s="10" t="inlineStr">
        <is>
          <t>Fire evacuation flagV.1 (dark blue) 30x45 cm</t>
        </is>
      </c>
      <c r="Q617" s="277" t="n">
        <v>1</v>
      </c>
      <c r="R617" s="5" t="inlineStr">
        <is>
          <t>PCS.</t>
        </is>
      </c>
      <c r="S617" s="292">
        <f>RawDataGenPO[[#This Row],[Total price]]/RawDataGenPO[[#This Row],[Qty'']]</f>
        <v/>
      </c>
      <c r="T617" s="297" t="n">
        <v>121.5</v>
      </c>
      <c r="U617" s="291" t="n"/>
      <c r="V617" s="7" t="inlineStr">
        <is>
          <t>V1000708 - THONGPRACHATHIPATAI CO., LTD.</t>
        </is>
      </c>
      <c r="W617" s="5" t="inlineStr">
        <is>
          <t>Recive bill and GRN already</t>
        </is>
      </c>
      <c r="Y617" s="3" t="n">
        <v>45621</v>
      </c>
      <c r="AA617" s="17">
        <f>IF(RawDataGenPO[[#This Row],[Date Gen PO]]="","",RawDataGenPO[[#This Row],[Date recive bill]]-RawDataGenPO[[#This Row],[Date Gen PO]])</f>
        <v/>
      </c>
      <c r="AB617" s="16">
        <f>IF(RawDataGenPO[[#This Row],[GRN-PO date]]&gt;RawDataGenPO[[#This Row],[Lead time delivery (day)]],"over deliverry","Ontime")</f>
        <v/>
      </c>
      <c r="AC617" s="22" t="n"/>
    </row>
    <row r="618" ht="15" customHeight="1">
      <c r="A618" s="5">
        <f>ROW()-ROW(RawDataGenPO[[#Headers],[No.]])</f>
        <v/>
      </c>
      <c r="B618" s="7" t="inlineStr">
        <is>
          <t>Expent  cost</t>
        </is>
      </c>
      <c r="C618" s="301" t="n">
        <v>45604</v>
      </c>
      <c r="E618" s="281" t="n"/>
      <c r="F618" s="301" t="n">
        <v>45604</v>
      </c>
      <c r="G618" s="5" t="inlineStr">
        <is>
          <t>PR2425-04305</t>
        </is>
      </c>
      <c r="H618" s="5" t="inlineStr">
        <is>
          <t>PO2425-04799</t>
        </is>
      </c>
      <c r="I618" s="290">
        <f>IF(RawDataGenPO[[#This Row],[PO No.]]="","",RawDataGenPO[[#This Row],[DMY Create PR]]+7)</f>
        <v/>
      </c>
      <c r="J618" s="290" t="n"/>
      <c r="K618" s="20">
        <f>IF(RawDataGenPO[[#This Row],[PO No.]]="","",10)</f>
        <v/>
      </c>
      <c r="L618" s="5" t="inlineStr">
        <is>
          <t>SFST81000050</t>
        </is>
      </c>
      <c r="M618" s="7" t="inlineStr">
        <is>
          <t>Safety equipment</t>
        </is>
      </c>
      <c r="N618" s="7" t="inlineStr">
        <is>
          <t>Tool and Equipment</t>
        </is>
      </c>
      <c r="O618" s="11" t="n">
        <v>7</v>
      </c>
      <c r="P618" s="10" t="inlineStr">
        <is>
          <t>Fire evacuation flagV.1 (light blue) 30x45 cm</t>
        </is>
      </c>
      <c r="Q618" s="277" t="n">
        <v>1</v>
      </c>
      <c r="R618" s="5" t="inlineStr">
        <is>
          <t>PCS.</t>
        </is>
      </c>
      <c r="S618" s="292">
        <f>RawDataGenPO[[#This Row],[Total price]]/RawDataGenPO[[#This Row],[Qty'']]</f>
        <v/>
      </c>
      <c r="T618" s="297" t="n">
        <v>121.5</v>
      </c>
      <c r="U618" s="291" t="n"/>
      <c r="V618" s="7" t="inlineStr">
        <is>
          <t>V1000708 - THONGPRACHATHIPATAI CO., LTD.</t>
        </is>
      </c>
      <c r="W618" s="5" t="inlineStr">
        <is>
          <t>Recive bill and GRN already</t>
        </is>
      </c>
      <c r="Y618" s="3" t="n">
        <v>45621</v>
      </c>
      <c r="AA618" s="17">
        <f>IF(RawDataGenPO[[#This Row],[Date Gen PO]]="","",RawDataGenPO[[#This Row],[Date recive bill]]-RawDataGenPO[[#This Row],[Date Gen PO]])</f>
        <v/>
      </c>
      <c r="AB618" s="16">
        <f>IF(RawDataGenPO[[#This Row],[GRN-PO date]]&gt;RawDataGenPO[[#This Row],[Lead time delivery (day)]],"over deliverry","Ontime")</f>
        <v/>
      </c>
      <c r="AC618" s="22" t="n"/>
    </row>
    <row r="619" ht="15" customHeight="1">
      <c r="A619" s="5">
        <f>ROW()-ROW(RawDataGenPO[[#Headers],[No.]])</f>
        <v/>
      </c>
      <c r="B619" s="7" t="inlineStr">
        <is>
          <t>Expent  cost</t>
        </is>
      </c>
      <c r="C619" s="301" t="n">
        <v>45604</v>
      </c>
      <c r="E619" s="281" t="n"/>
      <c r="F619" s="301" t="n">
        <v>45604</v>
      </c>
      <c r="G619" s="5" t="inlineStr">
        <is>
          <t>PR2425-04305</t>
        </is>
      </c>
      <c r="H619" s="5" t="inlineStr">
        <is>
          <t>PO2425-04799</t>
        </is>
      </c>
      <c r="I619" s="290">
        <f>IF(RawDataGenPO[[#This Row],[PO No.]]="","",RawDataGenPO[[#This Row],[DMY Create PR]]+7)</f>
        <v/>
      </c>
      <c r="J619" s="290" t="n"/>
      <c r="K619" s="20">
        <f>IF(RawDataGenPO[[#This Row],[PO No.]]="","",10)</f>
        <v/>
      </c>
      <c r="L619" s="5" t="inlineStr">
        <is>
          <t>SFST81000050</t>
        </is>
      </c>
      <c r="M619" s="7" t="inlineStr">
        <is>
          <t>Safety equipment</t>
        </is>
      </c>
      <c r="N619" s="7" t="inlineStr">
        <is>
          <t>Tool and Equipment</t>
        </is>
      </c>
      <c r="O619" s="11" t="n">
        <v>8</v>
      </c>
      <c r="P619" s="10" t="inlineStr">
        <is>
          <t>plastic pole with gold top 70 cm</t>
        </is>
      </c>
      <c r="Q619" s="277" t="n">
        <v>7</v>
      </c>
      <c r="R619" s="5" t="inlineStr">
        <is>
          <t>PCS.</t>
        </is>
      </c>
      <c r="S619" s="292">
        <f>RawDataGenPO[[#This Row],[Total price]]/RawDataGenPO[[#This Row],[Qty'']]</f>
        <v/>
      </c>
      <c r="T619" s="297" t="n">
        <v>130.83</v>
      </c>
      <c r="U619" s="291" t="n"/>
      <c r="V619" s="7" t="inlineStr">
        <is>
          <t>V1000708 - THONGPRACHATHIPATAI CO., LTD.</t>
        </is>
      </c>
      <c r="W619" s="5" t="inlineStr">
        <is>
          <t>Recive bill and GRN already</t>
        </is>
      </c>
      <c r="Y619" s="3" t="n">
        <v>45621</v>
      </c>
      <c r="AA619" s="17">
        <f>IF(RawDataGenPO[[#This Row],[Date Gen PO]]="","",RawDataGenPO[[#This Row],[Date recive bill]]-RawDataGenPO[[#This Row],[Date Gen PO]])</f>
        <v/>
      </c>
      <c r="AB619" s="16">
        <f>IF(RawDataGenPO[[#This Row],[GRN-PO date]]&gt;RawDataGenPO[[#This Row],[Lead time delivery (day)]],"over deliverry","Ontime")</f>
        <v/>
      </c>
      <c r="AC619" s="22" t="n"/>
    </row>
    <row r="620" ht="15" customHeight="1">
      <c r="A620" s="5">
        <f>ROW()-ROW(RawDataGenPO[[#Headers],[No.]])</f>
        <v/>
      </c>
      <c r="B620" s="7" t="inlineStr">
        <is>
          <t>Expent  cost</t>
        </is>
      </c>
      <c r="C620" s="301" t="n">
        <v>45604</v>
      </c>
      <c r="E620" s="281" t="n"/>
      <c r="F620" s="301" t="n">
        <v>45604</v>
      </c>
      <c r="G620" s="5" t="inlineStr">
        <is>
          <t>PR2425-04305</t>
        </is>
      </c>
      <c r="H620" s="5" t="inlineStr">
        <is>
          <t>PO2425-04799</t>
        </is>
      </c>
      <c r="I620" s="290">
        <f>IF(RawDataGenPO[[#This Row],[PO No.]]="","",RawDataGenPO[[#This Row],[DMY Create PR]]+7)</f>
        <v/>
      </c>
      <c r="J620" s="290" t="n"/>
      <c r="K620" s="20">
        <f>IF(RawDataGenPO[[#This Row],[PO No.]]="","",10)</f>
        <v/>
      </c>
      <c r="L620" s="5" t="inlineStr">
        <is>
          <t>SFST81000050</t>
        </is>
      </c>
      <c r="M620" s="7" t="inlineStr">
        <is>
          <t>Safety equipment</t>
        </is>
      </c>
      <c r="N620" s="7" t="inlineStr">
        <is>
          <t>Tool and Equipment</t>
        </is>
      </c>
      <c r="O620" s="11" t="n">
        <v>9</v>
      </c>
      <c r="P620" s="10" t="inlineStr">
        <is>
          <t>stake(plastic)</t>
        </is>
      </c>
      <c r="Q620" s="277" t="n">
        <v>7</v>
      </c>
      <c r="R620" s="5" t="inlineStr">
        <is>
          <t>PCS.</t>
        </is>
      </c>
      <c r="S620" s="292">
        <f>RawDataGenPO[[#This Row],[Total price]]/RawDataGenPO[[#This Row],[Qty'']]</f>
        <v/>
      </c>
      <c r="T620" s="297" t="n">
        <v>196.28</v>
      </c>
      <c r="U620" s="291" t="n"/>
      <c r="V620" s="7" t="inlineStr">
        <is>
          <t>V1000708 - THONGPRACHATHIPATAI CO., LTD.</t>
        </is>
      </c>
      <c r="W620" s="5" t="inlineStr">
        <is>
          <t>Recive bill and GRN already</t>
        </is>
      </c>
      <c r="Y620" s="3" t="n">
        <v>45621</v>
      </c>
      <c r="AA620" s="17">
        <f>IF(RawDataGenPO[[#This Row],[Date Gen PO]]="","",RawDataGenPO[[#This Row],[Date recive bill]]-RawDataGenPO[[#This Row],[Date Gen PO]])</f>
        <v/>
      </c>
      <c r="AB620" s="16">
        <f>IF(RawDataGenPO[[#This Row],[GRN-PO date]]&gt;RawDataGenPO[[#This Row],[Lead time delivery (day)]],"over deliverry","Ontime")</f>
        <v/>
      </c>
      <c r="AC620" s="22" t="n"/>
    </row>
    <row r="621" ht="15" customHeight="1">
      <c r="A621" s="5">
        <f>ROW()-ROW(RawDataGenPO[[#Headers],[No.]])</f>
        <v/>
      </c>
      <c r="B621" s="7" t="inlineStr">
        <is>
          <t>Expent  cost</t>
        </is>
      </c>
      <c r="C621" s="301" t="n">
        <v>45604</v>
      </c>
      <c r="E621" s="281" t="n"/>
      <c r="F621" s="301" t="n">
        <v>45604</v>
      </c>
      <c r="G621" s="5" t="inlineStr">
        <is>
          <t>PR2425-04305</t>
        </is>
      </c>
      <c r="H621" s="5" t="inlineStr">
        <is>
          <t>PO2425-04799</t>
        </is>
      </c>
      <c r="I621" s="290">
        <f>IF(RawDataGenPO[[#This Row],[PO No.]]="","",RawDataGenPO[[#This Row],[DMY Create PR]]+7)</f>
        <v/>
      </c>
      <c r="J621" s="290" t="n"/>
      <c r="K621" s="20">
        <f>IF(RawDataGenPO[[#This Row],[PO No.]]="","",10)</f>
        <v/>
      </c>
      <c r="L621" s="5" t="inlineStr">
        <is>
          <t>SFST81000085</t>
        </is>
      </c>
      <c r="M621" s="7" t="inlineStr">
        <is>
          <t>Safety equipment</t>
        </is>
      </c>
      <c r="N621" s="7" t="inlineStr">
        <is>
          <t>Tool and Equipment</t>
        </is>
      </c>
      <c r="O621" s="11" t="n">
        <v>10</v>
      </c>
      <c r="P621" s="10" t="inlineStr">
        <is>
          <t>Delivery charge</t>
        </is>
      </c>
      <c r="Q621" s="277" t="n">
        <v>1</v>
      </c>
      <c r="R621" s="5" t="inlineStr">
        <is>
          <t>PCS.</t>
        </is>
      </c>
      <c r="S621" s="292">
        <f>RawDataGenPO[[#This Row],[Total price]]/RawDataGenPO[[#This Row],[Qty'']]</f>
        <v/>
      </c>
      <c r="T621" s="297" t="n">
        <v>93.45999999999999</v>
      </c>
      <c r="U621" s="291" t="n"/>
      <c r="V621" s="7" t="inlineStr">
        <is>
          <t>V1000708 - THONGPRACHATHIPATAI CO., LTD.</t>
        </is>
      </c>
      <c r="W621" s="5" t="inlineStr">
        <is>
          <t>Recive bill and GRN already</t>
        </is>
      </c>
      <c r="Y621" s="3" t="n">
        <v>45621</v>
      </c>
      <c r="AA621" s="17">
        <f>IF(RawDataGenPO[[#This Row],[Date Gen PO]]="","",RawDataGenPO[[#This Row],[Date recive bill]]-RawDataGenPO[[#This Row],[Date Gen PO]])</f>
        <v/>
      </c>
      <c r="AB621" s="16">
        <f>IF(RawDataGenPO[[#This Row],[GRN-PO date]]&gt;RawDataGenPO[[#This Row],[Lead time delivery (day)]],"over deliverry","Ontime")</f>
        <v/>
      </c>
      <c r="AC621" s="22" t="n"/>
    </row>
    <row r="622" ht="230.25" customFormat="1" customHeight="1" s="125">
      <c r="A622" s="5">
        <f>ROW()-ROW(RawDataGenPO[[#Headers],[No.]])</f>
        <v/>
      </c>
      <c r="B622" s="7" t="inlineStr">
        <is>
          <t>Expent  cost</t>
        </is>
      </c>
      <c r="C622" s="301" t="n">
        <v>45604</v>
      </c>
      <c r="D622" s="276" t="n"/>
      <c r="E622" s="281" t="n"/>
      <c r="F622" s="301" t="n">
        <v>45604</v>
      </c>
      <c r="G622" s="5" t="inlineStr">
        <is>
          <t>PR2425-04308</t>
        </is>
      </c>
      <c r="H622" s="5" t="inlineStr">
        <is>
          <t>PO2425-04775</t>
        </is>
      </c>
      <c r="I622" s="290">
        <f>IF(RawDataGenPO[[#This Row],[PO No.]]="","",RawDataGenPO[[#This Row],[DMY Create PR]]+7)</f>
        <v/>
      </c>
      <c r="J622" s="290" t="n"/>
      <c r="K622" s="20" t="n">
        <v>40</v>
      </c>
      <c r="L622" s="5" t="inlineStr">
        <is>
          <t>SFST81000048</t>
        </is>
      </c>
      <c r="M622" s="7" t="inlineStr">
        <is>
          <t>Cooling machine for PD line</t>
        </is>
      </c>
      <c r="N622" s="7" t="inlineStr">
        <is>
          <t>Condencer Unit No.5</t>
        </is>
      </c>
      <c r="O622" s="11" t="n">
        <v>1</v>
      </c>
      <c r="P622" s="10" t="inlineStr">
        <is>
          <t>CU5: Overhaul # 4EC-6.2Y-40S
Overhaul # 4EC-6.2Y-40S
-rewind motor 1 set
-replace front and rear bushings 1 set
-replace pistons 4 pcs
-replace connecting rods 4 rod
-replace piston rings 8 pcs
-replace connecting rod pins 4 pcs
-replace low valves 4 pcs
-replace high valves 16 pcs
-repair main head 1 set
-repair oil pump 1 set
-replace sensor cable 1 set
-replace gasket 1 set
-change compressor oil</t>
        </is>
      </c>
      <c r="Q622" s="277" t="n">
        <v>1</v>
      </c>
      <c r="R622" s="5" t="inlineStr">
        <is>
          <t>JOB.</t>
        </is>
      </c>
      <c r="S622" s="292">
        <f>RawDataGenPO[[#This Row],[Total price]]/RawDataGenPO[[#This Row],[Qty'']]</f>
        <v/>
      </c>
      <c r="T622" s="278" t="n">
        <v>39600</v>
      </c>
      <c r="U622" s="291" t="n"/>
      <c r="V622" s="7" t="inlineStr">
        <is>
          <t>V1000554 - SHANTECH (THAILAND) CO.,LTD.</t>
        </is>
      </c>
      <c r="W622" s="5" t="inlineStr">
        <is>
          <t>Recive bill and GRN already</t>
        </is>
      </c>
      <c r="X622" s="5" t="n"/>
      <c r="Y622" s="3" t="n">
        <v>45645</v>
      </c>
      <c r="Z622" s="3" t="n"/>
      <c r="AA622" s="17">
        <f>IF(RawDataGenPO[[#This Row],[Date Gen PO]]="","",RawDataGenPO[[#This Row],[Date recive bill]]-RawDataGenPO[[#This Row],[Date Gen PO]])</f>
        <v/>
      </c>
      <c r="AB622" s="16">
        <f>IF(RawDataGenPO[[#This Row],[GRN-PO date]]&gt;RawDataGenPO[[#This Row],[Lead time delivery (day)]],"over deliverry","Ontime")</f>
        <v/>
      </c>
      <c r="AC622" s="22" t="n"/>
    </row>
    <row r="623" ht="15" customFormat="1" customHeight="1" s="125">
      <c r="A623" s="5">
        <f>ROW()-ROW(RawDataGenPO[[#Headers],[No.]])</f>
        <v/>
      </c>
      <c r="B623" s="7" t="inlineStr">
        <is>
          <t>Expent  cost</t>
        </is>
      </c>
      <c r="C623" s="301" t="n">
        <v>45604</v>
      </c>
      <c r="D623" s="276" t="n"/>
      <c r="E623" s="281" t="n"/>
      <c r="F623" s="301" t="n">
        <v>45604</v>
      </c>
      <c r="G623" s="5" t="inlineStr">
        <is>
          <t>PR2425-04308</t>
        </is>
      </c>
      <c r="H623" s="5" t="inlineStr">
        <is>
          <t>PO2425-04775</t>
        </is>
      </c>
      <c r="I623" s="290">
        <f>IF(RawDataGenPO[[#This Row],[PO No.]]="","",RawDataGenPO[[#This Row],[DMY Create PR]]+7)</f>
        <v/>
      </c>
      <c r="J623" s="290" t="n"/>
      <c r="K623" s="20" t="n">
        <v>40</v>
      </c>
      <c r="L623" s="5" t="inlineStr">
        <is>
          <t>SFST81000048</t>
        </is>
      </c>
      <c r="M623" s="7" t="inlineStr">
        <is>
          <t>Cooling machine for PD line</t>
        </is>
      </c>
      <c r="N623" s="7" t="inlineStr">
        <is>
          <t>Condencer Unit No.5</t>
        </is>
      </c>
      <c r="O623" s="11" t="n">
        <v>2</v>
      </c>
      <c r="P623" s="10" t="inlineStr">
        <is>
          <t>Service charge + travel cost</t>
        </is>
      </c>
      <c r="Q623" s="277" t="n">
        <v>1</v>
      </c>
      <c r="R623" s="5" t="inlineStr">
        <is>
          <t>JOB.</t>
        </is>
      </c>
      <c r="S623" s="292">
        <f>RawDataGenPO[[#This Row],[Total price]]/RawDataGenPO[[#This Row],[Qty'']]</f>
        <v/>
      </c>
      <c r="T623" s="278" t="n">
        <v>5000</v>
      </c>
      <c r="U623" s="291" t="n"/>
      <c r="V623" s="7" t="inlineStr">
        <is>
          <t>V1000554 - SHANTECH (THAILAND) CO.,LTD.</t>
        </is>
      </c>
      <c r="W623" s="5" t="inlineStr">
        <is>
          <t>Recive bill and GRN already</t>
        </is>
      </c>
      <c r="X623" s="5" t="n"/>
      <c r="Y623" s="3" t="n">
        <v>45645</v>
      </c>
      <c r="Z623" s="3" t="n"/>
      <c r="AA623" s="17">
        <f>IF(RawDataGenPO[[#This Row],[Date Gen PO]]="","",RawDataGenPO[[#This Row],[Date recive bill]]-RawDataGenPO[[#This Row],[Date Gen PO]])</f>
        <v/>
      </c>
      <c r="AB623" s="16">
        <f>IF(RawDataGenPO[[#This Row],[GRN-PO date]]&gt;RawDataGenPO[[#This Row],[Lead time delivery (day)]],"over deliverry","Ontime")</f>
        <v/>
      </c>
      <c r="AC623" s="22" t="n"/>
    </row>
    <row r="624" ht="225" customFormat="1" customHeight="1" s="125">
      <c r="A624" s="5">
        <f>ROW()-ROW(RawDataGenPO[[#Headers],[No.]])</f>
        <v/>
      </c>
      <c r="B624" s="7" t="inlineStr">
        <is>
          <t>Expent  cost</t>
        </is>
      </c>
      <c r="C624" s="301" t="n">
        <v>45604</v>
      </c>
      <c r="D624" s="276" t="n"/>
      <c r="E624" s="281" t="n"/>
      <c r="F624" s="301" t="n">
        <v>45604</v>
      </c>
      <c r="G624" s="5" t="inlineStr">
        <is>
          <t>PR2425-04307</t>
        </is>
      </c>
      <c r="H624" s="5" t="inlineStr">
        <is>
          <t>PO2425-04776</t>
        </is>
      </c>
      <c r="I624" s="290">
        <f>IF(RawDataGenPO[[#This Row],[PO No.]]="","",RawDataGenPO[[#This Row],[DMY Create PR]]+7)</f>
        <v/>
      </c>
      <c r="J624" s="290" t="n"/>
      <c r="K624" s="20" t="n">
        <v>40</v>
      </c>
      <c r="L624" s="5" t="inlineStr">
        <is>
          <t>SFST81000048</t>
        </is>
      </c>
      <c r="M624" s="7" t="inlineStr">
        <is>
          <t>Cooling machine for PD line</t>
        </is>
      </c>
      <c r="N624" s="7" t="inlineStr">
        <is>
          <t>Condencer Unit No.6</t>
        </is>
      </c>
      <c r="O624" s="11" t="n">
        <v>1</v>
      </c>
      <c r="P624" s="10" t="inlineStr">
        <is>
          <t>CU6: Overhaul # 4EC-6.2Y-40S
Overhaul # 4EC-6.2Y-40S
-rewind motor 1 set
-replace front and rear bushings 1 set
-replace pistons 4 pcs
-replace connecting rods 4 rod
-replace piston rings 8 pcs
-replace connecting rod pins 4 pcs
-replace low valves 4 pcs
-replace high valves 16 pcs
-repair main head 1 set
-repair oil pump 1 set
-replace sensor cable 1 set
-replace gasket 1 set
-change compressor oil</t>
        </is>
      </c>
      <c r="Q624" s="277" t="n">
        <v>1</v>
      </c>
      <c r="R624" s="5" t="inlineStr">
        <is>
          <t>JOB.</t>
        </is>
      </c>
      <c r="S624" s="292">
        <f>RawDataGenPO[[#This Row],[Total price]]/RawDataGenPO[[#This Row],[Qty'']]</f>
        <v/>
      </c>
      <c r="T624" s="278" t="n">
        <v>39600</v>
      </c>
      <c r="U624" s="291" t="n"/>
      <c r="V624" s="7" t="inlineStr">
        <is>
          <t>V1000554 - SHANTECH (THAILAND) CO.,LTD.</t>
        </is>
      </c>
      <c r="W624" s="5" t="inlineStr">
        <is>
          <t>Recive bill and GRN already</t>
        </is>
      </c>
      <c r="X624" s="5" t="n"/>
      <c r="Y624" s="3" t="n">
        <v>45645</v>
      </c>
      <c r="Z624" s="3" t="n"/>
      <c r="AA624" s="17">
        <f>IF(RawDataGenPO[[#This Row],[Date Gen PO]]="","",RawDataGenPO[[#This Row],[Date recive bill]]-RawDataGenPO[[#This Row],[Date Gen PO]])</f>
        <v/>
      </c>
      <c r="AB624" s="16">
        <f>IF(RawDataGenPO[[#This Row],[GRN-PO date]]&gt;RawDataGenPO[[#This Row],[Lead time delivery (day)]],"over deliverry","Ontime")</f>
        <v/>
      </c>
      <c r="AC624" s="22" t="n"/>
    </row>
    <row r="625" ht="15" customFormat="1" customHeight="1" s="125">
      <c r="A625" s="5">
        <f>ROW()-ROW(RawDataGenPO[[#Headers],[No.]])</f>
        <v/>
      </c>
      <c r="B625" s="7" t="inlineStr">
        <is>
          <t>Expent  cost</t>
        </is>
      </c>
      <c r="C625" s="301" t="n">
        <v>45604</v>
      </c>
      <c r="D625" s="276" t="n"/>
      <c r="E625" s="281" t="n"/>
      <c r="F625" s="301" t="n">
        <v>45604</v>
      </c>
      <c r="G625" s="5" t="inlineStr">
        <is>
          <t>PR2425-04307</t>
        </is>
      </c>
      <c r="H625" s="5" t="inlineStr">
        <is>
          <t>PO2425-04776</t>
        </is>
      </c>
      <c r="I625" s="290">
        <f>IF(RawDataGenPO[[#This Row],[PO No.]]="","",RawDataGenPO[[#This Row],[DMY Create PR]]+7)</f>
        <v/>
      </c>
      <c r="J625" s="290" t="n"/>
      <c r="K625" s="20" t="n">
        <v>40</v>
      </c>
      <c r="L625" s="5" t="inlineStr">
        <is>
          <t>SFST81000048</t>
        </is>
      </c>
      <c r="M625" s="7" t="inlineStr">
        <is>
          <t>Cooling machine for PD line</t>
        </is>
      </c>
      <c r="N625" s="7" t="inlineStr">
        <is>
          <t>Condencer Unit No.6</t>
        </is>
      </c>
      <c r="O625" s="11" t="n">
        <v>2</v>
      </c>
      <c r="P625" s="10" t="inlineStr">
        <is>
          <t>Service charge + travel cost</t>
        </is>
      </c>
      <c r="Q625" s="277" t="n">
        <v>1</v>
      </c>
      <c r="R625" s="5" t="inlineStr">
        <is>
          <t>JOB.</t>
        </is>
      </c>
      <c r="S625" s="292">
        <f>RawDataGenPO[[#This Row],[Total price]]/RawDataGenPO[[#This Row],[Qty'']]</f>
        <v/>
      </c>
      <c r="T625" s="278" t="n">
        <v>5000</v>
      </c>
      <c r="U625" s="291" t="n"/>
      <c r="V625" s="7" t="inlineStr">
        <is>
          <t>V1000554 - SHANTECH (THAILAND) CO.,LTD.</t>
        </is>
      </c>
      <c r="W625" s="5" t="inlineStr">
        <is>
          <t>Recive bill and GRN already</t>
        </is>
      </c>
      <c r="X625" s="5" t="n"/>
      <c r="Y625" s="3" t="n">
        <v>45645</v>
      </c>
      <c r="Z625" s="3" t="n"/>
      <c r="AA625" s="17">
        <f>IF(RawDataGenPO[[#This Row],[Date Gen PO]]="","",RawDataGenPO[[#This Row],[Date recive bill]]-RawDataGenPO[[#This Row],[Date Gen PO]])</f>
        <v/>
      </c>
      <c r="AB625" s="16">
        <f>IF(RawDataGenPO[[#This Row],[GRN-PO date]]&gt;RawDataGenPO[[#This Row],[Lead time delivery (day)]],"over deliverry","Ontime")</f>
        <v/>
      </c>
      <c r="AC625" s="22" t="n"/>
    </row>
    <row r="626" customFormat="1" s="125">
      <c r="A626" s="5">
        <f>ROW()-ROW(RawDataGenPO[[#Headers],[No.]])</f>
        <v/>
      </c>
      <c r="B626" s="7" t="inlineStr">
        <is>
          <t>CAPEX  (Budget)</t>
        </is>
      </c>
      <c r="C626" s="301" t="n">
        <v>45595</v>
      </c>
      <c r="D626" s="276" t="n"/>
      <c r="E626" s="281" t="n"/>
      <c r="F626" s="301" t="n">
        <v>45595</v>
      </c>
      <c r="G626" s="5" t="inlineStr">
        <is>
          <t xml:space="preserve">PR2425-04220 </t>
        </is>
      </c>
      <c r="H626" s="5" t="inlineStr">
        <is>
          <t>PO2425-04900</t>
        </is>
      </c>
      <c r="I626" s="290">
        <f>IF(RawDataGenPO[[#This Row],[PO No.]]="","",RawDataGenPO[[#This Row],[DMY Create PR]]+7)</f>
        <v/>
      </c>
      <c r="J626" s="290" t="n"/>
      <c r="K626" s="20" t="n">
        <v>60</v>
      </c>
      <c r="L626" s="5" t="inlineStr">
        <is>
          <t>SFST82000007</t>
        </is>
      </c>
      <c r="M626" s="7" t="inlineStr">
        <is>
          <t xml:space="preserve">Waste water </t>
        </is>
      </c>
      <c r="N626" s="7" t="inlineStr">
        <is>
          <t>Tool and Equipment</t>
        </is>
      </c>
      <c r="O626" s="11" t="n">
        <v>1</v>
      </c>
      <c r="P626" s="10" t="inlineStr">
        <is>
          <t>"TSURUMI PUMP", 8021B.5, 2P, 3",380V, Submersible pump</t>
        </is>
      </c>
      <c r="Q626" s="277" t="n">
        <v>1</v>
      </c>
      <c r="R626" s="5" t="inlineStr">
        <is>
          <t>PCS.</t>
        </is>
      </c>
      <c r="S626" s="292">
        <f>RawDataGenPO[[#This Row],[Total price]]/RawDataGenPO[[#This Row],[Qty'']]</f>
        <v/>
      </c>
      <c r="T626" s="162" t="n">
        <v>21355.14</v>
      </c>
      <c r="U626" s="291" t="n"/>
      <c r="V626" s="7" t="inlineStr">
        <is>
          <t>V1000705 - S.T.INTERTRADE 1992 LIMITED PARTNERSHIP</t>
        </is>
      </c>
      <c r="W626" s="5" t="inlineStr">
        <is>
          <t>Recive bill and GRN already</t>
        </is>
      </c>
      <c r="X626" s="5" t="n"/>
      <c r="Y626" s="3" t="n">
        <v>45659</v>
      </c>
      <c r="Z626" s="3" t="n"/>
      <c r="AA626" s="17">
        <f>IF(RawDataGenPO[[#This Row],[Date Gen PO]]="","",RawDataGenPO[[#This Row],[Date recive bill]]-RawDataGenPO[[#This Row],[Date Gen PO]])</f>
        <v/>
      </c>
      <c r="AB626" s="16">
        <f>IF(RawDataGenPO[[#This Row],[GRN-PO date]]&gt;RawDataGenPO[[#This Row],[Lead time delivery (day)]],"over deliverry","Ontime")</f>
        <v/>
      </c>
      <c r="AC626" s="22" t="n"/>
    </row>
    <row r="627" customFormat="1" s="125">
      <c r="A627" s="5">
        <f>ROW()-ROW(RawDataGenPO[[#Headers],[No.]])</f>
        <v/>
      </c>
      <c r="B627" s="7" t="inlineStr">
        <is>
          <t>CAPEX  (Budget)</t>
        </is>
      </c>
      <c r="C627" s="301" t="n">
        <v>45595</v>
      </c>
      <c r="D627" s="276" t="n"/>
      <c r="E627" s="281" t="n"/>
      <c r="F627" s="301" t="n">
        <v>45595</v>
      </c>
      <c r="G627" s="5" t="inlineStr">
        <is>
          <t xml:space="preserve">PR2425-04220 </t>
        </is>
      </c>
      <c r="H627" s="5" t="inlineStr">
        <is>
          <t>PO2425-04900</t>
        </is>
      </c>
      <c r="I627" s="290">
        <f>IF(RawDataGenPO[[#This Row],[PO No.]]="","",RawDataGenPO[[#This Row],[DMY Create PR]]+7)</f>
        <v/>
      </c>
      <c r="J627" s="290" t="n"/>
      <c r="K627" s="20" t="n">
        <v>60</v>
      </c>
      <c r="L627" s="5" t="inlineStr">
        <is>
          <t>SFST82000007</t>
        </is>
      </c>
      <c r="M627" s="7" t="inlineStr">
        <is>
          <t xml:space="preserve">Waste water </t>
        </is>
      </c>
      <c r="N627" s="7" t="inlineStr">
        <is>
          <t>Tool and Equipment</t>
        </is>
      </c>
      <c r="O627" s="11" t="n">
        <v>2</v>
      </c>
      <c r="P627" s="10" t="inlineStr">
        <is>
          <t>"TSURUMI PUMP", 8021B.5, 2P, 3",380V, Submersible pump</t>
        </is>
      </c>
      <c r="Q627" s="277" t="n">
        <v>1</v>
      </c>
      <c r="R627" s="5" t="inlineStr">
        <is>
          <t>PCS.</t>
        </is>
      </c>
      <c r="S627" s="292">
        <f>RawDataGenPO[[#This Row],[Total price]]/RawDataGenPO[[#This Row],[Qty'']]</f>
        <v/>
      </c>
      <c r="T627" s="162" t="n">
        <v>21355.14</v>
      </c>
      <c r="U627" s="291" t="n"/>
      <c r="V627" s="7" t="inlineStr">
        <is>
          <t>V1000705 - S.T.INTERTRADE 1992 LIMITED PARTNERSHIP</t>
        </is>
      </c>
      <c r="W627" s="5" t="inlineStr">
        <is>
          <t>Recive bill and GRN already</t>
        </is>
      </c>
      <c r="X627" s="5" t="n"/>
      <c r="Y627" s="3" t="n">
        <v>45659</v>
      </c>
      <c r="Z627" s="3" t="n"/>
      <c r="AA627" s="17">
        <f>IF(RawDataGenPO[[#This Row],[Date Gen PO]]="","",RawDataGenPO[[#This Row],[Date recive bill]]-RawDataGenPO[[#This Row],[Date Gen PO]])</f>
        <v/>
      </c>
      <c r="AB627" s="16">
        <f>IF(RawDataGenPO[[#This Row],[GRN-PO date]]&gt;RawDataGenPO[[#This Row],[Lead time delivery (day)]],"over deliverry","Ontime")</f>
        <v/>
      </c>
      <c r="AC627" s="22" t="n"/>
    </row>
    <row r="628" ht="35.25" customFormat="1" customHeight="1" s="125">
      <c r="A628" s="5">
        <f>ROW()-ROW(RawDataGenPO[[#Headers],[No.]])</f>
        <v/>
      </c>
      <c r="B628" s="7" t="inlineStr">
        <is>
          <t>CAPEX  (Budget)</t>
        </is>
      </c>
      <c r="C628" s="301" t="n">
        <v>45595</v>
      </c>
      <c r="D628" s="276" t="n"/>
      <c r="E628" s="281" t="n"/>
      <c r="F628" s="301" t="n">
        <v>45595</v>
      </c>
      <c r="G628" s="5" t="inlineStr">
        <is>
          <t xml:space="preserve">PR2425-04220 </t>
        </is>
      </c>
      <c r="H628" s="5" t="inlineStr">
        <is>
          <t>PO2425-04900</t>
        </is>
      </c>
      <c r="I628" s="290">
        <f>IF(RawDataGenPO[[#This Row],[PO No.]]="","",RawDataGenPO[[#This Row],[DMY Create PR]]+7)</f>
        <v/>
      </c>
      <c r="J628" s="290" t="n"/>
      <c r="K628" s="20" t="n">
        <v>60</v>
      </c>
      <c r="L628" s="5" t="inlineStr">
        <is>
          <t>SFST82000007</t>
        </is>
      </c>
      <c r="M628" s="7" t="inlineStr">
        <is>
          <t xml:space="preserve">Waste water </t>
        </is>
      </c>
      <c r="N628" s="7" t="inlineStr">
        <is>
          <t>Tool and Equipment</t>
        </is>
      </c>
      <c r="O628" s="11" t="n">
        <v>3</v>
      </c>
      <c r="P628" s="10" t="inlineStr">
        <is>
          <t>"SHINMAYWA", CN80-MT-P80B, 3.7kW, 380V, 3", Submersible pump</t>
        </is>
      </c>
      <c r="Q628" s="277" t="n">
        <v>1</v>
      </c>
      <c r="R628" s="5" t="inlineStr">
        <is>
          <t>PCS.</t>
        </is>
      </c>
      <c r="S628" s="328">
        <f>RawDataGenPO[[#This Row],[Total price]]/RawDataGenPO[[#This Row],[Qty'']]</f>
        <v/>
      </c>
      <c r="T628" s="162" t="n">
        <v>35650</v>
      </c>
      <c r="U628" s="5" t="n"/>
      <c r="V628" s="7" t="inlineStr">
        <is>
          <t>V1000705 - S.T.INTERTRADE 1992 LIMITED PARTNERSHIP</t>
        </is>
      </c>
      <c r="W628" s="5" t="inlineStr">
        <is>
          <t>Recive bill and GRN already</t>
        </is>
      </c>
      <c r="X628" s="5" t="n"/>
      <c r="Y628" s="3" t="n">
        <v>45659</v>
      </c>
      <c r="Z628" s="3" t="n"/>
      <c r="AA628" s="17">
        <f>IF(RawDataGenPO[[#This Row],[Date Gen PO]]="","",RawDataGenPO[[#This Row],[Date recive bill]]-RawDataGenPO[[#This Row],[Date Gen PO]])</f>
        <v/>
      </c>
      <c r="AB628" s="16">
        <f>IF(RawDataGenPO[[#This Row],[GRN-PO date]]&gt;RawDataGenPO[[#This Row],[Lead time delivery (day)]],"over deliverry","Ontime")</f>
        <v/>
      </c>
      <c r="AC628" s="164" t="n"/>
    </row>
    <row r="629" customFormat="1" s="125">
      <c r="A629" s="5">
        <f>ROW()-ROW(RawDataGenPO[[#Headers],[No.]])</f>
        <v/>
      </c>
      <c r="B629" s="7" t="inlineStr">
        <is>
          <t>CAPEX  (Budget)</t>
        </is>
      </c>
      <c r="C629" s="301" t="n">
        <v>45595</v>
      </c>
      <c r="D629" s="276" t="n"/>
      <c r="E629" s="281" t="n"/>
      <c r="F629" s="301" t="n">
        <v>45595</v>
      </c>
      <c r="G629" s="5" t="inlineStr">
        <is>
          <t xml:space="preserve">PR2425-04220 </t>
        </is>
      </c>
      <c r="H629" s="5" t="inlineStr">
        <is>
          <t>PO2425-04900</t>
        </is>
      </c>
      <c r="I629" s="290">
        <f>IF(RawDataGenPO[[#This Row],[PO No.]]="","",RawDataGenPO[[#This Row],[DMY Create PR]]+7)</f>
        <v/>
      </c>
      <c r="J629" s="290" t="n"/>
      <c r="K629" s="20" t="n">
        <v>60</v>
      </c>
      <c r="L629" s="5" t="inlineStr">
        <is>
          <t>SFST82000007</t>
        </is>
      </c>
      <c r="M629" s="7" t="inlineStr">
        <is>
          <t xml:space="preserve">Waste water </t>
        </is>
      </c>
      <c r="N629" s="7" t="inlineStr">
        <is>
          <t>Tool and Equipment</t>
        </is>
      </c>
      <c r="O629" s="11" t="n">
        <v>4</v>
      </c>
      <c r="P629" s="10" t="inlineStr">
        <is>
          <t>"SHINMAYWAP", CN501-MT-F50, 2", 380V, Submersible pump</t>
        </is>
      </c>
      <c r="Q629" s="277" t="n">
        <v>1</v>
      </c>
      <c r="R629" s="5" t="inlineStr">
        <is>
          <t>PCS.</t>
        </is>
      </c>
      <c r="S629" s="328">
        <f>RawDataGenPO[[#This Row],[Total price]]/RawDataGenPO[[#This Row],[Qty'']]</f>
        <v/>
      </c>
      <c r="T629" s="162" t="n">
        <v>13225</v>
      </c>
      <c r="U629" s="291" t="n"/>
      <c r="V629" s="7" t="inlineStr">
        <is>
          <t>V1000705 - S.T.INTERTRADE 1992 LIMITED PARTNERSHIP</t>
        </is>
      </c>
      <c r="W629" s="5" t="inlineStr">
        <is>
          <t>Recive bill and GRN already</t>
        </is>
      </c>
      <c r="X629" s="5" t="n"/>
      <c r="Y629" s="3" t="n">
        <v>45659</v>
      </c>
      <c r="Z629" s="3" t="n"/>
      <c r="AA629" s="17">
        <f>IF(RawDataGenPO[[#This Row],[Date Gen PO]]="","",RawDataGenPO[[#This Row],[Date recive bill]]-RawDataGenPO[[#This Row],[Date Gen PO]])</f>
        <v/>
      </c>
      <c r="AB629" s="16">
        <f>IF(RawDataGenPO[[#This Row],[GRN-PO date]]&gt;RawDataGenPO[[#This Row],[Lead time delivery (day)]],"over deliverry","Ontime")</f>
        <v/>
      </c>
      <c r="AC629" s="22" t="n"/>
    </row>
    <row r="630" ht="30.60000038146973" customFormat="1" customHeight="1" s="125">
      <c r="A630" s="5">
        <f>ROW()-ROW(RawDataGenPO[[#Headers],[No.]])</f>
        <v/>
      </c>
      <c r="B630" s="7" t="inlineStr">
        <is>
          <t>CAPEX  (Budget)</t>
        </is>
      </c>
      <c r="C630" s="301" t="n">
        <v>45595</v>
      </c>
      <c r="D630" s="276" t="n"/>
      <c r="E630" s="281" t="n"/>
      <c r="F630" s="301" t="n">
        <v>45595</v>
      </c>
      <c r="G630" s="5" t="inlineStr">
        <is>
          <t xml:space="preserve">PR2425-04220 </t>
        </is>
      </c>
      <c r="H630" s="5" t="inlineStr">
        <is>
          <t>PO2425-04900</t>
        </is>
      </c>
      <c r="I630" s="290">
        <f>IF(RawDataGenPO[[#This Row],[PO No.]]="","",RawDataGenPO[[#This Row],[DMY Create PR]]+7)</f>
        <v/>
      </c>
      <c r="J630" s="290" t="n"/>
      <c r="K630" s="20" t="n">
        <v>60</v>
      </c>
      <c r="L630" s="5" t="inlineStr">
        <is>
          <t>SFST82000007</t>
        </is>
      </c>
      <c r="M630" s="7" t="inlineStr">
        <is>
          <t xml:space="preserve">Waste water </t>
        </is>
      </c>
      <c r="N630" s="7" t="inlineStr">
        <is>
          <t>Tool and Equipment</t>
        </is>
      </c>
      <c r="O630" s="11" t="n">
        <v>5</v>
      </c>
      <c r="P630" s="10" t="inlineStr">
        <is>
          <t>"TSURUMI PUMP", 50PU2.75,0.75kW, 380V, Discharge bore 50mm, Submersible pump</t>
        </is>
      </c>
      <c r="Q630" s="277" t="n">
        <v>1</v>
      </c>
      <c r="R630" s="5" t="inlineStr">
        <is>
          <t>PCS.</t>
        </is>
      </c>
      <c r="S630" s="328">
        <f>RawDataGenPO[[#This Row],[Total price]]/RawDataGenPO[[#This Row],[Qty'']]</f>
        <v/>
      </c>
      <c r="T630" s="162" t="n">
        <v>10766.36</v>
      </c>
      <c r="U630" s="291" t="n"/>
      <c r="V630" s="7" t="inlineStr">
        <is>
          <t>V1000705 - S.T.INTERTRADE 1992 LIMITED PARTNERSHIP</t>
        </is>
      </c>
      <c r="W630" s="5" t="inlineStr">
        <is>
          <t>Recive bill and GRN already</t>
        </is>
      </c>
      <c r="X630" s="5" t="n"/>
      <c r="Y630" s="3" t="n">
        <v>45659</v>
      </c>
      <c r="Z630" s="3" t="n"/>
      <c r="AA630" s="17">
        <f>IF(RawDataGenPO[[#This Row],[Date Gen PO]]="","",RawDataGenPO[[#This Row],[Date recive bill]]-RawDataGenPO[[#This Row],[Date Gen PO]])</f>
        <v/>
      </c>
      <c r="AB630" s="16">
        <f>IF(RawDataGenPO[[#This Row],[GRN-PO date]]&gt;RawDataGenPO[[#This Row],[Lead time delivery (day)]],"over deliverry","Ontime")</f>
        <v/>
      </c>
      <c r="AC630" s="22" t="n"/>
    </row>
    <row r="631" ht="30.60000038146973" customFormat="1" customHeight="1" s="125">
      <c r="A631" s="5">
        <f>ROW()-ROW(RawDataGenPO[[#Headers],[No.]])</f>
        <v/>
      </c>
      <c r="B631" s="7" t="inlineStr">
        <is>
          <t>CAPEX  (Budget)</t>
        </is>
      </c>
      <c r="C631" s="301" t="n">
        <v>45595</v>
      </c>
      <c r="D631" s="276" t="n"/>
      <c r="E631" s="281" t="n"/>
      <c r="F631" s="301" t="n">
        <v>45595</v>
      </c>
      <c r="G631" s="5" t="inlineStr">
        <is>
          <t xml:space="preserve">PR2425-04220 </t>
        </is>
      </c>
      <c r="H631" s="5" t="inlineStr">
        <is>
          <t>PO2425-04900</t>
        </is>
      </c>
      <c r="I631" s="290">
        <f>IF(RawDataGenPO[[#This Row],[PO No.]]="","",RawDataGenPO[[#This Row],[DMY Create PR]]+7)</f>
        <v/>
      </c>
      <c r="J631" s="290" t="n"/>
      <c r="K631" s="20" t="n">
        <v>60</v>
      </c>
      <c r="L631" s="5" t="inlineStr">
        <is>
          <t>SFST82000007</t>
        </is>
      </c>
      <c r="M631" s="7" t="inlineStr">
        <is>
          <t xml:space="preserve">Waste water </t>
        </is>
      </c>
      <c r="N631" s="7" t="inlineStr">
        <is>
          <t>Tool and Equipment</t>
        </is>
      </c>
      <c r="O631" s="11" t="n">
        <v>6</v>
      </c>
      <c r="P631" s="10" t="inlineStr">
        <is>
          <t>"TSURUMI PUMP", 50PU2.75,0.75kW, 380V, Discharge bore 50mm, Submersible pump</t>
        </is>
      </c>
      <c r="Q631" s="277" t="n">
        <v>1</v>
      </c>
      <c r="R631" s="5" t="inlineStr">
        <is>
          <t>PCS.</t>
        </is>
      </c>
      <c r="S631" s="328">
        <f>RawDataGenPO[[#This Row],[Total price]]/RawDataGenPO[[#This Row],[Qty'']]</f>
        <v/>
      </c>
      <c r="T631" s="162" t="n">
        <v>10766.36</v>
      </c>
      <c r="U631" s="291" t="n"/>
      <c r="V631" s="7" t="inlineStr">
        <is>
          <t>V1000705 - S.T.INTERTRADE 1992 LIMITED PARTNERSHIP</t>
        </is>
      </c>
      <c r="W631" s="5" t="inlineStr">
        <is>
          <t>Recive bill and GRN already</t>
        </is>
      </c>
      <c r="X631" s="5" t="n"/>
      <c r="Y631" s="3" t="n">
        <v>45659</v>
      </c>
      <c r="Z631" s="3" t="n"/>
      <c r="AA631" s="17">
        <f>IF(RawDataGenPO[[#This Row],[Date Gen PO]]="","",RawDataGenPO[[#This Row],[Date recive bill]]-RawDataGenPO[[#This Row],[Date Gen PO]])</f>
        <v/>
      </c>
      <c r="AB631" s="16">
        <f>IF(RawDataGenPO[[#This Row],[GRN-PO date]]&gt;RawDataGenPO[[#This Row],[Lead time delivery (day)]],"over deliverry","Ontime")</f>
        <v/>
      </c>
      <c r="AC631" s="22" t="n"/>
    </row>
    <row r="632" customFormat="1" s="125">
      <c r="A632" s="5">
        <f>ROW()-ROW(RawDataGenPO[[#Headers],[No.]])</f>
        <v/>
      </c>
      <c r="B632" s="7" t="inlineStr">
        <is>
          <t>CAPEX  (Budget)</t>
        </is>
      </c>
      <c r="C632" s="301" t="n">
        <v>45595</v>
      </c>
      <c r="D632" s="276" t="n"/>
      <c r="E632" s="281" t="n"/>
      <c r="F632" s="301" t="n">
        <v>45595</v>
      </c>
      <c r="G632" s="5" t="inlineStr">
        <is>
          <t xml:space="preserve">PR2425-04220 </t>
        </is>
      </c>
      <c r="H632" s="5" t="inlineStr">
        <is>
          <t>PO2425-04900</t>
        </is>
      </c>
      <c r="I632" s="290">
        <f>IF(RawDataGenPO[[#This Row],[PO No.]]="","",RawDataGenPO[[#This Row],[DMY Create PR]]+7)</f>
        <v/>
      </c>
      <c r="J632" s="290" t="n"/>
      <c r="K632" s="20" t="n">
        <v>60</v>
      </c>
      <c r="L632" s="5" t="inlineStr">
        <is>
          <t>SFST82000007</t>
        </is>
      </c>
      <c r="M632" s="7" t="inlineStr">
        <is>
          <t xml:space="preserve">Waste water </t>
        </is>
      </c>
      <c r="N632" s="7" t="inlineStr">
        <is>
          <t>Tool and Equipment</t>
        </is>
      </c>
      <c r="O632" s="11" t="n">
        <v>7</v>
      </c>
      <c r="P632" s="10" t="inlineStr">
        <is>
          <t>"Mitsubishi", SSP-405S.15, 400W, 1/2Hp, 2", Submersible pump</t>
        </is>
      </c>
      <c r="Q632" s="277" t="n">
        <v>1</v>
      </c>
      <c r="R632" s="5" t="inlineStr">
        <is>
          <t>PCS.</t>
        </is>
      </c>
      <c r="S632" s="328">
        <f>RawDataGenPO[[#This Row],[Total price]]/RawDataGenPO[[#This Row],[Qty'']]</f>
        <v/>
      </c>
      <c r="T632" s="162" t="n">
        <v>4065.42</v>
      </c>
      <c r="U632" s="291" t="n"/>
      <c r="V632" s="7" t="inlineStr">
        <is>
          <t>V1000705 - S.T.INTERTRADE 1992 LIMITED PARTNERSHIP</t>
        </is>
      </c>
      <c r="W632" s="5" t="inlineStr">
        <is>
          <t>Recive bill and GRN already</t>
        </is>
      </c>
      <c r="X632" s="5" t="n"/>
      <c r="Y632" s="3" t="n">
        <v>45659</v>
      </c>
      <c r="Z632" s="3" t="n"/>
      <c r="AA632" s="17">
        <f>IF(RawDataGenPO[[#This Row],[Date Gen PO]]="","",RawDataGenPO[[#This Row],[Date recive bill]]-RawDataGenPO[[#This Row],[Date Gen PO]])</f>
        <v/>
      </c>
      <c r="AB632" s="16">
        <f>IF(RawDataGenPO[[#This Row],[GRN-PO date]]&gt;RawDataGenPO[[#This Row],[Lead time delivery (day)]],"over deliverry","Ontime")</f>
        <v/>
      </c>
      <c r="AC632" s="22" t="n"/>
    </row>
    <row r="633" ht="30" customHeight="1">
      <c r="A633" s="5">
        <f>ROW()-ROW(RawDataGenPO[[#Headers],[No.]])</f>
        <v/>
      </c>
      <c r="B633" s="7" t="inlineStr">
        <is>
          <t>CAPEX  (Budget)</t>
        </is>
      </c>
      <c r="C633" s="301" t="n">
        <v>45610</v>
      </c>
      <c r="E633" s="281" t="n"/>
      <c r="F633" s="301" t="n">
        <v>45610</v>
      </c>
      <c r="G633" s="5" t="inlineStr">
        <is>
          <t>PR2425-04482</t>
        </is>
      </c>
      <c r="H633" s="5" t="inlineStr">
        <is>
          <t>PO2425-04985</t>
        </is>
      </c>
      <c r="I633" s="290">
        <f>IF(RawDataGenPO[[#This Row],[PO No.]]="","",RawDataGenPO[[#This Row],[DMY Create PR]]+7)</f>
        <v/>
      </c>
      <c r="J633" s="290" t="n"/>
      <c r="K633" s="20" t="n">
        <v>20</v>
      </c>
      <c r="L633" s="5" t="inlineStr">
        <is>
          <t>SFST81000048</t>
        </is>
      </c>
      <c r="M633" s="7" t="inlineStr">
        <is>
          <t>PD Machine</t>
        </is>
      </c>
      <c r="N633" s="7" t="inlineStr">
        <is>
          <t>Combi oven No.1</t>
        </is>
      </c>
      <c r="O633" s="11" t="n">
        <v>1</v>
      </c>
      <c r="P633" s="10" t="inlineStr">
        <is>
          <t>Rational Dial f. pulse generator
No. 16.02.062P</t>
        </is>
      </c>
      <c r="Q633" s="277" t="n">
        <v>1</v>
      </c>
      <c r="R633" s="5" t="inlineStr">
        <is>
          <t>PCS.</t>
        </is>
      </c>
      <c r="S633" s="292">
        <f>RawDataGenPO[[#This Row],[Total price]]/RawDataGenPO[[#This Row],[Qty'']]</f>
        <v/>
      </c>
      <c r="T633" s="278" t="n">
        <v>1750</v>
      </c>
      <c r="U633" s="291" t="n"/>
      <c r="V633" s="7" t="inlineStr">
        <is>
          <t>V1000460 - FIX EVOLUTION CO., LTD.</t>
        </is>
      </c>
      <c r="W633" s="5" t="inlineStr">
        <is>
          <t>Recive bill and GRN already</t>
        </is>
      </c>
      <c r="Y633" s="3" t="n">
        <v>45628</v>
      </c>
      <c r="AA633" s="17">
        <f>IF(RawDataGenPO[[#This Row],[Date Gen PO]]="","",RawDataGenPO[[#This Row],[Date recive bill]]-RawDataGenPO[[#This Row],[Date Gen PO]])</f>
        <v/>
      </c>
      <c r="AB633" s="16">
        <f>IF(RawDataGenPO[[#This Row],[GRN-PO date]]&gt;RawDataGenPO[[#This Row],[Lead time delivery (day)]],"over deliverry","Ontime")</f>
        <v/>
      </c>
      <c r="AC633" s="22" t="n"/>
    </row>
    <row r="634" ht="120" customHeight="1">
      <c r="A634" s="5">
        <f>ROW()-ROW(RawDataGenPO[[#Headers],[No.]])</f>
        <v/>
      </c>
      <c r="B634" s="7" t="inlineStr">
        <is>
          <t>CAPEX  (Unbudget)</t>
        </is>
      </c>
      <c r="C634" s="301" t="n">
        <v>45547</v>
      </c>
      <c r="E634" s="281" t="n"/>
      <c r="F634" s="301" t="n">
        <v>45547</v>
      </c>
      <c r="G634" s="5" t="inlineStr">
        <is>
          <t>PR2425-03329</t>
        </is>
      </c>
      <c r="H634" s="5" t="inlineStr">
        <is>
          <t>PO2425-03960</t>
        </is>
      </c>
      <c r="I634" s="290">
        <f>IF(RawDataGenPO[[#This Row],[PO No.]]="","",RawDataGenPO[[#This Row],[DMY Create PR]]+7)</f>
        <v/>
      </c>
      <c r="J634" s="290" t="n"/>
      <c r="K634" s="20" t="n">
        <v>60</v>
      </c>
      <c r="L634" s="5" t="inlineStr">
        <is>
          <t>SFST82000007</t>
        </is>
      </c>
      <c r="M634" s="7" t="inlineStr">
        <is>
          <t>Tool and Equipment PD M/C</t>
        </is>
      </c>
      <c r="N634" s="7" t="inlineStr">
        <is>
          <t>Tool and Equipment</t>
        </is>
      </c>
      <c r="O634" s="5" t="n">
        <v>1</v>
      </c>
      <c r="P634" s="10" t="inlineStr">
        <is>
          <t>Table for Filling Machine
- Material: SUS304
- Size 650 x 1050 x 800 mm.
- Sheet SUS T: 1.5 mm.
- table legs Ø 1 inch
- handrail Ø 3/4
- wheelsize 3 " SUS frame with 4 brake casters
- control cabinet 1 set</t>
        </is>
      </c>
      <c r="Q634" s="277" t="n">
        <v>1</v>
      </c>
      <c r="R634" s="5" t="inlineStr">
        <is>
          <t>PCS.</t>
        </is>
      </c>
      <c r="S634" s="292">
        <f>RawDataGenPO[[#This Row],[Total price]]/RawDataGenPO[[#This Row],[Qty'']]</f>
        <v/>
      </c>
      <c r="T634" s="278" t="n">
        <v>15900</v>
      </c>
      <c r="U634" s="161" t="inlineStr">
        <is>
          <t>Puneet Approval</t>
        </is>
      </c>
      <c r="V634" s="7" t="inlineStr">
        <is>
          <t>V1000672 - A.L.T.ENGINEERING AND SUPPLY COMPANY LIMITED</t>
        </is>
      </c>
      <c r="W634" s="5" t="inlineStr">
        <is>
          <t>Recive bill and GRN already</t>
        </is>
      </c>
      <c r="Y634" s="3" t="n">
        <v>45602</v>
      </c>
      <c r="AA634" s="17">
        <f>IF(RawDataGenPO[[#This Row],[Date Gen PO]]="","",RawDataGenPO[[#This Row],[Date recive bill]]-RawDataGenPO[[#This Row],[Date Gen PO]])</f>
        <v/>
      </c>
      <c r="AB634" s="16">
        <f>IF(RawDataGenPO[[#This Row],[GRN-PO date]]&gt;RawDataGenPO[[#This Row],[Lead time delivery (day)]],"over deliverry","Ontime")</f>
        <v/>
      </c>
      <c r="AC634" s="22" t="n"/>
    </row>
    <row r="635" ht="15" customFormat="1" customHeight="1" s="125">
      <c r="A635" s="5">
        <f>ROW()-ROW(RawDataGenPO[[#Headers],[No.]])</f>
        <v/>
      </c>
      <c r="B635" s="7" t="inlineStr">
        <is>
          <t>Expent  cost</t>
        </is>
      </c>
      <c r="C635" s="301" t="n">
        <v>45610</v>
      </c>
      <c r="D635" s="276" t="n"/>
      <c r="E635" s="281" t="n"/>
      <c r="F635" s="301" t="n">
        <v>45610</v>
      </c>
      <c r="G635" s="5" t="inlineStr">
        <is>
          <t xml:space="preserve">PR2425-04480 </t>
        </is>
      </c>
      <c r="H635" s="5" t="inlineStr">
        <is>
          <t>PO2425-04981</t>
        </is>
      </c>
      <c r="I635" s="290">
        <f>IF(RawDataGenPO[[#This Row],[PO No.]]="","",RawDataGenPO[[#This Row],[DMY Create PR]]+7)</f>
        <v/>
      </c>
      <c r="J635" s="290" t="n"/>
      <c r="K635" s="20" t="n">
        <v>60</v>
      </c>
      <c r="L635" s="5" t="inlineStr">
        <is>
          <t>SFST81000009</t>
        </is>
      </c>
      <c r="M635" s="7" t="inlineStr">
        <is>
          <t>Utility Jobs  (Boiler-Air compress-Transformer-LPG)</t>
        </is>
      </c>
      <c r="N635" s="7" t="inlineStr">
        <is>
          <t>Tool and Equipment</t>
        </is>
      </c>
      <c r="O635" s="11" t="n">
        <v>1</v>
      </c>
      <c r="P635" s="10" t="inlineStr">
        <is>
          <t>"SPECTRA" 220 x 30 x 17mm</t>
        </is>
      </c>
      <c r="Q635" s="277" t="n">
        <v>2</v>
      </c>
      <c r="R635" s="5" t="inlineStr">
        <is>
          <t>PCS.</t>
        </is>
      </c>
      <c r="S635" s="292">
        <f>RawDataGenPO[[#This Row],[Total price]]/RawDataGenPO[[#This Row],[Qty'']]</f>
        <v/>
      </c>
      <c r="T635" s="278" t="n">
        <v>5080</v>
      </c>
      <c r="U635" s="291" t="n"/>
      <c r="V635" s="7" t="inlineStr">
        <is>
          <t>V1000053 - THAI K.BOILER CO.,LTD.</t>
        </is>
      </c>
      <c r="W635" s="30" t="inlineStr">
        <is>
          <t>Recive bill and GRN already</t>
        </is>
      </c>
      <c r="X635" s="5" t="n"/>
      <c r="Y635" s="3" t="n">
        <v>45659</v>
      </c>
      <c r="Z635" s="3" t="n"/>
      <c r="AA635" s="17">
        <f>IF(RawDataGenPO[[#This Row],[Date Gen PO]]="","",RawDataGenPO[[#This Row],[Date recive bill]]-RawDataGenPO[[#This Row],[Date Gen PO]])</f>
        <v/>
      </c>
      <c r="AB635" s="16">
        <f>IF(RawDataGenPO[[#This Row],[GRN-PO date]]&gt;RawDataGenPO[[#This Row],[Lead time delivery (day)]],"over deliverry","Ontime")</f>
        <v/>
      </c>
      <c r="AC635" s="22" t="n"/>
    </row>
    <row r="636" ht="15" customFormat="1" customHeight="1" s="125">
      <c r="A636" s="5">
        <f>ROW()-ROW(RawDataGenPO[[#Headers],[No.]])</f>
        <v/>
      </c>
      <c r="B636" s="7" t="inlineStr">
        <is>
          <t>Expent  cost</t>
        </is>
      </c>
      <c r="C636" s="301" t="n">
        <v>45610</v>
      </c>
      <c r="D636" s="276" t="n"/>
      <c r="E636" s="281" t="n"/>
      <c r="F636" s="301" t="n">
        <v>45610</v>
      </c>
      <c r="G636" s="5" t="inlineStr">
        <is>
          <t xml:space="preserve">PR2425-04480 </t>
        </is>
      </c>
      <c r="H636" s="5" t="inlineStr">
        <is>
          <t>PO2425-04981</t>
        </is>
      </c>
      <c r="I636" s="290">
        <f>IF(RawDataGenPO[[#This Row],[PO No.]]="","",RawDataGenPO[[#This Row],[DMY Create PR]]+7)</f>
        <v/>
      </c>
      <c r="J636" s="290" t="n"/>
      <c r="K636" s="20" t="n">
        <v>60</v>
      </c>
      <c r="L636" s="5" t="inlineStr">
        <is>
          <t>SFST81000009</t>
        </is>
      </c>
      <c r="M636" s="7" t="inlineStr">
        <is>
          <t>Utility Jobs  (Boiler-Air compress-Transformer-LPG)</t>
        </is>
      </c>
      <c r="N636" s="7" t="inlineStr">
        <is>
          <t>Tool and Equipment</t>
        </is>
      </c>
      <c r="O636" s="11" t="n">
        <v>2</v>
      </c>
      <c r="P636" s="10" t="inlineStr">
        <is>
          <t>"SPECTRA" 220 x 34 x 17mm</t>
        </is>
      </c>
      <c r="Q636" s="277" t="n">
        <v>1</v>
      </c>
      <c r="R636" s="5" t="inlineStr">
        <is>
          <t>PCS.</t>
        </is>
      </c>
      <c r="S636" s="292">
        <f>RawDataGenPO[[#This Row],[Total price]]/RawDataGenPO[[#This Row],[Qty'']]</f>
        <v/>
      </c>
      <c r="T636" s="278" t="n">
        <v>2625</v>
      </c>
      <c r="U636" s="291" t="n"/>
      <c r="V636" s="7" t="inlineStr">
        <is>
          <t>V1000053 - THAI K.BOILER CO.,LTD.</t>
        </is>
      </c>
      <c r="W636" s="30" t="inlineStr">
        <is>
          <t>Recive bill and GRN already</t>
        </is>
      </c>
      <c r="X636" s="5" t="n"/>
      <c r="Y636" s="3" t="n">
        <v>45659</v>
      </c>
      <c r="Z636" s="3" t="n"/>
      <c r="AA636" s="17">
        <f>IF(RawDataGenPO[[#This Row],[Date Gen PO]]="","",RawDataGenPO[[#This Row],[Date recive bill]]-RawDataGenPO[[#This Row],[Date Gen PO]])</f>
        <v/>
      </c>
      <c r="AB636" s="16">
        <f>IF(RawDataGenPO[[#This Row],[GRN-PO date]]&gt;RawDataGenPO[[#This Row],[Lead time delivery (day)]],"over deliverry","Ontime")</f>
        <v/>
      </c>
      <c r="AC636" s="22" t="n"/>
    </row>
    <row r="637" ht="30" customFormat="1" customHeight="1" s="125">
      <c r="A637" s="5">
        <f>ROW()-ROW(RawDataGenPO[[#Headers],[No.]])</f>
        <v/>
      </c>
      <c r="B637" s="7" t="inlineStr">
        <is>
          <t>Expent  cost</t>
        </is>
      </c>
      <c r="C637" s="301" t="n">
        <v>45610</v>
      </c>
      <c r="D637" s="276" t="n"/>
      <c r="E637" s="281" t="n"/>
      <c r="F637" s="301" t="n">
        <v>45610</v>
      </c>
      <c r="G637" s="5" t="inlineStr">
        <is>
          <t xml:space="preserve">PR2425-04480 </t>
        </is>
      </c>
      <c r="H637" s="5" t="inlineStr">
        <is>
          <t>PO2425-04981</t>
        </is>
      </c>
      <c r="I637" s="290">
        <f>IF(RawDataGenPO[[#This Row],[PO No.]]="","",RawDataGenPO[[#This Row],[DMY Create PR]]+7)</f>
        <v/>
      </c>
      <c r="J637" s="290" t="n"/>
      <c r="K637" s="20" t="n">
        <v>60</v>
      </c>
      <c r="L637" s="5" t="inlineStr">
        <is>
          <t>SFST81000009</t>
        </is>
      </c>
      <c r="M637" s="7" t="inlineStr">
        <is>
          <t>Utility Jobs  (Boiler-Air compress-Transformer-LPG)</t>
        </is>
      </c>
      <c r="N637" s="7" t="inlineStr">
        <is>
          <t>Tool and Equipment</t>
        </is>
      </c>
      <c r="O637" s="11" t="n">
        <v>3</v>
      </c>
      <c r="P637" s="10" t="inlineStr">
        <is>
          <t>gauge glass valve 1/2" +
red-line gauge glass 1/2" C to C 890mm</t>
        </is>
      </c>
      <c r="Q637" s="277" t="n">
        <v>1</v>
      </c>
      <c r="R637" s="5" t="inlineStr">
        <is>
          <t>PCS.</t>
        </is>
      </c>
      <c r="S637" s="292">
        <f>RawDataGenPO[[#This Row],[Total price]]/RawDataGenPO[[#This Row],[Qty'']]</f>
        <v/>
      </c>
      <c r="T637" s="278" t="n">
        <v>4584</v>
      </c>
      <c r="U637" s="291" t="n"/>
      <c r="V637" s="7" t="inlineStr">
        <is>
          <t>V1000053 - THAI K.BOILER CO.,LTD.</t>
        </is>
      </c>
      <c r="W637" s="30" t="inlineStr">
        <is>
          <t>Recive bill and GRN already</t>
        </is>
      </c>
      <c r="X637" s="5" t="n"/>
      <c r="Y637" s="3" t="n">
        <v>45659</v>
      </c>
      <c r="Z637" s="3" t="n"/>
      <c r="AA637" s="17">
        <f>IF(RawDataGenPO[[#This Row],[Date Gen PO]]="","",RawDataGenPO[[#This Row],[Date recive bill]]-RawDataGenPO[[#This Row],[Date Gen PO]])</f>
        <v/>
      </c>
      <c r="AB637" s="16">
        <f>IF(RawDataGenPO[[#This Row],[GRN-PO date]]&gt;RawDataGenPO[[#This Row],[Lead time delivery (day)]],"over deliverry","Ontime")</f>
        <v/>
      </c>
      <c r="AC637" s="22" t="n"/>
    </row>
    <row r="638" ht="45" customFormat="1" customHeight="1" s="125">
      <c r="A638" s="5">
        <f>ROW()-ROW(RawDataGenPO[[#Headers],[No.]])</f>
        <v/>
      </c>
      <c r="B638" s="7" t="inlineStr">
        <is>
          <t>Expent  cost</t>
        </is>
      </c>
      <c r="C638" s="301" t="n">
        <v>45611</v>
      </c>
      <c r="D638" s="276" t="n"/>
      <c r="E638" s="281" t="n"/>
      <c r="F638" s="301" t="n">
        <v>45611</v>
      </c>
      <c r="G638" s="5" t="inlineStr">
        <is>
          <t xml:space="preserve">PR2425-04494 </t>
        </is>
      </c>
      <c r="H638" s="5" t="inlineStr">
        <is>
          <t>PO2425-04984</t>
        </is>
      </c>
      <c r="I638" s="290">
        <f>IF(RawDataGenPO[[#This Row],[PO No.]]="","",RawDataGenPO[[#This Row],[DMY Create PR]]+7)</f>
        <v/>
      </c>
      <c r="J638" s="290" t="n"/>
      <c r="K638" s="20" t="n">
        <v>30</v>
      </c>
      <c r="L638" s="5" t="inlineStr">
        <is>
          <t>SFST81000050</t>
        </is>
      </c>
      <c r="M638" s="7" t="inlineStr">
        <is>
          <t>Tool and Equipment PD M/C</t>
        </is>
      </c>
      <c r="N638" s="7" t="inlineStr">
        <is>
          <t>Tool and Equipment</t>
        </is>
      </c>
      <c r="O638" s="11" t="n">
        <v>1</v>
      </c>
      <c r="P638" s="10" t="inlineStr">
        <is>
          <t>auto-darkening welding helmet JASIC (JASIC) model LY800D
viewing area 100 X 83 mm adjustable light sensitivity with grinding mode lens True Color</t>
        </is>
      </c>
      <c r="Q638" s="277" t="n">
        <v>1</v>
      </c>
      <c r="R638" s="5" t="inlineStr">
        <is>
          <t>PCS.</t>
        </is>
      </c>
      <c r="S638" s="292">
        <f>RawDataGenPO[[#This Row],[Total price]]/RawDataGenPO[[#This Row],[Qty'']]</f>
        <v/>
      </c>
      <c r="T638" s="278" t="n">
        <v>1560</v>
      </c>
      <c r="U638" s="291" t="n"/>
      <c r="V638" s="7" t="inlineStr">
        <is>
          <t>V1000259 - JJP SUPPLY CO., LTD</t>
        </is>
      </c>
      <c r="W638" s="30" t="inlineStr">
        <is>
          <t>Recive bill and GRN already</t>
        </is>
      </c>
      <c r="X638" s="5" t="n"/>
      <c r="Y638" s="3" t="n">
        <v>45639</v>
      </c>
      <c r="Z638" s="3" t="n"/>
      <c r="AA638" s="17">
        <f>IF(RawDataGenPO[[#This Row],[Date Gen PO]]="","",RawDataGenPO[[#This Row],[Date recive bill]]-RawDataGenPO[[#This Row],[Date Gen PO]])</f>
        <v/>
      </c>
      <c r="AB638" s="16">
        <f>IF(RawDataGenPO[[#This Row],[GRN-PO date]]&gt;RawDataGenPO[[#This Row],[Lead time delivery (day)]],"over deliverry","Ontime")</f>
        <v/>
      </c>
      <c r="AC638" s="22" t="n"/>
    </row>
    <row r="639" ht="15" customFormat="1" customHeight="1" s="125">
      <c r="A639" s="5">
        <f>ROW()-ROW(RawDataGenPO[[#Headers],[No.]])</f>
        <v/>
      </c>
      <c r="B639" s="7" t="inlineStr">
        <is>
          <t>Expent  cost</t>
        </is>
      </c>
      <c r="C639" s="301" t="n">
        <v>45597</v>
      </c>
      <c r="D639" s="276" t="n"/>
      <c r="E639" s="281" t="n"/>
      <c r="F639" s="301" t="n">
        <v>45597</v>
      </c>
      <c r="G639" s="5" t="inlineStr">
        <is>
          <t>PR2425-04231</t>
        </is>
      </c>
      <c r="H639" s="5" t="inlineStr">
        <is>
          <t>PO2425-05015</t>
        </is>
      </c>
      <c r="I639" s="290">
        <f>IF(RawDataGenPO[[#This Row],[PO No.]]="","",RawDataGenPO[[#This Row],[DMY Create PR]]+7)</f>
        <v/>
      </c>
      <c r="J639" s="290" t="n"/>
      <c r="K639" s="20" t="n">
        <v>60</v>
      </c>
      <c r="L639" s="5" t="inlineStr">
        <is>
          <t>SFST81000050</t>
        </is>
      </c>
      <c r="M639" s="7" t="inlineStr">
        <is>
          <t xml:space="preserve">Waste water </t>
        </is>
      </c>
      <c r="N639" s="7" t="inlineStr">
        <is>
          <t>Waste water system Jobs</t>
        </is>
      </c>
      <c r="O639" s="11" t="n">
        <v>1</v>
      </c>
      <c r="P639" s="10" t="inlineStr">
        <is>
          <t>HP-S012 PAC 25 (kg/Bag)</t>
        </is>
      </c>
      <c r="Q639" s="277" t="n">
        <v>12</v>
      </c>
      <c r="R639" s="5" t="inlineStr">
        <is>
          <t>BAG.</t>
        </is>
      </c>
      <c r="S639" s="292">
        <f>RawDataGenPO[[#This Row],[Total price]]/RawDataGenPO[[#This Row],[Qty'']]</f>
        <v/>
      </c>
      <c r="T639" s="278" t="n">
        <v>4500</v>
      </c>
      <c r="U639" s="291" t="n"/>
      <c r="V639" s="7" t="inlineStr">
        <is>
          <t>V1000710 - WELKIN ENTERPRISE COMPANY LIMITED</t>
        </is>
      </c>
      <c r="W639" s="30" t="inlineStr">
        <is>
          <t>Recive bill and GRN already</t>
        </is>
      </c>
      <c r="X639" s="5" t="n"/>
      <c r="Y639" s="3" t="n">
        <v>45645</v>
      </c>
      <c r="Z639" s="3" t="n"/>
      <c r="AA639" s="17">
        <f>IF(RawDataGenPO[[#This Row],[Date Gen PO]]="","",RawDataGenPO[[#This Row],[Date recive bill]]-RawDataGenPO[[#This Row],[Date Gen PO]])</f>
        <v/>
      </c>
      <c r="AB639" s="16">
        <f>IF(RawDataGenPO[[#This Row],[GRN-PO date]]&gt;RawDataGenPO[[#This Row],[Lead time delivery (day)]],"over deliverry","Ontime")</f>
        <v/>
      </c>
      <c r="AC639" s="22" t="n"/>
    </row>
    <row r="640" ht="75" customFormat="1" customHeight="1" s="125">
      <c r="A640" s="5">
        <f>ROW()-ROW(RawDataGenPO[[#Headers],[No.]])</f>
        <v/>
      </c>
      <c r="B640" s="7" t="inlineStr">
        <is>
          <t>Expent  cost</t>
        </is>
      </c>
      <c r="C640" s="301" t="n">
        <v>45604</v>
      </c>
      <c r="D640" s="276" t="n"/>
      <c r="E640" s="281" t="n"/>
      <c r="F640" s="301" t="n">
        <v>45604</v>
      </c>
      <c r="G640" s="5" t="inlineStr">
        <is>
          <t>PR2425-04304</t>
        </is>
      </c>
      <c r="H640" s="5" t="inlineStr">
        <is>
          <t>PO2425-04304</t>
        </is>
      </c>
      <c r="I640" s="290">
        <f>IF(RawDataGenPO[[#This Row],[PO No.]]="","",RawDataGenPO[[#This Row],[DMY Create PR]]+7)</f>
        <v/>
      </c>
      <c r="J640" s="290" t="n"/>
      <c r="K640" s="20" t="n">
        <v>60</v>
      </c>
      <c r="L640" s="5" t="inlineStr">
        <is>
          <t>SFST81000064</t>
        </is>
      </c>
      <c r="M640" s="7" t="inlineStr">
        <is>
          <t xml:space="preserve">Waste water </t>
        </is>
      </c>
      <c r="N640" s="7" t="inlineStr">
        <is>
          <t>Inspect cost</t>
        </is>
      </c>
      <c r="O640" s="11" t="n">
        <v>1</v>
      </c>
      <c r="P640" s="10" t="inlineStr">
        <is>
          <t>Wastewater analysis and measurement fee
- November measurement every 3 months
-inlet point
-outlet point
-discharge point in front of factory</t>
        </is>
      </c>
      <c r="Q640" s="277" t="n">
        <v>1</v>
      </c>
      <c r="R640" s="5" t="inlineStr">
        <is>
          <t>JOB.</t>
        </is>
      </c>
      <c r="S640" s="292">
        <f>RawDataGenPO[[#This Row],[Total price]]/RawDataGenPO[[#This Row],[Qty'']]</f>
        <v/>
      </c>
      <c r="T640" s="278" t="n">
        <v>5250</v>
      </c>
      <c r="U640" s="291" t="n"/>
      <c r="V640" s="7" t="inlineStr">
        <is>
          <t>V1000124 - S.P.J. SCIENTIFIC CO., LTD.</t>
        </is>
      </c>
      <c r="W640" s="30" t="inlineStr">
        <is>
          <t>Recive bill and GRN already</t>
        </is>
      </c>
      <c r="X640" s="5" t="n"/>
      <c r="Y640" s="3" t="n">
        <v>45646</v>
      </c>
      <c r="Z640" s="3" t="n"/>
      <c r="AA640" s="17">
        <f>IF(RawDataGenPO[[#This Row],[Date Gen PO]]="","",RawDataGenPO[[#This Row],[Date recive bill]]-RawDataGenPO[[#This Row],[Date Gen PO]])</f>
        <v/>
      </c>
      <c r="AB640" s="16">
        <f>IF(RawDataGenPO[[#This Row],[GRN-PO date]]&gt;RawDataGenPO[[#This Row],[Lead time delivery (day)]],"over deliverry","Ontime")</f>
        <v/>
      </c>
      <c r="AC640" s="22" t="n"/>
    </row>
    <row r="641" ht="15" customHeight="1">
      <c r="A641" s="5">
        <f>ROW()-ROW(RawDataGenPO[[#Headers],[No.]])</f>
        <v/>
      </c>
      <c r="B641" s="7" t="inlineStr">
        <is>
          <t>Expent  cost</t>
        </is>
      </c>
      <c r="C641" s="301" t="n">
        <v>45610</v>
      </c>
      <c r="E641" s="281" t="n"/>
      <c r="F641" s="301" t="n">
        <v>45610</v>
      </c>
      <c r="G641" s="5" t="inlineStr">
        <is>
          <t>PR2425-04483</t>
        </is>
      </c>
      <c r="H641" s="5" t="inlineStr">
        <is>
          <t>PO2425-05534</t>
        </is>
      </c>
      <c r="I641" s="290">
        <f>IF(RawDataGenPO[[#This Row],[PO No.]]="","",RawDataGenPO[[#This Row],[DMY Create PR]]+7)</f>
        <v/>
      </c>
      <c r="J641" s="290" t="n"/>
      <c r="K641" s="20" t="n">
        <v>100</v>
      </c>
      <c r="L641" s="5" t="inlineStr">
        <is>
          <t>SFST81000064</t>
        </is>
      </c>
      <c r="M641" s="7" t="inlineStr">
        <is>
          <t>Safety equipment</t>
        </is>
      </c>
      <c r="N641" s="7" t="inlineStr">
        <is>
          <t>Fire alarm jobs</t>
        </is>
      </c>
      <c r="O641" s="11" t="n">
        <v>1</v>
      </c>
      <c r="P641" s="10" t="inlineStr">
        <is>
          <t>PM. FIRE ALARM SYSTEM (fire alarm system test)</t>
        </is>
      </c>
      <c r="Q641" s="277" t="n">
        <v>1</v>
      </c>
      <c r="R641" s="5" t="inlineStr">
        <is>
          <t>JOB</t>
        </is>
      </c>
      <c r="S641" s="292">
        <f>RawDataGenPO[[#This Row],[Total price]]/RawDataGenPO[[#This Row],[Qty'']]</f>
        <v/>
      </c>
      <c r="T641" s="278" t="n">
        <v>55000</v>
      </c>
      <c r="U641" s="291" t="n"/>
      <c r="V641" s="7" t="inlineStr">
        <is>
          <t>V1000741 - Louis T. Leonowens (Thailand) .,Ltd.</t>
        </is>
      </c>
      <c r="W641" s="30" t="inlineStr">
        <is>
          <t>Recive bill and GRN already</t>
        </is>
      </c>
      <c r="X641" s="5" t="inlineStr">
        <is>
          <t>GRN2425-0007448</t>
        </is>
      </c>
      <c r="Y641" s="3" t="n">
        <v>45717</v>
      </c>
      <c r="AA641" s="17">
        <f>IF(RawDataGenPO[[#This Row],[Date Gen PO]]="","",RawDataGenPO[[#This Row],[Date recive bill]]-RawDataGenPO[[#This Row],[Date Gen PO]])</f>
        <v/>
      </c>
      <c r="AB641" s="16">
        <f>IF(RawDataGenPO[[#This Row],[GRN-PO date]]&gt;RawDataGenPO[[#This Row],[Lead time delivery (day)]],"over deliverry","Ontime")</f>
        <v/>
      </c>
      <c r="AC641" s="22" t="n"/>
    </row>
    <row r="642" ht="15" customHeight="1">
      <c r="A642" s="5">
        <f>ROW()-ROW(RawDataGenPO[[#Headers],[No.]])</f>
        <v/>
      </c>
      <c r="B642" s="7" t="inlineStr">
        <is>
          <t>Expent  cost</t>
        </is>
      </c>
      <c r="C642" s="301" t="n">
        <v>45610</v>
      </c>
      <c r="E642" s="281" t="n"/>
      <c r="F642" s="301" t="n">
        <v>45610</v>
      </c>
      <c r="G642" s="5" t="inlineStr">
        <is>
          <t>PR2425-04483</t>
        </is>
      </c>
      <c r="H642" s="5" t="inlineStr">
        <is>
          <t>PO2425-05534</t>
        </is>
      </c>
      <c r="I642" s="290">
        <f>IF(RawDataGenPO[[#This Row],[PO No.]]="","",RawDataGenPO[[#This Row],[DMY Create PR]]+7)</f>
        <v/>
      </c>
      <c r="J642" s="290" t="n"/>
      <c r="K642" s="20" t="n">
        <v>100</v>
      </c>
      <c r="L642" s="5" t="inlineStr">
        <is>
          <t>SFST81000050</t>
        </is>
      </c>
      <c r="M642" s="7" t="inlineStr">
        <is>
          <t>Safety equipment</t>
        </is>
      </c>
      <c r="N642" s="7" t="inlineStr">
        <is>
          <t>Fire alarm jobs</t>
        </is>
      </c>
      <c r="O642" s="11" t="n">
        <v>2</v>
      </c>
      <c r="P642" s="10" t="inlineStr">
        <is>
          <t>Filter Assembly VSP- 962 (spare part)</t>
        </is>
      </c>
      <c r="Q642" s="277" t="n">
        <v>6</v>
      </c>
      <c r="R642" s="5" t="inlineStr">
        <is>
          <t>JOB</t>
        </is>
      </c>
      <c r="S642" s="292">
        <f>RawDataGenPO[[#This Row],[Total price]]/RawDataGenPO[[#This Row],[Qty'']]</f>
        <v/>
      </c>
      <c r="T642" s="278" t="n">
        <v>37200</v>
      </c>
      <c r="U642" s="291" t="n"/>
      <c r="V642" s="7" t="inlineStr">
        <is>
          <t>V1000741 - Louis T. Leonowens (Thailand) .,Ltd.</t>
        </is>
      </c>
      <c r="W642" s="30" t="inlineStr">
        <is>
          <t>Recive bill and GRN already</t>
        </is>
      </c>
      <c r="X642" s="5" t="inlineStr">
        <is>
          <t>GRN2425-0007448</t>
        </is>
      </c>
      <c r="Y642" s="3" t="n">
        <v>45717</v>
      </c>
      <c r="AA642" s="17">
        <f>IF(RawDataGenPO[[#This Row],[Date Gen PO]]="","",RawDataGenPO[[#This Row],[Date recive bill]]-RawDataGenPO[[#This Row],[Date Gen PO]])</f>
        <v/>
      </c>
      <c r="AB642" s="16">
        <f>IF(RawDataGenPO[[#This Row],[GRN-PO date]]&gt;RawDataGenPO[[#This Row],[Lead time delivery (day)]],"over deliverry","Ontime")</f>
        <v/>
      </c>
      <c r="AC642" s="22" t="n"/>
    </row>
    <row r="643" ht="15" customFormat="1" customHeight="1" s="125">
      <c r="A643" s="5">
        <f>ROW()-ROW(RawDataGenPO[[#Headers],[No.]])</f>
        <v/>
      </c>
      <c r="B643" s="7" t="inlineStr">
        <is>
          <t>Expent  cost</t>
        </is>
      </c>
      <c r="C643" s="301" t="n">
        <v>45611</v>
      </c>
      <c r="D643" s="276" t="n"/>
      <c r="E643" s="281" t="n"/>
      <c r="F643" s="301" t="n">
        <v>45611</v>
      </c>
      <c r="G643" s="5" t="inlineStr">
        <is>
          <t>PR2425-04496</t>
        </is>
      </c>
      <c r="H643" s="5" t="inlineStr">
        <is>
          <t>PO2425-04982</t>
        </is>
      </c>
      <c r="I643" s="290">
        <f>IF(RawDataGenPO[[#This Row],[PO No.]]="","",RawDataGenPO[[#This Row],[DMY Create PR]]+7)</f>
        <v/>
      </c>
      <c r="J643" s="290" t="n"/>
      <c r="K643" s="20" t="n">
        <v>30</v>
      </c>
      <c r="L643" s="5" t="inlineStr">
        <is>
          <t>SFST81000009</t>
        </is>
      </c>
      <c r="M643" s="7" t="inlineStr">
        <is>
          <t>Tool and Equipment PD M/C</t>
        </is>
      </c>
      <c r="N643" s="7" t="inlineStr">
        <is>
          <t>Consumable part</t>
        </is>
      </c>
      <c r="O643" s="11" t="n">
        <v>1</v>
      </c>
      <c r="P643" s="10" t="inlineStr">
        <is>
          <t>Loctite 55 tapethreadpipe 160m.</t>
        </is>
      </c>
      <c r="Q643" s="277" t="n">
        <v>5</v>
      </c>
      <c r="R643" s="5" t="inlineStr">
        <is>
          <t>PCS.</t>
        </is>
      </c>
      <c r="S643" s="292">
        <f>RawDataGenPO[[#This Row],[Total price]]/RawDataGenPO[[#This Row],[Qty'']]</f>
        <v/>
      </c>
      <c r="T643" s="278" t="n">
        <v>3450</v>
      </c>
      <c r="U643" s="291" t="n"/>
      <c r="V643" s="7" t="inlineStr">
        <is>
          <t>V1000259 - JJP SUPPLY CO., LTD</t>
        </is>
      </c>
      <c r="W643" s="30" t="inlineStr">
        <is>
          <t>Recive bill and GRN already</t>
        </is>
      </c>
      <c r="X643" s="5" t="n"/>
      <c r="Y643" s="3" t="n">
        <v>45639</v>
      </c>
      <c r="Z643" s="3" t="n"/>
      <c r="AA643" s="17">
        <f>IF(RawDataGenPO[[#This Row],[Date Gen PO]]="","",RawDataGenPO[[#This Row],[Date recive bill]]-RawDataGenPO[[#This Row],[Date Gen PO]])</f>
        <v/>
      </c>
      <c r="AB643" s="16">
        <f>IF(RawDataGenPO[[#This Row],[GRN-PO date]]&gt;RawDataGenPO[[#This Row],[Lead time delivery (day)]],"over deliverry","Ontime")</f>
        <v/>
      </c>
      <c r="AC643" s="22" t="n"/>
    </row>
    <row r="644" ht="15" customFormat="1" customHeight="1" s="125">
      <c r="A644" s="5">
        <f>ROW()-ROW(RawDataGenPO[[#Headers],[No.]])</f>
        <v/>
      </c>
      <c r="B644" s="7" t="inlineStr">
        <is>
          <t>Expent  cost</t>
        </is>
      </c>
      <c r="C644" s="301" t="n">
        <v>45611</v>
      </c>
      <c r="D644" s="276" t="n"/>
      <c r="E644" s="281" t="n"/>
      <c r="F644" s="301" t="n">
        <v>45611</v>
      </c>
      <c r="G644" s="5" t="inlineStr">
        <is>
          <t>PR2425-04496</t>
        </is>
      </c>
      <c r="H644" s="5" t="inlineStr">
        <is>
          <t>PO2425-04983</t>
        </is>
      </c>
      <c r="I644" s="290">
        <f>IF(RawDataGenPO[[#This Row],[PO No.]]="","",RawDataGenPO[[#This Row],[DMY Create PR]]+7)</f>
        <v/>
      </c>
      <c r="J644" s="290" t="n"/>
      <c r="K644" s="20" t="n">
        <v>30</v>
      </c>
      <c r="L644" s="5" t="inlineStr">
        <is>
          <t>SFST81000169</t>
        </is>
      </c>
      <c r="M644" s="7" t="inlineStr">
        <is>
          <t>Tool and Equipment PD M/C</t>
        </is>
      </c>
      <c r="N644" s="7" t="inlineStr">
        <is>
          <t>Consumable part</t>
        </is>
      </c>
      <c r="O644" s="11" t="n">
        <v>2</v>
      </c>
      <c r="P644" s="10" t="inlineStr">
        <is>
          <t>gasket sealant Three bond high temperature resistant No. 1 (GREY)</t>
        </is>
      </c>
      <c r="Q644" s="277" t="n">
        <v>5</v>
      </c>
      <c r="R644" s="5" t="inlineStr">
        <is>
          <t>PCS.</t>
        </is>
      </c>
      <c r="S644" s="292">
        <f>RawDataGenPO[[#This Row],[Total price]]/RawDataGenPO[[#This Row],[Qty'']]</f>
        <v/>
      </c>
      <c r="T644" s="278" t="n">
        <v>1575</v>
      </c>
      <c r="U644" s="291" t="n"/>
      <c r="V644" s="7" t="inlineStr">
        <is>
          <t>V1000284 - SABPAYANIT INTER GROUP CO., LTD.</t>
        </is>
      </c>
      <c r="W644" s="30" t="inlineStr">
        <is>
          <t>Recive bill and GRN already</t>
        </is>
      </c>
      <c r="X644" s="5" t="n"/>
      <c r="Y644" s="3" t="n">
        <v>45637</v>
      </c>
      <c r="Z644" s="3" t="n"/>
      <c r="AA644" s="17">
        <f>IF(RawDataGenPO[[#This Row],[Date Gen PO]]="","",RawDataGenPO[[#This Row],[Date recive bill]]-RawDataGenPO[[#This Row],[Date Gen PO]])</f>
        <v/>
      </c>
      <c r="AB644" s="16">
        <f>IF(RawDataGenPO[[#This Row],[GRN-PO date]]&gt;RawDataGenPO[[#This Row],[Lead time delivery (day)]],"over deliverry","Ontime")</f>
        <v/>
      </c>
      <c r="AC644" s="22" t="n"/>
    </row>
    <row r="645" ht="15" customFormat="1" customHeight="1" s="125">
      <c r="A645" s="5">
        <f>ROW()-ROW(RawDataGenPO[[#Headers],[No.]])</f>
        <v/>
      </c>
      <c r="B645" s="7" t="inlineStr">
        <is>
          <t>Expent  cost</t>
        </is>
      </c>
      <c r="C645" s="301" t="n">
        <v>45621</v>
      </c>
      <c r="D645" s="276" t="n"/>
      <c r="E645" s="281" t="n"/>
      <c r="F645" s="301" t="n">
        <v>45621</v>
      </c>
      <c r="G645" s="5" t="inlineStr">
        <is>
          <t>PR2425-04578</t>
        </is>
      </c>
      <c r="H645" s="5" t="inlineStr">
        <is>
          <t>PO2425-5120</t>
        </is>
      </c>
      <c r="I645" s="290">
        <f>IF(RawDataGenPO[[#This Row],[PO No.]]="","",RawDataGenPO[[#This Row],[DMY Create PR]]+7)</f>
        <v/>
      </c>
      <c r="J645" s="290" t="n"/>
      <c r="K645" s="20">
        <f>IF(RawDataGenPO[[#This Row],[PO No.]]="","",10)</f>
        <v/>
      </c>
      <c r="L645" s="5" t="inlineStr">
        <is>
          <t>SFST81000054</t>
        </is>
      </c>
      <c r="M645" s="7" t="inlineStr">
        <is>
          <t>Refrigerant-oil for cooling M/C</t>
        </is>
      </c>
      <c r="N645" s="7" t="inlineStr">
        <is>
          <t>Condencer Unit No.29 (Air Blast Freezer2)</t>
        </is>
      </c>
      <c r="O645" s="11" t="n">
        <v>1</v>
      </c>
      <c r="P645" s="160" t="inlineStr">
        <is>
          <t>R507 Refrigerant,(1 Tank 11.3 kg/Tank)</t>
        </is>
      </c>
      <c r="Q645" s="293" t="n">
        <v>20</v>
      </c>
      <c r="R645" s="34" t="inlineStr">
        <is>
          <t>DRUM</t>
        </is>
      </c>
      <c r="S645" s="329">
        <f>RawDataGenPO[[#This Row],[Total price]]/RawDataGenPO[[#This Row],[Qty'']]</f>
        <v/>
      </c>
      <c r="T645" s="330" t="n">
        <v>78000</v>
      </c>
      <c r="U645" s="291" t="n"/>
      <c r="V645" s="7" t="inlineStr">
        <is>
          <t>V1000312 - Colder Solution Co., Ltd.</t>
        </is>
      </c>
      <c r="W645" s="5" t="inlineStr">
        <is>
          <t>Recive bill and GRN already</t>
        </is>
      </c>
      <c r="X645" s="5" t="n"/>
      <c r="Y645" s="3" t="n">
        <v>45631</v>
      </c>
      <c r="Z645" s="3" t="n"/>
      <c r="AA645" s="17">
        <f>IF(RawDataGenPO[[#This Row],[Date Gen PO]]="","",RawDataGenPO[[#This Row],[Date recive bill]]-RawDataGenPO[[#This Row],[Date Gen PO]])</f>
        <v/>
      </c>
      <c r="AB645" s="16">
        <f>IF(RawDataGenPO[[#This Row],[GRN-PO date]]&gt;RawDataGenPO[[#This Row],[Lead time delivery (day)]],"over deliverry","Ontime")</f>
        <v/>
      </c>
      <c r="AC645" s="22" t="n"/>
    </row>
    <row r="646" ht="15" customFormat="1" customHeight="1" s="125">
      <c r="A646" s="5">
        <f>ROW()-ROW(RawDataGenPO[[#Headers],[No.]])</f>
        <v/>
      </c>
      <c r="B646" s="7" t="inlineStr">
        <is>
          <t>Expent  cost</t>
        </is>
      </c>
      <c r="C646" s="301" t="n">
        <v>45621</v>
      </c>
      <c r="D646" s="276" t="n"/>
      <c r="E646" s="281" t="n"/>
      <c r="F646" s="301" t="n">
        <v>45621</v>
      </c>
      <c r="G646" s="5" t="inlineStr">
        <is>
          <t>PR2425-04578</t>
        </is>
      </c>
      <c r="H646" s="5" t="inlineStr">
        <is>
          <t>PO2425-5120</t>
        </is>
      </c>
      <c r="I646" s="290">
        <f>IF(RawDataGenPO[[#This Row],[PO No.]]="","",RawDataGenPO[[#This Row],[DMY Create PR]]+7)</f>
        <v/>
      </c>
      <c r="J646" s="290" t="n"/>
      <c r="K646" s="20">
        <f>IF(RawDataGenPO[[#This Row],[PO No.]]="","",10)</f>
        <v/>
      </c>
      <c r="L646" s="5" t="inlineStr">
        <is>
          <t>SFST81000180</t>
        </is>
      </c>
      <c r="M646" s="7" t="inlineStr">
        <is>
          <t>Refrigerant-oil for cooling M/C</t>
        </is>
      </c>
      <c r="N646" s="7" t="inlineStr">
        <is>
          <t>Condencer Unit No.29 (Air Blast Freezer2)</t>
        </is>
      </c>
      <c r="O646" s="11" t="n">
        <v>2</v>
      </c>
      <c r="P646" s="10" t="inlineStr">
        <is>
          <t>Compressor oil  Solest LT32 (3.782 L.)</t>
        </is>
      </c>
      <c r="Q646" s="277" t="n">
        <v>3</v>
      </c>
      <c r="R646" s="5" t="inlineStr">
        <is>
          <t>DRUM</t>
        </is>
      </c>
      <c r="S646" s="292">
        <f>RawDataGenPO[[#This Row],[Total price]]/RawDataGenPO[[#This Row],[Qty'']]</f>
        <v/>
      </c>
      <c r="T646" s="278" t="n">
        <v>10800</v>
      </c>
      <c r="U646" s="291" t="n"/>
      <c r="V646" s="7" t="inlineStr">
        <is>
          <t>V1000312 - Colder Solution Co., Ltd.</t>
        </is>
      </c>
      <c r="W646" s="5" t="inlineStr">
        <is>
          <t>Recive bill and GRN already</t>
        </is>
      </c>
      <c r="X646" s="5" t="n"/>
      <c r="Y646" s="3" t="n">
        <v>45637</v>
      </c>
      <c r="Z646" s="3" t="n"/>
      <c r="AA646" s="17">
        <f>IF(RawDataGenPO[[#This Row],[Date Gen PO]]="","",RawDataGenPO[[#This Row],[Date recive bill]]-RawDataGenPO[[#This Row],[Date Gen PO]])</f>
        <v/>
      </c>
      <c r="AB646" s="16">
        <f>IF(RawDataGenPO[[#This Row],[GRN-PO date]]&gt;RawDataGenPO[[#This Row],[Lead time delivery (day)]],"over deliverry","Ontime")</f>
        <v/>
      </c>
      <c r="AC646" s="22" t="n"/>
    </row>
    <row r="647" ht="15" customFormat="1" customHeight="1" s="125">
      <c r="A647" s="5">
        <f>ROW()-ROW(RawDataGenPO[[#Headers],[No.]])</f>
        <v/>
      </c>
      <c r="B647" s="7" t="inlineStr">
        <is>
          <t>Expent  cost</t>
        </is>
      </c>
      <c r="C647" s="301" t="n">
        <v>45621</v>
      </c>
      <c r="D647" s="276" t="n"/>
      <c r="E647" s="281" t="n"/>
      <c r="F647" s="301" t="n">
        <v>45621</v>
      </c>
      <c r="G647" s="5" t="inlineStr">
        <is>
          <t>PR2425-04579</t>
        </is>
      </c>
      <c r="H647" s="5" t="inlineStr">
        <is>
          <t>PO2425-5119</t>
        </is>
      </c>
      <c r="I647" s="290">
        <f>IF(RawDataGenPO[[#This Row],[PO No.]]="","",RawDataGenPO[[#This Row],[DMY Create PR]]+7)</f>
        <v/>
      </c>
      <c r="J647" s="290" t="n"/>
      <c r="K647" s="20">
        <f>IF(RawDataGenPO[[#This Row],[PO No.]]="","",10)</f>
        <v/>
      </c>
      <c r="L647" s="5" t="inlineStr">
        <is>
          <t>SFST81000054</t>
        </is>
      </c>
      <c r="M647" s="7" t="inlineStr">
        <is>
          <t>Refrigerant-oil for cooling M/C</t>
        </is>
      </c>
      <c r="N647" s="7" t="inlineStr">
        <is>
          <t>Condencer Unit No.29 (Air Blast Freezer2)</t>
        </is>
      </c>
      <c r="O647" s="11" t="n">
        <v>1</v>
      </c>
      <c r="P647" s="160" t="inlineStr">
        <is>
          <t>R507 Refrigerant,(1 Tank 11.3 kg/Tank)</t>
        </is>
      </c>
      <c r="Q647" s="293" t="n">
        <v>30</v>
      </c>
      <c r="R647" s="34" t="inlineStr">
        <is>
          <t>DRUM</t>
        </is>
      </c>
      <c r="S647" s="329">
        <f>RawDataGenPO[[#This Row],[Total price]]/RawDataGenPO[[#This Row],[Qty'']]</f>
        <v/>
      </c>
      <c r="T647" s="330" t="n">
        <v>81000</v>
      </c>
      <c r="U647" s="291" t="n"/>
      <c r="V647" s="7" t="inlineStr">
        <is>
          <t>V1000271 - 395 Shop Limited Partnership</t>
        </is>
      </c>
      <c r="W647" s="5" t="inlineStr">
        <is>
          <t>Recive bill and GRN already</t>
        </is>
      </c>
      <c r="X647" s="5" t="n"/>
      <c r="Y647" s="3" t="n">
        <v>45631</v>
      </c>
      <c r="Z647" s="3" t="n"/>
      <c r="AA647" s="17">
        <f>IF(RawDataGenPO[[#This Row],[Date Gen PO]]="","",RawDataGenPO[[#This Row],[Date recive bill]]-RawDataGenPO[[#This Row],[Date Gen PO]])</f>
        <v/>
      </c>
      <c r="AB647" s="16">
        <f>IF(RawDataGenPO[[#This Row],[GRN-PO date]]&gt;RawDataGenPO[[#This Row],[Lead time delivery (day)]],"over deliverry","Ontime")</f>
        <v/>
      </c>
      <c r="AC647" s="22" t="n"/>
    </row>
    <row r="648" ht="30" customFormat="1" customHeight="1" s="125">
      <c r="A648" s="5">
        <f>ROW()-ROW(RawDataGenPO[[#Headers],[No.]])</f>
        <v/>
      </c>
      <c r="B648" s="7" t="inlineStr">
        <is>
          <t>Expent  cost</t>
        </is>
      </c>
      <c r="C648" s="301" t="n">
        <v>45622</v>
      </c>
      <c r="D648" s="276" t="n"/>
      <c r="E648" s="281" t="n"/>
      <c r="F648" s="301" t="n">
        <v>45622</v>
      </c>
      <c r="G648" s="5" t="inlineStr">
        <is>
          <t>PR2425-04612</t>
        </is>
      </c>
      <c r="H648" s="5" t="inlineStr">
        <is>
          <t>PO2425-05124</t>
        </is>
      </c>
      <c r="I648" s="290">
        <f>IF(RawDataGenPO[[#This Row],[PO No.]]="","",RawDataGenPO[[#This Row],[DMY Create PR]]+7)</f>
        <v/>
      </c>
      <c r="J648" s="290" t="n"/>
      <c r="K648" s="20">
        <f>IF(RawDataGenPO[[#This Row],[PO No.]]="","",10)</f>
        <v/>
      </c>
      <c r="L648" s="5" t="inlineStr">
        <is>
          <t>SFST81000048</t>
        </is>
      </c>
      <c r="M648" s="7" t="inlineStr">
        <is>
          <t>Utility Jobs  (Boiler-Air compress-Transformer-LPG)</t>
        </is>
      </c>
      <c r="N648" s="7" t="inlineStr">
        <is>
          <t>Condencer Unit No.29 (Air Blast Freezer2)</t>
        </is>
      </c>
      <c r="O648" s="11" t="n">
        <v>1</v>
      </c>
      <c r="P648" s="10" t="inlineStr">
        <is>
          <t>Repair 90 deg copper elbow for Air Blast No.2
Service charge for the Inspection and repairing 90 deg copper elbow</t>
        </is>
      </c>
      <c r="Q648" s="277" t="n">
        <v>1</v>
      </c>
      <c r="R648" s="5" t="inlineStr">
        <is>
          <t>JOB</t>
        </is>
      </c>
      <c r="S648" s="292">
        <f>RawDataGenPO[[#This Row],[Total price]]/RawDataGenPO[[#This Row],[Qty'']]</f>
        <v/>
      </c>
      <c r="T648" s="278" t="n">
        <v>25000</v>
      </c>
      <c r="U648" s="291" t="n"/>
      <c r="V648" s="7" t="inlineStr">
        <is>
          <t>V1000055 - I.T.C.(1993) CO.,LTD.</t>
        </is>
      </c>
      <c r="W648" s="134" t="inlineStr">
        <is>
          <t>Recive bill and GRN already</t>
        </is>
      </c>
      <c r="X648" s="5" t="n"/>
      <c r="Y648" s="3" t="n">
        <v>45637</v>
      </c>
      <c r="Z648" s="3" t="n"/>
      <c r="AA648" s="17">
        <f>IF(RawDataGenPO[[#This Row],[Date Gen PO]]="","",RawDataGenPO[[#This Row],[Date recive bill]]-RawDataGenPO[[#This Row],[Date Gen PO]])</f>
        <v/>
      </c>
      <c r="AB648" s="16">
        <f>IF(RawDataGenPO[[#This Row],[GRN-PO date]]&gt;RawDataGenPO[[#This Row],[Lead time delivery (day)]],"over deliverry","Ontime")</f>
        <v/>
      </c>
      <c r="AC648" s="22" t="n"/>
    </row>
    <row r="649" ht="60" customFormat="1" customHeight="1" s="125">
      <c r="A649" s="5">
        <f>ROW()-ROW(RawDataGenPO[[#Headers],[No.]])</f>
        <v/>
      </c>
      <c r="B649" s="7" t="inlineStr">
        <is>
          <t>Expent  cost</t>
        </is>
      </c>
      <c r="C649" s="301" t="n">
        <v>45624</v>
      </c>
      <c r="D649" s="276" t="n"/>
      <c r="E649" s="281" t="n"/>
      <c r="F649" s="301" t="n">
        <v>45624</v>
      </c>
      <c r="G649" s="5" t="inlineStr">
        <is>
          <t xml:space="preserve">PR2425-04651 </t>
        </is>
      </c>
      <c r="H649" s="5" t="inlineStr">
        <is>
          <t>PO2425-05125</t>
        </is>
      </c>
      <c r="I649" s="290">
        <f>IF(RawDataGenPO[[#This Row],[PO No.]]="","",RawDataGenPO[[#This Row],[DMY Create PR]]+7)</f>
        <v/>
      </c>
      <c r="J649" s="290" t="n"/>
      <c r="K649" s="20" t="n">
        <v>60</v>
      </c>
      <c r="L649" s="5" t="inlineStr">
        <is>
          <t>SFST81000009</t>
        </is>
      </c>
      <c r="M649" s="7" t="inlineStr">
        <is>
          <t>Tool and Equipment PD M/C</t>
        </is>
      </c>
      <c r="N649" s="7" t="inlineStr">
        <is>
          <t>Tool and Equipment</t>
        </is>
      </c>
      <c r="O649" s="5" t="n">
        <v>1</v>
      </c>
      <c r="P649" s="10" t="inlineStr">
        <is>
          <t>Repair Rolling door
- replace shaft
- spring set
- support plate</t>
        </is>
      </c>
      <c r="Q649" s="277" t="n">
        <v>1</v>
      </c>
      <c r="R649" s="5" t="inlineStr">
        <is>
          <t>JOB</t>
        </is>
      </c>
      <c r="S649" s="292">
        <f>RawDataGenPO[[#This Row],[Total price]]/RawDataGenPO[[#This Row],[Qty'']]</f>
        <v/>
      </c>
      <c r="T649" s="278" t="n">
        <v>8500</v>
      </c>
      <c r="U649" s="291" t="n"/>
      <c r="V649" s="7" t="inlineStr">
        <is>
          <t>V1000117 - NPN ENGINEERING SOLUTION SUPPLY CO., LTD.</t>
        </is>
      </c>
      <c r="W649" s="30" t="inlineStr">
        <is>
          <t>Recive bill and GRN already</t>
        </is>
      </c>
      <c r="X649" s="5" t="inlineStr">
        <is>
          <t>GRN2425-0006795</t>
        </is>
      </c>
      <c r="Y649" s="3" t="n">
        <v>45691</v>
      </c>
      <c r="Z649" s="3" t="n"/>
      <c r="AA649" s="17">
        <f>IF(RawDataGenPO[[#This Row],[Date Gen PO]]="","",RawDataGenPO[[#This Row],[Date recive bill]]-RawDataGenPO[[#This Row],[Date Gen PO]])</f>
        <v/>
      </c>
      <c r="AB649" s="16">
        <f>IF(RawDataGenPO[[#This Row],[GRN-PO date]]&gt;RawDataGenPO[[#This Row],[Lead time delivery (day)]],"over deliverry","Ontime")</f>
        <v/>
      </c>
      <c r="AC649" s="22" t="n"/>
    </row>
    <row r="650" ht="15" customFormat="1" customHeight="1" s="125">
      <c r="A650" s="5">
        <f>ROW()-ROW(RawDataGenPO[[#Headers],[No.]])</f>
        <v/>
      </c>
      <c r="B650" s="7" t="inlineStr">
        <is>
          <t>Expent  cost</t>
        </is>
      </c>
      <c r="C650" s="301" t="n">
        <v>45624</v>
      </c>
      <c r="D650" s="276" t="n"/>
      <c r="E650" s="281" t="n"/>
      <c r="F650" s="301" t="n">
        <v>45624</v>
      </c>
      <c r="G650" s="5" t="inlineStr">
        <is>
          <t xml:space="preserve">PR2425-04651 </t>
        </is>
      </c>
      <c r="H650" s="5" t="inlineStr">
        <is>
          <t>PO2425-05125</t>
        </is>
      </c>
      <c r="I650" s="290">
        <f>IF(RawDataGenPO[[#This Row],[PO No.]]="","",RawDataGenPO[[#This Row],[DMY Create PR]]+7)</f>
        <v/>
      </c>
      <c r="J650" s="290" t="n"/>
      <c r="K650" s="20" t="n">
        <v>60</v>
      </c>
      <c r="L650" s="5" t="inlineStr">
        <is>
          <t>SFST81000009</t>
        </is>
      </c>
      <c r="M650" s="7" t="inlineStr">
        <is>
          <t>Tool and Equipment PD M/C</t>
        </is>
      </c>
      <c r="N650" s="7" t="inlineStr">
        <is>
          <t>Tool and Equipment</t>
        </is>
      </c>
      <c r="O650" s="5" t="n">
        <v>2</v>
      </c>
      <c r="P650" s="10" t="inlineStr">
        <is>
          <t>Replacement</t>
        </is>
      </c>
      <c r="Q650" s="277" t="n">
        <v>1</v>
      </c>
      <c r="R650" s="5" t="inlineStr">
        <is>
          <t>JOB</t>
        </is>
      </c>
      <c r="S650" s="292">
        <f>RawDataGenPO[[#This Row],[Total price]]/RawDataGenPO[[#This Row],[Qty'']]</f>
        <v/>
      </c>
      <c r="T650" s="278" t="n">
        <v>3000</v>
      </c>
      <c r="U650" s="291" t="n"/>
      <c r="V650" s="7" t="inlineStr">
        <is>
          <t>V1000117 - NPN ENGINEERING SOLUTION SUPPLY CO., LTD.</t>
        </is>
      </c>
      <c r="W650" s="30" t="inlineStr">
        <is>
          <t>Recive bill and GRN already</t>
        </is>
      </c>
      <c r="X650" s="5" t="inlineStr">
        <is>
          <t>GRN2425-0006795</t>
        </is>
      </c>
      <c r="Y650" s="3" t="n">
        <v>45691</v>
      </c>
      <c r="Z650" s="3" t="n"/>
      <c r="AA650" s="17">
        <f>IF(RawDataGenPO[[#This Row],[Date Gen PO]]="","",RawDataGenPO[[#This Row],[Date recive bill]]-RawDataGenPO[[#This Row],[Date Gen PO]])</f>
        <v/>
      </c>
      <c r="AB650" s="16">
        <f>IF(RawDataGenPO[[#This Row],[GRN-PO date]]&gt;RawDataGenPO[[#This Row],[Lead time delivery (day)]],"over deliverry","Ontime")</f>
        <v/>
      </c>
      <c r="AC650" s="22" t="n"/>
    </row>
    <row r="651" ht="15" customFormat="1" customHeight="1" s="125">
      <c r="A651" s="5">
        <f>ROW()-ROW(RawDataGenPO[[#Headers],[No.]])</f>
        <v/>
      </c>
      <c r="B651" s="7" t="inlineStr">
        <is>
          <t>Expent  cost</t>
        </is>
      </c>
      <c r="C651" s="301" t="n">
        <v>45624</v>
      </c>
      <c r="D651" s="276" t="n"/>
      <c r="E651" s="281" t="n"/>
      <c r="F651" s="301" t="n">
        <v>45624</v>
      </c>
      <c r="G651" s="5" t="inlineStr">
        <is>
          <t>PR2425-04652</t>
        </is>
      </c>
      <c r="H651" s="5" t="inlineStr">
        <is>
          <t>PO2425-05160</t>
        </is>
      </c>
      <c r="I651" s="290">
        <f>IF(RawDataGenPO[[#This Row],[PO No.]]="","",RawDataGenPO[[#This Row],[DMY Create PR]]+7)</f>
        <v/>
      </c>
      <c r="J651" s="290" t="n"/>
      <c r="K651" s="20" t="n">
        <v>60</v>
      </c>
      <c r="L651" s="5" t="inlineStr">
        <is>
          <t>SFST81000009</t>
        </is>
      </c>
      <c r="M651" s="7" t="inlineStr">
        <is>
          <t>Tool and Equipment PD M/C</t>
        </is>
      </c>
      <c r="N651" s="7" t="inlineStr">
        <is>
          <t>Cevil quipment  &amp; Part</t>
        </is>
      </c>
      <c r="O651" s="5" t="n">
        <v>1</v>
      </c>
      <c r="P651" s="10" t="inlineStr">
        <is>
          <t>tapcoolerbrassyellowcoatedchromium male thread1/2 model DF-52</t>
        </is>
      </c>
      <c r="Q651" s="277" t="n">
        <v>24</v>
      </c>
      <c r="R651" s="5" t="inlineStr">
        <is>
          <t>PCS.</t>
        </is>
      </c>
      <c r="S651" s="292">
        <f>RawDataGenPO[[#This Row],[Total price]]/RawDataGenPO[[#This Row],[Qty'']]</f>
        <v/>
      </c>
      <c r="T651" s="278" t="n">
        <v>6120</v>
      </c>
      <c r="U651" s="291" t="n"/>
      <c r="V651" s="7" t="inlineStr">
        <is>
          <t>V1000725 - P. Kim Hor Amata Nakorn by Ms.Wilaiwan Phasomsap</t>
        </is>
      </c>
      <c r="W651" s="30" t="inlineStr">
        <is>
          <t>Recive bill and GRN already</t>
        </is>
      </c>
      <c r="X651" s="5" t="n"/>
      <c r="Y651" s="3" t="n">
        <v>45659</v>
      </c>
      <c r="Z651" s="3" t="n"/>
      <c r="AA651" s="17">
        <f>IF(RawDataGenPO[[#This Row],[Date Gen PO]]="","",RawDataGenPO[[#This Row],[Date recive bill]]-RawDataGenPO[[#This Row],[Date Gen PO]])</f>
        <v/>
      </c>
      <c r="AB651" s="16">
        <f>IF(RawDataGenPO[[#This Row],[GRN-PO date]]&gt;RawDataGenPO[[#This Row],[Lead time delivery (day)]],"over deliverry","Ontime")</f>
        <v/>
      </c>
      <c r="AC651" s="22" t="n"/>
    </row>
    <row r="652" ht="15" customFormat="1" customHeight="1" s="125">
      <c r="A652" s="5">
        <f>ROW()-ROW(RawDataGenPO[[#Headers],[No.]])</f>
        <v/>
      </c>
      <c r="B652" s="7" t="inlineStr">
        <is>
          <t>Expent  cost</t>
        </is>
      </c>
      <c r="C652" s="301" t="n">
        <v>45624</v>
      </c>
      <c r="D652" s="276" t="n"/>
      <c r="E652" s="281" t="n"/>
      <c r="F652" s="301" t="n">
        <v>45624</v>
      </c>
      <c r="G652" s="26" t="inlineStr">
        <is>
          <t>PR2425-04653</t>
        </is>
      </c>
      <c r="H652" s="26" t="inlineStr">
        <is>
          <t>PO2425-05343</t>
        </is>
      </c>
      <c r="I652" s="290">
        <f>IF(RawDataGenPO[[#This Row],[PO No.]]="","",RawDataGenPO[[#This Row],[DMY Create PR]]+7)</f>
        <v/>
      </c>
      <c r="J652" s="290" t="n"/>
      <c r="K652" s="20" t="n">
        <v>60</v>
      </c>
      <c r="L652" s="5" t="inlineStr">
        <is>
          <t>SFST81000009</t>
        </is>
      </c>
      <c r="M652" s="29" t="inlineStr">
        <is>
          <t>Electrical system out  PD area</t>
        </is>
      </c>
      <c r="N652" s="29" t="inlineStr">
        <is>
          <t>Electrical jobs</t>
        </is>
      </c>
      <c r="O652" s="26" t="n">
        <v>2</v>
      </c>
      <c r="P652" s="42" t="inlineStr">
        <is>
          <t>Schneider Power Meter EasyLogic™ PM2200 series METSEPM2230</t>
        </is>
      </c>
      <c r="Q652" s="323" t="n">
        <v>3</v>
      </c>
      <c r="R652" s="5" t="inlineStr">
        <is>
          <t>PCS.</t>
        </is>
      </c>
      <c r="S652" s="292">
        <f>RawDataGenPO[[#This Row],[Total price]]/RawDataGenPO[[#This Row],[Qty'']]</f>
        <v/>
      </c>
      <c r="T652" s="278" t="n">
        <v>13653</v>
      </c>
      <c r="U652" s="325" t="n"/>
      <c r="V652" s="29" t="inlineStr">
        <is>
          <t>V1000732 - POWER D INTERTRADE CO., LTD.</t>
        </is>
      </c>
      <c r="W652" s="30" t="inlineStr">
        <is>
          <t>Recive bill and GRN already</t>
        </is>
      </c>
      <c r="X652" s="5" t="inlineStr">
        <is>
          <t>GRN2425-0006497</t>
        </is>
      </c>
      <c r="Y652" s="3" t="n">
        <v>45673</v>
      </c>
      <c r="Z652" s="3" t="n"/>
      <c r="AA652" s="17">
        <f>IF(RawDataGenPO[[#This Row],[Date Gen PO]]="","",RawDataGenPO[[#This Row],[Date recive bill]]-RawDataGenPO[[#This Row],[Date Gen PO]])</f>
        <v/>
      </c>
      <c r="AB652" s="16">
        <f>IF(RawDataGenPO[[#This Row],[GRN-PO date]]&gt;RawDataGenPO[[#This Row],[Lead time delivery (day)]],"over deliverry","Ontime")</f>
        <v/>
      </c>
      <c r="AC652" s="35" t="n"/>
    </row>
    <row r="653" ht="15" customFormat="1" customHeight="1" s="125">
      <c r="A653" s="5">
        <f>ROW()-ROW(RawDataGenPO[[#Headers],[No.]])</f>
        <v/>
      </c>
      <c r="B653" s="7" t="inlineStr">
        <is>
          <t>Expent  cost</t>
        </is>
      </c>
      <c r="C653" s="301" t="n">
        <v>45624</v>
      </c>
      <c r="D653" s="276" t="n"/>
      <c r="E653" s="281" t="n"/>
      <c r="F653" s="301" t="n">
        <v>45624</v>
      </c>
      <c r="G653" s="5" t="inlineStr">
        <is>
          <t xml:space="preserve">PR2425-04654 </t>
        </is>
      </c>
      <c r="H653" s="5" t="inlineStr">
        <is>
          <t>PO2425-04654</t>
        </is>
      </c>
      <c r="I653" s="290">
        <f>IF(RawDataGenPO[[#This Row],[PO No.]]="","",RawDataGenPO[[#This Row],[DMY Create PR]]+7)</f>
        <v/>
      </c>
      <c r="J653" s="290" t="n"/>
      <c r="K653" s="20">
        <f>IF(RawDataGenPO[[#This Row],[PO No.]]="","",10)</f>
        <v/>
      </c>
      <c r="L653" s="5" t="inlineStr">
        <is>
          <t>SFST81000009</t>
        </is>
      </c>
      <c r="M653" s="7" t="inlineStr">
        <is>
          <t>Tool and Equipment PD M/C</t>
        </is>
      </c>
      <c r="N653" s="7" t="inlineStr">
        <is>
          <t>Deep Well Pump No.2</t>
        </is>
      </c>
      <c r="O653" s="5" t="n">
        <v>1</v>
      </c>
      <c r="P653" s="10" t="inlineStr">
        <is>
          <t>seal kit CNS</t>
        </is>
      </c>
      <c r="Q653" s="277" t="n">
        <v>2</v>
      </c>
      <c r="R653" s="5" t="inlineStr">
        <is>
          <t>PCS.</t>
        </is>
      </c>
      <c r="S653" s="292">
        <f>RawDataGenPO[[#This Row],[Total price]]/RawDataGenPO[[#This Row],[Qty'']]</f>
        <v/>
      </c>
      <c r="T653" s="278" t="n">
        <v>1370</v>
      </c>
      <c r="U653" s="291" t="n"/>
      <c r="V653" s="7" t="inlineStr">
        <is>
          <t>V1000065 - JENBUNJERD CO.,LTD.</t>
        </is>
      </c>
      <c r="W653" s="30" t="inlineStr">
        <is>
          <t>Recive bill and GRN already</t>
        </is>
      </c>
      <c r="X653" s="5" t="n"/>
      <c r="Y653" s="3" t="n">
        <v>45639</v>
      </c>
      <c r="Z653" s="3" t="n"/>
      <c r="AA653" s="17">
        <f>IF(RawDataGenPO[[#This Row],[Date Gen PO]]="","",RawDataGenPO[[#This Row],[Date recive bill]]-RawDataGenPO[[#This Row],[Date Gen PO]])</f>
        <v/>
      </c>
      <c r="AB653" s="16">
        <f>IF(RawDataGenPO[[#This Row],[GRN-PO date]]&gt;RawDataGenPO[[#This Row],[Lead time delivery (day)]],"over deliverry","Ontime")</f>
        <v/>
      </c>
      <c r="AC653" s="22" t="n"/>
    </row>
    <row r="654" ht="15" customFormat="1" customHeight="1" s="125">
      <c r="A654" s="5">
        <f>ROW()-ROW(RawDataGenPO[[#Headers],[No.]])</f>
        <v/>
      </c>
      <c r="B654" s="7" t="inlineStr">
        <is>
          <t>Expent  cost</t>
        </is>
      </c>
      <c r="C654" s="301" t="n">
        <v>45624</v>
      </c>
      <c r="D654" s="276" t="n"/>
      <c r="E654" s="281" t="n"/>
      <c r="F654" s="301" t="n">
        <v>45624</v>
      </c>
      <c r="G654" s="5" t="inlineStr">
        <is>
          <t xml:space="preserve">PR2425-04654 </t>
        </is>
      </c>
      <c r="H654" s="5" t="inlineStr">
        <is>
          <t>PO2425-04654</t>
        </is>
      </c>
      <c r="I654" s="290">
        <f>IF(RawDataGenPO[[#This Row],[PO No.]]="","",RawDataGenPO[[#This Row],[DMY Create PR]]+7)</f>
        <v/>
      </c>
      <c r="J654" s="290" t="n"/>
      <c r="K654" s="20">
        <f>IF(RawDataGenPO[[#This Row],[PO No.]]="","",10)</f>
        <v/>
      </c>
      <c r="L654" s="5" t="inlineStr">
        <is>
          <t>SFST81000009</t>
        </is>
      </c>
      <c r="M654" s="7" t="inlineStr">
        <is>
          <t>Tool and Equipment PD M/C</t>
        </is>
      </c>
      <c r="N654" s="7" t="inlineStr">
        <is>
          <t>Deep Well Pump No.2</t>
        </is>
      </c>
      <c r="O654" s="5" t="n">
        <v>2</v>
      </c>
      <c r="P654" s="10" t="inlineStr">
        <is>
          <t>pump cam</t>
        </is>
      </c>
      <c r="Q654" s="277" t="n">
        <v>2</v>
      </c>
      <c r="R654" s="5" t="inlineStr">
        <is>
          <t>PCS.</t>
        </is>
      </c>
      <c r="S654" s="292">
        <f>RawDataGenPO[[#This Row],[Total price]]/RawDataGenPO[[#This Row],[Qty'']]</f>
        <v/>
      </c>
      <c r="T654" s="278" t="n">
        <v>550</v>
      </c>
      <c r="U654" s="291" t="n"/>
      <c r="V654" s="7" t="inlineStr">
        <is>
          <t>V1000065 - JENBUNJERD CO.,LTD.</t>
        </is>
      </c>
      <c r="W654" s="30" t="inlineStr">
        <is>
          <t>Recive bill and GRN already</t>
        </is>
      </c>
      <c r="X654" s="5" t="n"/>
      <c r="Y654" s="3" t="n">
        <v>45639</v>
      </c>
      <c r="Z654" s="3" t="n"/>
      <c r="AA654" s="17">
        <f>IF(RawDataGenPO[[#This Row],[Date Gen PO]]="","",RawDataGenPO[[#This Row],[Date recive bill]]-RawDataGenPO[[#This Row],[Date Gen PO]])</f>
        <v/>
      </c>
      <c r="AB654" s="16">
        <f>IF(RawDataGenPO[[#This Row],[GRN-PO date]]&gt;RawDataGenPO[[#This Row],[Lead time delivery (day)]],"over deliverry","Ontime")</f>
        <v/>
      </c>
      <c r="AC654" s="22" t="n"/>
    </row>
    <row r="655" ht="15" customFormat="1" customHeight="1" s="125">
      <c r="A655" s="5">
        <f>ROW()-ROW(RawDataGenPO[[#Headers],[No.]])</f>
        <v/>
      </c>
      <c r="B655" s="7" t="inlineStr">
        <is>
          <t>Expent  cost</t>
        </is>
      </c>
      <c r="C655" s="301" t="n">
        <v>45624</v>
      </c>
      <c r="D655" s="276" t="n"/>
      <c r="E655" s="281" t="n"/>
      <c r="F655" s="301" t="n">
        <v>45624</v>
      </c>
      <c r="G655" s="5" t="inlineStr">
        <is>
          <t xml:space="preserve">PR2425-04654 </t>
        </is>
      </c>
      <c r="H655" s="5" t="inlineStr">
        <is>
          <t>PO2425-04654</t>
        </is>
      </c>
      <c r="I655" s="290">
        <f>IF(RawDataGenPO[[#This Row],[PO No.]]="","",RawDataGenPO[[#This Row],[DMY Create PR]]+7)</f>
        <v/>
      </c>
      <c r="J655" s="290" t="n"/>
      <c r="K655" s="20">
        <f>IF(RawDataGenPO[[#This Row],[PO No.]]="","",10)</f>
        <v/>
      </c>
      <c r="L655" s="5" t="inlineStr">
        <is>
          <t>SFST81000009</t>
        </is>
      </c>
      <c r="M655" s="7" t="inlineStr">
        <is>
          <t>Tool and Equipment PD M/C</t>
        </is>
      </c>
      <c r="N655" s="7" t="inlineStr">
        <is>
          <t>Deep Well Pump No.2</t>
        </is>
      </c>
      <c r="O655" s="5" t="n">
        <v>3</v>
      </c>
      <c r="P655" s="10" t="inlineStr">
        <is>
          <t>Spring</t>
        </is>
      </c>
      <c r="Q655" s="277" t="n">
        <v>2</v>
      </c>
      <c r="R655" s="5" t="inlineStr">
        <is>
          <t>PCS.</t>
        </is>
      </c>
      <c r="S655" s="292">
        <f>RawDataGenPO[[#This Row],[Total price]]/RawDataGenPO[[#This Row],[Qty'']]</f>
        <v/>
      </c>
      <c r="T655" s="278" t="n">
        <v>330</v>
      </c>
      <c r="U655" s="291" t="n"/>
      <c r="V655" s="7" t="inlineStr">
        <is>
          <t>V1000065 - JENBUNJERD CO.,LTD.</t>
        </is>
      </c>
      <c r="W655" s="30" t="inlineStr">
        <is>
          <t>Recive bill and GRN already</t>
        </is>
      </c>
      <c r="X655" s="5" t="n"/>
      <c r="Y655" s="3" t="n">
        <v>45639</v>
      </c>
      <c r="Z655" s="3" t="n"/>
      <c r="AA655" s="17">
        <f>IF(RawDataGenPO[[#This Row],[Date Gen PO]]="","",RawDataGenPO[[#This Row],[Date recive bill]]-RawDataGenPO[[#This Row],[Date Gen PO]])</f>
        <v/>
      </c>
      <c r="AB655" s="16">
        <f>IF(RawDataGenPO[[#This Row],[GRN-PO date]]&gt;RawDataGenPO[[#This Row],[Lead time delivery (day)]],"over deliverry","Ontime")</f>
        <v/>
      </c>
      <c r="AC655" s="22" t="n"/>
    </row>
    <row r="656" ht="15" customFormat="1" customHeight="1" s="125">
      <c r="A656" s="5">
        <f>ROW()-ROW(RawDataGenPO[[#Headers],[No.]])</f>
        <v/>
      </c>
      <c r="B656" s="7" t="inlineStr">
        <is>
          <t>Expent  cost</t>
        </is>
      </c>
      <c r="C656" s="301" t="n">
        <v>45624</v>
      </c>
      <c r="D656" s="276" t="n"/>
      <c r="E656" s="281" t="n"/>
      <c r="F656" s="301" t="n">
        <v>45624</v>
      </c>
      <c r="G656" s="5" t="inlineStr">
        <is>
          <t xml:space="preserve">PR2425-04654 </t>
        </is>
      </c>
      <c r="H656" s="5" t="inlineStr">
        <is>
          <t>PO2425-04654</t>
        </is>
      </c>
      <c r="I656" s="290">
        <f>IF(RawDataGenPO[[#This Row],[PO No.]]="","",RawDataGenPO[[#This Row],[DMY Create PR]]+7)</f>
        <v/>
      </c>
      <c r="J656" s="290" t="n"/>
      <c r="K656" s="20">
        <f>IF(RawDataGenPO[[#This Row],[PO No.]]="","",10)</f>
        <v/>
      </c>
      <c r="L656" s="5" t="inlineStr">
        <is>
          <t>SFST81000009</t>
        </is>
      </c>
      <c r="M656" s="7" t="inlineStr">
        <is>
          <t>Tool and Equipment PD M/C</t>
        </is>
      </c>
      <c r="N656" s="7" t="inlineStr">
        <is>
          <t>Deep Well Pump No.2</t>
        </is>
      </c>
      <c r="O656" s="5" t="n">
        <v>4</v>
      </c>
      <c r="P656" s="10" t="inlineStr">
        <is>
          <t>discharge valve set CNS</t>
        </is>
      </c>
      <c r="Q656" s="277" t="n">
        <v>2</v>
      </c>
      <c r="R656" s="5" t="inlineStr">
        <is>
          <t>PCS.</t>
        </is>
      </c>
      <c r="S656" s="292">
        <f>RawDataGenPO[[#This Row],[Total price]]/RawDataGenPO[[#This Row],[Qty'']]</f>
        <v/>
      </c>
      <c r="T656" s="278" t="n">
        <v>400</v>
      </c>
      <c r="U656" s="291" t="n"/>
      <c r="V656" s="7" t="inlineStr">
        <is>
          <t>V1000065 - JENBUNJERD CO.,LTD.</t>
        </is>
      </c>
      <c r="W656" s="30" t="inlineStr">
        <is>
          <t>Recive bill and GRN already</t>
        </is>
      </c>
      <c r="X656" s="5" t="n"/>
      <c r="Y656" s="3" t="n">
        <v>45639</v>
      </c>
      <c r="Z656" s="3" t="n"/>
      <c r="AA656" s="17">
        <f>IF(RawDataGenPO[[#This Row],[Date Gen PO]]="","",RawDataGenPO[[#This Row],[Date recive bill]]-RawDataGenPO[[#This Row],[Date Gen PO]])</f>
        <v/>
      </c>
      <c r="AB656" s="16">
        <f>IF(RawDataGenPO[[#This Row],[GRN-PO date]]&gt;RawDataGenPO[[#This Row],[Lead time delivery (day)]],"over deliverry","Ontime")</f>
        <v/>
      </c>
      <c r="AC656" s="22" t="n"/>
    </row>
    <row r="657" ht="15" customFormat="1" customHeight="1" s="125">
      <c r="A657" s="5">
        <f>ROW()-ROW(RawDataGenPO[[#Headers],[No.]])</f>
        <v/>
      </c>
      <c r="B657" s="7" t="inlineStr">
        <is>
          <t>Expent  cost</t>
        </is>
      </c>
      <c r="C657" s="301" t="n">
        <v>45624</v>
      </c>
      <c r="D657" s="276" t="n"/>
      <c r="E657" s="281" t="n"/>
      <c r="F657" s="301" t="n">
        <v>45624</v>
      </c>
      <c r="G657" s="5" t="inlineStr">
        <is>
          <t xml:space="preserve">PR2425-04654 </t>
        </is>
      </c>
      <c r="H657" s="5" t="inlineStr">
        <is>
          <t>PO2425-04654</t>
        </is>
      </c>
      <c r="I657" s="290">
        <f>IF(RawDataGenPO[[#This Row],[PO No.]]="","",RawDataGenPO[[#This Row],[DMY Create PR]]+7)</f>
        <v/>
      </c>
      <c r="J657" s="290" t="n"/>
      <c r="K657" s="20">
        <f>IF(RawDataGenPO[[#This Row],[PO No.]]="","",10)</f>
        <v/>
      </c>
      <c r="L657" s="5" t="inlineStr">
        <is>
          <t>SFST81000009</t>
        </is>
      </c>
      <c r="M657" s="7" t="inlineStr">
        <is>
          <t>Tool and Equipment PD M/C</t>
        </is>
      </c>
      <c r="N657" s="7" t="inlineStr">
        <is>
          <t>Deep Well Pump No.2</t>
        </is>
      </c>
      <c r="O657" s="5" t="n">
        <v>5</v>
      </c>
      <c r="P657" s="10" t="inlineStr">
        <is>
          <t>JB hydraulic oil HVI No. 15</t>
        </is>
      </c>
      <c r="Q657" s="277" t="n">
        <v>2</v>
      </c>
      <c r="R657" s="5" t="inlineStr">
        <is>
          <t>PCS.</t>
        </is>
      </c>
      <c r="S657" s="292">
        <f>RawDataGenPO[[#This Row],[Total price]]/RawDataGenPO[[#This Row],[Qty'']]</f>
        <v/>
      </c>
      <c r="T657" s="278" t="n">
        <v>360</v>
      </c>
      <c r="U657" s="291" t="n"/>
      <c r="V657" s="7" t="inlineStr">
        <is>
          <t>V1000065 - JENBUNJERD CO.,LTD.</t>
        </is>
      </c>
      <c r="W657" s="30" t="inlineStr">
        <is>
          <t>Recive bill and GRN already</t>
        </is>
      </c>
      <c r="X657" s="5" t="n"/>
      <c r="Y657" s="3" t="n">
        <v>45639</v>
      </c>
      <c r="Z657" s="3" t="n"/>
      <c r="AA657" s="17">
        <f>IF(RawDataGenPO[[#This Row],[Date Gen PO]]="","",RawDataGenPO[[#This Row],[Date recive bill]]-RawDataGenPO[[#This Row],[Date Gen PO]])</f>
        <v/>
      </c>
      <c r="AB657" s="16">
        <f>IF(RawDataGenPO[[#This Row],[GRN-PO date]]&gt;RawDataGenPO[[#This Row],[Lead time delivery (day)]],"over deliverry","Ontime")</f>
        <v/>
      </c>
      <c r="AC657" s="22" t="n"/>
    </row>
    <row r="658" ht="15" customFormat="1" customHeight="1" s="125">
      <c r="A658" s="5">
        <f>ROW()-ROW(RawDataGenPO[[#Headers],[No.]])</f>
        <v/>
      </c>
      <c r="B658" s="7" t="inlineStr">
        <is>
          <t>Expent  cost</t>
        </is>
      </c>
      <c r="C658" s="301" t="n">
        <v>45624</v>
      </c>
      <c r="D658" s="276" t="n"/>
      <c r="E658" s="281" t="n"/>
      <c r="F658" s="301" t="n">
        <v>45624</v>
      </c>
      <c r="G658" s="5" t="inlineStr">
        <is>
          <t xml:space="preserve">PR2425-04654 </t>
        </is>
      </c>
      <c r="H658" s="5" t="inlineStr">
        <is>
          <t>PO2425-04654</t>
        </is>
      </c>
      <c r="I658" s="290">
        <f>IF(RawDataGenPO[[#This Row],[PO No.]]="","",RawDataGenPO[[#This Row],[DMY Create PR]]+7)</f>
        <v/>
      </c>
      <c r="J658" s="290" t="n"/>
      <c r="K658" s="20">
        <f>IF(RawDataGenPO[[#This Row],[PO No.]]="","",10)</f>
        <v/>
      </c>
      <c r="L658" s="5" t="inlineStr">
        <is>
          <t>SFST81000009</t>
        </is>
      </c>
      <c r="M658" s="7" t="inlineStr">
        <is>
          <t>Tool and Equipment PD M/C</t>
        </is>
      </c>
      <c r="N658" s="7" t="inlineStr">
        <is>
          <t>Deep Well Pump No.2</t>
        </is>
      </c>
      <c r="O658" s="5" t="n">
        <v>6</v>
      </c>
      <c r="P658" s="10" t="inlineStr">
        <is>
          <t>valve set CNS</t>
        </is>
      </c>
      <c r="Q658" s="277" t="n">
        <v>2</v>
      </c>
      <c r="R658" s="5" t="inlineStr">
        <is>
          <t>PCS.</t>
        </is>
      </c>
      <c r="S658" s="292">
        <f>RawDataGenPO[[#This Row],[Total price]]/RawDataGenPO[[#This Row],[Qty'']]</f>
        <v/>
      </c>
      <c r="T658" s="278" t="n">
        <v>450</v>
      </c>
      <c r="U658" s="291" t="n"/>
      <c r="V658" s="7" t="inlineStr">
        <is>
          <t>V1000065 - JENBUNJERD CO.,LTD.</t>
        </is>
      </c>
      <c r="W658" s="30" t="inlineStr">
        <is>
          <t>Recive bill and GRN already</t>
        </is>
      </c>
      <c r="X658" s="5" t="n"/>
      <c r="Y658" s="3" t="n">
        <v>45639</v>
      </c>
      <c r="Z658" s="3" t="n"/>
      <c r="AA658" s="17">
        <f>IF(RawDataGenPO[[#This Row],[Date Gen PO]]="","",RawDataGenPO[[#This Row],[Date recive bill]]-RawDataGenPO[[#This Row],[Date Gen PO]])</f>
        <v/>
      </c>
      <c r="AB658" s="16">
        <f>IF(RawDataGenPO[[#This Row],[GRN-PO date]]&gt;RawDataGenPO[[#This Row],[Lead time delivery (day)]],"over deliverry","Ontime")</f>
        <v/>
      </c>
      <c r="AC658" s="22" t="n"/>
    </row>
    <row r="659" ht="15" customFormat="1" customHeight="1" s="125">
      <c r="A659" s="5">
        <f>ROW()-ROW(RawDataGenPO[[#Headers],[No.]])</f>
        <v/>
      </c>
      <c r="B659" s="7" t="inlineStr">
        <is>
          <t>Expent  cost</t>
        </is>
      </c>
      <c r="C659" s="301" t="n">
        <v>45624</v>
      </c>
      <c r="D659" s="276" t="n"/>
      <c r="E659" s="281" t="n"/>
      <c r="F659" s="301" t="n">
        <v>45624</v>
      </c>
      <c r="G659" s="5" t="inlineStr">
        <is>
          <t xml:space="preserve">PR2425-04654 </t>
        </is>
      </c>
      <c r="H659" s="5" t="inlineStr">
        <is>
          <t>PO2425-04654</t>
        </is>
      </c>
      <c r="I659" s="290">
        <f>IF(RawDataGenPO[[#This Row],[PO No.]]="","",RawDataGenPO[[#This Row],[DMY Create PR]]+7)</f>
        <v/>
      </c>
      <c r="J659" s="290" t="n"/>
      <c r="K659" s="20">
        <f>IF(RawDataGenPO[[#This Row],[PO No.]]="","",10)</f>
        <v/>
      </c>
      <c r="L659" s="5" t="inlineStr">
        <is>
          <t>SFST81000009</t>
        </is>
      </c>
      <c r="M659" s="7" t="inlineStr">
        <is>
          <t>Tool and Equipment PD M/C</t>
        </is>
      </c>
      <c r="N659" s="7" t="inlineStr">
        <is>
          <t>Deep Well Pump No.2</t>
        </is>
      </c>
      <c r="O659" s="5" t="n">
        <v>7</v>
      </c>
      <c r="P659" s="10" t="inlineStr">
        <is>
          <t>WASHER</t>
        </is>
      </c>
      <c r="Q659" s="277" t="n">
        <v>2</v>
      </c>
      <c r="R659" s="5" t="inlineStr">
        <is>
          <t>PCS.</t>
        </is>
      </c>
      <c r="S659" s="292">
        <f>RawDataGenPO[[#This Row],[Total price]]/RawDataGenPO[[#This Row],[Qty'']]</f>
        <v/>
      </c>
      <c r="T659" s="278" t="n">
        <v>130</v>
      </c>
      <c r="U659" s="291" t="n"/>
      <c r="V659" s="7" t="inlineStr">
        <is>
          <t>V1000065 - JENBUNJERD CO.,LTD.</t>
        </is>
      </c>
      <c r="W659" s="30" t="inlineStr">
        <is>
          <t>Recive bill and GRN already</t>
        </is>
      </c>
      <c r="X659" s="5" t="n"/>
      <c r="Y659" s="3" t="n">
        <v>45639</v>
      </c>
      <c r="Z659" s="3" t="n"/>
      <c r="AA659" s="17">
        <f>IF(RawDataGenPO[[#This Row],[Date Gen PO]]="","",RawDataGenPO[[#This Row],[Date recive bill]]-RawDataGenPO[[#This Row],[Date Gen PO]])</f>
        <v/>
      </c>
      <c r="AB659" s="16">
        <f>IF(RawDataGenPO[[#This Row],[GRN-PO date]]&gt;RawDataGenPO[[#This Row],[Lead time delivery (day)]],"over deliverry","Ontime")</f>
        <v/>
      </c>
      <c r="AC659" s="22" t="n"/>
    </row>
    <row r="660" ht="15" customFormat="1" customHeight="1" s="125">
      <c r="A660" s="5">
        <f>ROW()-ROW(RawDataGenPO[[#Headers],[No.]])</f>
        <v/>
      </c>
      <c r="B660" s="7" t="inlineStr">
        <is>
          <t>Expent  cost</t>
        </is>
      </c>
      <c r="C660" s="301" t="n">
        <v>45624</v>
      </c>
      <c r="D660" s="276" t="n"/>
      <c r="E660" s="281" t="n"/>
      <c r="F660" s="301" t="n">
        <v>45624</v>
      </c>
      <c r="G660" s="5" t="inlineStr">
        <is>
          <t xml:space="preserve">PR2425-04654 </t>
        </is>
      </c>
      <c r="H660" s="5" t="inlineStr">
        <is>
          <t>PO2425-04654</t>
        </is>
      </c>
      <c r="I660" s="290">
        <f>IF(RawDataGenPO[[#This Row],[PO No.]]="","",RawDataGenPO[[#This Row],[DMY Create PR]]+7)</f>
        <v/>
      </c>
      <c r="J660" s="290" t="n"/>
      <c r="K660" s="20">
        <f>IF(RawDataGenPO[[#This Row],[PO No.]]="","",10)</f>
        <v/>
      </c>
      <c r="L660" s="5" t="inlineStr">
        <is>
          <t>SFST81000009</t>
        </is>
      </c>
      <c r="M660" s="7" t="inlineStr">
        <is>
          <t>Tool and Equipment PD M/C</t>
        </is>
      </c>
      <c r="N660" s="7" t="inlineStr">
        <is>
          <t>Deep Well Pump No.2</t>
        </is>
      </c>
      <c r="O660" s="5" t="n">
        <v>8</v>
      </c>
      <c r="P660" s="10" t="inlineStr">
        <is>
          <t>PIN 4 x 30</t>
        </is>
      </c>
      <c r="Q660" s="277" t="n">
        <v>2</v>
      </c>
      <c r="R660" s="5" t="inlineStr">
        <is>
          <t>PCS.</t>
        </is>
      </c>
      <c r="S660" s="292">
        <f>RawDataGenPO[[#This Row],[Total price]]/RawDataGenPO[[#This Row],[Qty'']]</f>
        <v/>
      </c>
      <c r="T660" s="278" t="n">
        <v>40</v>
      </c>
      <c r="U660" s="291" t="n"/>
      <c r="V660" s="7" t="inlineStr">
        <is>
          <t>V1000065 - JENBUNJERD CO.,LTD.</t>
        </is>
      </c>
      <c r="W660" s="30" t="inlineStr">
        <is>
          <t>Recive bill and GRN already</t>
        </is>
      </c>
      <c r="X660" s="5" t="n"/>
      <c r="Y660" s="3" t="n">
        <v>45639</v>
      </c>
      <c r="Z660" s="3" t="n"/>
      <c r="AA660" s="17">
        <f>IF(RawDataGenPO[[#This Row],[Date Gen PO]]="","",RawDataGenPO[[#This Row],[Date recive bill]]-RawDataGenPO[[#This Row],[Date Gen PO]])</f>
        <v/>
      </c>
      <c r="AB660" s="16">
        <f>IF(RawDataGenPO[[#This Row],[GRN-PO date]]&gt;RawDataGenPO[[#This Row],[Lead time delivery (day)]],"over deliverry","Ontime")</f>
        <v/>
      </c>
      <c r="AC660" s="22" t="n"/>
    </row>
    <row r="661" ht="15" customFormat="1" customHeight="1" s="125">
      <c r="A661" s="5">
        <f>ROW()-ROW(RawDataGenPO[[#Headers],[No.]])</f>
        <v/>
      </c>
      <c r="B661" s="7" t="inlineStr">
        <is>
          <t>Expent  cost</t>
        </is>
      </c>
      <c r="C661" s="301" t="n">
        <v>45624</v>
      </c>
      <c r="D661" s="276" t="n"/>
      <c r="E661" s="281" t="n"/>
      <c r="F661" s="301" t="n">
        <v>45624</v>
      </c>
      <c r="G661" s="5" t="inlineStr">
        <is>
          <t xml:space="preserve">PR2425-04654 </t>
        </is>
      </c>
      <c r="H661" s="5" t="inlineStr">
        <is>
          <t>PO2425-04654</t>
        </is>
      </c>
      <c r="I661" s="290">
        <f>IF(RawDataGenPO[[#This Row],[PO No.]]="","",RawDataGenPO[[#This Row],[DMY Create PR]]+7)</f>
        <v/>
      </c>
      <c r="J661" s="290" t="n"/>
      <c r="K661" s="20">
        <f>IF(RawDataGenPO[[#This Row],[PO No.]]="","",10)</f>
        <v/>
      </c>
      <c r="L661" s="5" t="inlineStr">
        <is>
          <t>SFST81000009</t>
        </is>
      </c>
      <c r="M661" s="7" t="inlineStr">
        <is>
          <t>Tool and Equipment PD M/C</t>
        </is>
      </c>
      <c r="N661" s="7" t="inlineStr">
        <is>
          <t>Deep Well Pump No.2</t>
        </is>
      </c>
      <c r="O661" s="5" t="n">
        <v>9</v>
      </c>
      <c r="P661" s="10" t="inlineStr">
        <is>
          <t>Spring for fixed plate Handle (BF, BF3,CNS)</t>
        </is>
      </c>
      <c r="Q661" s="277" t="n">
        <v>2</v>
      </c>
      <c r="R661" s="5" t="inlineStr">
        <is>
          <t>PCS.</t>
        </is>
      </c>
      <c r="S661" s="292">
        <f>RawDataGenPO[[#This Row],[Total price]]/RawDataGenPO[[#This Row],[Qty'']]</f>
        <v/>
      </c>
      <c r="T661" s="278" t="n">
        <v>40</v>
      </c>
      <c r="U661" s="291" t="n"/>
      <c r="V661" s="7" t="inlineStr">
        <is>
          <t>V1000065 - JENBUNJERD CO.,LTD.</t>
        </is>
      </c>
      <c r="W661" s="30" t="inlineStr">
        <is>
          <t>Recive bill and GRN already</t>
        </is>
      </c>
      <c r="X661" s="5" t="n"/>
      <c r="Y661" s="3" t="n">
        <v>45639</v>
      </c>
      <c r="Z661" s="3" t="n"/>
      <c r="AA661" s="17">
        <f>IF(RawDataGenPO[[#This Row],[Date Gen PO]]="","",RawDataGenPO[[#This Row],[Date recive bill]]-RawDataGenPO[[#This Row],[Date Gen PO]])</f>
        <v/>
      </c>
      <c r="AB661" s="16">
        <f>IF(RawDataGenPO[[#This Row],[GRN-PO date]]&gt;RawDataGenPO[[#This Row],[Lead time delivery (day)]],"over deliverry","Ontime")</f>
        <v/>
      </c>
      <c r="AC661" s="22" t="n"/>
    </row>
    <row r="662" ht="15" customFormat="1" customHeight="1" s="125">
      <c r="A662" s="5">
        <f>ROW()-ROW(RawDataGenPO[[#Headers],[No.]])</f>
        <v/>
      </c>
      <c r="B662" s="7" t="inlineStr">
        <is>
          <t>Expent  cost</t>
        </is>
      </c>
      <c r="C662" s="301" t="n">
        <v>45624</v>
      </c>
      <c r="D662" s="276" t="n"/>
      <c r="E662" s="281" t="n"/>
      <c r="F662" s="301" t="n">
        <v>45624</v>
      </c>
      <c r="G662" s="5" t="inlineStr">
        <is>
          <t xml:space="preserve">PR2425-04654 </t>
        </is>
      </c>
      <c r="H662" s="5" t="inlineStr">
        <is>
          <t>PO2425-04654</t>
        </is>
      </c>
      <c r="I662" s="290">
        <f>IF(RawDataGenPO[[#This Row],[PO No.]]="","",RawDataGenPO[[#This Row],[DMY Create PR]]+7)</f>
        <v/>
      </c>
      <c r="J662" s="290" t="n"/>
      <c r="K662" s="20">
        <f>IF(RawDataGenPO[[#This Row],[PO No.]]="","",10)</f>
        <v/>
      </c>
      <c r="L662" s="5" t="inlineStr">
        <is>
          <t>SFST81000009</t>
        </is>
      </c>
      <c r="M662" s="7" t="inlineStr">
        <is>
          <t>Tool and Equipment PD M/C</t>
        </is>
      </c>
      <c r="N662" s="7" t="inlineStr">
        <is>
          <t>Deep Well Pump No.2</t>
        </is>
      </c>
      <c r="O662" s="5" t="n">
        <v>10</v>
      </c>
      <c r="P662" s="10" t="inlineStr">
        <is>
          <t>Service charge</t>
        </is>
      </c>
      <c r="Q662" s="277" t="n">
        <v>2</v>
      </c>
      <c r="R662" s="5" t="inlineStr">
        <is>
          <t>PCS.</t>
        </is>
      </c>
      <c r="S662" s="292">
        <f>RawDataGenPO[[#This Row],[Total price]]/RawDataGenPO[[#This Row],[Qty'']]</f>
        <v/>
      </c>
      <c r="T662" s="278" t="n">
        <v>1600</v>
      </c>
      <c r="U662" s="291" t="n"/>
      <c r="V662" s="7" t="inlineStr">
        <is>
          <t>V1000065 - JENBUNJERD CO.,LTD.</t>
        </is>
      </c>
      <c r="W662" s="30" t="inlineStr">
        <is>
          <t>Recive bill and GRN already</t>
        </is>
      </c>
      <c r="X662" s="5" t="n"/>
      <c r="Y662" s="3" t="n">
        <v>45639</v>
      </c>
      <c r="Z662" s="3" t="n"/>
      <c r="AA662" s="17">
        <f>IF(RawDataGenPO[[#This Row],[Date Gen PO]]="","",RawDataGenPO[[#This Row],[Date recive bill]]-RawDataGenPO[[#This Row],[Date Gen PO]])</f>
        <v/>
      </c>
      <c r="AB662" s="16">
        <f>IF(RawDataGenPO[[#This Row],[GRN-PO date]]&gt;RawDataGenPO[[#This Row],[Lead time delivery (day)]],"over deliverry","Ontime")</f>
        <v/>
      </c>
      <c r="AC662" s="22" t="n"/>
    </row>
    <row r="663" ht="75" customFormat="1" customHeight="1" s="125">
      <c r="A663" s="5">
        <f>ROW()-ROW(RawDataGenPO[[#Headers],[No.]])</f>
        <v/>
      </c>
      <c r="B663" s="7" t="inlineStr">
        <is>
          <t>Expent  cost</t>
        </is>
      </c>
      <c r="C663" s="301" t="n">
        <v>45624</v>
      </c>
      <c r="D663" s="276" t="n"/>
      <c r="E663" s="281" t="n"/>
      <c r="F663" s="301" t="n">
        <v>45624</v>
      </c>
      <c r="G663" s="5" t="inlineStr">
        <is>
          <t>PR2425-04655</t>
        </is>
      </c>
      <c r="H663" s="5" t="inlineStr">
        <is>
          <t>PO2425-05118</t>
        </is>
      </c>
      <c r="I663" s="290">
        <f>IF(RawDataGenPO[[#This Row],[PO No.]]="","",RawDataGenPO[[#This Row],[DMY Create PR]]+7)</f>
        <v/>
      </c>
      <c r="J663" s="290" t="n"/>
      <c r="K663" s="20" t="n">
        <v>30</v>
      </c>
      <c r="L663" s="5" t="inlineStr">
        <is>
          <t>SFST81000009</t>
        </is>
      </c>
      <c r="M663" s="7" t="inlineStr">
        <is>
          <t>Utility Jobs  (Boiler-Air compress-Transformer-LPG)</t>
        </is>
      </c>
      <c r="N663" s="7" t="inlineStr">
        <is>
          <t>Cooling  part</t>
        </is>
      </c>
      <c r="O663" s="5" t="n">
        <v>1</v>
      </c>
      <c r="P663" s="10" t="inlineStr">
        <is>
          <t>SE-B1 Protection module
KRIWAN (Germany)
Bitzer Part No. 34701901
Supply AC 50/60Hz 230/240V 3VA
Relay AC240V, max.2.5A, C300</t>
        </is>
      </c>
      <c r="Q663" s="277" t="n">
        <v>3</v>
      </c>
      <c r="R663" s="5" t="inlineStr">
        <is>
          <t>PCS.</t>
        </is>
      </c>
      <c r="S663" s="292">
        <f>RawDataGenPO[[#This Row],[Total price]]/RawDataGenPO[[#This Row],[Qty'']]</f>
        <v/>
      </c>
      <c r="T663" s="278" t="n">
        <v>15000</v>
      </c>
      <c r="U663" s="291" t="n"/>
      <c r="V663" s="7" t="inlineStr">
        <is>
          <t>V1000292 - Nopachart Intertrade Co., Ltd</t>
        </is>
      </c>
      <c r="W663" s="30" t="inlineStr">
        <is>
          <t>Recive bill and GRN already</t>
        </is>
      </c>
      <c r="X663" s="5" t="n"/>
      <c r="Y663" s="3" t="n">
        <v>45642</v>
      </c>
      <c r="Z663" s="3" t="n"/>
      <c r="AA663" s="17">
        <f>IF(RawDataGenPO[[#This Row],[Date Gen PO]]="","",RawDataGenPO[[#This Row],[Date recive bill]]-RawDataGenPO[[#This Row],[Date Gen PO]])</f>
        <v/>
      </c>
      <c r="AB663" s="16">
        <f>IF(RawDataGenPO[[#This Row],[GRN-PO date]]&gt;RawDataGenPO[[#This Row],[Lead time delivery (day)]],"over deliverry","Ontime")</f>
        <v/>
      </c>
      <c r="AC663" s="22" t="n"/>
    </row>
    <row r="664" ht="75" customFormat="1" customHeight="1" s="125">
      <c r="A664" s="5">
        <f>ROW()-ROW(RawDataGenPO[[#Headers],[No.]])</f>
        <v/>
      </c>
      <c r="B664" s="7" t="inlineStr">
        <is>
          <t>Expent  cost</t>
        </is>
      </c>
      <c r="C664" s="301" t="n">
        <v>45624</v>
      </c>
      <c r="D664" s="276" t="n"/>
      <c r="E664" s="281" t="n"/>
      <c r="F664" s="301" t="n">
        <v>45624</v>
      </c>
      <c r="G664" s="5" t="inlineStr">
        <is>
          <t>PR2425-04655</t>
        </is>
      </c>
      <c r="H664" s="5" t="inlineStr">
        <is>
          <t>PO2425-05118</t>
        </is>
      </c>
      <c r="I664" s="290">
        <f>IF(RawDataGenPO[[#This Row],[PO No.]]="","",RawDataGenPO[[#This Row],[DMY Create PR]]+7)</f>
        <v/>
      </c>
      <c r="J664" s="290" t="n"/>
      <c r="K664" s="20">
        <f>IF(RawDataGenPO[[#This Row],[PO No.]]="","",21)</f>
        <v/>
      </c>
      <c r="L664" s="5" t="inlineStr">
        <is>
          <t>SFST81000009</t>
        </is>
      </c>
      <c r="M664" s="7" t="inlineStr">
        <is>
          <t>Utility Jobs  (Boiler-Air compress-Transformer-LPG)</t>
        </is>
      </c>
      <c r="N664" s="7" t="inlineStr">
        <is>
          <t>Cooling  part</t>
        </is>
      </c>
      <c r="O664" s="5" t="n">
        <v>2</v>
      </c>
      <c r="P664" s="10" t="inlineStr">
        <is>
          <t>SE-B1 Protection module
KRIWAN (Germany)
Bitzer Part No. 34701901
Supply AC 50/60Hz 230/240V 2VA
Relay AC240V, max.2.5A, C300</t>
        </is>
      </c>
      <c r="Q664" s="277" t="n">
        <v>3</v>
      </c>
      <c r="R664" s="5" t="inlineStr">
        <is>
          <t>PCS.</t>
        </is>
      </c>
      <c r="S664" s="292">
        <f>RawDataGenPO[[#This Row],[Total price]]/RawDataGenPO[[#This Row],[Qty'']]</f>
        <v/>
      </c>
      <c r="T664" s="278" t="n">
        <v>15000</v>
      </c>
      <c r="U664" s="291" t="n"/>
      <c r="V664" s="7" t="inlineStr">
        <is>
          <t>V1000292 - Nopachart Intertrade Co., Ltd</t>
        </is>
      </c>
      <c r="W664" s="30" t="inlineStr">
        <is>
          <t>Recive bill and GRN already</t>
        </is>
      </c>
      <c r="X664" s="5" t="n"/>
      <c r="Y664" s="3" t="n">
        <v>45642</v>
      </c>
      <c r="Z664" s="3" t="n"/>
      <c r="AA664" s="17">
        <f>IF(RawDataGenPO[[#This Row],[Date Gen PO]]="","",RawDataGenPO[[#This Row],[Date recive bill]]-RawDataGenPO[[#This Row],[Date Gen PO]])</f>
        <v/>
      </c>
      <c r="AB664" s="16">
        <f>IF(RawDataGenPO[[#This Row],[GRN-PO date]]&gt;RawDataGenPO[[#This Row],[Lead time delivery (day)]],"over deliverry","Ontime")</f>
        <v/>
      </c>
      <c r="AC664" s="22" t="n"/>
    </row>
    <row r="665" ht="15" customFormat="1" customHeight="1" s="125">
      <c r="A665" s="5">
        <f>ROW()-ROW(RawDataGenPO[[#Headers],[No.]])</f>
        <v/>
      </c>
      <c r="B665" s="7" t="inlineStr">
        <is>
          <t>Expent  cost</t>
        </is>
      </c>
      <c r="C665" s="301" t="n">
        <v>45624</v>
      </c>
      <c r="D665" s="276" t="inlineStr">
        <is>
          <t>CPP24-231</t>
        </is>
      </c>
      <c r="E665" s="281" t="n"/>
      <c r="F665" s="301" t="n">
        <v>45624</v>
      </c>
      <c r="G665" s="5" t="inlineStr">
        <is>
          <t>PR2425-04660</t>
        </is>
      </c>
      <c r="H665" s="5" t="inlineStr">
        <is>
          <t>PO2425-05117</t>
        </is>
      </c>
      <c r="I665" s="290">
        <f>IF(RawDataGenPO[[#This Row],[PO No.]]="","",RawDataGenPO[[#This Row],[DMY Create PR]]+7)</f>
        <v/>
      </c>
      <c r="J665" s="290" t="n"/>
      <c r="K665" s="20">
        <f>IF(RawDataGenPO[[#This Row],[PO No.]]="","",10)</f>
        <v/>
      </c>
      <c r="L665" s="5" t="inlineStr">
        <is>
          <t>SFST81000009</t>
        </is>
      </c>
      <c r="M665" s="7" t="inlineStr">
        <is>
          <t>Tool and Equipment PD M/C</t>
        </is>
      </c>
      <c r="N665" s="7" t="inlineStr">
        <is>
          <t>Machanical part</t>
        </is>
      </c>
      <c r="O665" s="5" t="n">
        <v>1</v>
      </c>
      <c r="P665" s="10" t="inlineStr">
        <is>
          <t>Stainless 304 pipe (polished), 1-1/2", thick 2mm,6000mm</t>
        </is>
      </c>
      <c r="Q665" s="277" t="n">
        <v>1</v>
      </c>
      <c r="R665" s="5" t="inlineStr">
        <is>
          <t>PCS.</t>
        </is>
      </c>
      <c r="S665" s="292">
        <f>RawDataGenPO[[#This Row],[Total price]]/RawDataGenPO[[#This Row],[Qty'']]</f>
        <v/>
      </c>
      <c r="T665" s="278" t="n">
        <v>2000</v>
      </c>
      <c r="U665" s="291" t="n"/>
      <c r="V665" s="7" t="inlineStr">
        <is>
          <t>V1000655 - SRM ENGINEERING 1991 CO., LTD.</t>
        </is>
      </c>
      <c r="W665" s="30" t="inlineStr">
        <is>
          <t>Recive bill and GRN already</t>
        </is>
      </c>
      <c r="X665" s="5" t="n"/>
      <c r="Y665" s="3" t="n">
        <v>45636</v>
      </c>
      <c r="Z665" s="3" t="n"/>
      <c r="AA665" s="17">
        <f>IF(RawDataGenPO[[#This Row],[Date Gen PO]]="","",RawDataGenPO[[#This Row],[Date recive bill]]-RawDataGenPO[[#This Row],[Date Gen PO]])</f>
        <v/>
      </c>
      <c r="AB665" s="16">
        <f>IF(RawDataGenPO[[#This Row],[GRN-PO date]]&gt;RawDataGenPO[[#This Row],[Lead time delivery (day)]],"over deliverry","Ontime")</f>
        <v/>
      </c>
      <c r="AC665" s="22" t="n"/>
    </row>
    <row r="666" ht="15" customFormat="1" customHeight="1" s="125">
      <c r="A666" s="5">
        <f>ROW()-ROW(RawDataGenPO[[#Headers],[No.]])</f>
        <v/>
      </c>
      <c r="B666" s="7" t="inlineStr">
        <is>
          <t>Expent  cost</t>
        </is>
      </c>
      <c r="C666" s="301" t="n">
        <v>45624</v>
      </c>
      <c r="D666" s="276" t="inlineStr">
        <is>
          <t>CPP24-231</t>
        </is>
      </c>
      <c r="E666" s="281" t="n"/>
      <c r="F666" s="301" t="n">
        <v>45624</v>
      </c>
      <c r="G666" s="5" t="inlineStr">
        <is>
          <t>PR2425-04660</t>
        </is>
      </c>
      <c r="H666" s="5" t="inlineStr">
        <is>
          <t>PO2425-05117</t>
        </is>
      </c>
      <c r="I666" s="290">
        <f>IF(RawDataGenPO[[#This Row],[PO No.]]="","",RawDataGenPO[[#This Row],[DMY Create PR]]+7)</f>
        <v/>
      </c>
      <c r="J666" s="290" t="n"/>
      <c r="K666" s="20">
        <f>IF(RawDataGenPO[[#This Row],[PO No.]]="","",10)</f>
        <v/>
      </c>
      <c r="L666" s="5" t="inlineStr">
        <is>
          <t>SFST81000009</t>
        </is>
      </c>
      <c r="M666" s="7" t="inlineStr">
        <is>
          <t>Tool and Equipment PD M/C</t>
        </is>
      </c>
      <c r="N666" s="7" t="inlineStr">
        <is>
          <t>Machanical part</t>
        </is>
      </c>
      <c r="O666" s="5" t="n">
        <v>2</v>
      </c>
      <c r="P666" s="10" t="inlineStr">
        <is>
          <t>ball valve SS304, stainless steel 1-1/2"</t>
        </is>
      </c>
      <c r="Q666" s="277" t="n">
        <v>4</v>
      </c>
      <c r="R666" s="5" t="inlineStr">
        <is>
          <t>PCS.</t>
        </is>
      </c>
      <c r="S666" s="292">
        <f>RawDataGenPO[[#This Row],[Total price]]/RawDataGenPO[[#This Row],[Qty'']]</f>
        <v/>
      </c>
      <c r="T666" s="278" t="n">
        <v>1600</v>
      </c>
      <c r="U666" s="291" t="n"/>
      <c r="V666" s="7" t="inlineStr">
        <is>
          <t>V1000655 - SRM ENGINEERING 1991 CO., LTD.</t>
        </is>
      </c>
      <c r="W666" s="30" t="inlineStr">
        <is>
          <t>Recive bill and GRN already</t>
        </is>
      </c>
      <c r="X666" s="5" t="n"/>
      <c r="Y666" s="3" t="n">
        <v>45636</v>
      </c>
      <c r="Z666" s="3" t="n"/>
      <c r="AA666" s="17">
        <f>IF(RawDataGenPO[[#This Row],[Date Gen PO]]="","",RawDataGenPO[[#This Row],[Date recive bill]]-RawDataGenPO[[#This Row],[Date Gen PO]])</f>
        <v/>
      </c>
      <c r="AB666" s="16">
        <f>IF(RawDataGenPO[[#This Row],[GRN-PO date]]&gt;RawDataGenPO[[#This Row],[Lead time delivery (day)]],"over deliverry","Ontime")</f>
        <v/>
      </c>
      <c r="AC666" s="22" t="n"/>
    </row>
    <row r="667" ht="15" customFormat="1" customHeight="1" s="125">
      <c r="A667" s="5">
        <f>ROW()-ROW(RawDataGenPO[[#Headers],[No.]])</f>
        <v/>
      </c>
      <c r="B667" s="7" t="inlineStr">
        <is>
          <t>Expent  cost</t>
        </is>
      </c>
      <c r="C667" s="301" t="n">
        <v>45624</v>
      </c>
      <c r="D667" s="276" t="inlineStr">
        <is>
          <t>CPP24-231</t>
        </is>
      </c>
      <c r="E667" s="281" t="n"/>
      <c r="F667" s="301" t="n">
        <v>45624</v>
      </c>
      <c r="G667" s="5" t="inlineStr">
        <is>
          <t>PR2425-04660</t>
        </is>
      </c>
      <c r="H667" s="5" t="inlineStr">
        <is>
          <t>PO2425-05117</t>
        </is>
      </c>
      <c r="I667" s="290">
        <f>IF(RawDataGenPO[[#This Row],[PO No.]]="","",RawDataGenPO[[#This Row],[DMY Create PR]]+7)</f>
        <v/>
      </c>
      <c r="J667" s="290" t="n"/>
      <c r="K667" s="20">
        <f>IF(RawDataGenPO[[#This Row],[PO No.]]="","",10)</f>
        <v/>
      </c>
      <c r="L667" s="5" t="inlineStr">
        <is>
          <t>SFST81000009</t>
        </is>
      </c>
      <c r="M667" s="7" t="inlineStr">
        <is>
          <t>Tool and Equipment PD M/C</t>
        </is>
      </c>
      <c r="N667" s="7" t="inlineStr">
        <is>
          <t>Machanical part</t>
        </is>
      </c>
      <c r="O667" s="5" t="n">
        <v>3</v>
      </c>
      <c r="P667" s="10" t="inlineStr">
        <is>
          <t>tee fitting SS304, stainless steel 1-1/2", female thread</t>
        </is>
      </c>
      <c r="Q667" s="277" t="n">
        <v>5</v>
      </c>
      <c r="R667" s="5" t="inlineStr">
        <is>
          <t>PCS.</t>
        </is>
      </c>
      <c r="S667" s="292">
        <f>RawDataGenPO[[#This Row],[Total price]]/RawDataGenPO[[#This Row],[Qty'']]</f>
        <v/>
      </c>
      <c r="T667" s="278" t="n">
        <v>1250</v>
      </c>
      <c r="U667" s="291" t="n"/>
      <c r="V667" s="7" t="inlineStr">
        <is>
          <t>V1000655 - SRM ENGINEERING 1991 CO., LTD.</t>
        </is>
      </c>
      <c r="W667" s="30" t="inlineStr">
        <is>
          <t>Recive bill and GRN already</t>
        </is>
      </c>
      <c r="X667" s="5" t="n"/>
      <c r="Y667" s="3" t="n">
        <v>45636</v>
      </c>
      <c r="Z667" s="3" t="n"/>
      <c r="AA667" s="17">
        <f>IF(RawDataGenPO[[#This Row],[Date Gen PO]]="","",RawDataGenPO[[#This Row],[Date recive bill]]-RawDataGenPO[[#This Row],[Date Gen PO]])</f>
        <v/>
      </c>
      <c r="AB667" s="16">
        <f>IF(RawDataGenPO[[#This Row],[GRN-PO date]]&gt;RawDataGenPO[[#This Row],[Lead time delivery (day)]],"over deliverry","Ontime")</f>
        <v/>
      </c>
      <c r="AC667" s="22" t="n"/>
    </row>
    <row r="668" ht="15" customFormat="1" customHeight="1" s="125">
      <c r="A668" s="5">
        <f>ROW()-ROW(RawDataGenPO[[#Headers],[No.]])</f>
        <v/>
      </c>
      <c r="B668" s="7" t="inlineStr">
        <is>
          <t>Expent  cost</t>
        </is>
      </c>
      <c r="C668" s="301" t="n">
        <v>45624</v>
      </c>
      <c r="D668" s="276" t="inlineStr">
        <is>
          <t>CPP24-231</t>
        </is>
      </c>
      <c r="E668" s="281" t="n"/>
      <c r="F668" s="301" t="n">
        <v>45624</v>
      </c>
      <c r="G668" s="5" t="inlineStr">
        <is>
          <t>PR2425-04660</t>
        </is>
      </c>
      <c r="H668" s="5" t="inlineStr">
        <is>
          <t>PO2425-05117</t>
        </is>
      </c>
      <c r="I668" s="290">
        <f>IF(RawDataGenPO[[#This Row],[PO No.]]="","",RawDataGenPO[[#This Row],[DMY Create PR]]+7)</f>
        <v/>
      </c>
      <c r="J668" s="290" t="n"/>
      <c r="K668" s="20">
        <f>IF(RawDataGenPO[[#This Row],[PO No.]]="","",10)</f>
        <v/>
      </c>
      <c r="L668" s="5" t="inlineStr">
        <is>
          <t>SFST81000009</t>
        </is>
      </c>
      <c r="M668" s="7" t="inlineStr">
        <is>
          <t>Tool and Equipment PD M/C</t>
        </is>
      </c>
      <c r="N668" s="7" t="inlineStr">
        <is>
          <t>Machanical part</t>
        </is>
      </c>
      <c r="O668" s="5" t="n">
        <v>4</v>
      </c>
      <c r="P668" s="10" t="inlineStr">
        <is>
          <t>elbow 90, SS304, stainless steel 1-1/2", female thread</t>
        </is>
      </c>
      <c r="Q668" s="277" t="n">
        <v>6</v>
      </c>
      <c r="R668" s="5" t="inlineStr">
        <is>
          <t>PCS.</t>
        </is>
      </c>
      <c r="S668" s="292">
        <f>RawDataGenPO[[#This Row],[Total price]]/RawDataGenPO[[#This Row],[Qty'']]</f>
        <v/>
      </c>
      <c r="T668" s="278" t="n">
        <v>600</v>
      </c>
      <c r="U668" s="291" t="n"/>
      <c r="V668" s="7" t="inlineStr">
        <is>
          <t>V1000655 - SRM ENGINEERING 1991 CO., LTD.</t>
        </is>
      </c>
      <c r="W668" s="30" t="inlineStr">
        <is>
          <t>Recive bill and GRN already</t>
        </is>
      </c>
      <c r="X668" s="5" t="n"/>
      <c r="Y668" s="3" t="n">
        <v>45636</v>
      </c>
      <c r="Z668" s="3" t="n"/>
      <c r="AA668" s="17">
        <f>IF(RawDataGenPO[[#This Row],[Date Gen PO]]="","",RawDataGenPO[[#This Row],[Date recive bill]]-RawDataGenPO[[#This Row],[Date Gen PO]])</f>
        <v/>
      </c>
      <c r="AB668" s="16">
        <f>IF(RawDataGenPO[[#This Row],[GRN-PO date]]&gt;RawDataGenPO[[#This Row],[Lead time delivery (day)]],"over deliverry","Ontime")</f>
        <v/>
      </c>
      <c r="AC668" s="22" t="n"/>
    </row>
    <row r="669" ht="15" customFormat="1" customHeight="1" s="125">
      <c r="A669" s="5">
        <f>ROW()-ROW(RawDataGenPO[[#Headers],[No.]])</f>
        <v/>
      </c>
      <c r="B669" s="7" t="inlineStr">
        <is>
          <t>Expent  cost</t>
        </is>
      </c>
      <c r="C669" s="301" t="n">
        <v>45624</v>
      </c>
      <c r="D669" s="276" t="inlineStr">
        <is>
          <t>CPP24-231</t>
        </is>
      </c>
      <c r="E669" s="281" t="n"/>
      <c r="F669" s="301" t="n">
        <v>45624</v>
      </c>
      <c r="G669" s="5" t="inlineStr">
        <is>
          <t>PR2425-04660</t>
        </is>
      </c>
      <c r="H669" s="5" t="inlineStr">
        <is>
          <t>PO2425-05117</t>
        </is>
      </c>
      <c r="I669" s="290">
        <f>IF(RawDataGenPO[[#This Row],[PO No.]]="","",RawDataGenPO[[#This Row],[DMY Create PR]]+7)</f>
        <v/>
      </c>
      <c r="J669" s="290" t="n"/>
      <c r="K669" s="20">
        <f>IF(RawDataGenPO[[#This Row],[PO No.]]="","",10)</f>
        <v/>
      </c>
      <c r="L669" s="5" t="inlineStr">
        <is>
          <t>SFST81000009</t>
        </is>
      </c>
      <c r="M669" s="7" t="inlineStr">
        <is>
          <t>Tool and Equipment PD M/C</t>
        </is>
      </c>
      <c r="N669" s="7" t="inlineStr">
        <is>
          <t>Machanical part</t>
        </is>
      </c>
      <c r="O669" s="5" t="n">
        <v>5</v>
      </c>
      <c r="P669" s="10" t="inlineStr">
        <is>
          <t>hose tail fitting, SS304, stainless steel 1-1/2", male thread</t>
        </is>
      </c>
      <c r="Q669" s="277" t="n">
        <v>5</v>
      </c>
      <c r="R669" s="5" t="inlineStr">
        <is>
          <t>PCS.</t>
        </is>
      </c>
      <c r="S669" s="292">
        <f>RawDataGenPO[[#This Row],[Total price]]/RawDataGenPO[[#This Row],[Qty'']]</f>
        <v/>
      </c>
      <c r="T669" s="278" t="n">
        <v>1000</v>
      </c>
      <c r="U669" s="291" t="n"/>
      <c r="V669" s="7" t="inlineStr">
        <is>
          <t>V1000655 - SRM ENGINEERING 1991 CO., LTD.</t>
        </is>
      </c>
      <c r="W669" s="30" t="inlineStr">
        <is>
          <t>Recive bill and GRN already</t>
        </is>
      </c>
      <c r="X669" s="5" t="n"/>
      <c r="Y669" s="3" t="n">
        <v>45636</v>
      </c>
      <c r="Z669" s="3" t="n"/>
      <c r="AA669" s="17">
        <f>IF(RawDataGenPO[[#This Row],[Date Gen PO]]="","",RawDataGenPO[[#This Row],[Date recive bill]]-RawDataGenPO[[#This Row],[Date Gen PO]])</f>
        <v/>
      </c>
      <c r="AB669" s="16">
        <f>IF(RawDataGenPO[[#This Row],[GRN-PO date]]&gt;RawDataGenPO[[#This Row],[Lead time delivery (day)]],"over deliverry","Ontime")</f>
        <v/>
      </c>
      <c r="AC669" s="22" t="n"/>
    </row>
    <row r="670" ht="15" customFormat="1" customHeight="1" s="125">
      <c r="A670" s="5">
        <f>ROW()-ROW(RawDataGenPO[[#Headers],[No.]])</f>
        <v/>
      </c>
      <c r="B670" s="7" t="inlineStr">
        <is>
          <t>Expent  cost</t>
        </is>
      </c>
      <c r="C670" s="301" t="n">
        <v>45624</v>
      </c>
      <c r="D670" s="276" t="inlineStr">
        <is>
          <t>CPP24-231</t>
        </is>
      </c>
      <c r="E670" s="281" t="n"/>
      <c r="F670" s="301" t="n">
        <v>45624</v>
      </c>
      <c r="G670" s="5" t="inlineStr">
        <is>
          <t>PR2425-04660</t>
        </is>
      </c>
      <c r="H670" s="5" t="inlineStr">
        <is>
          <t>PO2425-05117</t>
        </is>
      </c>
      <c r="I670" s="290">
        <f>IF(RawDataGenPO[[#This Row],[PO No.]]="","",RawDataGenPO[[#This Row],[DMY Create PR]]+7)</f>
        <v/>
      </c>
      <c r="J670" s="290" t="n"/>
      <c r="K670" s="20">
        <f>IF(RawDataGenPO[[#This Row],[PO No.]]="","",10)</f>
        <v/>
      </c>
      <c r="L670" s="5" t="inlineStr">
        <is>
          <t>SFST81000009</t>
        </is>
      </c>
      <c r="M670" s="7" t="inlineStr">
        <is>
          <t>Tool and Equipment PD M/C</t>
        </is>
      </c>
      <c r="N670" s="7" t="inlineStr">
        <is>
          <t>Machanical part</t>
        </is>
      </c>
      <c r="O670" s="5" t="n">
        <v>6</v>
      </c>
      <c r="P670" s="10" t="inlineStr">
        <is>
          <t>fittingstraight coupling, SS304, stainless steel 1-1/2", female thread</t>
        </is>
      </c>
      <c r="Q670" s="277" t="n">
        <v>4</v>
      </c>
      <c r="R670" s="5" t="inlineStr">
        <is>
          <t>PCS.</t>
        </is>
      </c>
      <c r="S670" s="292">
        <f>RawDataGenPO[[#This Row],[Total price]]/RawDataGenPO[[#This Row],[Qty'']]</f>
        <v/>
      </c>
      <c r="T670" s="278" t="n">
        <v>320</v>
      </c>
      <c r="U670" s="291" t="n"/>
      <c r="V670" s="7" t="inlineStr">
        <is>
          <t>V1000655 - SRM ENGINEERING 1991 CO., LTD.</t>
        </is>
      </c>
      <c r="W670" s="30" t="inlineStr">
        <is>
          <t>Recive bill and GRN already</t>
        </is>
      </c>
      <c r="X670" s="5" t="n"/>
      <c r="Y670" s="3" t="n">
        <v>45636</v>
      </c>
      <c r="Z670" s="3" t="n"/>
      <c r="AA670" s="17">
        <f>IF(RawDataGenPO[[#This Row],[Date Gen PO]]="","",RawDataGenPO[[#This Row],[Date recive bill]]-RawDataGenPO[[#This Row],[Date Gen PO]])</f>
        <v/>
      </c>
      <c r="AB670" s="16">
        <f>IF(RawDataGenPO[[#This Row],[GRN-PO date]]&gt;RawDataGenPO[[#This Row],[Lead time delivery (day)]],"over deliverry","Ontime")</f>
        <v/>
      </c>
      <c r="AC670" s="22" t="n"/>
    </row>
    <row r="671" ht="15" customFormat="1" customHeight="1" s="125">
      <c r="A671" s="5">
        <f>ROW()-ROW(RawDataGenPO[[#Headers],[No.]])</f>
        <v/>
      </c>
      <c r="B671" s="7" t="inlineStr">
        <is>
          <t>Expent  cost</t>
        </is>
      </c>
      <c r="C671" s="301" t="n">
        <v>45624</v>
      </c>
      <c r="D671" s="276" t="inlineStr">
        <is>
          <t>CPP24-231</t>
        </is>
      </c>
      <c r="E671" s="281" t="n"/>
      <c r="F671" s="301" t="n">
        <v>45624</v>
      </c>
      <c r="G671" s="5" t="inlineStr">
        <is>
          <t>PR2425-04660</t>
        </is>
      </c>
      <c r="H671" s="5" t="inlineStr">
        <is>
          <t>PO2425-05117</t>
        </is>
      </c>
      <c r="I671" s="290">
        <f>IF(RawDataGenPO[[#This Row],[PO No.]]="","",RawDataGenPO[[#This Row],[DMY Create PR]]+7)</f>
        <v/>
      </c>
      <c r="J671" s="290" t="n"/>
      <c r="K671" s="20">
        <f>IF(RawDataGenPO[[#This Row],[PO No.]]="","",10)</f>
        <v/>
      </c>
      <c r="L671" s="5" t="inlineStr">
        <is>
          <t>SFST81000009</t>
        </is>
      </c>
      <c r="M671" s="7" t="inlineStr">
        <is>
          <t>Tool and Equipment PD M/C</t>
        </is>
      </c>
      <c r="N671" s="7" t="inlineStr">
        <is>
          <t>Machanical part</t>
        </is>
      </c>
      <c r="O671" s="5" t="n">
        <v>7</v>
      </c>
      <c r="P671" s="10" t="inlineStr">
        <is>
          <t>union fitting, SS304, stainless steel 1-1/2", female thread</t>
        </is>
      </c>
      <c r="Q671" s="277" t="n">
        <v>4</v>
      </c>
      <c r="R671" s="5" t="inlineStr">
        <is>
          <t>PCS.</t>
        </is>
      </c>
      <c r="S671" s="292">
        <f>RawDataGenPO[[#This Row],[Total price]]/RawDataGenPO[[#This Row],[Qty'']]</f>
        <v/>
      </c>
      <c r="T671" s="278" t="n">
        <v>1400</v>
      </c>
      <c r="U671" s="291" t="n"/>
      <c r="V671" s="7" t="inlineStr">
        <is>
          <t>V1000655 - SRM ENGINEERING 1991 CO., LTD.</t>
        </is>
      </c>
      <c r="W671" s="30" t="inlineStr">
        <is>
          <t>Recive bill and GRN already</t>
        </is>
      </c>
      <c r="X671" s="5" t="n"/>
      <c r="Y671" s="3" t="n">
        <v>45636</v>
      </c>
      <c r="Z671" s="3" t="n"/>
      <c r="AA671" s="17">
        <f>IF(RawDataGenPO[[#This Row],[Date Gen PO]]="","",RawDataGenPO[[#This Row],[Date recive bill]]-RawDataGenPO[[#This Row],[Date Gen PO]])</f>
        <v/>
      </c>
      <c r="AB671" s="16">
        <f>IF(RawDataGenPO[[#This Row],[GRN-PO date]]&gt;RawDataGenPO[[#This Row],[Lead time delivery (day)]],"over deliverry","Ontime")</f>
        <v/>
      </c>
      <c r="AC671" s="22" t="n"/>
    </row>
    <row r="672" ht="15" customFormat="1" customHeight="1" s="125">
      <c r="A672" s="5">
        <f>ROW()-ROW(RawDataGenPO[[#Headers],[No.]])</f>
        <v/>
      </c>
      <c r="B672" s="7" t="inlineStr">
        <is>
          <t>Expent  cost</t>
        </is>
      </c>
      <c r="C672" s="301" t="n">
        <v>45624</v>
      </c>
      <c r="D672" s="276" t="inlineStr">
        <is>
          <t>CPP24-231</t>
        </is>
      </c>
      <c r="E672" s="281" t="n"/>
      <c r="F672" s="301" t="n">
        <v>45624</v>
      </c>
      <c r="G672" s="5" t="inlineStr">
        <is>
          <t>PR2425-04660</t>
        </is>
      </c>
      <c r="H672" s="5" t="inlineStr">
        <is>
          <t>PO2425-05117</t>
        </is>
      </c>
      <c r="I672" s="290">
        <f>IF(RawDataGenPO[[#This Row],[PO No.]]="","",RawDataGenPO[[#This Row],[DMY Create PR]]+7)</f>
        <v/>
      </c>
      <c r="J672" s="290" t="n"/>
      <c r="K672" s="20">
        <f>IF(RawDataGenPO[[#This Row],[PO No.]]="","",10)</f>
        <v/>
      </c>
      <c r="L672" s="5" t="inlineStr">
        <is>
          <t>SFST81000009</t>
        </is>
      </c>
      <c r="M672" s="7" t="inlineStr">
        <is>
          <t>Tool and Equipment PD M/C</t>
        </is>
      </c>
      <c r="N672" s="7" t="inlineStr">
        <is>
          <t>Machanical part</t>
        </is>
      </c>
      <c r="O672" s="5" t="n">
        <v>8</v>
      </c>
      <c r="P672" s="10" t="inlineStr">
        <is>
          <t>fittingconnectorstainless steel SS304 (female thread x male thread), size 1-1/2"</t>
        </is>
      </c>
      <c r="Q672" s="277" t="n">
        <v>4</v>
      </c>
      <c r="R672" s="5" t="inlineStr">
        <is>
          <t>PCS.</t>
        </is>
      </c>
      <c r="S672" s="292">
        <f>RawDataGenPO[[#This Row],[Total price]]/RawDataGenPO[[#This Row],[Qty'']]</f>
        <v/>
      </c>
      <c r="T672" s="278" t="n">
        <v>320</v>
      </c>
      <c r="U672" s="291" t="n"/>
      <c r="V672" s="7" t="inlineStr">
        <is>
          <t>V1000655 - SRM ENGINEERING 1991 CO., LTD.</t>
        </is>
      </c>
      <c r="W672" s="30" t="inlineStr">
        <is>
          <t>Recive bill and GRN already</t>
        </is>
      </c>
      <c r="X672" s="5" t="n"/>
      <c r="Y672" s="3" t="n">
        <v>45636</v>
      </c>
      <c r="Z672" s="3" t="n"/>
      <c r="AA672" s="17">
        <f>IF(RawDataGenPO[[#This Row],[Date Gen PO]]="","",RawDataGenPO[[#This Row],[Date recive bill]]-RawDataGenPO[[#This Row],[Date Gen PO]])</f>
        <v/>
      </c>
      <c r="AB672" s="16">
        <f>IF(RawDataGenPO[[#This Row],[GRN-PO date]]&gt;RawDataGenPO[[#This Row],[Lead time delivery (day)]],"over deliverry","Ontime")</f>
        <v/>
      </c>
      <c r="AC672" s="22" t="n"/>
    </row>
    <row r="673" ht="15" customFormat="1" customHeight="1" s="125">
      <c r="A673" s="5">
        <f>ROW()-ROW(RawDataGenPO[[#Headers],[No.]])</f>
        <v/>
      </c>
      <c r="B673" s="7" t="inlineStr">
        <is>
          <t>Expent  cost</t>
        </is>
      </c>
      <c r="C673" s="301" t="n">
        <v>45624</v>
      </c>
      <c r="D673" s="276" t="inlineStr">
        <is>
          <t>CPP24-237</t>
        </is>
      </c>
      <c r="E673" s="281" t="n"/>
      <c r="F673" s="301" t="n">
        <v>45624</v>
      </c>
      <c r="G673" s="5" t="inlineStr">
        <is>
          <t xml:space="preserve">PR2425-04661 </t>
        </is>
      </c>
      <c r="H673" s="5" t="inlineStr">
        <is>
          <t>PO2425-05123</t>
        </is>
      </c>
      <c r="I673" s="290">
        <f>IF(RawDataGenPO[[#This Row],[PO No.]]="","",RawDataGenPO[[#This Row],[DMY Create PR]]+7)</f>
        <v/>
      </c>
      <c r="J673" s="290" t="n"/>
      <c r="K673" s="20">
        <f>IF(RawDataGenPO[[#This Row],[PO No.]]="","",10)</f>
        <v/>
      </c>
      <c r="L673" s="5" t="inlineStr">
        <is>
          <t>SFST81000009</t>
        </is>
      </c>
      <c r="M673" s="7" t="inlineStr">
        <is>
          <t>Tool and Equipment PD M/C</t>
        </is>
      </c>
      <c r="N673" s="7" t="inlineStr">
        <is>
          <t>Electrical part</t>
        </is>
      </c>
      <c r="O673" s="5" t="n">
        <v>1</v>
      </c>
      <c r="P673" s="10" t="inlineStr">
        <is>
          <t>LAPP KABLE electrical cable [VSF] IEC02 THW (f) 1x2.5 SQ.MM. (yellow)</t>
        </is>
      </c>
      <c r="Q673" s="277" t="n">
        <v>2</v>
      </c>
      <c r="R673" s="5" t="inlineStr">
        <is>
          <t>ROLL</t>
        </is>
      </c>
      <c r="S673" s="292">
        <f>RawDataGenPO[[#This Row],[Total price]]/RawDataGenPO[[#This Row],[Qty'']]</f>
        <v/>
      </c>
      <c r="T673" s="278" t="n">
        <v>1440</v>
      </c>
      <c r="U673" s="291" t="n"/>
      <c r="V673" s="7" t="inlineStr">
        <is>
          <t>V1000276 - SN. ELECTRIC AND SUPPLY CO., LTD.</t>
        </is>
      </c>
      <c r="W673" s="30" t="inlineStr">
        <is>
          <t>Recive bill and GRN already</t>
        </is>
      </c>
      <c r="X673" s="5" t="n"/>
      <c r="Y673" s="3" t="n">
        <v>45636</v>
      </c>
      <c r="Z673" s="3" t="n"/>
      <c r="AA673" s="17">
        <f>IF(RawDataGenPO[[#This Row],[Date Gen PO]]="","",RawDataGenPO[[#This Row],[Date recive bill]]-RawDataGenPO[[#This Row],[Date Gen PO]])</f>
        <v/>
      </c>
      <c r="AB673" s="16">
        <f>IF(RawDataGenPO[[#This Row],[GRN-PO date]]&gt;RawDataGenPO[[#This Row],[Lead time delivery (day)]],"over deliverry","Ontime")</f>
        <v/>
      </c>
      <c r="AC673" s="22" t="n"/>
    </row>
    <row r="674" ht="15" customFormat="1" customHeight="1" s="125">
      <c r="A674" s="5">
        <f>ROW()-ROW(RawDataGenPO[[#Headers],[No.]])</f>
        <v/>
      </c>
      <c r="B674" s="7" t="inlineStr">
        <is>
          <t>Expent  cost</t>
        </is>
      </c>
      <c r="C674" s="301" t="n">
        <v>45624</v>
      </c>
      <c r="D674" s="276" t="inlineStr">
        <is>
          <t>CPP24-237</t>
        </is>
      </c>
      <c r="E674" s="281" t="n"/>
      <c r="F674" s="301" t="n">
        <v>45624</v>
      </c>
      <c r="G674" s="5" t="inlineStr">
        <is>
          <t xml:space="preserve">PR2425-04661 </t>
        </is>
      </c>
      <c r="H674" s="5" t="inlineStr">
        <is>
          <t>PO2425-05123</t>
        </is>
      </c>
      <c r="I674" s="290">
        <f>IF(RawDataGenPO[[#This Row],[PO No.]]="","",RawDataGenPO[[#This Row],[DMY Create PR]]+7)</f>
        <v/>
      </c>
      <c r="J674" s="290" t="n"/>
      <c r="K674" s="20">
        <f>IF(RawDataGenPO[[#This Row],[PO No.]]="","",10)</f>
        <v/>
      </c>
      <c r="L674" s="5" t="inlineStr">
        <is>
          <t>SFST81000009</t>
        </is>
      </c>
      <c r="M674" s="7" t="inlineStr">
        <is>
          <t>Tool and Equipment PD M/C</t>
        </is>
      </c>
      <c r="N674" s="7" t="inlineStr">
        <is>
          <t>Electrical part</t>
        </is>
      </c>
      <c r="O674" s="5" t="n">
        <v>2</v>
      </c>
      <c r="P674" s="10" t="inlineStr">
        <is>
          <t>LAPP KABLE electrical cable [VSF] IEC02 THW (f) 1x2.5 SQ.MM. (blue)</t>
        </is>
      </c>
      <c r="Q674" s="277" t="n">
        <v>2</v>
      </c>
      <c r="R674" s="5" t="inlineStr">
        <is>
          <t>ROLL</t>
        </is>
      </c>
      <c r="S674" s="292">
        <f>RawDataGenPO[[#This Row],[Total price]]/RawDataGenPO[[#This Row],[Qty'']]</f>
        <v/>
      </c>
      <c r="T674" s="278" t="n">
        <v>1440</v>
      </c>
      <c r="U674" s="291" t="n"/>
      <c r="V674" s="7" t="inlineStr">
        <is>
          <t>V1000276 - SN. ELECTRIC AND SUPPLY CO., LTD.</t>
        </is>
      </c>
      <c r="W674" s="30" t="inlineStr">
        <is>
          <t>Recive bill and GRN already</t>
        </is>
      </c>
      <c r="X674" s="5" t="n"/>
      <c r="Y674" s="3" t="n">
        <v>45636</v>
      </c>
      <c r="Z674" s="3" t="n"/>
      <c r="AA674" s="17">
        <f>IF(RawDataGenPO[[#This Row],[Date Gen PO]]="","",RawDataGenPO[[#This Row],[Date recive bill]]-RawDataGenPO[[#This Row],[Date Gen PO]])</f>
        <v/>
      </c>
      <c r="AB674" s="16">
        <f>IF(RawDataGenPO[[#This Row],[GRN-PO date]]&gt;RawDataGenPO[[#This Row],[Lead time delivery (day)]],"over deliverry","Ontime")</f>
        <v/>
      </c>
      <c r="AC674" s="22" t="n"/>
    </row>
    <row r="675" ht="15" customFormat="1" customHeight="1" s="125">
      <c r="A675" s="5">
        <f>ROW()-ROW(RawDataGenPO[[#Headers],[No.]])</f>
        <v/>
      </c>
      <c r="B675" s="7" t="inlineStr">
        <is>
          <t>Expent  cost</t>
        </is>
      </c>
      <c r="C675" s="301" t="n">
        <v>45624</v>
      </c>
      <c r="D675" s="276" t="inlineStr">
        <is>
          <t>CPP24-237</t>
        </is>
      </c>
      <c r="E675" s="281" t="n"/>
      <c r="F675" s="301" t="n">
        <v>45624</v>
      </c>
      <c r="G675" s="5" t="inlineStr">
        <is>
          <t xml:space="preserve">PR2425-04661 </t>
        </is>
      </c>
      <c r="H675" s="5" t="inlineStr">
        <is>
          <t>PO2425-05123</t>
        </is>
      </c>
      <c r="I675" s="290">
        <f>IF(RawDataGenPO[[#This Row],[PO No.]]="","",RawDataGenPO[[#This Row],[DMY Create PR]]+7)</f>
        <v/>
      </c>
      <c r="J675" s="290" t="n"/>
      <c r="K675" s="20">
        <f>IF(RawDataGenPO[[#This Row],[PO No.]]="","",10)</f>
        <v/>
      </c>
      <c r="L675" s="5" t="inlineStr">
        <is>
          <t>SFST81000009</t>
        </is>
      </c>
      <c r="M675" s="7" t="inlineStr">
        <is>
          <t>Tool and Equipment PD M/C</t>
        </is>
      </c>
      <c r="N675" s="7" t="inlineStr">
        <is>
          <t>Electrical part</t>
        </is>
      </c>
      <c r="O675" s="5" t="n">
        <v>3</v>
      </c>
      <c r="P675" s="10" t="inlineStr">
        <is>
          <t>YAZAKI electrical cable THW (IEC01) 450/750V 1x2.5 SQ.MM.(grey)</t>
        </is>
      </c>
      <c r="Q675" s="277" t="n">
        <v>2</v>
      </c>
      <c r="R675" s="5" t="inlineStr">
        <is>
          <t>ROLL</t>
        </is>
      </c>
      <c r="S675" s="292">
        <f>RawDataGenPO[[#This Row],[Total price]]/RawDataGenPO[[#This Row],[Qty'']]</f>
        <v/>
      </c>
      <c r="T675" s="278" t="n">
        <v>1070</v>
      </c>
      <c r="U675" s="291" t="n"/>
      <c r="V675" s="7" t="inlineStr">
        <is>
          <t>V1000276 - SN. ELECTRIC AND SUPPLY CO., LTD.</t>
        </is>
      </c>
      <c r="W675" s="30" t="inlineStr">
        <is>
          <t>Recive bill and GRN already</t>
        </is>
      </c>
      <c r="X675" s="5" t="n"/>
      <c r="Y675" s="3" t="n">
        <v>45636</v>
      </c>
      <c r="Z675" s="3" t="n"/>
      <c r="AA675" s="17">
        <f>IF(RawDataGenPO[[#This Row],[Date Gen PO]]="","",RawDataGenPO[[#This Row],[Date recive bill]]-RawDataGenPO[[#This Row],[Date Gen PO]])</f>
        <v/>
      </c>
      <c r="AB675" s="16">
        <f>IF(RawDataGenPO[[#This Row],[GRN-PO date]]&gt;RawDataGenPO[[#This Row],[Lead time delivery (day)]],"over deliverry","Ontime")</f>
        <v/>
      </c>
      <c r="AC675" s="22" t="n"/>
    </row>
    <row r="676" ht="15" customFormat="1" customHeight="1" s="125">
      <c r="A676" s="5">
        <f>ROW()-ROW(RawDataGenPO[[#Headers],[No.]])</f>
        <v/>
      </c>
      <c r="B676" s="7" t="inlineStr">
        <is>
          <t>Expent  cost</t>
        </is>
      </c>
      <c r="C676" s="301" t="n">
        <v>45624</v>
      </c>
      <c r="D676" s="276" t="inlineStr">
        <is>
          <t>CPP24-237</t>
        </is>
      </c>
      <c r="E676" s="281" t="n"/>
      <c r="F676" s="301" t="n">
        <v>45624</v>
      </c>
      <c r="G676" s="5" t="inlineStr">
        <is>
          <t xml:space="preserve">PR2425-04661 </t>
        </is>
      </c>
      <c r="H676" s="5" t="inlineStr">
        <is>
          <t>PO2425-05123</t>
        </is>
      </c>
      <c r="I676" s="290">
        <f>IF(RawDataGenPO[[#This Row],[PO No.]]="","",RawDataGenPO[[#This Row],[DMY Create PR]]+7)</f>
        <v/>
      </c>
      <c r="J676" s="290" t="n"/>
      <c r="K676" s="20">
        <f>IF(RawDataGenPO[[#This Row],[PO No.]]="","",10)</f>
        <v/>
      </c>
      <c r="L676" s="5" t="inlineStr">
        <is>
          <t>SFST81000009</t>
        </is>
      </c>
      <c r="M676" s="7" t="inlineStr">
        <is>
          <t>Tool and Equipment PD M/C</t>
        </is>
      </c>
      <c r="N676" s="7" t="inlineStr">
        <is>
          <t>Electrical part</t>
        </is>
      </c>
      <c r="O676" s="5" t="n">
        <v>4</v>
      </c>
      <c r="P676" s="10" t="inlineStr">
        <is>
          <t>YAZAKI electrical cable THW (IEC01) 450/750V 1x2.5 SQ.MM.(black)</t>
        </is>
      </c>
      <c r="Q676" s="277" t="n">
        <v>2</v>
      </c>
      <c r="R676" s="5" t="inlineStr">
        <is>
          <t>ROLL</t>
        </is>
      </c>
      <c r="S676" s="292">
        <f>RawDataGenPO[[#This Row],[Total price]]/RawDataGenPO[[#This Row],[Qty'']]</f>
        <v/>
      </c>
      <c r="T676" s="278" t="n">
        <v>1070</v>
      </c>
      <c r="U676" s="291" t="n"/>
      <c r="V676" s="7" t="inlineStr">
        <is>
          <t>V1000276 - SN. ELECTRIC AND SUPPLY CO., LTD.</t>
        </is>
      </c>
      <c r="W676" s="30" t="inlineStr">
        <is>
          <t>Recive bill and GRN already</t>
        </is>
      </c>
      <c r="X676" s="5" t="n"/>
      <c r="Y676" s="3" t="n">
        <v>45636</v>
      </c>
      <c r="Z676" s="3" t="n"/>
      <c r="AA676" s="17">
        <f>IF(RawDataGenPO[[#This Row],[Date Gen PO]]="","",RawDataGenPO[[#This Row],[Date recive bill]]-RawDataGenPO[[#This Row],[Date Gen PO]])</f>
        <v/>
      </c>
      <c r="AB676" s="16">
        <f>IF(RawDataGenPO[[#This Row],[GRN-PO date]]&gt;RawDataGenPO[[#This Row],[Lead time delivery (day)]],"over deliverry","Ontime")</f>
        <v/>
      </c>
      <c r="AC676" s="22" t="n"/>
    </row>
    <row r="677" ht="15" customFormat="1" customHeight="1" s="125">
      <c r="A677" s="5">
        <f>ROW()-ROW(RawDataGenPO[[#Headers],[No.]])</f>
        <v/>
      </c>
      <c r="B677" s="7" t="inlineStr">
        <is>
          <t>Expent  cost</t>
        </is>
      </c>
      <c r="C677" s="301" t="n">
        <v>45624</v>
      </c>
      <c r="D677" s="276" t="inlineStr">
        <is>
          <t>CPP24-237</t>
        </is>
      </c>
      <c r="E677" s="281" t="n"/>
      <c r="F677" s="301" t="n">
        <v>45624</v>
      </c>
      <c r="G677" s="5" t="inlineStr">
        <is>
          <t xml:space="preserve">PR2425-04661 </t>
        </is>
      </c>
      <c r="H677" s="5" t="inlineStr">
        <is>
          <t>PO2425-05123</t>
        </is>
      </c>
      <c r="I677" s="290">
        <f>IF(RawDataGenPO[[#This Row],[PO No.]]="","",RawDataGenPO[[#This Row],[DMY Create PR]]+7)</f>
        <v/>
      </c>
      <c r="J677" s="290" t="n"/>
      <c r="K677" s="20">
        <f>IF(RawDataGenPO[[#This Row],[PO No.]]="","",10)</f>
        <v/>
      </c>
      <c r="L677" s="5" t="inlineStr">
        <is>
          <t>SFST81000009</t>
        </is>
      </c>
      <c r="M677" s="7" t="inlineStr">
        <is>
          <t>Tool and Equipment PD M/C</t>
        </is>
      </c>
      <c r="N677" s="7" t="inlineStr">
        <is>
          <t>Electrical part</t>
        </is>
      </c>
      <c r="O677" s="5" t="n">
        <v>5</v>
      </c>
      <c r="P677" s="10" t="inlineStr">
        <is>
          <t>YAZAKI electrical cable THW (IEC01) 450/750V 1x2.5 SQ.MM.(brown)</t>
        </is>
      </c>
      <c r="Q677" s="277" t="n">
        <v>2</v>
      </c>
      <c r="R677" s="5" t="inlineStr">
        <is>
          <t>ROLL</t>
        </is>
      </c>
      <c r="S677" s="292">
        <f>RawDataGenPO[[#This Row],[Total price]]/RawDataGenPO[[#This Row],[Qty'']]</f>
        <v/>
      </c>
      <c r="T677" s="278" t="n">
        <v>1070</v>
      </c>
      <c r="U677" s="291" t="n"/>
      <c r="V677" s="7" t="inlineStr">
        <is>
          <t>V1000276 - SN. ELECTRIC AND SUPPLY CO., LTD.</t>
        </is>
      </c>
      <c r="W677" s="30" t="inlineStr">
        <is>
          <t>Recive bill and GRN already</t>
        </is>
      </c>
      <c r="X677" s="5" t="n"/>
      <c r="Y677" s="3" t="n">
        <v>45636</v>
      </c>
      <c r="Z677" s="3" t="n"/>
      <c r="AA677" s="17">
        <f>IF(RawDataGenPO[[#This Row],[Date Gen PO]]="","",RawDataGenPO[[#This Row],[Date recive bill]]-RawDataGenPO[[#This Row],[Date Gen PO]])</f>
        <v/>
      </c>
      <c r="AB677" s="16">
        <f>IF(RawDataGenPO[[#This Row],[GRN-PO date]]&gt;RawDataGenPO[[#This Row],[Lead time delivery (day)]],"over deliverry","Ontime")</f>
        <v/>
      </c>
      <c r="AC677" s="22" t="n"/>
    </row>
    <row r="678" ht="15" customFormat="1" customHeight="1" s="125">
      <c r="A678" s="5">
        <f>ROW()-ROW(RawDataGenPO[[#Headers],[No.]])</f>
        <v/>
      </c>
      <c r="B678" s="7" t="inlineStr">
        <is>
          <t>Expent  cost</t>
        </is>
      </c>
      <c r="C678" s="301" t="n">
        <v>45624</v>
      </c>
      <c r="D678" s="276" t="inlineStr">
        <is>
          <t>CPP24-237</t>
        </is>
      </c>
      <c r="E678" s="281" t="n"/>
      <c r="F678" s="301" t="n">
        <v>45624</v>
      </c>
      <c r="G678" s="5" t="inlineStr">
        <is>
          <t xml:space="preserve">PR2425-04661 </t>
        </is>
      </c>
      <c r="H678" s="5" t="inlineStr">
        <is>
          <t>PO2425-05123</t>
        </is>
      </c>
      <c r="I678" s="290">
        <f>IF(RawDataGenPO[[#This Row],[PO No.]]="","",RawDataGenPO[[#This Row],[DMY Create PR]]+7)</f>
        <v/>
      </c>
      <c r="J678" s="290" t="n"/>
      <c r="K678" s="20">
        <f>IF(RawDataGenPO[[#This Row],[PO No.]]="","",10)</f>
        <v/>
      </c>
      <c r="L678" s="5" t="inlineStr">
        <is>
          <t>SFST81000009</t>
        </is>
      </c>
      <c r="M678" s="7" t="inlineStr">
        <is>
          <t>Tool and Equipment PD M/C</t>
        </is>
      </c>
      <c r="N678" s="7" t="inlineStr">
        <is>
          <t>Electrical part</t>
        </is>
      </c>
      <c r="O678" s="5" t="n">
        <v>6</v>
      </c>
      <c r="P678" s="10" t="inlineStr">
        <is>
          <t>YAZAKI electrical cable THW (IEC01) 450/750V 1x2.5 SQ.MM.(light blue)</t>
        </is>
      </c>
      <c r="Q678" s="277" t="n">
        <v>2</v>
      </c>
      <c r="R678" s="5" t="inlineStr">
        <is>
          <t>ROLL</t>
        </is>
      </c>
      <c r="S678" s="292">
        <f>RawDataGenPO[[#This Row],[Total price]]/RawDataGenPO[[#This Row],[Qty'']]</f>
        <v/>
      </c>
      <c r="T678" s="278" t="n">
        <v>1070</v>
      </c>
      <c r="U678" s="291" t="n"/>
      <c r="V678" s="7" t="inlineStr">
        <is>
          <t>V1000276 - SN. ELECTRIC AND SUPPLY CO., LTD.</t>
        </is>
      </c>
      <c r="W678" s="30" t="inlineStr">
        <is>
          <t>Recive bill and GRN already</t>
        </is>
      </c>
      <c r="X678" s="5" t="n"/>
      <c r="Y678" s="3" t="n">
        <v>45636</v>
      </c>
      <c r="Z678" s="3" t="n"/>
      <c r="AA678" s="17">
        <f>IF(RawDataGenPO[[#This Row],[Date Gen PO]]="","",RawDataGenPO[[#This Row],[Date recive bill]]-RawDataGenPO[[#This Row],[Date Gen PO]])</f>
        <v/>
      </c>
      <c r="AB678" s="16">
        <f>IF(RawDataGenPO[[#This Row],[GRN-PO date]]&gt;RawDataGenPO[[#This Row],[Lead time delivery (day)]],"over deliverry","Ontime")</f>
        <v/>
      </c>
      <c r="AC678" s="22" t="n"/>
    </row>
    <row r="679" ht="15" customFormat="1" customHeight="1" s="125">
      <c r="A679" s="5">
        <f>ROW()-ROW(RawDataGenPO[[#Headers],[No.]])</f>
        <v/>
      </c>
      <c r="B679" s="7" t="inlineStr">
        <is>
          <t>Expent  cost</t>
        </is>
      </c>
      <c r="C679" s="301" t="n">
        <v>45624</v>
      </c>
      <c r="D679" s="276" t="inlineStr">
        <is>
          <t>CPP24-237</t>
        </is>
      </c>
      <c r="E679" s="281" t="n"/>
      <c r="F679" s="301" t="n">
        <v>45624</v>
      </c>
      <c r="G679" s="5" t="inlineStr">
        <is>
          <t xml:space="preserve">PR2425-04661 </t>
        </is>
      </c>
      <c r="H679" s="5" t="inlineStr">
        <is>
          <t>PO2425-05123</t>
        </is>
      </c>
      <c r="I679" s="290">
        <f>IF(RawDataGenPO[[#This Row],[PO No.]]="","",RawDataGenPO[[#This Row],[DMY Create PR]]+7)</f>
        <v/>
      </c>
      <c r="J679" s="290" t="n"/>
      <c r="K679" s="20">
        <f>IF(RawDataGenPO[[#This Row],[PO No.]]="","",10)</f>
        <v/>
      </c>
      <c r="L679" s="5" t="inlineStr">
        <is>
          <t>SFST81000009</t>
        </is>
      </c>
      <c r="M679" s="7" t="inlineStr">
        <is>
          <t>Tool and Equipment PD M/C</t>
        </is>
      </c>
      <c r="N679" s="7" t="inlineStr">
        <is>
          <t>Electrical part</t>
        </is>
      </c>
      <c r="O679" s="5" t="n">
        <v>7</v>
      </c>
      <c r="P679" s="10" t="inlineStr">
        <is>
          <t>YAZAKI electrical cable THW (IEC01) 450/750V 1x1.5 SQ.MM.(yellow/green)</t>
        </is>
      </c>
      <c r="Q679" s="277" t="n">
        <v>2</v>
      </c>
      <c r="R679" s="5" t="inlineStr">
        <is>
          <t>ROLL</t>
        </is>
      </c>
      <c r="S679" s="292">
        <f>RawDataGenPO[[#This Row],[Total price]]/RawDataGenPO[[#This Row],[Qty'']]</f>
        <v/>
      </c>
      <c r="T679" s="278" t="n">
        <v>1070</v>
      </c>
      <c r="U679" s="291" t="n"/>
      <c r="V679" s="7" t="inlineStr">
        <is>
          <t>V1000276 - SN. ELECTRIC AND SUPPLY CO., LTD.</t>
        </is>
      </c>
      <c r="W679" s="30" t="inlineStr">
        <is>
          <t>Recive bill and GRN already</t>
        </is>
      </c>
      <c r="X679" s="5" t="n"/>
      <c r="Y679" s="3" t="n">
        <v>45636</v>
      </c>
      <c r="Z679" s="3" t="n"/>
      <c r="AA679" s="17">
        <f>IF(RawDataGenPO[[#This Row],[Date Gen PO]]="","",RawDataGenPO[[#This Row],[Date recive bill]]-RawDataGenPO[[#This Row],[Date Gen PO]])</f>
        <v/>
      </c>
      <c r="AB679" s="16">
        <f>IF(RawDataGenPO[[#This Row],[GRN-PO date]]&gt;RawDataGenPO[[#This Row],[Lead time delivery (day)]],"over deliverry","Ontime")</f>
        <v/>
      </c>
      <c r="AC679" s="22" t="n"/>
    </row>
    <row r="680" ht="15" customFormat="1" customHeight="1" s="125">
      <c r="A680" s="5">
        <f>ROW()-ROW(RawDataGenPO[[#Headers],[No.]])</f>
        <v/>
      </c>
      <c r="B680" s="7" t="inlineStr">
        <is>
          <t>Expent  cost</t>
        </is>
      </c>
      <c r="C680" s="301" t="n">
        <v>45624</v>
      </c>
      <c r="D680" s="276" t="inlineStr">
        <is>
          <t>CPP24-236</t>
        </is>
      </c>
      <c r="E680" s="281" t="n"/>
      <c r="F680" s="301" t="n">
        <v>45624</v>
      </c>
      <c r="G680" s="5" t="inlineStr">
        <is>
          <t>PR2425-04663</t>
        </is>
      </c>
      <c r="H680" s="5" t="inlineStr">
        <is>
          <t>PO2425-05127</t>
        </is>
      </c>
      <c r="I680" s="290">
        <f>IF(RawDataGenPO[[#This Row],[PO No.]]="","",RawDataGenPO[[#This Row],[DMY Create PR]]+7)</f>
        <v/>
      </c>
      <c r="J680" s="290" t="n"/>
      <c r="K680" s="20" t="n">
        <v>30</v>
      </c>
      <c r="L680" s="5" t="inlineStr">
        <is>
          <t>SFST81000009</t>
        </is>
      </c>
      <c r="M680" s="7" t="inlineStr">
        <is>
          <t>Tool and Equipment PD M/C</t>
        </is>
      </c>
      <c r="N680" s="7" t="inlineStr">
        <is>
          <t>Electrical part</t>
        </is>
      </c>
      <c r="O680" s="5" t="n">
        <v>1</v>
      </c>
      <c r="P680" s="10" t="inlineStr">
        <is>
          <t>"HACO" wall-mounted socket 32A (IP67) 3P+N+E 5P/400V 6h</t>
        </is>
      </c>
      <c r="Q680" s="277" t="n">
        <v>6</v>
      </c>
      <c r="R680" s="5" t="inlineStr">
        <is>
          <t>PCS.</t>
        </is>
      </c>
      <c r="S680" s="292">
        <f>RawDataGenPO[[#This Row],[Total price]]/RawDataGenPO[[#This Row],[Qty'']]</f>
        <v/>
      </c>
      <c r="T680" s="278" t="n">
        <v>1950</v>
      </c>
      <c r="U680" s="291" t="n"/>
      <c r="V680" s="7" t="inlineStr">
        <is>
          <t>V1000481 - Company JW Tech Ltd.</t>
        </is>
      </c>
      <c r="W680" s="30" t="inlineStr">
        <is>
          <t>Recive bill and GRN already</t>
        </is>
      </c>
      <c r="X680" s="5" t="n"/>
      <c r="Y680" s="3" t="n">
        <v>45643</v>
      </c>
      <c r="Z680" s="3" t="n"/>
      <c r="AA680" s="17">
        <f>IF(RawDataGenPO[[#This Row],[Date Gen PO]]="","",RawDataGenPO[[#This Row],[Date recive bill]]-RawDataGenPO[[#This Row],[Date Gen PO]])</f>
        <v/>
      </c>
      <c r="AB680" s="16">
        <f>IF(RawDataGenPO[[#This Row],[GRN-PO date]]&gt;RawDataGenPO[[#This Row],[Lead time delivery (day)]],"over deliverry","Ontime")</f>
        <v/>
      </c>
      <c r="AC680" s="22" t="n"/>
    </row>
    <row r="681" ht="15" customFormat="1" customHeight="1" s="125">
      <c r="A681" s="5">
        <f>ROW()-ROW(RawDataGenPO[[#Headers],[No.]])</f>
        <v/>
      </c>
      <c r="B681" s="7" t="inlineStr">
        <is>
          <t>Expent  cost</t>
        </is>
      </c>
      <c r="C681" s="301" t="n">
        <v>45624</v>
      </c>
      <c r="D681" s="276" t="inlineStr">
        <is>
          <t>CPP24-236</t>
        </is>
      </c>
      <c r="E681" s="281" t="n"/>
      <c r="F681" s="301" t="n">
        <v>45624</v>
      </c>
      <c r="G681" s="5" t="inlineStr">
        <is>
          <t>PR2425-04663</t>
        </is>
      </c>
      <c r="H681" s="5" t="inlineStr">
        <is>
          <t>PO2425-05127</t>
        </is>
      </c>
      <c r="I681" s="290">
        <f>IF(RawDataGenPO[[#This Row],[PO No.]]="","",RawDataGenPO[[#This Row],[DMY Create PR]]+7)</f>
        <v/>
      </c>
      <c r="J681" s="290" t="n"/>
      <c r="K681" s="20" t="n">
        <v>30</v>
      </c>
      <c r="L681" s="5" t="inlineStr">
        <is>
          <t>SFST81000009</t>
        </is>
      </c>
      <c r="M681" s="7" t="inlineStr">
        <is>
          <t>Tool and Equipment PD M/C</t>
        </is>
      </c>
      <c r="N681" s="7" t="inlineStr">
        <is>
          <t>Electrical part</t>
        </is>
      </c>
      <c r="O681" s="5" t="n">
        <v>2</v>
      </c>
      <c r="P681" s="10" t="inlineStr">
        <is>
          <t>"HACO" wall-mounted socket 16A (IP67) 3P+N+E 5P/400V 6h</t>
        </is>
      </c>
      <c r="Q681" s="277" t="n">
        <v>6</v>
      </c>
      <c r="R681" s="5" t="inlineStr">
        <is>
          <t>PCS.</t>
        </is>
      </c>
      <c r="S681" s="292">
        <f>RawDataGenPO[[#This Row],[Total price]]/RawDataGenPO[[#This Row],[Qty'']]</f>
        <v/>
      </c>
      <c r="T681" s="278" t="n">
        <v>1536</v>
      </c>
      <c r="U681" s="291" t="n"/>
      <c r="V681" s="7" t="inlineStr">
        <is>
          <t>V1000481 - Company JW Tech Ltd.</t>
        </is>
      </c>
      <c r="W681" s="30" t="inlineStr">
        <is>
          <t>Recive bill and GRN already</t>
        </is>
      </c>
      <c r="X681" s="5" t="n"/>
      <c r="Y681" s="3" t="n">
        <v>45643</v>
      </c>
      <c r="Z681" s="3" t="n"/>
      <c r="AA681" s="17">
        <f>IF(RawDataGenPO[[#This Row],[Date Gen PO]]="","",RawDataGenPO[[#This Row],[Date recive bill]]-RawDataGenPO[[#This Row],[Date Gen PO]])</f>
        <v/>
      </c>
      <c r="AB681" s="16">
        <f>IF(RawDataGenPO[[#This Row],[GRN-PO date]]&gt;RawDataGenPO[[#This Row],[Lead time delivery (day)]],"over deliverry","Ontime")</f>
        <v/>
      </c>
      <c r="AC681" s="22" t="n"/>
    </row>
    <row r="682" ht="15" customFormat="1" customHeight="1" s="125">
      <c r="A682" s="5">
        <f>ROW()-ROW(RawDataGenPO[[#Headers],[No.]])</f>
        <v/>
      </c>
      <c r="B682" s="7" t="inlineStr">
        <is>
          <t>Expent  cost</t>
        </is>
      </c>
      <c r="C682" s="301" t="n">
        <v>45624</v>
      </c>
      <c r="D682" s="276" t="inlineStr">
        <is>
          <t>CPP24-236</t>
        </is>
      </c>
      <c r="E682" s="281" t="n"/>
      <c r="F682" s="301" t="n">
        <v>45624</v>
      </c>
      <c r="G682" s="5" t="inlineStr">
        <is>
          <t>PR2425-04663</t>
        </is>
      </c>
      <c r="H682" s="5" t="inlineStr">
        <is>
          <t>PO2425-05127</t>
        </is>
      </c>
      <c r="I682" s="290">
        <f>IF(RawDataGenPO[[#This Row],[PO No.]]="","",RawDataGenPO[[#This Row],[DMY Create PR]]+7)</f>
        <v/>
      </c>
      <c r="J682" s="290" t="n"/>
      <c r="K682" s="20" t="n">
        <v>30</v>
      </c>
      <c r="L682" s="5" t="inlineStr">
        <is>
          <t>SFST81000009</t>
        </is>
      </c>
      <c r="M682" s="7" t="inlineStr">
        <is>
          <t>Tool and Equipment PD M/C</t>
        </is>
      </c>
      <c r="N682" s="7" t="inlineStr">
        <is>
          <t>Electrical part</t>
        </is>
      </c>
      <c r="O682" s="5" t="n">
        <v>3</v>
      </c>
      <c r="P682" s="10" t="inlineStr">
        <is>
          <t>"HACO" angled flush socket 16A (IP67) 3P+N+E 5P/400V 6h</t>
        </is>
      </c>
      <c r="Q682" s="277" t="n">
        <v>6</v>
      </c>
      <c r="R682" s="5" t="inlineStr">
        <is>
          <t>PCS.</t>
        </is>
      </c>
      <c r="S682" s="292">
        <f>RawDataGenPO[[#This Row],[Total price]]/RawDataGenPO[[#This Row],[Qty'']]</f>
        <v/>
      </c>
      <c r="T682" s="278" t="n">
        <v>1098</v>
      </c>
      <c r="U682" s="291" t="n"/>
      <c r="V682" s="7" t="inlineStr">
        <is>
          <t>V1000481 - Company JW Tech Ltd.</t>
        </is>
      </c>
      <c r="W682" s="30" t="inlineStr">
        <is>
          <t>Recive bill and GRN already</t>
        </is>
      </c>
      <c r="X682" s="5" t="n"/>
      <c r="Y682" s="3" t="n">
        <v>45643</v>
      </c>
      <c r="Z682" s="3" t="n"/>
      <c r="AA682" s="17">
        <f>IF(RawDataGenPO[[#This Row],[Date Gen PO]]="","",RawDataGenPO[[#This Row],[Date recive bill]]-RawDataGenPO[[#This Row],[Date Gen PO]])</f>
        <v/>
      </c>
      <c r="AB682" s="16">
        <f>IF(RawDataGenPO[[#This Row],[GRN-PO date]]&gt;RawDataGenPO[[#This Row],[Lead time delivery (day)]],"over deliverry","Ontime")</f>
        <v/>
      </c>
      <c r="AC682" s="22" t="n"/>
    </row>
    <row r="683" ht="15" customFormat="1" customHeight="1" s="125">
      <c r="A683" s="5">
        <f>ROW()-ROW(RawDataGenPO[[#Headers],[No.]])</f>
        <v/>
      </c>
      <c r="B683" s="7" t="inlineStr">
        <is>
          <t>Expent  cost</t>
        </is>
      </c>
      <c r="C683" s="301" t="n">
        <v>45624</v>
      </c>
      <c r="D683" s="276" t="inlineStr">
        <is>
          <t>CPP24-236</t>
        </is>
      </c>
      <c r="E683" s="281" t="n"/>
      <c r="F683" s="301" t="n">
        <v>45624</v>
      </c>
      <c r="G683" s="5" t="inlineStr">
        <is>
          <t>PR2425-04663</t>
        </is>
      </c>
      <c r="H683" s="5" t="inlineStr">
        <is>
          <t>PO2425-05127</t>
        </is>
      </c>
      <c r="I683" s="290">
        <f>IF(RawDataGenPO[[#This Row],[PO No.]]="","",RawDataGenPO[[#This Row],[DMY Create PR]]+7)</f>
        <v/>
      </c>
      <c r="J683" s="290" t="n"/>
      <c r="K683" s="20" t="n">
        <v>30</v>
      </c>
      <c r="L683" s="5" t="inlineStr">
        <is>
          <t>SFST81000009</t>
        </is>
      </c>
      <c r="M683" s="7" t="inlineStr">
        <is>
          <t>Tool and Equipment PD M/C</t>
        </is>
      </c>
      <c r="N683" s="7" t="inlineStr">
        <is>
          <t>Electrical part</t>
        </is>
      </c>
      <c r="O683" s="5" t="n">
        <v>4</v>
      </c>
      <c r="P683" s="10" t="inlineStr">
        <is>
          <t>"HACO" angled flush socket 32A (IP67) 3P+N+E 5P/400V 6h</t>
        </is>
      </c>
      <c r="Q683" s="277" t="n">
        <v>6</v>
      </c>
      <c r="R683" s="5" t="inlineStr">
        <is>
          <t>PCS.</t>
        </is>
      </c>
      <c r="S683" s="292">
        <f>RawDataGenPO[[#This Row],[Total price]]/RawDataGenPO[[#This Row],[Qty'']]</f>
        <v/>
      </c>
      <c r="T683" s="278" t="n">
        <v>1464</v>
      </c>
      <c r="U683" s="291" t="n"/>
      <c r="V683" s="7" t="inlineStr">
        <is>
          <t>V1000481 - Company JW Tech Ltd.</t>
        </is>
      </c>
      <c r="W683" s="30" t="inlineStr">
        <is>
          <t>Recive bill and GRN already</t>
        </is>
      </c>
      <c r="X683" s="5" t="n"/>
      <c r="Y683" s="3" t="n">
        <v>45643</v>
      </c>
      <c r="Z683" s="3" t="n"/>
      <c r="AA683" s="17">
        <f>IF(RawDataGenPO[[#This Row],[Date Gen PO]]="","",RawDataGenPO[[#This Row],[Date recive bill]]-RawDataGenPO[[#This Row],[Date Gen PO]])</f>
        <v/>
      </c>
      <c r="AB683" s="16">
        <f>IF(RawDataGenPO[[#This Row],[GRN-PO date]]&gt;RawDataGenPO[[#This Row],[Lead time delivery (day)]],"over deliverry","Ontime")</f>
        <v/>
      </c>
      <c r="AC683" s="22" t="n"/>
    </row>
    <row r="684" ht="15" customFormat="1" customHeight="1" s="125">
      <c r="A684" s="5">
        <f>ROW()-ROW(RawDataGenPO[[#Headers],[No.]])</f>
        <v/>
      </c>
      <c r="B684" s="7" t="inlineStr">
        <is>
          <t>Expent  cost</t>
        </is>
      </c>
      <c r="C684" s="301" t="n">
        <v>45624</v>
      </c>
      <c r="D684" s="276" t="inlineStr">
        <is>
          <t>CPP24-236</t>
        </is>
      </c>
      <c r="E684" s="281" t="n"/>
      <c r="F684" s="301" t="n">
        <v>45624</v>
      </c>
      <c r="G684" s="5" t="inlineStr">
        <is>
          <t>PR2425-04663</t>
        </is>
      </c>
      <c r="H684" s="5" t="inlineStr">
        <is>
          <t>PO2425-05127</t>
        </is>
      </c>
      <c r="I684" s="290">
        <f>IF(RawDataGenPO[[#This Row],[PO No.]]="","",RawDataGenPO[[#This Row],[DMY Create PR]]+7)</f>
        <v/>
      </c>
      <c r="J684" s="290" t="n"/>
      <c r="K684" s="20" t="n">
        <v>30</v>
      </c>
      <c r="L684" s="5" t="inlineStr">
        <is>
          <t>SFST81000009</t>
        </is>
      </c>
      <c r="M684" s="7" t="inlineStr">
        <is>
          <t>Tool and Equipment PD M/C</t>
        </is>
      </c>
      <c r="N684" s="7" t="inlineStr">
        <is>
          <t>Electrical part</t>
        </is>
      </c>
      <c r="O684" s="5" t="n">
        <v>5</v>
      </c>
      <c r="P684" s="10" t="inlineStr">
        <is>
          <t>"HACO" waterproof inline female plug 16A 5 PIN 2252-6V</t>
        </is>
      </c>
      <c r="Q684" s="277" t="n">
        <v>6</v>
      </c>
      <c r="R684" s="5" t="inlineStr">
        <is>
          <t>PCS.</t>
        </is>
      </c>
      <c r="S684" s="292">
        <f>RawDataGenPO[[#This Row],[Total price]]/RawDataGenPO[[#This Row],[Qty'']]</f>
        <v/>
      </c>
      <c r="T684" s="278" t="n">
        <v>1704</v>
      </c>
      <c r="U684" s="291" t="n"/>
      <c r="V684" s="7" t="inlineStr">
        <is>
          <t>V1000481 - Company JW Tech Ltd.</t>
        </is>
      </c>
      <c r="W684" s="30" t="inlineStr">
        <is>
          <t>Recive bill and GRN already</t>
        </is>
      </c>
      <c r="X684" s="5" t="n"/>
      <c r="Y684" s="3" t="n">
        <v>45643</v>
      </c>
      <c r="Z684" s="3" t="n"/>
      <c r="AA684" s="17">
        <f>IF(RawDataGenPO[[#This Row],[Date Gen PO]]="","",RawDataGenPO[[#This Row],[Date recive bill]]-RawDataGenPO[[#This Row],[Date Gen PO]])</f>
        <v/>
      </c>
      <c r="AB684" s="16">
        <f>IF(RawDataGenPO[[#This Row],[GRN-PO date]]&gt;RawDataGenPO[[#This Row],[Lead time delivery (day)]],"over deliverry","Ontime")</f>
        <v/>
      </c>
      <c r="AC684" s="22" t="n"/>
    </row>
    <row r="685" ht="15" customFormat="1" customHeight="1" s="125">
      <c r="A685" s="5">
        <f>ROW()-ROW(RawDataGenPO[[#Headers],[No.]])</f>
        <v/>
      </c>
      <c r="B685" s="7" t="inlineStr">
        <is>
          <t>Expent  cost</t>
        </is>
      </c>
      <c r="C685" s="301" t="n">
        <v>45624</v>
      </c>
      <c r="D685" s="276" t="inlineStr">
        <is>
          <t>CPP24-236</t>
        </is>
      </c>
      <c r="E685" s="281" t="n"/>
      <c r="F685" s="301" t="n">
        <v>45624</v>
      </c>
      <c r="G685" s="5" t="inlineStr">
        <is>
          <t>PR2425-04663</t>
        </is>
      </c>
      <c r="H685" s="5" t="inlineStr">
        <is>
          <t>PO2425-05127</t>
        </is>
      </c>
      <c r="I685" s="290">
        <f>IF(RawDataGenPO[[#This Row],[PO No.]]="","",RawDataGenPO[[#This Row],[DMY Create PR]]+7)</f>
        <v/>
      </c>
      <c r="J685" s="290" t="n"/>
      <c r="K685" s="20" t="n">
        <v>30</v>
      </c>
      <c r="L685" s="5" t="inlineStr">
        <is>
          <t>SFST81000009</t>
        </is>
      </c>
      <c r="M685" s="7" t="inlineStr">
        <is>
          <t>Tool and Equipment PD M/C</t>
        </is>
      </c>
      <c r="N685" s="7" t="inlineStr">
        <is>
          <t>Electrical part</t>
        </is>
      </c>
      <c r="O685" s="5" t="n">
        <v>6</v>
      </c>
      <c r="P685" s="10" t="inlineStr">
        <is>
          <t>"HACO" waterproof inline female plug 32A 5 PIN 2252-6V</t>
        </is>
      </c>
      <c r="Q685" s="277" t="n">
        <v>6</v>
      </c>
      <c r="R685" s="5" t="inlineStr">
        <is>
          <t>PCS.</t>
        </is>
      </c>
      <c r="S685" s="292">
        <f>RawDataGenPO[[#This Row],[Total price]]/RawDataGenPO[[#This Row],[Qty'']]</f>
        <v/>
      </c>
      <c r="T685" s="278" t="n">
        <v>1212</v>
      </c>
      <c r="U685" s="291" t="n"/>
      <c r="V685" s="7" t="inlineStr">
        <is>
          <t>V1000481 - Company JW Tech Ltd.</t>
        </is>
      </c>
      <c r="W685" s="30" t="inlineStr">
        <is>
          <t>Recive bill and GRN already</t>
        </is>
      </c>
      <c r="X685" s="5" t="n"/>
      <c r="Y685" s="3" t="n">
        <v>45643</v>
      </c>
      <c r="Z685" s="3" t="n"/>
      <c r="AA685" s="17">
        <f>IF(RawDataGenPO[[#This Row],[Date Gen PO]]="","",RawDataGenPO[[#This Row],[Date recive bill]]-RawDataGenPO[[#This Row],[Date Gen PO]])</f>
        <v/>
      </c>
      <c r="AB685" s="16">
        <f>IF(RawDataGenPO[[#This Row],[GRN-PO date]]&gt;RawDataGenPO[[#This Row],[Lead time delivery (day)]],"over deliverry","Ontime")</f>
        <v/>
      </c>
      <c r="AC685" s="22" t="n"/>
    </row>
    <row r="686" ht="15" customFormat="1" customHeight="1" s="125">
      <c r="A686" s="5">
        <f>ROW()-ROW(RawDataGenPO[[#Headers],[No.]])</f>
        <v/>
      </c>
      <c r="B686" s="7" t="inlineStr">
        <is>
          <t>Expent  cost</t>
        </is>
      </c>
      <c r="C686" s="301" t="n">
        <v>45624</v>
      </c>
      <c r="D686" s="276" t="inlineStr">
        <is>
          <t>CPP24-236</t>
        </is>
      </c>
      <c r="E686" s="281" t="n"/>
      <c r="F686" s="301" t="n">
        <v>45624</v>
      </c>
      <c r="G686" s="5" t="inlineStr">
        <is>
          <t>PR2425-04663</t>
        </is>
      </c>
      <c r="H686" s="5" t="inlineStr">
        <is>
          <t>PO2425-05127</t>
        </is>
      </c>
      <c r="I686" s="290">
        <f>IF(RawDataGenPO[[#This Row],[PO No.]]="","",RawDataGenPO[[#This Row],[DMY Create PR]]+7)</f>
        <v/>
      </c>
      <c r="J686" s="290" t="n"/>
      <c r="K686" s="20" t="n">
        <v>30</v>
      </c>
      <c r="L686" s="5" t="inlineStr">
        <is>
          <t>SFST81000009</t>
        </is>
      </c>
      <c r="M686" s="7" t="inlineStr">
        <is>
          <t>Tool and Equipment PD M/C</t>
        </is>
      </c>
      <c r="N686" s="7" t="inlineStr">
        <is>
          <t>Electrical part</t>
        </is>
      </c>
      <c r="O686" s="5" t="n">
        <v>7</v>
      </c>
      <c r="P686" s="10" t="inlineStr">
        <is>
          <t>"HACO" plugpcsmaletypewaterproof 32A 400 V 5 PIN. (3P+N+E) red</t>
        </is>
      </c>
      <c r="Q686" s="277" t="n">
        <v>6</v>
      </c>
      <c r="R686" s="5" t="inlineStr">
        <is>
          <t>PCS.</t>
        </is>
      </c>
      <c r="S686" s="292">
        <f>RawDataGenPO[[#This Row],[Total price]]/RawDataGenPO[[#This Row],[Qty'']]</f>
        <v/>
      </c>
      <c r="T686" s="278" t="n">
        <v>972</v>
      </c>
      <c r="U686" s="291" t="n"/>
      <c r="V686" s="7" t="inlineStr">
        <is>
          <t>V1000481 - Company JW Tech Ltd.</t>
        </is>
      </c>
      <c r="W686" s="30" t="inlineStr">
        <is>
          <t>Recive bill and GRN already</t>
        </is>
      </c>
      <c r="X686" s="5" t="n"/>
      <c r="Y686" s="3" t="n">
        <v>45643</v>
      </c>
      <c r="Z686" s="3" t="n"/>
      <c r="AA686" s="17">
        <f>IF(RawDataGenPO[[#This Row],[Date Gen PO]]="","",RawDataGenPO[[#This Row],[Date recive bill]]-RawDataGenPO[[#This Row],[Date Gen PO]])</f>
        <v/>
      </c>
      <c r="AB686" s="16">
        <f>IF(RawDataGenPO[[#This Row],[GRN-PO date]]&gt;RawDataGenPO[[#This Row],[Lead time delivery (day)]],"over deliverry","Ontime")</f>
        <v/>
      </c>
      <c r="AC686" s="22" t="n"/>
    </row>
    <row r="687" ht="15" customFormat="1" customHeight="1" s="125">
      <c r="A687" s="5">
        <f>ROW()-ROW(RawDataGenPO[[#Headers],[No.]])</f>
        <v/>
      </c>
      <c r="B687" s="7" t="inlineStr">
        <is>
          <t>Expent  cost</t>
        </is>
      </c>
      <c r="C687" s="301" t="n">
        <v>45624</v>
      </c>
      <c r="D687" s="276" t="inlineStr">
        <is>
          <t>CPP24-236</t>
        </is>
      </c>
      <c r="E687" s="281" t="n"/>
      <c r="F687" s="301" t="n">
        <v>45624</v>
      </c>
      <c r="G687" s="5" t="inlineStr">
        <is>
          <t>PR2425-04663</t>
        </is>
      </c>
      <c r="H687" s="5" t="inlineStr">
        <is>
          <t>PO2425-05127</t>
        </is>
      </c>
      <c r="I687" s="290">
        <f>IF(RawDataGenPO[[#This Row],[PO No.]]="","",RawDataGenPO[[#This Row],[DMY Create PR]]+7)</f>
        <v/>
      </c>
      <c r="J687" s="290" t="n"/>
      <c r="K687" s="20" t="n">
        <v>30</v>
      </c>
      <c r="L687" s="5" t="inlineStr">
        <is>
          <t>SFST81000009</t>
        </is>
      </c>
      <c r="M687" s="7" t="inlineStr">
        <is>
          <t>Tool and Equipment PD M/C</t>
        </is>
      </c>
      <c r="N687" s="7" t="inlineStr">
        <is>
          <t>Electrical part</t>
        </is>
      </c>
      <c r="O687" s="5" t="n">
        <v>8</v>
      </c>
      <c r="P687" s="10" t="inlineStr">
        <is>
          <t>"HACO" plugpcsmaletypewaterproof 16A 400V 5 PIN. (3P+N+E) red</t>
        </is>
      </c>
      <c r="Q687" s="277" t="n">
        <v>6</v>
      </c>
      <c r="R687" s="5" t="inlineStr">
        <is>
          <t>PCS.</t>
        </is>
      </c>
      <c r="S687" s="292">
        <f>RawDataGenPO[[#This Row],[Total price]]/RawDataGenPO[[#This Row],[Qty'']]</f>
        <v/>
      </c>
      <c r="T687" s="278" t="n">
        <v>1338</v>
      </c>
      <c r="U687" s="291" t="n"/>
      <c r="V687" s="7" t="inlineStr">
        <is>
          <t>V1000481 - Company JW Tech Ltd.</t>
        </is>
      </c>
      <c r="W687" s="30" t="inlineStr">
        <is>
          <t>Recive bill and GRN already</t>
        </is>
      </c>
      <c r="X687" s="5" t="n"/>
      <c r="Y687" s="3" t="n">
        <v>45643</v>
      </c>
      <c r="Z687" s="3" t="n"/>
      <c r="AA687" s="17">
        <f>IF(RawDataGenPO[[#This Row],[Date Gen PO]]="","",RawDataGenPO[[#This Row],[Date recive bill]]-RawDataGenPO[[#This Row],[Date Gen PO]])</f>
        <v/>
      </c>
      <c r="AB687" s="16">
        <f>IF(RawDataGenPO[[#This Row],[GRN-PO date]]&gt;RawDataGenPO[[#This Row],[Lead time delivery (day)]],"over deliverry","Ontime")</f>
        <v/>
      </c>
      <c r="AC687" s="22" t="n"/>
    </row>
    <row r="688" ht="15" customFormat="1" customHeight="1" s="125">
      <c r="A688" s="5">
        <f>ROW()-ROW(RawDataGenPO[[#Headers],[No.]])</f>
        <v/>
      </c>
      <c r="B688" s="7" t="inlineStr">
        <is>
          <t>Expent  cost</t>
        </is>
      </c>
      <c r="C688" s="301" t="n">
        <v>45624</v>
      </c>
      <c r="D688" s="276" t="inlineStr">
        <is>
          <t>CPP24-236</t>
        </is>
      </c>
      <c r="E688" s="281" t="n"/>
      <c r="F688" s="301" t="n">
        <v>45624</v>
      </c>
      <c r="G688" s="5" t="inlineStr">
        <is>
          <t>PR2425-04663</t>
        </is>
      </c>
      <c r="H688" s="5" t="inlineStr">
        <is>
          <t>PO2425-05127</t>
        </is>
      </c>
      <c r="I688" s="290">
        <f>IF(RawDataGenPO[[#This Row],[PO No.]]="","",RawDataGenPO[[#This Row],[DMY Create PR]]+7)</f>
        <v/>
      </c>
      <c r="J688" s="290" t="n"/>
      <c r="K688" s="20" t="n">
        <v>30</v>
      </c>
      <c r="L688" s="5" t="inlineStr">
        <is>
          <t>SFST81000009</t>
        </is>
      </c>
      <c r="M688" s="7" t="inlineStr">
        <is>
          <t>Tool and Equipment PD M/C</t>
        </is>
      </c>
      <c r="N688" s="7" t="inlineStr">
        <is>
          <t>Electrical part</t>
        </is>
      </c>
      <c r="O688" s="5" t="n">
        <v>9</v>
      </c>
      <c r="P688" s="10" t="inlineStr">
        <is>
          <t>"HACO" angled socket 45 degree 2P+E 16A blue 3 pin typewaterproof</t>
        </is>
      </c>
      <c r="Q688" s="277" t="n">
        <v>6</v>
      </c>
      <c r="R688" s="5" t="inlineStr">
        <is>
          <t>PCS.</t>
        </is>
      </c>
      <c r="S688" s="292">
        <f>RawDataGenPO[[#This Row],[Total price]]/RawDataGenPO[[#This Row],[Qty'']]</f>
        <v/>
      </c>
      <c r="T688" s="278" t="n">
        <v>864</v>
      </c>
      <c r="U688" s="291" t="n"/>
      <c r="V688" s="7" t="n"/>
      <c r="W688" s="30" t="inlineStr">
        <is>
          <t>Recive bill and GRN already</t>
        </is>
      </c>
      <c r="X688" s="5" t="n"/>
      <c r="Y688" s="3" t="n">
        <v>45643</v>
      </c>
      <c r="Z688" s="3" t="n"/>
      <c r="AA688" s="17">
        <f>IF(RawDataGenPO[[#This Row],[Date Gen PO]]="","",RawDataGenPO[[#This Row],[Date recive bill]]-RawDataGenPO[[#This Row],[Date Gen PO]])</f>
        <v/>
      </c>
      <c r="AB688" s="16">
        <f>IF(RawDataGenPO[[#This Row],[GRN-PO date]]&gt;RawDataGenPO[[#This Row],[Lead time delivery (day)]],"over deliverry","Ontime")</f>
        <v/>
      </c>
      <c r="AC688" s="22" t="n"/>
    </row>
    <row r="689" ht="15" customFormat="1" customHeight="1" s="125">
      <c r="A689" s="5">
        <f>ROW()-ROW(RawDataGenPO[[#Headers],[No.]])</f>
        <v/>
      </c>
      <c r="B689" s="7" t="inlineStr">
        <is>
          <t>Expent  cost</t>
        </is>
      </c>
      <c r="C689" s="301" t="n">
        <v>45624</v>
      </c>
      <c r="D689" s="276" t="inlineStr">
        <is>
          <t>CPP24-236</t>
        </is>
      </c>
      <c r="E689" s="281" t="n"/>
      <c r="F689" s="301" t="n">
        <v>45624</v>
      </c>
      <c r="G689" s="5" t="inlineStr">
        <is>
          <t>PR2425-04663</t>
        </is>
      </c>
      <c r="H689" s="5" t="inlineStr">
        <is>
          <t>PO2425-05127</t>
        </is>
      </c>
      <c r="I689" s="290">
        <f>IF(RawDataGenPO[[#This Row],[PO No.]]="","",RawDataGenPO[[#This Row],[DMY Create PR]]+7)</f>
        <v/>
      </c>
      <c r="J689" s="290" t="n"/>
      <c r="K689" s="20" t="n">
        <v>30</v>
      </c>
      <c r="L689" s="5" t="inlineStr">
        <is>
          <t>SFST81000009</t>
        </is>
      </c>
      <c r="M689" s="7" t="inlineStr">
        <is>
          <t>Tool and Equipment PD M/C</t>
        </is>
      </c>
      <c r="N689" s="7" t="inlineStr">
        <is>
          <t>Electrical part</t>
        </is>
      </c>
      <c r="O689" s="5" t="n">
        <v>10</v>
      </c>
      <c r="P689" s="10" t="inlineStr">
        <is>
          <t>HACO female plugwall-mounted straight type 16A 3pin (2P+E) blue typewaterproof</t>
        </is>
      </c>
      <c r="Q689" s="277" t="n">
        <v>6</v>
      </c>
      <c r="R689" s="5" t="inlineStr">
        <is>
          <t>PCS.</t>
        </is>
      </c>
      <c r="S689" s="292">
        <f>RawDataGenPO[[#This Row],[Total price]]/RawDataGenPO[[#This Row],[Qty'']]</f>
        <v/>
      </c>
      <c r="T689" s="278" t="n">
        <v>1134</v>
      </c>
      <c r="U689" s="291" t="n"/>
      <c r="V689" s="7" t="inlineStr">
        <is>
          <t>V1000481 - Company JW Tech Ltd.</t>
        </is>
      </c>
      <c r="W689" s="30" t="inlineStr">
        <is>
          <t>Recive bill and GRN already</t>
        </is>
      </c>
      <c r="X689" s="5" t="n"/>
      <c r="Y689" s="3" t="n">
        <v>45643</v>
      </c>
      <c r="Z689" s="3" t="n"/>
      <c r="AA689" s="17">
        <f>IF(RawDataGenPO[[#This Row],[Date Gen PO]]="","",RawDataGenPO[[#This Row],[Date recive bill]]-RawDataGenPO[[#This Row],[Date Gen PO]])</f>
        <v/>
      </c>
      <c r="AB689" s="16">
        <f>IF(RawDataGenPO[[#This Row],[GRN-PO date]]&gt;RawDataGenPO[[#This Row],[Lead time delivery (day)]],"over deliverry","Ontime")</f>
        <v/>
      </c>
      <c r="AC689" s="22" t="n"/>
    </row>
    <row r="690" ht="15" customFormat="1" customHeight="1" s="125">
      <c r="A690" s="5">
        <f>ROW()-ROW(RawDataGenPO[[#Headers],[No.]])</f>
        <v/>
      </c>
      <c r="B690" s="7" t="inlineStr">
        <is>
          <t>Expent  cost</t>
        </is>
      </c>
      <c r="C690" s="301" t="n">
        <v>45624</v>
      </c>
      <c r="D690" s="276" t="inlineStr">
        <is>
          <t>CPP24-236</t>
        </is>
      </c>
      <c r="E690" s="281" t="n"/>
      <c r="F690" s="301" t="n">
        <v>45624</v>
      </c>
      <c r="G690" s="5" t="inlineStr">
        <is>
          <t>PR2425-04663</t>
        </is>
      </c>
      <c r="H690" s="5" t="inlineStr">
        <is>
          <t>PO2425-05127</t>
        </is>
      </c>
      <c r="I690" s="290">
        <f>IF(RawDataGenPO[[#This Row],[PO No.]]="","",RawDataGenPO[[#This Row],[DMY Create PR]]+7)</f>
        <v/>
      </c>
      <c r="J690" s="290" t="n"/>
      <c r="K690" s="20" t="n">
        <v>30</v>
      </c>
      <c r="L690" s="5" t="inlineStr">
        <is>
          <t>SFST81000009</t>
        </is>
      </c>
      <c r="M690" s="7" t="inlineStr">
        <is>
          <t>Tool and Equipment PD M/C</t>
        </is>
      </c>
      <c r="N690" s="7" t="inlineStr">
        <is>
          <t>Electrical part</t>
        </is>
      </c>
      <c r="O690" s="5" t="n">
        <v>11</v>
      </c>
      <c r="P690" s="10" t="inlineStr">
        <is>
          <t>"HACO" plugplugpcsmale 3 pin 2P+E 16A 3 PIN model 013-6V</t>
        </is>
      </c>
      <c r="Q690" s="277" t="n">
        <v>6</v>
      </c>
      <c r="R690" s="5" t="inlineStr">
        <is>
          <t>PCS.</t>
        </is>
      </c>
      <c r="S690" s="292">
        <f>RawDataGenPO[[#This Row],[Total price]]/RawDataGenPO[[#This Row],[Qty'']]</f>
        <v/>
      </c>
      <c r="T690" s="278" t="n">
        <v>660</v>
      </c>
      <c r="U690" s="291" t="n"/>
      <c r="V690" s="7" t="inlineStr">
        <is>
          <t>V1000481 - Company JW Tech Ltd.</t>
        </is>
      </c>
      <c r="W690" s="30" t="inlineStr">
        <is>
          <t>Recive bill and GRN already</t>
        </is>
      </c>
      <c r="X690" s="5" t="n"/>
      <c r="Y690" s="3" t="n">
        <v>45643</v>
      </c>
      <c r="Z690" s="3" t="n"/>
      <c r="AA690" s="17">
        <f>IF(RawDataGenPO[[#This Row],[Date Gen PO]]="","",RawDataGenPO[[#This Row],[Date recive bill]]-RawDataGenPO[[#This Row],[Date Gen PO]])</f>
        <v/>
      </c>
      <c r="AB690" s="16">
        <f>IF(RawDataGenPO[[#This Row],[GRN-PO date]]&gt;RawDataGenPO[[#This Row],[Lead time delivery (day)]],"over deliverry","Ontime")</f>
        <v/>
      </c>
      <c r="AC690" s="22" t="n"/>
    </row>
    <row r="691" ht="15" customFormat="1" customHeight="1" s="125">
      <c r="A691" s="5">
        <f>ROW()-ROW(RawDataGenPO[[#Headers],[No.]])</f>
        <v/>
      </c>
      <c r="B691" s="7" t="inlineStr">
        <is>
          <t>Expent  cost</t>
        </is>
      </c>
      <c r="C691" s="301" t="n">
        <v>45624</v>
      </c>
      <c r="D691" s="276" t="inlineStr">
        <is>
          <t>CPP24-236</t>
        </is>
      </c>
      <c r="E691" s="281" t="n"/>
      <c r="F691" s="301" t="n">
        <v>45624</v>
      </c>
      <c r="G691" s="5" t="inlineStr">
        <is>
          <t>PR2425-04663</t>
        </is>
      </c>
      <c r="H691" s="5" t="inlineStr">
        <is>
          <t>PO2425-05127</t>
        </is>
      </c>
      <c r="I691" s="290">
        <f>IF(RawDataGenPO[[#This Row],[PO No.]]="","",RawDataGenPO[[#This Row],[DMY Create PR]]+7)</f>
        <v/>
      </c>
      <c r="J691" s="290" t="n"/>
      <c r="K691" s="20">
        <f>IF(RawDataGenPO[[#This Row],[PO No.]]="","",10)</f>
        <v/>
      </c>
      <c r="L691" s="5" t="inlineStr">
        <is>
          <t>SFST81000009</t>
        </is>
      </c>
      <c r="M691" s="7" t="inlineStr">
        <is>
          <t>Tool and Equipment PD M/C</t>
        </is>
      </c>
      <c r="N691" s="7" t="inlineStr">
        <is>
          <t>Electrical part</t>
        </is>
      </c>
      <c r="O691" s="5" t="n">
        <v>12</v>
      </c>
      <c r="P691" s="10" t="inlineStr">
        <is>
          <t>"HACO" inline socket 3 pin 16A waterproof 2P+E 220-250V 2132 IP67</t>
        </is>
      </c>
      <c r="Q691" s="277" t="n">
        <v>6</v>
      </c>
      <c r="R691" s="5" t="inlineStr">
        <is>
          <t>PCS.</t>
        </is>
      </c>
      <c r="S691" s="292">
        <f>RawDataGenPO[[#This Row],[Total price]]/RawDataGenPO[[#This Row],[Qty'']]</f>
        <v/>
      </c>
      <c r="T691" s="278" t="n">
        <v>1008</v>
      </c>
      <c r="U691" s="291" t="n"/>
      <c r="V691" s="7" t="inlineStr">
        <is>
          <t>V1000481 - Company JW Tech Ltd.</t>
        </is>
      </c>
      <c r="W691" s="30" t="inlineStr">
        <is>
          <t>Recive bill and GRN already</t>
        </is>
      </c>
      <c r="X691" s="5" t="n"/>
      <c r="Y691" s="3" t="n">
        <v>45643</v>
      </c>
      <c r="Z691" s="3" t="n"/>
      <c r="AA691" s="17">
        <f>IF(RawDataGenPO[[#This Row],[Date Gen PO]]="","",RawDataGenPO[[#This Row],[Date recive bill]]-RawDataGenPO[[#This Row],[Date Gen PO]])</f>
        <v/>
      </c>
      <c r="AB691" s="16">
        <f>IF(RawDataGenPO[[#This Row],[GRN-PO date]]&gt;RawDataGenPO[[#This Row],[Lead time delivery (day)]],"over deliverry","Ontime")</f>
        <v/>
      </c>
      <c r="AC691" s="22" t="n"/>
    </row>
    <row r="692" ht="15" customFormat="1" customHeight="1" s="125">
      <c r="A692" s="5">
        <f>ROW()-ROW(RawDataGenPO[[#Headers],[No.]])</f>
        <v/>
      </c>
      <c r="B692" s="7" t="inlineStr">
        <is>
          <t>Expent  cost</t>
        </is>
      </c>
      <c r="C692" s="301" t="n">
        <v>45624</v>
      </c>
      <c r="D692" s="276" t="n"/>
      <c r="E692" s="281" t="n"/>
      <c r="F692" s="301" t="n">
        <v>45624</v>
      </c>
      <c r="G692" s="5" t="inlineStr">
        <is>
          <t>PR2425-04666</t>
        </is>
      </c>
      <c r="H692" s="5" t="inlineStr">
        <is>
          <t>PO2425-05307</t>
        </is>
      </c>
      <c r="I692" s="290">
        <f>IF(RawDataGenPO[[#This Row],[PO No.]]="","",RawDataGenPO[[#This Row],[DMY Create PR]]+7)</f>
        <v/>
      </c>
      <c r="J692" s="290" t="n"/>
      <c r="K692" s="20" t="n">
        <v>45</v>
      </c>
      <c r="L692" s="5" t="inlineStr">
        <is>
          <t>SFST81000064</t>
        </is>
      </c>
      <c r="M692" s="7" t="inlineStr">
        <is>
          <t>Fire alarm system</t>
        </is>
      </c>
      <c r="N692" s="7" t="inlineStr">
        <is>
          <t>Inspect cost</t>
        </is>
      </c>
      <c r="O692" s="5" t="n">
        <v>1</v>
      </c>
      <c r="P692" s="10" t="inlineStr">
        <is>
          <t>PM Program (Function Test) Function Test (1st time of the year)</t>
        </is>
      </c>
      <c r="Q692" s="277" t="n">
        <v>1</v>
      </c>
      <c r="R692" s="5" t="inlineStr">
        <is>
          <t>PCS.</t>
        </is>
      </c>
      <c r="S692" s="292">
        <f>RawDataGenPO[[#This Row],[Total price]]/RawDataGenPO[[#This Row],[Qty'']]</f>
        <v/>
      </c>
      <c r="T692" s="278" t="n">
        <v>6500</v>
      </c>
      <c r="U692" s="291" t="n"/>
      <c r="V692" s="7" t="inlineStr">
        <is>
          <t xml:space="preserve"> V1000728 - SAITHONG ENGINEERING COMPANY LIMITED</t>
        </is>
      </c>
      <c r="W692" s="30" t="inlineStr">
        <is>
          <t>Recive bill and GRN already</t>
        </is>
      </c>
      <c r="X692" s="5" t="inlineStr">
        <is>
          <t>GRN2425-0006496</t>
        </is>
      </c>
      <c r="Y692" s="3" t="n">
        <v>45673</v>
      </c>
      <c r="Z692" s="3" t="n"/>
      <c r="AA692" s="17">
        <f>IF(RawDataGenPO[[#This Row],[Date Gen PO]]="","",RawDataGenPO[[#This Row],[Date recive bill]]-RawDataGenPO[[#This Row],[Date Gen PO]])</f>
        <v/>
      </c>
      <c r="AB692" s="16">
        <f>IF(RawDataGenPO[[#This Row],[GRN-PO date]]&gt;RawDataGenPO[[#This Row],[Lead time delivery (day)]],"over deliverry","Ontime")</f>
        <v/>
      </c>
      <c r="AC692" s="22" t="n"/>
    </row>
    <row r="693" ht="15" customFormat="1" customHeight="1" s="125">
      <c r="A693" s="5">
        <f>ROW()-ROW(RawDataGenPO[[#Headers],[No.]])</f>
        <v/>
      </c>
      <c r="B693" s="7" t="inlineStr">
        <is>
          <t>Expent  cost</t>
        </is>
      </c>
      <c r="C693" s="301" t="n">
        <v>45624</v>
      </c>
      <c r="D693" s="276" t="n"/>
      <c r="E693" s="281" t="n"/>
      <c r="F693" s="301" t="n">
        <v>45624</v>
      </c>
      <c r="G693" s="5" t="inlineStr">
        <is>
          <t>PR2425-04666</t>
        </is>
      </c>
      <c r="H693" s="5" t="inlineStr">
        <is>
          <t>PO2425-05307</t>
        </is>
      </c>
      <c r="I693" s="290">
        <f>IF(RawDataGenPO[[#This Row],[PO No.]]="","",RawDataGenPO[[#This Row],[DMY Create PR]]+7)</f>
        <v/>
      </c>
      <c r="J693" s="290" t="n"/>
      <c r="K693" s="20" t="n">
        <v>45</v>
      </c>
      <c r="L693" s="5" t="inlineStr">
        <is>
          <t>SFST81000064</t>
        </is>
      </c>
      <c r="M693" s="7" t="inlineStr">
        <is>
          <t>Fire alarm system</t>
        </is>
      </c>
      <c r="N693" s="7" t="inlineStr">
        <is>
          <t>Inspect cost</t>
        </is>
      </c>
      <c r="O693" s="5" t="n">
        <v>2</v>
      </c>
      <c r="P693" s="10" t="inlineStr">
        <is>
          <t>KML-360 Type ML Link 360°F (182°C) Function Test (1st time of the year)</t>
        </is>
      </c>
      <c r="Q693" s="277" t="n">
        <v>8</v>
      </c>
      <c r="R693" s="5" t="inlineStr">
        <is>
          <t>PCS.</t>
        </is>
      </c>
      <c r="S693" s="292">
        <f>RawDataGenPO[[#This Row],[Total price]]/RawDataGenPO[[#This Row],[Qty'']]</f>
        <v/>
      </c>
      <c r="T693" s="278" t="n">
        <v>650</v>
      </c>
      <c r="U693" s="291" t="n"/>
      <c r="V693" s="7" t="inlineStr">
        <is>
          <t xml:space="preserve"> V1000728 - SAITHONG ENGINEERING COMPANY LIMITED</t>
        </is>
      </c>
      <c r="W693" s="30" t="inlineStr">
        <is>
          <t>Recive bill and GRN already</t>
        </is>
      </c>
      <c r="X693" s="5" t="inlineStr">
        <is>
          <t>GRN2425-0006496</t>
        </is>
      </c>
      <c r="Y693" s="3" t="n">
        <v>45673</v>
      </c>
      <c r="Z693" s="3" t="n"/>
      <c r="AA693" s="17">
        <f>IF(RawDataGenPO[[#This Row],[Date Gen PO]]="","",RawDataGenPO[[#This Row],[Date recive bill]]-RawDataGenPO[[#This Row],[Date Gen PO]])</f>
        <v/>
      </c>
      <c r="AB693" s="16">
        <f>IF(RawDataGenPO[[#This Row],[GRN-PO date]]&gt;RawDataGenPO[[#This Row],[Lead time delivery (day)]],"over deliverry","Ontime")</f>
        <v/>
      </c>
      <c r="AC693" s="22" t="n"/>
    </row>
    <row r="694" ht="15" customFormat="1" customHeight="1" s="125">
      <c r="A694" s="5">
        <f>ROW()-ROW(RawDataGenPO[[#Headers],[No.]])</f>
        <v/>
      </c>
      <c r="B694" s="7" t="inlineStr">
        <is>
          <t>Expent  cost</t>
        </is>
      </c>
      <c r="C694" s="301" t="n">
        <v>45624</v>
      </c>
      <c r="D694" s="276" t="n"/>
      <c r="E694" s="281" t="n"/>
      <c r="F694" s="301" t="n">
        <v>45624</v>
      </c>
      <c r="G694" s="5" t="inlineStr">
        <is>
          <t>PR2425-04666</t>
        </is>
      </c>
      <c r="H694" s="5" t="inlineStr">
        <is>
          <t>PO2425-05307</t>
        </is>
      </c>
      <c r="I694" s="290">
        <f>IF(RawDataGenPO[[#This Row],[PO No.]]="","",RawDataGenPO[[#This Row],[DMY Create PR]]+7)</f>
        <v/>
      </c>
      <c r="J694" s="290" t="n"/>
      <c r="K694" s="20" t="n">
        <v>45</v>
      </c>
      <c r="L694" s="5" t="inlineStr">
        <is>
          <t>SFST81000064</t>
        </is>
      </c>
      <c r="M694" s="7" t="inlineStr">
        <is>
          <t>Fire alarm system</t>
        </is>
      </c>
      <c r="N694" s="7" t="inlineStr">
        <is>
          <t>Inspect cost</t>
        </is>
      </c>
      <c r="O694" s="5" t="n">
        <v>3</v>
      </c>
      <c r="P694" s="10" t="inlineStr">
        <is>
          <t>Replacement Nozzle Seals Function Test (1st time of the year)</t>
        </is>
      </c>
      <c r="Q694" s="277" t="n">
        <v>1</v>
      </c>
      <c r="R694" s="5" t="inlineStr">
        <is>
          <t>PCS.</t>
        </is>
      </c>
      <c r="S694" s="292">
        <f>RawDataGenPO[[#This Row],[Total price]]/RawDataGenPO[[#This Row],[Qty'']]</f>
        <v/>
      </c>
      <c r="T694" s="278" t="n">
        <v>1800</v>
      </c>
      <c r="U694" s="291" t="n"/>
      <c r="V694" s="7" t="inlineStr">
        <is>
          <t xml:space="preserve"> V1000728 - SAITHONG ENGINEERING COMPANY LIMITED</t>
        </is>
      </c>
      <c r="W694" s="30" t="inlineStr">
        <is>
          <t>Recive bill and GRN already</t>
        </is>
      </c>
      <c r="X694" s="5" t="inlineStr">
        <is>
          <t>GRN2425-0006496</t>
        </is>
      </c>
      <c r="Y694" s="3" t="n">
        <v>45673</v>
      </c>
      <c r="Z694" s="3" t="n"/>
      <c r="AA694" s="17">
        <f>IF(RawDataGenPO[[#This Row],[Date Gen PO]]="","",RawDataGenPO[[#This Row],[Date recive bill]]-RawDataGenPO[[#This Row],[Date Gen PO]])</f>
        <v/>
      </c>
      <c r="AB694" s="16">
        <f>IF(RawDataGenPO[[#This Row],[GRN-PO date]]&gt;RawDataGenPO[[#This Row],[Lead time delivery (day)]],"over deliverry","Ontime")</f>
        <v/>
      </c>
      <c r="AC694" s="22" t="n"/>
    </row>
    <row r="695" ht="15" customFormat="1" customHeight="1" s="125">
      <c r="A695" s="5">
        <f>ROW()-ROW(RawDataGenPO[[#Headers],[No.]])</f>
        <v/>
      </c>
      <c r="B695" s="7" t="inlineStr">
        <is>
          <t>Expent  cost</t>
        </is>
      </c>
      <c r="C695" s="301" t="n">
        <v>45624</v>
      </c>
      <c r="D695" s="276" t="n"/>
      <c r="E695" s="281" t="n"/>
      <c r="F695" s="301" t="n">
        <v>45624</v>
      </c>
      <c r="G695" s="5" t="inlineStr">
        <is>
          <t>PR2425-04666</t>
        </is>
      </c>
      <c r="H695" s="5" t="inlineStr">
        <is>
          <t>PO2425-05307</t>
        </is>
      </c>
      <c r="I695" s="290">
        <f>IF(RawDataGenPO[[#This Row],[PO No.]]="","",RawDataGenPO[[#This Row],[DMY Create PR]]+7)</f>
        <v/>
      </c>
      <c r="J695" s="290" t="n"/>
      <c r="K695" s="20" t="n">
        <v>45</v>
      </c>
      <c r="L695" s="5" t="inlineStr">
        <is>
          <t>SFST81000064</t>
        </is>
      </c>
      <c r="M695" s="7" t="inlineStr">
        <is>
          <t>Fire alarm system</t>
        </is>
      </c>
      <c r="N695" s="7" t="inlineStr">
        <is>
          <t>Inspect cost</t>
        </is>
      </c>
      <c r="O695" s="5" t="n">
        <v>4</v>
      </c>
      <c r="P695" s="10" t="inlineStr">
        <is>
          <t>PM Program (Operation Test) Operation Test (2nd time of the year)</t>
        </is>
      </c>
      <c r="Q695" s="277" t="n">
        <v>1</v>
      </c>
      <c r="R695" s="5" t="inlineStr">
        <is>
          <t>PCS.</t>
        </is>
      </c>
      <c r="S695" s="292">
        <f>RawDataGenPO[[#This Row],[Total price]]/RawDataGenPO[[#This Row],[Qty'']]</f>
        <v/>
      </c>
      <c r="T695" s="278" t="n">
        <v>9500</v>
      </c>
      <c r="U695" s="291" t="n"/>
      <c r="V695" s="7" t="inlineStr">
        <is>
          <t xml:space="preserve"> V1000728 - SAITHONG ENGINEERING COMPANY LIMITED</t>
        </is>
      </c>
      <c r="W695" s="30" t="inlineStr">
        <is>
          <t>Recive bill and GRN already</t>
        </is>
      </c>
      <c r="X695" s="5" t="inlineStr">
        <is>
          <t>GRN2425-0006496</t>
        </is>
      </c>
      <c r="Y695" s="3" t="n">
        <v>45673</v>
      </c>
      <c r="Z695" s="3" t="n"/>
      <c r="AA695" s="17">
        <f>IF(RawDataGenPO[[#This Row],[Date Gen PO]]="","",RawDataGenPO[[#This Row],[Date recive bill]]-RawDataGenPO[[#This Row],[Date Gen PO]])</f>
        <v/>
      </c>
      <c r="AB695" s="16">
        <f>IF(RawDataGenPO[[#This Row],[GRN-PO date]]&gt;RawDataGenPO[[#This Row],[Lead time delivery (day)]],"over deliverry","Ontime")</f>
        <v/>
      </c>
      <c r="AC695" s="22" t="n"/>
    </row>
    <row r="696" ht="15" customFormat="1" customHeight="1" s="125">
      <c r="A696" s="5">
        <f>ROW()-ROW(RawDataGenPO[[#Headers],[No.]])</f>
        <v/>
      </c>
      <c r="B696" s="7" t="inlineStr">
        <is>
          <t>Expent  cost</t>
        </is>
      </c>
      <c r="C696" s="301" t="n">
        <v>45624</v>
      </c>
      <c r="D696" s="276" t="n"/>
      <c r="E696" s="281" t="n"/>
      <c r="F696" s="301" t="n">
        <v>45624</v>
      </c>
      <c r="G696" s="5" t="inlineStr">
        <is>
          <t>PR2425-04666</t>
        </is>
      </c>
      <c r="H696" s="5" t="inlineStr">
        <is>
          <t>PO2425-05307</t>
        </is>
      </c>
      <c r="I696" s="290">
        <f>IF(RawDataGenPO[[#This Row],[PO No.]]="","",RawDataGenPO[[#This Row],[DMY Create PR]]+7)</f>
        <v/>
      </c>
      <c r="J696" s="290" t="n"/>
      <c r="K696" s="20" t="n">
        <v>45</v>
      </c>
      <c r="L696" s="5" t="inlineStr">
        <is>
          <t>SFST81000064</t>
        </is>
      </c>
      <c r="M696" s="7" t="inlineStr">
        <is>
          <t>Fire alarm system</t>
        </is>
      </c>
      <c r="N696" s="7" t="inlineStr">
        <is>
          <t>Inspect cost</t>
        </is>
      </c>
      <c r="O696" s="5" t="n">
        <v>5</v>
      </c>
      <c r="P696" s="10" t="inlineStr">
        <is>
          <t>inspect system Gas Leck Detector Operation Test (2nd time of the year)</t>
        </is>
      </c>
      <c r="Q696" s="277" t="n">
        <v>1</v>
      </c>
      <c r="R696" s="5" t="inlineStr">
        <is>
          <t>PCS.</t>
        </is>
      </c>
      <c r="S696" s="292">
        <f>RawDataGenPO[[#This Row],[Total price]]/RawDataGenPO[[#This Row],[Qty'']]</f>
        <v/>
      </c>
      <c r="T696" s="278" t="n">
        <v>7500</v>
      </c>
      <c r="U696" s="291" t="n"/>
      <c r="V696" s="7" t="inlineStr">
        <is>
          <t xml:space="preserve"> V1000728 - SAITHONG ENGINEERING COMPANY LIMITED</t>
        </is>
      </c>
      <c r="W696" s="30" t="inlineStr">
        <is>
          <t>Recive bill and GRN already</t>
        </is>
      </c>
      <c r="X696" s="5" t="inlineStr">
        <is>
          <t>GRN2425-0006496</t>
        </is>
      </c>
      <c r="Y696" s="3" t="n">
        <v>45673</v>
      </c>
      <c r="Z696" s="3" t="n"/>
      <c r="AA696" s="17">
        <f>IF(RawDataGenPO[[#This Row],[Date Gen PO]]="","",RawDataGenPO[[#This Row],[Date recive bill]]-RawDataGenPO[[#This Row],[Date Gen PO]])</f>
        <v/>
      </c>
      <c r="AB696" s="16">
        <f>IF(RawDataGenPO[[#This Row],[GRN-PO date]]&gt;RawDataGenPO[[#This Row],[Lead time delivery (day)]],"over deliverry","Ontime")</f>
        <v/>
      </c>
      <c r="AC696" s="22" t="n"/>
    </row>
    <row r="697" ht="30" customFormat="1" customHeight="1" s="125">
      <c r="A697" s="5">
        <f>ROW()-ROW(RawDataGenPO[[#Headers],[No.]])</f>
        <v/>
      </c>
      <c r="B697" s="7" t="inlineStr">
        <is>
          <t>Expent  cost</t>
        </is>
      </c>
      <c r="C697" s="301" t="n">
        <v>45624</v>
      </c>
      <c r="D697" s="276" t="n"/>
      <c r="E697" s="281" t="n"/>
      <c r="F697" s="301" t="n">
        <v>45624</v>
      </c>
      <c r="G697" s="5" t="inlineStr">
        <is>
          <t xml:space="preserve">PR2425-04667 </t>
        </is>
      </c>
      <c r="H697" s="5" t="inlineStr">
        <is>
          <t>PO2425-05128</t>
        </is>
      </c>
      <c r="I697" s="290">
        <f>IF(RawDataGenPO[[#This Row],[PO No.]]="","",RawDataGenPO[[#This Row],[DMY Create PR]]+7)</f>
        <v/>
      </c>
      <c r="J697" s="290" t="n"/>
      <c r="K697" s="20" t="n">
        <v>45</v>
      </c>
      <c r="L697" s="5" t="inlineStr">
        <is>
          <t>SFST81000009</t>
        </is>
      </c>
      <c r="M697" s="7" t="inlineStr">
        <is>
          <t>PD Machine</t>
        </is>
      </c>
      <c r="N697" s="7" t="inlineStr">
        <is>
          <t>Machine Spare part</t>
        </is>
      </c>
      <c r="O697" s="11" t="n">
        <v>1</v>
      </c>
      <c r="P697" s="10" t="inlineStr">
        <is>
          <t>Rational" MODEL: SCC WE 202 Sereal no: E22S119032739795 Door gasket</t>
        </is>
      </c>
      <c r="Q697" s="277" t="n">
        <v>2</v>
      </c>
      <c r="R697" s="5" t="inlineStr">
        <is>
          <t>PCS.</t>
        </is>
      </c>
      <c r="S697" s="292">
        <f>RawDataGenPO[[#This Row],[Total price]]/RawDataGenPO[[#This Row],[Qty'']]</f>
        <v/>
      </c>
      <c r="T697" s="278" t="n">
        <v>14250</v>
      </c>
      <c r="U697" s="291" t="n"/>
      <c r="V697" s="7" t="inlineStr">
        <is>
          <t>V1000460 - FIX EVOLUTION CO., LTD.</t>
        </is>
      </c>
      <c r="W697" s="30" t="inlineStr">
        <is>
          <t>Recive bill and GRN already</t>
        </is>
      </c>
      <c r="X697" s="5" t="inlineStr">
        <is>
          <t>GRN2425-0006283</t>
        </is>
      </c>
      <c r="Y697" s="3" t="n">
        <v>45666</v>
      </c>
      <c r="Z697" s="3" t="n"/>
      <c r="AA697" s="17">
        <f>IF(RawDataGenPO[[#This Row],[Date Gen PO]]="","",RawDataGenPO[[#This Row],[Date recive bill]]-RawDataGenPO[[#This Row],[Date Gen PO]])</f>
        <v/>
      </c>
      <c r="AB697" s="16">
        <f>IF(RawDataGenPO[[#This Row],[GRN-PO date]]&gt;RawDataGenPO[[#This Row],[Lead time delivery (day)]],"over deliverry","Ontime")</f>
        <v/>
      </c>
      <c r="AC697" s="22" t="n"/>
    </row>
    <row r="698" ht="30" customFormat="1" customHeight="1" s="125">
      <c r="A698" s="5">
        <f>ROW()-ROW(RawDataGenPO[[#Headers],[No.]])</f>
        <v/>
      </c>
      <c r="B698" s="7" t="inlineStr">
        <is>
          <t>Expent  cost</t>
        </is>
      </c>
      <c r="C698" s="301" t="n">
        <v>45624</v>
      </c>
      <c r="D698" s="276" t="n"/>
      <c r="E698" s="281" t="n"/>
      <c r="F698" s="301" t="n">
        <v>45624</v>
      </c>
      <c r="G698" s="5" t="inlineStr">
        <is>
          <t xml:space="preserve">PR2425-04667 </t>
        </is>
      </c>
      <c r="H698" s="5" t="inlineStr">
        <is>
          <t>PO2425-05128</t>
        </is>
      </c>
      <c r="I698" s="290">
        <f>IF(RawDataGenPO[[#This Row],[PO No.]]="","",RawDataGenPO[[#This Row],[DMY Create PR]]+7)</f>
        <v/>
      </c>
      <c r="J698" s="290" t="n"/>
      <c r="K698" s="20" t="n">
        <v>45</v>
      </c>
      <c r="L698" s="5" t="inlineStr">
        <is>
          <t>SFST81000009</t>
        </is>
      </c>
      <c r="M698" s="7" t="inlineStr">
        <is>
          <t>PD Machine</t>
        </is>
      </c>
      <c r="N698" s="7" t="inlineStr">
        <is>
          <t>Machine Spare part</t>
        </is>
      </c>
      <c r="O698" s="5" t="n">
        <v>2</v>
      </c>
      <c r="P698" s="10" t="inlineStr">
        <is>
          <t>"Rational" MODEL: SCC WE 202 Sereal no: E225119032739795 Air Inlet filter</t>
        </is>
      </c>
      <c r="Q698" s="277" t="n">
        <v>4</v>
      </c>
      <c r="R698" s="5" t="inlineStr">
        <is>
          <t>PCS.</t>
        </is>
      </c>
      <c r="S698" s="292">
        <f>RawDataGenPO[[#This Row],[Total price]]/RawDataGenPO[[#This Row],[Qty'']]</f>
        <v/>
      </c>
      <c r="T698" s="278" t="n">
        <v>2850</v>
      </c>
      <c r="U698" s="291" t="n"/>
      <c r="V698" s="7" t="inlineStr">
        <is>
          <t>V1000460 - FIX EVOLUTION CO., LTD.</t>
        </is>
      </c>
      <c r="W698" s="30" t="inlineStr">
        <is>
          <t>Recive bill and GRN already</t>
        </is>
      </c>
      <c r="X698" s="5" t="inlineStr">
        <is>
          <t>GRN2425-0006283</t>
        </is>
      </c>
      <c r="Y698" s="3" t="n">
        <v>45666</v>
      </c>
      <c r="Z698" s="3" t="n"/>
      <c r="AA698" s="17">
        <f>IF(RawDataGenPO[[#This Row],[Date Gen PO]]="","",RawDataGenPO[[#This Row],[Date recive bill]]-RawDataGenPO[[#This Row],[Date Gen PO]])</f>
        <v/>
      </c>
      <c r="AB698" s="16">
        <f>IF(RawDataGenPO[[#This Row],[GRN-PO date]]&gt;RawDataGenPO[[#This Row],[Lead time delivery (day)]],"over deliverry","Ontime")</f>
        <v/>
      </c>
      <c r="AC698" s="22" t="n"/>
    </row>
    <row r="699" ht="30" customFormat="1" customHeight="1" s="125">
      <c r="A699" s="5">
        <f>ROW()-ROW(RawDataGenPO[[#Headers],[No.]])</f>
        <v/>
      </c>
      <c r="B699" s="7" t="inlineStr">
        <is>
          <t>Expent  cost</t>
        </is>
      </c>
      <c r="C699" s="301" t="n">
        <v>45624</v>
      </c>
      <c r="D699" s="276" t="n"/>
      <c r="E699" s="281" t="n"/>
      <c r="F699" s="301" t="n">
        <v>45624</v>
      </c>
      <c r="G699" s="5" t="inlineStr">
        <is>
          <t xml:space="preserve">PR2425-04667 </t>
        </is>
      </c>
      <c r="H699" s="5" t="inlineStr">
        <is>
          <t>PO2425-05128</t>
        </is>
      </c>
      <c r="I699" s="290">
        <f>IF(RawDataGenPO[[#This Row],[PO No.]]="","",RawDataGenPO[[#This Row],[DMY Create PR]]+7)</f>
        <v/>
      </c>
      <c r="J699" s="290" t="n"/>
      <c r="K699" s="20" t="n">
        <v>45</v>
      </c>
      <c r="L699" s="5" t="inlineStr">
        <is>
          <t>SFST81000009</t>
        </is>
      </c>
      <c r="M699" s="7" t="inlineStr">
        <is>
          <t>PD Machine</t>
        </is>
      </c>
      <c r="N699" s="7" t="inlineStr">
        <is>
          <t>Machine Spare part</t>
        </is>
      </c>
      <c r="O699" s="11" t="n">
        <v>3</v>
      </c>
      <c r="P699" s="10" t="inlineStr">
        <is>
          <t>"Rational" MODEL: ICOMBI PRO Sereal no: E22SJ23013033144 Door gasket</t>
        </is>
      </c>
      <c r="Q699" s="277" t="n">
        <v>2</v>
      </c>
      <c r="R699" s="5" t="inlineStr">
        <is>
          <t>PCS.</t>
        </is>
      </c>
      <c r="S699" s="292">
        <f>RawDataGenPO[[#This Row],[Total price]]/RawDataGenPO[[#This Row],[Qty'']]</f>
        <v/>
      </c>
      <c r="T699" s="278" t="n">
        <v>14250</v>
      </c>
      <c r="U699" s="291" t="n"/>
      <c r="V699" s="7" t="inlineStr">
        <is>
          <t>V1000460 - FIX EVOLUTION CO., LTD.</t>
        </is>
      </c>
      <c r="W699" s="30" t="inlineStr">
        <is>
          <t>Recive bill and GRN already</t>
        </is>
      </c>
      <c r="X699" s="5" t="inlineStr">
        <is>
          <t>GRN2425-0006283</t>
        </is>
      </c>
      <c r="Y699" s="3" t="n">
        <v>45666</v>
      </c>
      <c r="Z699" s="3" t="n"/>
      <c r="AA699" s="17">
        <f>IF(RawDataGenPO[[#This Row],[Date Gen PO]]="","",RawDataGenPO[[#This Row],[Date recive bill]]-RawDataGenPO[[#This Row],[Date Gen PO]])</f>
        <v/>
      </c>
      <c r="AB699" s="16">
        <f>IF(RawDataGenPO[[#This Row],[GRN-PO date]]&gt;RawDataGenPO[[#This Row],[Lead time delivery (day)]],"over deliverry","Ontime")</f>
        <v/>
      </c>
      <c r="AC699" s="22" t="n"/>
    </row>
    <row r="700" ht="30" customFormat="1" customHeight="1" s="125">
      <c r="A700" s="5">
        <f>ROW()-ROW(RawDataGenPO[[#Headers],[No.]])</f>
        <v/>
      </c>
      <c r="B700" s="7" t="inlineStr">
        <is>
          <t>Expent  cost</t>
        </is>
      </c>
      <c r="C700" s="301" t="n">
        <v>45624</v>
      </c>
      <c r="D700" s="276" t="n"/>
      <c r="E700" s="281" t="n"/>
      <c r="F700" s="301" t="n">
        <v>45624</v>
      </c>
      <c r="G700" s="5" t="inlineStr">
        <is>
          <t xml:space="preserve">PR2425-04667 </t>
        </is>
      </c>
      <c r="H700" s="5" t="inlineStr">
        <is>
          <t>PO2425-05128</t>
        </is>
      </c>
      <c r="I700" s="290">
        <f>IF(RawDataGenPO[[#This Row],[PO No.]]="","",RawDataGenPO[[#This Row],[DMY Create PR]]+7)</f>
        <v/>
      </c>
      <c r="J700" s="290" t="n"/>
      <c r="K700" s="20" t="n">
        <v>45</v>
      </c>
      <c r="L700" s="5" t="inlineStr">
        <is>
          <t>SFST81000009</t>
        </is>
      </c>
      <c r="M700" s="7" t="inlineStr">
        <is>
          <t>PD Machine</t>
        </is>
      </c>
      <c r="N700" s="7" t="inlineStr">
        <is>
          <t>Machine Spare part</t>
        </is>
      </c>
      <c r="O700" s="5" t="n">
        <v>4</v>
      </c>
      <c r="P700" s="10" t="inlineStr">
        <is>
          <t>"Rational" MODEL: ICOMBI PRO Sereal no: E22SJ23013033144 AIR INLET FILTER</t>
        </is>
      </c>
      <c r="Q700" s="277" t="n">
        <v>2</v>
      </c>
      <c r="R700" s="5" t="inlineStr">
        <is>
          <t>PCS.</t>
        </is>
      </c>
      <c r="S700" s="292">
        <f>RawDataGenPO[[#This Row],[Total price]]/RawDataGenPO[[#This Row],[Qty'']]</f>
        <v/>
      </c>
      <c r="T700" s="278" t="n">
        <v>2280</v>
      </c>
      <c r="U700" s="291" t="n"/>
      <c r="V700" s="7" t="inlineStr">
        <is>
          <t>V1000460 - FIX EVOLUTION CO., LTD.</t>
        </is>
      </c>
      <c r="W700" s="30" t="inlineStr">
        <is>
          <t>Recive bill and GRN already</t>
        </is>
      </c>
      <c r="X700" s="5" t="inlineStr">
        <is>
          <t>GRN2425-0006283</t>
        </is>
      </c>
      <c r="Y700" s="3" t="n">
        <v>45666</v>
      </c>
      <c r="Z700" s="3" t="n"/>
      <c r="AA700" s="17">
        <f>IF(RawDataGenPO[[#This Row],[Date Gen PO]]="","",RawDataGenPO[[#This Row],[Date recive bill]]-RawDataGenPO[[#This Row],[Date Gen PO]])</f>
        <v/>
      </c>
      <c r="AB700" s="16">
        <f>IF(RawDataGenPO[[#This Row],[GRN-PO date]]&gt;RawDataGenPO[[#This Row],[Lead time delivery (day)]],"over deliverry","Ontime")</f>
        <v/>
      </c>
      <c r="AC700" s="22" t="n"/>
    </row>
    <row r="701" ht="30" customFormat="1" customHeight="1" s="125">
      <c r="A701" s="5">
        <f>ROW()-ROW(RawDataGenPO[[#Headers],[No.]])</f>
        <v/>
      </c>
      <c r="B701" s="7" t="inlineStr">
        <is>
          <t>Expent  cost</t>
        </is>
      </c>
      <c r="C701" s="301" t="n">
        <v>45624</v>
      </c>
      <c r="D701" s="276" t="n"/>
      <c r="E701" s="281" t="n"/>
      <c r="F701" s="301" t="n">
        <v>45624</v>
      </c>
      <c r="G701" s="5" t="inlineStr">
        <is>
          <t xml:space="preserve">PR2425-04667 </t>
        </is>
      </c>
      <c r="H701" s="5" t="inlineStr">
        <is>
          <t>PO2425-05128</t>
        </is>
      </c>
      <c r="I701" s="290">
        <f>IF(RawDataGenPO[[#This Row],[PO No.]]="","",RawDataGenPO[[#This Row],[DMY Create PR]]+7)</f>
        <v/>
      </c>
      <c r="J701" s="290" t="n"/>
      <c r="K701" s="20" t="n">
        <v>45</v>
      </c>
      <c r="L701" s="5" t="inlineStr">
        <is>
          <t>SFST81000009</t>
        </is>
      </c>
      <c r="M701" s="7" t="inlineStr">
        <is>
          <t>PD Machine</t>
        </is>
      </c>
      <c r="N701" s="7" t="inlineStr">
        <is>
          <t>Machine Spare part</t>
        </is>
      </c>
      <c r="O701" s="5" t="n">
        <v>5</v>
      </c>
      <c r="P701" s="10" t="inlineStr">
        <is>
          <t>"Rational" MODEL: ICOMBI PRO Sereal no: E22SJ23013033144 Gasket glass pane/trolly</t>
        </is>
      </c>
      <c r="Q701" s="277" t="n">
        <v>2</v>
      </c>
      <c r="R701" s="5" t="inlineStr">
        <is>
          <t>PCS.</t>
        </is>
      </c>
      <c r="S701" s="292">
        <f>RawDataGenPO[[#This Row],[Total price]]/RawDataGenPO[[#This Row],[Qty'']]</f>
        <v/>
      </c>
      <c r="T701" s="278" t="n">
        <v>7980</v>
      </c>
      <c r="U701" s="291" t="n"/>
      <c r="V701" s="7" t="inlineStr">
        <is>
          <t>V1000460 - FIX EVOLUTION CO., LTD.</t>
        </is>
      </c>
      <c r="W701" s="30" t="inlineStr">
        <is>
          <t>Recive bill and GRN already</t>
        </is>
      </c>
      <c r="X701" s="5" t="inlineStr">
        <is>
          <t>GRN2425-0006283</t>
        </is>
      </c>
      <c r="Y701" s="3" t="n">
        <v>45666</v>
      </c>
      <c r="Z701" s="3" t="n"/>
      <c r="AA701" s="17">
        <f>IF(RawDataGenPO[[#This Row],[Date Gen PO]]="","",RawDataGenPO[[#This Row],[Date recive bill]]-RawDataGenPO[[#This Row],[Date Gen PO]])</f>
        <v/>
      </c>
      <c r="AB701" s="16">
        <f>IF(RawDataGenPO[[#This Row],[GRN-PO date]]&gt;RawDataGenPO[[#This Row],[Lead time delivery (day)]],"over deliverry","Ontime")</f>
        <v/>
      </c>
      <c r="AC701" s="22" t="n"/>
    </row>
    <row r="702" ht="30" customFormat="1" customHeight="1" s="125">
      <c r="A702" s="5">
        <f>ROW()-ROW(RawDataGenPO[[#Headers],[No.]])</f>
        <v/>
      </c>
      <c r="B702" s="7" t="inlineStr">
        <is>
          <t>Expent  cost</t>
        </is>
      </c>
      <c r="C702" s="301" t="n">
        <v>45624</v>
      </c>
      <c r="D702" s="276" t="n"/>
      <c r="E702" s="281" t="n"/>
      <c r="F702" s="301" t="n">
        <v>45624</v>
      </c>
      <c r="G702" s="5" t="inlineStr">
        <is>
          <t xml:space="preserve">PR2425-04667 </t>
        </is>
      </c>
      <c r="H702" s="5" t="inlineStr">
        <is>
          <t>PO2425-05128</t>
        </is>
      </c>
      <c r="I702" s="290">
        <f>IF(RawDataGenPO[[#This Row],[PO No.]]="","",RawDataGenPO[[#This Row],[DMY Create PR]]+7)</f>
        <v/>
      </c>
      <c r="J702" s="290" t="n"/>
      <c r="K702" s="20" t="n">
        <v>45</v>
      </c>
      <c r="L702" s="5" t="inlineStr">
        <is>
          <t>SFST81000009</t>
        </is>
      </c>
      <c r="M702" s="7" t="inlineStr">
        <is>
          <t>PD Machine</t>
        </is>
      </c>
      <c r="N702" s="7" t="inlineStr">
        <is>
          <t>Machine Spare part</t>
        </is>
      </c>
      <c r="O702" s="11" t="n">
        <v>6</v>
      </c>
      <c r="P702" s="10" t="inlineStr">
        <is>
          <t>"Rational" MODEL: SCC WE 202 Sereal no: E22SI19032734036 Door gasket</t>
        </is>
      </c>
      <c r="Q702" s="277" t="n">
        <v>2</v>
      </c>
      <c r="R702" s="5" t="inlineStr">
        <is>
          <t>PCS.</t>
        </is>
      </c>
      <c r="S702" s="292">
        <f>RawDataGenPO[[#This Row],[Total price]]/RawDataGenPO[[#This Row],[Qty'']]</f>
        <v/>
      </c>
      <c r="T702" s="278" t="n">
        <v>14250</v>
      </c>
      <c r="U702" s="291" t="n"/>
      <c r="V702" s="7" t="inlineStr">
        <is>
          <t>V1000460 - FIX EVOLUTION CO., LTD.</t>
        </is>
      </c>
      <c r="W702" s="30" t="inlineStr">
        <is>
          <t>Recive bill and GRN already</t>
        </is>
      </c>
      <c r="X702" s="5" t="inlineStr">
        <is>
          <t>GRN2425-0006283</t>
        </is>
      </c>
      <c r="Y702" s="3" t="n">
        <v>45666</v>
      </c>
      <c r="Z702" s="3" t="n"/>
      <c r="AA702" s="17">
        <f>IF(RawDataGenPO[[#This Row],[Date Gen PO]]="","",RawDataGenPO[[#This Row],[Date recive bill]]-RawDataGenPO[[#This Row],[Date Gen PO]])</f>
        <v/>
      </c>
      <c r="AB702" s="16">
        <f>IF(RawDataGenPO[[#This Row],[GRN-PO date]]&gt;RawDataGenPO[[#This Row],[Lead time delivery (day)]],"over deliverry","Ontime")</f>
        <v/>
      </c>
      <c r="AC702" s="22" t="n"/>
    </row>
    <row r="703" ht="30" customFormat="1" customHeight="1" s="125">
      <c r="A703" s="5">
        <f>ROW()-ROW(RawDataGenPO[[#Headers],[No.]])</f>
        <v/>
      </c>
      <c r="B703" s="7" t="inlineStr">
        <is>
          <t>Expent  cost</t>
        </is>
      </c>
      <c r="C703" s="301" t="n">
        <v>45624</v>
      </c>
      <c r="D703" s="276" t="n"/>
      <c r="E703" s="281" t="n"/>
      <c r="F703" s="301" t="n">
        <v>45624</v>
      </c>
      <c r="G703" s="5" t="inlineStr">
        <is>
          <t xml:space="preserve">PR2425-04667 </t>
        </is>
      </c>
      <c r="H703" s="5" t="inlineStr">
        <is>
          <t>PO2425-05128</t>
        </is>
      </c>
      <c r="I703" s="290">
        <f>IF(RawDataGenPO[[#This Row],[PO No.]]="","",RawDataGenPO[[#This Row],[DMY Create PR]]+7)</f>
        <v/>
      </c>
      <c r="J703" s="290" t="n"/>
      <c r="K703" s="20" t="n">
        <v>45</v>
      </c>
      <c r="L703" s="5" t="inlineStr">
        <is>
          <t>SFST81000009</t>
        </is>
      </c>
      <c r="M703" s="7" t="inlineStr">
        <is>
          <t>PD Machine</t>
        </is>
      </c>
      <c r="N703" s="7" t="inlineStr">
        <is>
          <t>Machine Spare part</t>
        </is>
      </c>
      <c r="O703" s="5" t="n">
        <v>7</v>
      </c>
      <c r="P703" s="10" t="inlineStr">
        <is>
          <t>"Rational" MODEL: SCC WE 202 Sereal no: E225119032734036 Air Inlet filter</t>
        </is>
      </c>
      <c r="Q703" s="277" t="n">
        <v>4</v>
      </c>
      <c r="R703" s="5" t="inlineStr">
        <is>
          <t>PCS.</t>
        </is>
      </c>
      <c r="S703" s="292">
        <f>RawDataGenPO[[#This Row],[Total price]]/RawDataGenPO[[#This Row],[Qty'']]</f>
        <v/>
      </c>
      <c r="T703" s="278" t="n">
        <v>2850</v>
      </c>
      <c r="U703" s="291" t="n"/>
      <c r="V703" s="7" t="inlineStr">
        <is>
          <t>V1000460 - FIX EVOLUTION CO., LTD.</t>
        </is>
      </c>
      <c r="W703" s="30" t="inlineStr">
        <is>
          <t>Recive bill and GRN already</t>
        </is>
      </c>
      <c r="X703" s="5" t="inlineStr">
        <is>
          <t>GRN2425-0006283</t>
        </is>
      </c>
      <c r="Y703" s="3" t="n">
        <v>45666</v>
      </c>
      <c r="Z703" s="3" t="n"/>
      <c r="AA703" s="17">
        <f>IF(RawDataGenPO[[#This Row],[Date Gen PO]]="","",RawDataGenPO[[#This Row],[Date recive bill]]-RawDataGenPO[[#This Row],[Date Gen PO]])</f>
        <v/>
      </c>
      <c r="AB703" s="16">
        <f>IF(RawDataGenPO[[#This Row],[GRN-PO date]]&gt;RawDataGenPO[[#This Row],[Lead time delivery (day)]],"over deliverry","Ontime")</f>
        <v/>
      </c>
      <c r="AC703" s="22" t="n"/>
    </row>
    <row r="704" ht="30" customFormat="1" customHeight="1" s="125">
      <c r="A704" s="5">
        <f>ROW()-ROW(RawDataGenPO[[#Headers],[No.]])</f>
        <v/>
      </c>
      <c r="B704" s="7" t="inlineStr">
        <is>
          <t>Expent  cost</t>
        </is>
      </c>
      <c r="C704" s="301" t="n">
        <v>45624</v>
      </c>
      <c r="D704" s="276" t="n"/>
      <c r="E704" s="281" t="n"/>
      <c r="F704" s="301" t="n">
        <v>45624</v>
      </c>
      <c r="G704" s="5" t="inlineStr">
        <is>
          <t xml:space="preserve">PR2425-04667 </t>
        </is>
      </c>
      <c r="H704" s="5" t="inlineStr">
        <is>
          <t>PO2425-05128</t>
        </is>
      </c>
      <c r="I704" s="290">
        <f>IF(RawDataGenPO[[#This Row],[PO No.]]="","",RawDataGenPO[[#This Row],[DMY Create PR]]+7)</f>
        <v/>
      </c>
      <c r="J704" s="290" t="n"/>
      <c r="K704" s="20" t="n">
        <v>45</v>
      </c>
      <c r="L704" s="5" t="inlineStr">
        <is>
          <t>SFST81000009</t>
        </is>
      </c>
      <c r="M704" s="7" t="inlineStr">
        <is>
          <t>PD Machine</t>
        </is>
      </c>
      <c r="N704" s="7" t="inlineStr">
        <is>
          <t>Machine Spare part</t>
        </is>
      </c>
      <c r="O704" s="11" t="n">
        <v>8</v>
      </c>
      <c r="P704" s="10" t="inlineStr">
        <is>
          <t>Rational MODEL: ICOMBI PRO Sereal no: E22SJ23083078215 Door gasket</t>
        </is>
      </c>
      <c r="Q704" s="277" t="n">
        <v>2</v>
      </c>
      <c r="R704" s="5" t="inlineStr">
        <is>
          <t>PCS.</t>
        </is>
      </c>
      <c r="S704" s="292">
        <f>RawDataGenPO[[#This Row],[Total price]]/RawDataGenPO[[#This Row],[Qty'']]</f>
        <v/>
      </c>
      <c r="T704" s="278" t="n">
        <v>14250</v>
      </c>
      <c r="U704" s="291" t="n"/>
      <c r="V704" s="7" t="inlineStr">
        <is>
          <t>V1000460 - FIX EVOLUTION CO., LTD.</t>
        </is>
      </c>
      <c r="W704" s="30" t="inlineStr">
        <is>
          <t>Recive bill and GRN already</t>
        </is>
      </c>
      <c r="X704" s="5" t="inlineStr">
        <is>
          <t>GRN2425-0006283</t>
        </is>
      </c>
      <c r="Y704" s="3" t="n">
        <v>45666</v>
      </c>
      <c r="Z704" s="3" t="n"/>
      <c r="AA704" s="17">
        <f>IF(RawDataGenPO[[#This Row],[Date Gen PO]]="","",RawDataGenPO[[#This Row],[Date recive bill]]-RawDataGenPO[[#This Row],[Date Gen PO]])</f>
        <v/>
      </c>
      <c r="AB704" s="16">
        <f>IF(RawDataGenPO[[#This Row],[GRN-PO date]]&gt;RawDataGenPO[[#This Row],[Lead time delivery (day)]],"over deliverry","Ontime")</f>
        <v/>
      </c>
      <c r="AC704" s="22" t="n"/>
    </row>
    <row r="705" ht="32.09999847412109" customFormat="1" customHeight="1" s="125">
      <c r="A705" s="5">
        <f>ROW()-ROW(RawDataGenPO[[#Headers],[No.]])</f>
        <v/>
      </c>
      <c r="B705" s="7" t="inlineStr">
        <is>
          <t>Expent  cost</t>
        </is>
      </c>
      <c r="C705" s="301" t="n">
        <v>45624</v>
      </c>
      <c r="D705" s="276" t="n"/>
      <c r="E705" s="281" t="n"/>
      <c r="F705" s="301" t="n">
        <v>45624</v>
      </c>
      <c r="G705" s="5" t="inlineStr">
        <is>
          <t xml:space="preserve">PR2425-04667 </t>
        </is>
      </c>
      <c r="H705" s="5" t="inlineStr">
        <is>
          <t>PO2425-05128</t>
        </is>
      </c>
      <c r="I705" s="290">
        <f>IF(RawDataGenPO[[#This Row],[PO No.]]="","",RawDataGenPO[[#This Row],[DMY Create PR]]+7)</f>
        <v/>
      </c>
      <c r="J705" s="290" t="n"/>
      <c r="K705" s="20" t="n">
        <v>45</v>
      </c>
      <c r="L705" s="5" t="inlineStr">
        <is>
          <t>SFST81000009</t>
        </is>
      </c>
      <c r="M705" s="7" t="inlineStr">
        <is>
          <t>PD Machine</t>
        </is>
      </c>
      <c r="N705" s="7" t="inlineStr">
        <is>
          <t>Machine Spare part</t>
        </is>
      </c>
      <c r="O705" s="5" t="n">
        <v>9</v>
      </c>
      <c r="P705" s="10" t="inlineStr">
        <is>
          <t>"Rational" MODEL: ICOMBI PRO Sereal -no: E22SJ23083078215 AIR INLET FILTER</t>
        </is>
      </c>
      <c r="Q705" s="277" t="n">
        <v>2</v>
      </c>
      <c r="R705" s="5" t="inlineStr">
        <is>
          <t>PCS.</t>
        </is>
      </c>
      <c r="S705" s="292">
        <f>RawDataGenPO[[#This Row],[Total price]]/RawDataGenPO[[#This Row],[Qty'']]</f>
        <v/>
      </c>
      <c r="T705" s="278" t="n">
        <v>2280</v>
      </c>
      <c r="U705" s="291" t="n"/>
      <c r="V705" s="7" t="inlineStr">
        <is>
          <t>V1000460 - FIX EVOLUTION CO., LTD.</t>
        </is>
      </c>
      <c r="W705" s="30" t="inlineStr">
        <is>
          <t>Recive bill and GRN already</t>
        </is>
      </c>
      <c r="X705" s="5" t="inlineStr">
        <is>
          <t>GRN2425-0006283</t>
        </is>
      </c>
      <c r="Y705" s="3" t="n">
        <v>45666</v>
      </c>
      <c r="Z705" s="3" t="n"/>
      <c r="AA705" s="17">
        <f>IF(RawDataGenPO[[#This Row],[Date Gen PO]]="","",RawDataGenPO[[#This Row],[Date recive bill]]-RawDataGenPO[[#This Row],[Date Gen PO]])</f>
        <v/>
      </c>
      <c r="AB705" s="16">
        <f>IF(RawDataGenPO[[#This Row],[GRN-PO date]]&gt;RawDataGenPO[[#This Row],[Lead time delivery (day)]],"over deliverry","Ontime")</f>
        <v/>
      </c>
      <c r="AC705" s="22" t="n"/>
    </row>
    <row r="706" ht="32.09999847412109" customFormat="1" customHeight="1" s="125">
      <c r="A706" s="5">
        <f>ROW()-ROW(RawDataGenPO[[#Headers],[No.]])</f>
        <v/>
      </c>
      <c r="B706" s="7" t="inlineStr">
        <is>
          <t>Expent  cost</t>
        </is>
      </c>
      <c r="C706" s="301" t="n">
        <v>45624</v>
      </c>
      <c r="D706" s="276" t="n"/>
      <c r="E706" s="281" t="n"/>
      <c r="F706" s="301" t="n">
        <v>45624</v>
      </c>
      <c r="G706" s="5" t="inlineStr">
        <is>
          <t xml:space="preserve">PR2425-04667 </t>
        </is>
      </c>
      <c r="H706" s="5" t="inlineStr">
        <is>
          <t>PO2425-05128</t>
        </is>
      </c>
      <c r="I706" s="290">
        <f>IF(RawDataGenPO[[#This Row],[PO No.]]="","",RawDataGenPO[[#This Row],[DMY Create PR]]+7)</f>
        <v/>
      </c>
      <c r="J706" s="290" t="n"/>
      <c r="K706" s="20" t="n">
        <v>45</v>
      </c>
      <c r="L706" s="5" t="inlineStr">
        <is>
          <t>SFST81000009</t>
        </is>
      </c>
      <c r="M706" s="7" t="inlineStr">
        <is>
          <t>PD Machine</t>
        </is>
      </c>
      <c r="N706" s="7" t="inlineStr">
        <is>
          <t>Machine Spare part</t>
        </is>
      </c>
      <c r="O706" s="5" t="n">
        <v>10</v>
      </c>
      <c r="P706" s="10" t="inlineStr">
        <is>
          <t>"Rational" MODEL: ICOMBI PRO Sereal -no: E22SJ23083078215 Gasket glass pane/trolly</t>
        </is>
      </c>
      <c r="Q706" s="277" t="n">
        <v>2</v>
      </c>
      <c r="R706" s="5" t="inlineStr">
        <is>
          <t>PCS.</t>
        </is>
      </c>
      <c r="S706" s="292">
        <f>RawDataGenPO[[#This Row],[Total price]]/RawDataGenPO[[#This Row],[Qty'']]</f>
        <v/>
      </c>
      <c r="T706" s="278" t="n">
        <v>7980</v>
      </c>
      <c r="U706" s="291" t="n"/>
      <c r="V706" s="7" t="inlineStr">
        <is>
          <t>V1000460 - FIX EVOLUTION CO., LTD.</t>
        </is>
      </c>
      <c r="W706" s="30" t="inlineStr">
        <is>
          <t>Recive bill and GRN already</t>
        </is>
      </c>
      <c r="X706" s="5" t="inlineStr">
        <is>
          <t>GRN2425-0006283</t>
        </is>
      </c>
      <c r="Y706" s="3" t="n">
        <v>45666</v>
      </c>
      <c r="Z706" s="3" t="n"/>
      <c r="AA706" s="17">
        <f>IF(RawDataGenPO[[#This Row],[Date Gen PO]]="","",RawDataGenPO[[#This Row],[Date recive bill]]-RawDataGenPO[[#This Row],[Date Gen PO]])</f>
        <v/>
      </c>
      <c r="AB706" s="16">
        <f>IF(RawDataGenPO[[#This Row],[GRN-PO date]]&gt;RawDataGenPO[[#This Row],[Lead time delivery (day)]],"over deliverry","Ontime")</f>
        <v/>
      </c>
      <c r="AC706" s="22" t="n"/>
    </row>
    <row r="707" ht="19.5" customFormat="1" customHeight="1" s="125">
      <c r="A707" s="5">
        <f>ROW()-ROW(RawDataGenPO[[#Headers],[No.]])</f>
        <v/>
      </c>
      <c r="B707" s="7" t="inlineStr">
        <is>
          <t>Expent  cost</t>
        </is>
      </c>
      <c r="C707" s="301" t="n">
        <v>45629</v>
      </c>
      <c r="D707" s="276" t="n"/>
      <c r="E707" s="281" t="n"/>
      <c r="F707" s="301" t="n">
        <v>45629</v>
      </c>
      <c r="G707" s="5" t="inlineStr">
        <is>
          <t>PR2425-04700</t>
        </is>
      </c>
      <c r="H707" s="5" t="inlineStr">
        <is>
          <t>PO2425-5294</t>
        </is>
      </c>
      <c r="I707" s="290">
        <f>IF(RawDataGenPO[[#This Row],[PO No.]]="","",RawDataGenPO[[#This Row],[DMY Create PR]]+7)</f>
        <v/>
      </c>
      <c r="J707" s="290" t="n"/>
      <c r="K707" s="20">
        <f>IF(RawDataGenPO[[#This Row],[PO No.]]="","",10)</f>
        <v/>
      </c>
      <c r="L707" s="5" t="inlineStr">
        <is>
          <t>SFST81000048</t>
        </is>
      </c>
      <c r="M707" s="7" t="inlineStr">
        <is>
          <t>PD Machine</t>
        </is>
      </c>
      <c r="N707" s="7" t="inlineStr">
        <is>
          <t>Combi oven No.3</t>
        </is>
      </c>
      <c r="O707" s="11" t="n">
        <v>1</v>
      </c>
      <c r="P707" s="10" t="inlineStr">
        <is>
          <t>42.00.128P SD-memory card</t>
        </is>
      </c>
      <c r="Q707" s="277" t="n">
        <v>1</v>
      </c>
      <c r="R707" s="5" t="inlineStr">
        <is>
          <t>JOB.</t>
        </is>
      </c>
      <c r="S707" s="292">
        <f>RawDataGenPO[[#This Row],[Total price]]/RawDataGenPO[[#This Row],[Qty'']]</f>
        <v/>
      </c>
      <c r="T707" s="278" t="n">
        <v>5700</v>
      </c>
      <c r="U707" s="291" t="n"/>
      <c r="V707" s="7" t="inlineStr">
        <is>
          <t>V1000460 - FIX EVOLUTION CO., LTD.</t>
        </is>
      </c>
      <c r="W707" s="30" t="inlineStr">
        <is>
          <t>Recive bill and GRN already</t>
        </is>
      </c>
      <c r="X707" s="5" t="n"/>
      <c r="Y707" s="3" t="n">
        <v>45642</v>
      </c>
      <c r="Z707" s="3" t="n"/>
      <c r="AA707" s="17">
        <f>IF(RawDataGenPO[[#This Row],[Date Gen PO]]="","",RawDataGenPO[[#This Row],[Date recive bill]]-RawDataGenPO[[#This Row],[Date Gen PO]])</f>
        <v/>
      </c>
      <c r="AB707" s="16">
        <f>IF(RawDataGenPO[[#This Row],[GRN-PO date]]&gt;RawDataGenPO[[#This Row],[Lead time delivery (day)]],"over deliverry","Ontime")</f>
        <v/>
      </c>
      <c r="AC707" s="22" t="n"/>
    </row>
    <row r="708" ht="15" customFormat="1" customHeight="1" s="125">
      <c r="A708" s="5">
        <f>ROW()-ROW(RawDataGenPO[[#Headers],[No.]])</f>
        <v/>
      </c>
      <c r="B708" s="7" t="inlineStr">
        <is>
          <t>Expent  cost</t>
        </is>
      </c>
      <c r="C708" s="301" t="n">
        <v>45629</v>
      </c>
      <c r="D708" s="276" t="n"/>
      <c r="E708" s="281" t="n"/>
      <c r="F708" s="301" t="n">
        <v>45629</v>
      </c>
      <c r="G708" s="5" t="inlineStr">
        <is>
          <t>PR2425-04700</t>
        </is>
      </c>
      <c r="H708" s="5" t="inlineStr">
        <is>
          <t>PO2425-5293</t>
        </is>
      </c>
      <c r="I708" s="290">
        <f>IF(RawDataGenPO[[#This Row],[PO No.]]="","",RawDataGenPO[[#This Row],[DMY Create PR]]+7)</f>
        <v/>
      </c>
      <c r="J708" s="290" t="n"/>
      <c r="K708" s="20">
        <f>IF(RawDataGenPO[[#This Row],[PO No.]]="","",10)</f>
        <v/>
      </c>
      <c r="L708" s="5" t="inlineStr">
        <is>
          <t>SFST81000048</t>
        </is>
      </c>
      <c r="M708" s="7" t="inlineStr">
        <is>
          <t>PD Machine</t>
        </is>
      </c>
      <c r="N708" s="7" t="inlineStr">
        <is>
          <t>Combi oven No.3</t>
        </is>
      </c>
      <c r="O708" s="11" t="n">
        <v>2</v>
      </c>
      <c r="P708" s="10" t="inlineStr">
        <is>
          <t>40.03.772P Transformer f. cooling fan</t>
        </is>
      </c>
      <c r="Q708" s="277" t="n">
        <v>1</v>
      </c>
      <c r="R708" s="5" t="inlineStr">
        <is>
          <t>JOB.</t>
        </is>
      </c>
      <c r="S708" s="292">
        <f>RawDataGenPO[[#This Row],[Total price]]/RawDataGenPO[[#This Row],[Qty'']]</f>
        <v/>
      </c>
      <c r="T708" s="278" t="n">
        <v>5750</v>
      </c>
      <c r="U708" s="291" t="n"/>
      <c r="V708" s="7" t="inlineStr">
        <is>
          <t>V1000460 - FIX EVOLUTION CO., LTD.</t>
        </is>
      </c>
      <c r="W708" s="30" t="inlineStr">
        <is>
          <t>Recive bill and GRN already</t>
        </is>
      </c>
      <c r="X708" s="5" t="n"/>
      <c r="Y708" s="3" t="n">
        <v>45642</v>
      </c>
      <c r="Z708" s="3" t="n"/>
      <c r="AA708" s="17">
        <f>IF(RawDataGenPO[[#This Row],[Date Gen PO]]="","",RawDataGenPO[[#This Row],[Date recive bill]]-RawDataGenPO[[#This Row],[Date Gen PO]])</f>
        <v/>
      </c>
      <c r="AB708" s="16">
        <f>IF(RawDataGenPO[[#This Row],[GRN-PO date]]&gt;RawDataGenPO[[#This Row],[Lead time delivery (day)]],"over deliverry","Ontime")</f>
        <v/>
      </c>
      <c r="AC708" s="22" t="n"/>
    </row>
    <row r="709" ht="15" customFormat="1" customHeight="1" s="125">
      <c r="A709" s="5">
        <f>ROW()-ROW(RawDataGenPO[[#Headers],[No.]])</f>
        <v/>
      </c>
      <c r="B709" s="7" t="inlineStr">
        <is>
          <t>Expent  cost</t>
        </is>
      </c>
      <c r="C709" s="301" t="n">
        <v>45629</v>
      </c>
      <c r="D709" s="276" t="n"/>
      <c r="E709" s="281" t="n"/>
      <c r="F709" s="301" t="n">
        <v>45629</v>
      </c>
      <c r="G709" s="5" t="inlineStr">
        <is>
          <t>PR2425-04700</t>
        </is>
      </c>
      <c r="H709" s="5" t="inlineStr">
        <is>
          <t>PO2425-5293</t>
        </is>
      </c>
      <c r="I709" s="290">
        <f>IF(RawDataGenPO[[#This Row],[PO No.]]="","",RawDataGenPO[[#This Row],[DMY Create PR]]+7)</f>
        <v/>
      </c>
      <c r="J709" s="290" t="n"/>
      <c r="K709" s="20">
        <f>IF(RawDataGenPO[[#This Row],[PO No.]]="","",10)</f>
        <v/>
      </c>
      <c r="L709" s="5" t="inlineStr">
        <is>
          <t>SFST81000048</t>
        </is>
      </c>
      <c r="M709" s="7" t="inlineStr">
        <is>
          <t>PD Machine</t>
        </is>
      </c>
      <c r="N709" s="7" t="inlineStr">
        <is>
          <t>Combi oven No.3</t>
        </is>
      </c>
      <c r="O709" s="11" t="n">
        <v>3</v>
      </c>
      <c r="P709" s="10" t="inlineStr">
        <is>
          <t>40.03.948P Cooling fan with NTC</t>
        </is>
      </c>
      <c r="Q709" s="277" t="n">
        <v>1</v>
      </c>
      <c r="R709" s="5" t="inlineStr">
        <is>
          <t>JOB.</t>
        </is>
      </c>
      <c r="S709" s="292">
        <f>RawDataGenPO[[#This Row],[Total price]]/RawDataGenPO[[#This Row],[Qty'']]</f>
        <v/>
      </c>
      <c r="T709" s="278" t="n">
        <v>8250</v>
      </c>
      <c r="U709" s="291" t="n"/>
      <c r="V709" s="7" t="inlineStr">
        <is>
          <t>V1000460 - FIX EVOLUTION CO., LTD.</t>
        </is>
      </c>
      <c r="W709" s="30" t="inlineStr">
        <is>
          <t>Recive bill and GRN already</t>
        </is>
      </c>
      <c r="X709" s="5" t="n"/>
      <c r="Y709" s="3" t="n">
        <v>45642</v>
      </c>
      <c r="Z709" s="3" t="n"/>
      <c r="AA709" s="17">
        <f>IF(RawDataGenPO[[#This Row],[Date Gen PO]]="","",RawDataGenPO[[#This Row],[Date recive bill]]-RawDataGenPO[[#This Row],[Date Gen PO]])</f>
        <v/>
      </c>
      <c r="AB709" s="16">
        <f>IF(RawDataGenPO[[#This Row],[GRN-PO date]]&gt;RawDataGenPO[[#This Row],[Lead time delivery (day)]],"over deliverry","Ontime")</f>
        <v/>
      </c>
      <c r="AC709" s="22" t="n"/>
    </row>
    <row r="710" ht="15" customFormat="1" customHeight="1" s="125">
      <c r="A710" s="5">
        <f>ROW()-ROW(RawDataGenPO[[#Headers],[No.]])</f>
        <v/>
      </c>
      <c r="B710" s="7" t="inlineStr">
        <is>
          <t>Expent  cost</t>
        </is>
      </c>
      <c r="C710" s="301" t="n">
        <v>45629</v>
      </c>
      <c r="D710" s="276" t="n"/>
      <c r="E710" s="281" t="n"/>
      <c r="F710" s="301" t="n">
        <v>45629</v>
      </c>
      <c r="G710" s="5" t="inlineStr">
        <is>
          <t>PR2425-04700</t>
        </is>
      </c>
      <c r="H710" s="5" t="inlineStr">
        <is>
          <t>PO2425-5293</t>
        </is>
      </c>
      <c r="I710" s="290">
        <f>IF(RawDataGenPO[[#This Row],[PO No.]]="","",RawDataGenPO[[#This Row],[DMY Create PR]]+7)</f>
        <v/>
      </c>
      <c r="J710" s="290" t="n"/>
      <c r="K710" s="20">
        <f>IF(RawDataGenPO[[#This Row],[PO No.]]="","",10)</f>
        <v/>
      </c>
      <c r="L710" s="5" t="inlineStr">
        <is>
          <t>SFST81000048</t>
        </is>
      </c>
      <c r="M710" s="7" t="inlineStr">
        <is>
          <t>PD Machine</t>
        </is>
      </c>
      <c r="N710" s="7" t="inlineStr">
        <is>
          <t>Combi oven No.3</t>
        </is>
      </c>
      <c r="O710" s="11" t="n">
        <v>4</v>
      </c>
      <c r="P710" s="10" t="inlineStr">
        <is>
          <t>Service Charge</t>
        </is>
      </c>
      <c r="Q710" s="277" t="n">
        <v>1</v>
      </c>
      <c r="R710" s="5" t="inlineStr">
        <is>
          <t>JOB.</t>
        </is>
      </c>
      <c r="S710" s="292">
        <f>RawDataGenPO[[#This Row],[Total price]]/RawDataGenPO[[#This Row],[Qty'']]</f>
        <v/>
      </c>
      <c r="T710" s="278" t="n">
        <v>1000</v>
      </c>
      <c r="U710" s="291" t="n"/>
      <c r="V710" s="7" t="inlineStr">
        <is>
          <t>V1000460 - FIX EVOLUTION CO., LTD.</t>
        </is>
      </c>
      <c r="W710" s="30" t="inlineStr">
        <is>
          <t>Recive bill and GRN already</t>
        </is>
      </c>
      <c r="X710" s="5" t="n"/>
      <c r="Y710" s="3" t="n">
        <v>45642</v>
      </c>
      <c r="Z710" s="3" t="n"/>
      <c r="AA710" s="17">
        <f>IF(RawDataGenPO[[#This Row],[Date Gen PO]]="","",RawDataGenPO[[#This Row],[Date recive bill]]-RawDataGenPO[[#This Row],[Date Gen PO]])</f>
        <v/>
      </c>
      <c r="AB710" s="16">
        <f>IF(RawDataGenPO[[#This Row],[GRN-PO date]]&gt;RawDataGenPO[[#This Row],[Lead time delivery (day)]],"over deliverry","Ontime")</f>
        <v/>
      </c>
      <c r="AC710" s="22" t="n"/>
    </row>
    <row r="711" ht="15" customFormat="1" customHeight="1" s="125">
      <c r="A711" s="5">
        <f>ROW()-ROW(RawDataGenPO[[#Headers],[No.]])</f>
        <v/>
      </c>
      <c r="B711" s="7" t="inlineStr">
        <is>
          <t>Expent  cost</t>
        </is>
      </c>
      <c r="C711" s="301" t="n">
        <v>45629</v>
      </c>
      <c r="D711" s="276" t="n"/>
      <c r="E711" s="281" t="n"/>
      <c r="F711" s="301" t="n">
        <v>45629</v>
      </c>
      <c r="G711" s="5" t="inlineStr">
        <is>
          <t>PR2425-04700</t>
        </is>
      </c>
      <c r="H711" s="5" t="inlineStr">
        <is>
          <t>PO2425-5295</t>
        </is>
      </c>
      <c r="I711" s="290">
        <f>IF(RawDataGenPO[[#This Row],[PO No.]]="","",RawDataGenPO[[#This Row],[DMY Create PR]]+7)</f>
        <v/>
      </c>
      <c r="J711" s="290" t="n"/>
      <c r="K711" s="20">
        <f>IF(RawDataGenPO[[#This Row],[PO No.]]="","",10)</f>
        <v/>
      </c>
      <c r="L711" s="5" t="inlineStr">
        <is>
          <t>SFST81000048</t>
        </is>
      </c>
      <c r="M711" s="7" t="inlineStr">
        <is>
          <t>PD Machine</t>
        </is>
      </c>
      <c r="N711" s="7" t="inlineStr">
        <is>
          <t>Combi oven No.3</t>
        </is>
      </c>
      <c r="O711" s="11" t="n">
        <v>5</v>
      </c>
      <c r="P711" s="10" t="inlineStr">
        <is>
          <t>Service Charge</t>
        </is>
      </c>
      <c r="Q711" s="277" t="n">
        <v>1</v>
      </c>
      <c r="R711" s="5" t="inlineStr">
        <is>
          <t>JOB.</t>
        </is>
      </c>
      <c r="S711" s="292">
        <f>RawDataGenPO[[#This Row],[Total price]]/RawDataGenPO[[#This Row],[Qty'']]</f>
        <v/>
      </c>
      <c r="T711" s="278" t="n">
        <v>3000</v>
      </c>
      <c r="U711" s="291" t="n"/>
      <c r="V711" s="7" t="inlineStr">
        <is>
          <t>V1000460 - FIX EVOLUTION CO., LTD.</t>
        </is>
      </c>
      <c r="W711" s="30" t="inlineStr">
        <is>
          <t>Recive bill and GRN already</t>
        </is>
      </c>
      <c r="X711" s="5" t="n"/>
      <c r="Y711" s="3" t="n">
        <v>45642</v>
      </c>
      <c r="Z711" s="3" t="n"/>
      <c r="AA711" s="17">
        <f>IF(RawDataGenPO[[#This Row],[Date Gen PO]]="","",RawDataGenPO[[#This Row],[Date recive bill]]-RawDataGenPO[[#This Row],[Date Gen PO]])</f>
        <v/>
      </c>
      <c r="AB711" s="16">
        <f>IF(RawDataGenPO[[#This Row],[GRN-PO date]]&gt;RawDataGenPO[[#This Row],[Lead time delivery (day)]],"over deliverry","Ontime")</f>
        <v/>
      </c>
      <c r="AC711" s="22" t="n"/>
    </row>
    <row r="712" ht="15" customFormat="1" customHeight="1" s="125">
      <c r="A712" s="5">
        <f>ROW()-ROW(RawDataGenPO[[#Headers],[No.]])</f>
        <v/>
      </c>
      <c r="B712" s="7" t="inlineStr">
        <is>
          <t>CAPEX  (Unbudget)</t>
        </is>
      </c>
      <c r="C712" s="301" t="n">
        <v>45629</v>
      </c>
      <c r="D712" s="276" t="n"/>
      <c r="E712" s="281" t="n"/>
      <c r="F712" s="301" t="n">
        <v>45629</v>
      </c>
      <c r="G712" s="5" t="inlineStr">
        <is>
          <t>PR2425-04708</t>
        </is>
      </c>
      <c r="H712" s="5" t="inlineStr">
        <is>
          <t>PO2425-05333</t>
        </is>
      </c>
      <c r="I712" s="290">
        <f>IF(RawDataGenPO[[#This Row],[PO No.]]="","",RawDataGenPO[[#This Row],[DMY Create PR]]+7)</f>
        <v/>
      </c>
      <c r="J712" s="290" t="n"/>
      <c r="K712" s="20" t="n">
        <v>45</v>
      </c>
      <c r="L712" s="5" t="inlineStr">
        <is>
          <t>SFST82000009</t>
        </is>
      </c>
      <c r="M712" s="7" t="inlineStr">
        <is>
          <t>Office Air condition</t>
        </is>
      </c>
      <c r="N712" s="7" t="inlineStr">
        <is>
          <t>Tool and Equipment</t>
        </is>
      </c>
      <c r="O712" s="11" t="n">
        <v>1</v>
      </c>
      <c r="P712" s="10" t="inlineStr">
        <is>
          <t>New: Air carrier 36,000 BTU</t>
        </is>
      </c>
      <c r="Q712" s="277" t="n">
        <v>1</v>
      </c>
      <c r="R712" s="5" t="inlineStr">
        <is>
          <t>JOB.</t>
        </is>
      </c>
      <c r="S712" s="292">
        <f>RawDataGenPO[[#This Row],[Total price]]/RawDataGenPO[[#This Row],[Qty'']]</f>
        <v/>
      </c>
      <c r="T712" s="278" t="n">
        <v>52500</v>
      </c>
      <c r="U712" s="291" t="n"/>
      <c r="V712" s="7" t="inlineStr">
        <is>
          <t>V1000543 - T.W.A.N. Engineering Co.,Ltd</t>
        </is>
      </c>
      <c r="W712" s="30" t="inlineStr">
        <is>
          <t>Recive bill and GRN already</t>
        </is>
      </c>
      <c r="X712" s="5" t="inlineStr">
        <is>
          <t>GRN2425-0006452</t>
        </is>
      </c>
      <c r="Y712" s="3" t="n">
        <v>45673</v>
      </c>
      <c r="Z712" s="3" t="n"/>
      <c r="AA712" s="17">
        <f>IF(RawDataGenPO[[#This Row],[Date Gen PO]]="","",RawDataGenPO[[#This Row],[Date recive bill]]-RawDataGenPO[[#This Row],[Date Gen PO]])</f>
        <v/>
      </c>
      <c r="AB712" s="16">
        <f>IF(RawDataGenPO[[#This Row],[GRN-PO date]]&gt;RawDataGenPO[[#This Row],[Lead time delivery (day)]],"over deliverry","Ontime")</f>
        <v/>
      </c>
      <c r="AC712" s="22" t="n"/>
    </row>
    <row r="713" ht="15" customFormat="1" customHeight="1" s="125">
      <c r="A713" s="5">
        <f>ROW()-ROW(RawDataGenPO[[#Headers],[No.]])</f>
        <v/>
      </c>
      <c r="B713" s="7" t="inlineStr">
        <is>
          <t>CAPEX  (Unbudget)</t>
        </is>
      </c>
      <c r="C713" s="301" t="n">
        <v>45629</v>
      </c>
      <c r="D713" s="276" t="n"/>
      <c r="E713" s="281" t="n"/>
      <c r="F713" s="301" t="n">
        <v>45629</v>
      </c>
      <c r="G713" s="5" t="inlineStr">
        <is>
          <t>PR2425-04708</t>
        </is>
      </c>
      <c r="H713" s="5" t="inlineStr">
        <is>
          <t>PO2425-05333</t>
        </is>
      </c>
      <c r="I713" s="290">
        <f>IF(RawDataGenPO[[#This Row],[PO No.]]="","",RawDataGenPO[[#This Row],[DMY Create PR]]+7)</f>
        <v/>
      </c>
      <c r="J713" s="290" t="n"/>
      <c r="K713" s="20" t="n">
        <v>45</v>
      </c>
      <c r="L713" s="5" t="inlineStr">
        <is>
          <t>SFST82000009</t>
        </is>
      </c>
      <c r="M713" s="7" t="inlineStr">
        <is>
          <t>Office Air condition</t>
        </is>
      </c>
      <c r="N713" s="7" t="inlineStr">
        <is>
          <t>Tool and Equipment</t>
        </is>
      </c>
      <c r="O713" s="11" t="n">
        <v>2</v>
      </c>
      <c r="P713" s="10" t="inlineStr">
        <is>
          <t>Installation New Air: 3 Phase</t>
        </is>
      </c>
      <c r="Q713" s="277" t="n">
        <v>1</v>
      </c>
      <c r="R713" s="5" t="inlineStr">
        <is>
          <t>JOB.</t>
        </is>
      </c>
      <c r="S713" s="292">
        <f>RawDataGenPO[[#This Row],[Total price]]/RawDataGenPO[[#This Row],[Qty'']]</f>
        <v/>
      </c>
      <c r="T713" s="278" t="n">
        <v>8700</v>
      </c>
      <c r="U713" s="291" t="n"/>
      <c r="V713" s="7" t="inlineStr">
        <is>
          <t>V1000543 - T.W.A.N. Engineering Co.,Ltd</t>
        </is>
      </c>
      <c r="W713" s="30" t="inlineStr">
        <is>
          <t>Recive bill and GRN already</t>
        </is>
      </c>
      <c r="X713" s="5" t="inlineStr">
        <is>
          <t>GRN2425-0006452</t>
        </is>
      </c>
      <c r="Y713" s="3" t="n">
        <v>45673</v>
      </c>
      <c r="Z713" s="3" t="n"/>
      <c r="AA713" s="17">
        <f>IF(RawDataGenPO[[#This Row],[Date Gen PO]]="","",RawDataGenPO[[#This Row],[Date recive bill]]-RawDataGenPO[[#This Row],[Date Gen PO]])</f>
        <v/>
      </c>
      <c r="AB713" s="16">
        <f>IF(RawDataGenPO[[#This Row],[GRN-PO date]]&gt;RawDataGenPO[[#This Row],[Lead time delivery (day)]],"over deliverry","Ontime")</f>
        <v/>
      </c>
      <c r="AC713" s="22" t="n"/>
    </row>
    <row r="714" ht="15" customFormat="1" customHeight="1" s="125">
      <c r="A714" s="5">
        <f>ROW()-ROW(RawDataGenPO[[#Headers],[No.]])</f>
        <v/>
      </c>
      <c r="B714" s="7" t="inlineStr">
        <is>
          <t>Expent  cost</t>
        </is>
      </c>
      <c r="C714" s="301" t="n">
        <v>45631</v>
      </c>
      <c r="D714" s="276" t="n"/>
      <c r="E714" s="281" t="n"/>
      <c r="F714" s="301" t="n">
        <v>45631</v>
      </c>
      <c r="G714" s="5" t="inlineStr">
        <is>
          <t>PR2425-04737</t>
        </is>
      </c>
      <c r="H714" s="5" t="inlineStr">
        <is>
          <t>PO2425-05308</t>
        </is>
      </c>
      <c r="I714" s="290">
        <f>IF(RawDataGenPO[[#This Row],[PO No.]]="","",RawDataGenPO[[#This Row],[DMY Create PR]]+7)</f>
        <v/>
      </c>
      <c r="J714" s="290" t="n"/>
      <c r="K714" s="20" t="n">
        <v>45</v>
      </c>
      <c r="L714" s="5" t="inlineStr">
        <is>
          <t>SFST81000009</t>
        </is>
      </c>
      <c r="M714" s="7" t="inlineStr">
        <is>
          <t>Office Air condition</t>
        </is>
      </c>
      <c r="N714" s="7" t="inlineStr">
        <is>
          <t>Tool and Equipment</t>
        </is>
      </c>
      <c r="O714" s="11" t="n">
        <v>1</v>
      </c>
      <c r="P714" s="10" t="inlineStr">
        <is>
          <t>Remove and Installation from office Maintenace to MDB room</t>
        </is>
      </c>
      <c r="Q714" s="277" t="n">
        <v>1</v>
      </c>
      <c r="R714" s="5" t="inlineStr">
        <is>
          <t>JOB.</t>
        </is>
      </c>
      <c r="S714" s="292">
        <f>RawDataGenPO[[#This Row],[Total price]]/RawDataGenPO[[#This Row],[Qty'']]</f>
        <v/>
      </c>
      <c r="T714" s="278" t="n">
        <v>13000</v>
      </c>
      <c r="U714" s="291" t="n"/>
      <c r="V714" s="7" t="inlineStr">
        <is>
          <t>V1000543 - T.W.A.N. Engineering Co.,Ltd</t>
        </is>
      </c>
      <c r="W714" s="30" t="inlineStr">
        <is>
          <t>Recive bill and GRN already</t>
        </is>
      </c>
      <c r="X714" s="5" t="inlineStr">
        <is>
          <t>GRN2425-0006454</t>
        </is>
      </c>
      <c r="Y714" s="3" t="n">
        <v>45673</v>
      </c>
      <c r="Z714" s="3" t="n"/>
      <c r="AA714" s="17">
        <f>IF(RawDataGenPO[[#This Row],[Date Gen PO]]="","",RawDataGenPO[[#This Row],[Date recive bill]]-RawDataGenPO[[#This Row],[Date Gen PO]])</f>
        <v/>
      </c>
      <c r="AB714" s="16">
        <f>IF(RawDataGenPO[[#This Row],[GRN-PO date]]&gt;RawDataGenPO[[#This Row],[Lead time delivery (day)]],"over deliverry","Ontime")</f>
        <v/>
      </c>
      <c r="AC714" s="22" t="n"/>
    </row>
    <row r="715" customFormat="1" s="125">
      <c r="A715" s="5">
        <f>ROW()-ROW(RawDataGenPO[[#Headers],[No.]])</f>
        <v/>
      </c>
      <c r="B715" s="7" t="inlineStr">
        <is>
          <t>Expent  cost</t>
        </is>
      </c>
      <c r="C715" s="301" t="n">
        <v>45631</v>
      </c>
      <c r="D715" s="276" t="inlineStr">
        <is>
          <t>CPP24-133</t>
        </is>
      </c>
      <c r="E715" s="281" t="n"/>
      <c r="F715" s="301" t="n">
        <v>45631</v>
      </c>
      <c r="G715" s="5" t="inlineStr">
        <is>
          <t>PR2425-04738</t>
        </is>
      </c>
      <c r="H715" s="5" t="inlineStr">
        <is>
          <t>PO2425-5296</t>
        </is>
      </c>
      <c r="I715" s="290">
        <f>IF(RawDataGenPO[[#This Row],[PO No.]]="","",RawDataGenPO[[#This Row],[DMY Create PR]]+7)</f>
        <v/>
      </c>
      <c r="J715" s="290" t="n"/>
      <c r="K715" s="20" t="n">
        <v>45</v>
      </c>
      <c r="L715" s="159" t="inlineStr">
        <is>
          <t>SFST34000138</t>
        </is>
      </c>
      <c r="M715" s="7" t="inlineStr">
        <is>
          <t>Consumable part for MN</t>
        </is>
      </c>
      <c r="N715" s="7" t="inlineStr">
        <is>
          <t>Tool and Equipment</t>
        </is>
      </c>
      <c r="O715" s="11" t="n">
        <v>1</v>
      </c>
      <c r="P715" s="158" t="inlineStr">
        <is>
          <t>fittingstraight couplingair linemale thread 1/8" outlet 6 mm.</t>
        </is>
      </c>
      <c r="Q715" s="277" t="n">
        <v>10</v>
      </c>
      <c r="R715" s="5" t="inlineStr">
        <is>
          <t>PCS.</t>
        </is>
      </c>
      <c r="S715" s="292">
        <f>RawDataGenPO[[#This Row],[Total price]]/RawDataGenPO[[#This Row],[Qty'']]</f>
        <v/>
      </c>
      <c r="T715" s="278" t="n">
        <v>100</v>
      </c>
      <c r="U715" s="291" t="n"/>
      <c r="V715" s="7" t="inlineStr">
        <is>
          <t>V1000310 - BOONBAWORN ENGINEERING CO., LTD</t>
        </is>
      </c>
      <c r="W715" s="30" t="inlineStr">
        <is>
          <t>Recive bill and GRN already</t>
        </is>
      </c>
      <c r="X715" s="5" t="n"/>
      <c r="Y715" s="3" t="n">
        <v>45659</v>
      </c>
      <c r="Z715" s="3" t="n"/>
      <c r="AA715" s="17">
        <f>IF(RawDataGenPO[[#This Row],[Date Gen PO]]="","",RawDataGenPO[[#This Row],[Date recive bill]]-RawDataGenPO[[#This Row],[Date Gen PO]])</f>
        <v/>
      </c>
      <c r="AB715" s="16">
        <f>IF(RawDataGenPO[[#This Row],[GRN-PO date]]&gt;RawDataGenPO[[#This Row],[Lead time delivery (day)]],"over deliverry","Ontime")</f>
        <v/>
      </c>
      <c r="AC715" s="22" t="n"/>
    </row>
    <row r="716" customFormat="1" s="125">
      <c r="A716" s="5">
        <f>ROW()-ROW(RawDataGenPO[[#Headers],[No.]])</f>
        <v/>
      </c>
      <c r="B716" s="7" t="inlineStr">
        <is>
          <t>Expent  cost</t>
        </is>
      </c>
      <c r="C716" s="301" t="n">
        <v>45631</v>
      </c>
      <c r="D716" s="276" t="inlineStr">
        <is>
          <t>CPP24-133</t>
        </is>
      </c>
      <c r="E716" s="281" t="n"/>
      <c r="F716" s="301" t="n">
        <v>45631</v>
      </c>
      <c r="G716" s="5" t="inlineStr">
        <is>
          <t>PR2425-04738</t>
        </is>
      </c>
      <c r="H716" s="5" t="inlineStr">
        <is>
          <t>PO2425-5296</t>
        </is>
      </c>
      <c r="I716" s="290">
        <f>IF(RawDataGenPO[[#This Row],[PO No.]]="","",RawDataGenPO[[#This Row],[DMY Create PR]]+7)</f>
        <v/>
      </c>
      <c r="J716" s="290" t="n"/>
      <c r="K716" s="20" t="n">
        <v>45</v>
      </c>
      <c r="L716" s="159" t="inlineStr">
        <is>
          <t>SFST34000139</t>
        </is>
      </c>
      <c r="M716" s="7" t="inlineStr">
        <is>
          <t>Consumable part for MN</t>
        </is>
      </c>
      <c r="N716" s="7" t="inlineStr">
        <is>
          <t>Tool and Equipment</t>
        </is>
      </c>
      <c r="O716" s="11" t="n">
        <v>2</v>
      </c>
      <c r="P716" s="158" t="inlineStr">
        <is>
          <t>fittingstraight couplingair linemale thread 1/4" outlet 6 mm.</t>
        </is>
      </c>
      <c r="Q716" s="277" t="n">
        <v>10</v>
      </c>
      <c r="R716" s="5" t="inlineStr">
        <is>
          <t>PCS.</t>
        </is>
      </c>
      <c r="S716" s="292">
        <f>RawDataGenPO[[#This Row],[Total price]]/RawDataGenPO[[#This Row],[Qty'']]</f>
        <v/>
      </c>
      <c r="T716" s="278" t="n">
        <v>110</v>
      </c>
      <c r="U716" s="291" t="n"/>
      <c r="V716" s="7" t="inlineStr">
        <is>
          <t>V1000310 - BOONBAWORN ENGINEERING CO., LTD</t>
        </is>
      </c>
      <c r="W716" s="30" t="inlineStr">
        <is>
          <t>Recive bill and GRN already</t>
        </is>
      </c>
      <c r="X716" s="5" t="n"/>
      <c r="Y716" s="3" t="n">
        <v>45659</v>
      </c>
      <c r="Z716" s="3" t="n"/>
      <c r="AA716" s="17">
        <f>IF(RawDataGenPO[[#This Row],[Date Gen PO]]="","",RawDataGenPO[[#This Row],[Date recive bill]]-RawDataGenPO[[#This Row],[Date Gen PO]])</f>
        <v/>
      </c>
      <c r="AB716" s="16">
        <f>IF(RawDataGenPO[[#This Row],[GRN-PO date]]&gt;RawDataGenPO[[#This Row],[Lead time delivery (day)]],"over deliverry","Ontime")</f>
        <v/>
      </c>
      <c r="AC716" s="22" t="n"/>
    </row>
    <row r="717" customFormat="1" s="125">
      <c r="A717" s="5">
        <f>ROW()-ROW(RawDataGenPO[[#Headers],[No.]])</f>
        <v/>
      </c>
      <c r="B717" s="7" t="inlineStr">
        <is>
          <t>Expent  cost</t>
        </is>
      </c>
      <c r="C717" s="301" t="n">
        <v>45631</v>
      </c>
      <c r="D717" s="276" t="inlineStr">
        <is>
          <t>CPP24-133</t>
        </is>
      </c>
      <c r="E717" s="281" t="n"/>
      <c r="F717" s="301" t="n">
        <v>45631</v>
      </c>
      <c r="G717" s="5" t="inlineStr">
        <is>
          <t>PR2425-04738</t>
        </is>
      </c>
      <c r="H717" s="5" t="inlineStr">
        <is>
          <t>PO2425-5296</t>
        </is>
      </c>
      <c r="I717" s="290">
        <f>IF(RawDataGenPO[[#This Row],[PO No.]]="","",RawDataGenPO[[#This Row],[DMY Create PR]]+7)</f>
        <v/>
      </c>
      <c r="J717" s="290" t="n"/>
      <c r="K717" s="20" t="n">
        <v>45</v>
      </c>
      <c r="L717" s="159" t="inlineStr">
        <is>
          <t>SFST34000140</t>
        </is>
      </c>
      <c r="M717" s="7" t="inlineStr">
        <is>
          <t>Consumable part for MN</t>
        </is>
      </c>
      <c r="N717" s="7" t="inlineStr">
        <is>
          <t>Tool and Equipment</t>
        </is>
      </c>
      <c r="O717" s="11" t="n">
        <v>3</v>
      </c>
      <c r="P717" s="158" t="inlineStr">
        <is>
          <t>fittingstraight couplingair linemale thread 3/8" outlet 6 mm.</t>
        </is>
      </c>
      <c r="Q717" s="277" t="n">
        <v>10</v>
      </c>
      <c r="R717" s="5" t="inlineStr">
        <is>
          <t>PCS.</t>
        </is>
      </c>
      <c r="S717" s="292">
        <f>RawDataGenPO[[#This Row],[Total price]]/RawDataGenPO[[#This Row],[Qty'']]</f>
        <v/>
      </c>
      <c r="T717" s="278" t="n">
        <v>150</v>
      </c>
      <c r="U717" s="291" t="n"/>
      <c r="V717" s="7" t="inlineStr">
        <is>
          <t>V1000310 - BOONBAWORN ENGINEERING CO., LTD</t>
        </is>
      </c>
      <c r="W717" s="30" t="inlineStr">
        <is>
          <t>Recive bill and GRN already</t>
        </is>
      </c>
      <c r="X717" s="5" t="n"/>
      <c r="Y717" s="3" t="n">
        <v>45659</v>
      </c>
      <c r="Z717" s="3" t="n"/>
      <c r="AA717" s="17">
        <f>IF(RawDataGenPO[[#This Row],[Date Gen PO]]="","",RawDataGenPO[[#This Row],[Date recive bill]]-RawDataGenPO[[#This Row],[Date Gen PO]])</f>
        <v/>
      </c>
      <c r="AB717" s="16">
        <f>IF(RawDataGenPO[[#This Row],[GRN-PO date]]&gt;RawDataGenPO[[#This Row],[Lead time delivery (day)]],"over deliverry","Ontime")</f>
        <v/>
      </c>
      <c r="AC717" s="22" t="n"/>
    </row>
    <row r="718" customFormat="1" s="125">
      <c r="A718" s="5">
        <f>ROW()-ROW(RawDataGenPO[[#Headers],[No.]])</f>
        <v/>
      </c>
      <c r="B718" s="7" t="inlineStr">
        <is>
          <t>Expent  cost</t>
        </is>
      </c>
      <c r="C718" s="301" t="n">
        <v>45631</v>
      </c>
      <c r="D718" s="276" t="inlineStr">
        <is>
          <t>CPP24-133</t>
        </is>
      </c>
      <c r="E718" s="281" t="n"/>
      <c r="F718" s="301" t="n">
        <v>45631</v>
      </c>
      <c r="G718" s="5" t="inlineStr">
        <is>
          <t>PR2425-04738</t>
        </is>
      </c>
      <c r="H718" s="5" t="inlineStr">
        <is>
          <t>PO2425-5296</t>
        </is>
      </c>
      <c r="I718" s="290">
        <f>IF(RawDataGenPO[[#This Row],[PO No.]]="","",RawDataGenPO[[#This Row],[DMY Create PR]]+7)</f>
        <v/>
      </c>
      <c r="J718" s="290" t="n"/>
      <c r="K718" s="20" t="n">
        <v>45</v>
      </c>
      <c r="L718" s="159" t="inlineStr">
        <is>
          <t>SFST34000141</t>
        </is>
      </c>
      <c r="M718" s="7" t="inlineStr">
        <is>
          <t>Consumable part for MN</t>
        </is>
      </c>
      <c r="N718" s="7" t="inlineStr">
        <is>
          <t>Tool and Equipment</t>
        </is>
      </c>
      <c r="O718" s="11" t="n">
        <v>4</v>
      </c>
      <c r="P718" s="158" t="inlineStr">
        <is>
          <t>fittingstraight couplingair linemale thread 1/2" outlet 6 mm.</t>
        </is>
      </c>
      <c r="Q718" s="277" t="n">
        <v>10</v>
      </c>
      <c r="R718" s="5" t="inlineStr">
        <is>
          <t>PCS.</t>
        </is>
      </c>
      <c r="S718" s="292">
        <f>RawDataGenPO[[#This Row],[Total price]]/RawDataGenPO[[#This Row],[Qty'']]</f>
        <v/>
      </c>
      <c r="T718" s="278" t="n">
        <v>230</v>
      </c>
      <c r="U718" s="291" t="n"/>
      <c r="V718" s="7" t="inlineStr">
        <is>
          <t>V1000310 - BOONBAWORN ENGINEERING CO., LTD</t>
        </is>
      </c>
      <c r="W718" s="30" t="inlineStr">
        <is>
          <t>Recive bill and GRN already</t>
        </is>
      </c>
      <c r="X718" s="5" t="n"/>
      <c r="Y718" s="3" t="n">
        <v>45659</v>
      </c>
      <c r="Z718" s="3" t="n"/>
      <c r="AA718" s="17">
        <f>IF(RawDataGenPO[[#This Row],[Date Gen PO]]="","",RawDataGenPO[[#This Row],[Date recive bill]]-RawDataGenPO[[#This Row],[Date Gen PO]])</f>
        <v/>
      </c>
      <c r="AB718" s="16">
        <f>IF(RawDataGenPO[[#This Row],[GRN-PO date]]&gt;RawDataGenPO[[#This Row],[Lead time delivery (day)]],"over deliverry","Ontime")</f>
        <v/>
      </c>
      <c r="AC718" s="22" t="n"/>
    </row>
    <row r="719" customFormat="1" s="125">
      <c r="A719" s="5">
        <f>ROW()-ROW(RawDataGenPO[[#Headers],[No.]])</f>
        <v/>
      </c>
      <c r="B719" s="7" t="inlineStr">
        <is>
          <t>Expent  cost</t>
        </is>
      </c>
      <c r="C719" s="301" t="n">
        <v>45631</v>
      </c>
      <c r="D719" s="276" t="inlineStr">
        <is>
          <t>CPP24-133</t>
        </is>
      </c>
      <c r="E719" s="281" t="n"/>
      <c r="F719" s="301" t="n">
        <v>45631</v>
      </c>
      <c r="G719" s="5" t="inlineStr">
        <is>
          <t>PR2425-04738</t>
        </is>
      </c>
      <c r="H719" s="5" t="inlineStr">
        <is>
          <t>PO2425-5296</t>
        </is>
      </c>
      <c r="I719" s="290">
        <f>IF(RawDataGenPO[[#This Row],[PO No.]]="","",RawDataGenPO[[#This Row],[DMY Create PR]]+7)</f>
        <v/>
      </c>
      <c r="J719" s="290" t="n"/>
      <c r="K719" s="20" t="n">
        <v>45</v>
      </c>
      <c r="L719" s="159" t="inlineStr">
        <is>
          <t>SFST34000142</t>
        </is>
      </c>
      <c r="M719" s="7" t="inlineStr">
        <is>
          <t>Consumable part for MN</t>
        </is>
      </c>
      <c r="N719" s="7" t="inlineStr">
        <is>
          <t>Tool and Equipment</t>
        </is>
      </c>
      <c r="O719" s="11" t="n">
        <v>5</v>
      </c>
      <c r="P719" s="158" t="inlineStr">
        <is>
          <t>fittingstraight couplingair linemale thread 1/8" outlet 8mm.</t>
        </is>
      </c>
      <c r="Q719" s="277" t="n">
        <v>10</v>
      </c>
      <c r="R719" s="5" t="inlineStr">
        <is>
          <t>PCS.</t>
        </is>
      </c>
      <c r="S719" s="292">
        <f>RawDataGenPO[[#This Row],[Total price]]/RawDataGenPO[[#This Row],[Qty'']]</f>
        <v/>
      </c>
      <c r="T719" s="278" t="n">
        <v>100</v>
      </c>
      <c r="U719" s="291" t="n"/>
      <c r="V719" s="7" t="inlineStr">
        <is>
          <t>V1000310 - BOONBAWORN ENGINEERING CO., LTD</t>
        </is>
      </c>
      <c r="W719" s="30" t="inlineStr">
        <is>
          <t>Recive bill and GRN already</t>
        </is>
      </c>
      <c r="X719" s="5" t="n"/>
      <c r="Y719" s="3" t="n">
        <v>45659</v>
      </c>
      <c r="Z719" s="3" t="n"/>
      <c r="AA719" s="17">
        <f>IF(RawDataGenPO[[#This Row],[Date Gen PO]]="","",RawDataGenPO[[#This Row],[Date recive bill]]-RawDataGenPO[[#This Row],[Date Gen PO]])</f>
        <v/>
      </c>
      <c r="AB719" s="16">
        <f>IF(RawDataGenPO[[#This Row],[GRN-PO date]]&gt;RawDataGenPO[[#This Row],[Lead time delivery (day)]],"over deliverry","Ontime")</f>
        <v/>
      </c>
      <c r="AC719" s="22" t="n"/>
    </row>
    <row r="720" customFormat="1" s="125">
      <c r="A720" s="5">
        <f>ROW()-ROW(RawDataGenPO[[#Headers],[No.]])</f>
        <v/>
      </c>
      <c r="B720" s="7" t="inlineStr">
        <is>
          <t>Expent  cost</t>
        </is>
      </c>
      <c r="C720" s="301" t="n">
        <v>45631</v>
      </c>
      <c r="D720" s="276" t="inlineStr">
        <is>
          <t>CPP24-133</t>
        </is>
      </c>
      <c r="E720" s="281" t="n"/>
      <c r="F720" s="301" t="n">
        <v>45631</v>
      </c>
      <c r="G720" s="5" t="inlineStr">
        <is>
          <t>PR2425-04738</t>
        </is>
      </c>
      <c r="H720" s="5" t="inlineStr">
        <is>
          <t>PO2425-5296</t>
        </is>
      </c>
      <c r="I720" s="290">
        <f>IF(RawDataGenPO[[#This Row],[PO No.]]="","",RawDataGenPO[[#This Row],[DMY Create PR]]+7)</f>
        <v/>
      </c>
      <c r="J720" s="290" t="n"/>
      <c r="K720" s="20" t="n">
        <v>45</v>
      </c>
      <c r="L720" s="159" t="inlineStr">
        <is>
          <t>SFST34000143</t>
        </is>
      </c>
      <c r="M720" s="7" t="inlineStr">
        <is>
          <t>Consumable part for MN</t>
        </is>
      </c>
      <c r="N720" s="7" t="inlineStr">
        <is>
          <t>Tool and Equipment</t>
        </is>
      </c>
      <c r="O720" s="11" t="n">
        <v>6</v>
      </c>
      <c r="P720" s="158" t="inlineStr">
        <is>
          <t>fittingstraight couplingair linemale thread 1/4" outlet 8 mm.</t>
        </is>
      </c>
      <c r="Q720" s="277" t="n">
        <v>10</v>
      </c>
      <c r="R720" s="5" t="inlineStr">
        <is>
          <t>PCS.</t>
        </is>
      </c>
      <c r="S720" s="292">
        <f>RawDataGenPO[[#This Row],[Total price]]/RawDataGenPO[[#This Row],[Qty'']]</f>
        <v/>
      </c>
      <c r="T720" s="278" t="n">
        <v>110</v>
      </c>
      <c r="U720" s="291" t="n"/>
      <c r="V720" s="7" t="inlineStr">
        <is>
          <t>V1000310 - BOONBAWORN ENGINEERING CO., LTD</t>
        </is>
      </c>
      <c r="W720" s="30" t="inlineStr">
        <is>
          <t>Recive bill and GRN already</t>
        </is>
      </c>
      <c r="X720" s="5" t="n"/>
      <c r="Y720" s="3" t="n">
        <v>45659</v>
      </c>
      <c r="Z720" s="3" t="n"/>
      <c r="AA720" s="17">
        <f>IF(RawDataGenPO[[#This Row],[Date Gen PO]]="","",RawDataGenPO[[#This Row],[Date recive bill]]-RawDataGenPO[[#This Row],[Date Gen PO]])</f>
        <v/>
      </c>
      <c r="AB720" s="16">
        <f>IF(RawDataGenPO[[#This Row],[GRN-PO date]]&gt;RawDataGenPO[[#This Row],[Lead time delivery (day)]],"over deliverry","Ontime")</f>
        <v/>
      </c>
      <c r="AC720" s="22" t="n"/>
    </row>
    <row r="721" customFormat="1" s="125">
      <c r="A721" s="5">
        <f>ROW()-ROW(RawDataGenPO[[#Headers],[No.]])</f>
        <v/>
      </c>
      <c r="B721" s="7" t="inlineStr">
        <is>
          <t>Expent  cost</t>
        </is>
      </c>
      <c r="C721" s="301" t="n">
        <v>45631</v>
      </c>
      <c r="D721" s="276" t="inlineStr">
        <is>
          <t>CPP24-133</t>
        </is>
      </c>
      <c r="E721" s="281" t="n"/>
      <c r="F721" s="301" t="n">
        <v>45631</v>
      </c>
      <c r="G721" s="5" t="inlineStr">
        <is>
          <t>PR2425-04738</t>
        </is>
      </c>
      <c r="H721" s="5" t="inlineStr">
        <is>
          <t>PO2425-5296</t>
        </is>
      </c>
      <c r="I721" s="290">
        <f>IF(RawDataGenPO[[#This Row],[PO No.]]="","",RawDataGenPO[[#This Row],[DMY Create PR]]+7)</f>
        <v/>
      </c>
      <c r="J721" s="290" t="n"/>
      <c r="K721" s="20" t="n">
        <v>45</v>
      </c>
      <c r="L721" s="159" t="inlineStr">
        <is>
          <t>SFST34000144</t>
        </is>
      </c>
      <c r="M721" s="7" t="inlineStr">
        <is>
          <t>Consumable part for MN</t>
        </is>
      </c>
      <c r="N721" s="7" t="inlineStr">
        <is>
          <t>Tool and Equipment</t>
        </is>
      </c>
      <c r="O721" s="11" t="n">
        <v>7</v>
      </c>
      <c r="P721" s="158" t="inlineStr">
        <is>
          <t>fittingstraight couplingair linemale thread 3/8" outlet 8 mm.</t>
        </is>
      </c>
      <c r="Q721" s="277" t="n">
        <v>10</v>
      </c>
      <c r="R721" s="5" t="inlineStr">
        <is>
          <t>PCS.</t>
        </is>
      </c>
      <c r="S721" s="292">
        <f>RawDataGenPO[[#This Row],[Total price]]/RawDataGenPO[[#This Row],[Qty'']]</f>
        <v/>
      </c>
      <c r="T721" s="278" t="n">
        <v>160</v>
      </c>
      <c r="U721" s="291" t="n"/>
      <c r="V721" s="7" t="inlineStr">
        <is>
          <t>V1000310 - BOONBAWORN ENGINEERING CO., LTD</t>
        </is>
      </c>
      <c r="W721" s="30" t="inlineStr">
        <is>
          <t>Recive bill and GRN already</t>
        </is>
      </c>
      <c r="X721" s="5" t="n"/>
      <c r="Y721" s="3" t="n">
        <v>45659</v>
      </c>
      <c r="Z721" s="3" t="n"/>
      <c r="AA721" s="17">
        <f>IF(RawDataGenPO[[#This Row],[Date Gen PO]]="","",RawDataGenPO[[#This Row],[Date recive bill]]-RawDataGenPO[[#This Row],[Date Gen PO]])</f>
        <v/>
      </c>
      <c r="AB721" s="16">
        <f>IF(RawDataGenPO[[#This Row],[GRN-PO date]]&gt;RawDataGenPO[[#This Row],[Lead time delivery (day)]],"over deliverry","Ontime")</f>
        <v/>
      </c>
      <c r="AC721" s="22" t="n"/>
    </row>
    <row r="722" customFormat="1" s="125">
      <c r="A722" s="5">
        <f>ROW()-ROW(RawDataGenPO[[#Headers],[No.]])</f>
        <v/>
      </c>
      <c r="B722" s="7" t="inlineStr">
        <is>
          <t>Expent  cost</t>
        </is>
      </c>
      <c r="C722" s="301" t="n">
        <v>45631</v>
      </c>
      <c r="D722" s="276" t="inlineStr">
        <is>
          <t>CPP24-133</t>
        </is>
      </c>
      <c r="E722" s="281" t="n"/>
      <c r="F722" s="301" t="n">
        <v>45631</v>
      </c>
      <c r="G722" s="5" t="inlineStr">
        <is>
          <t>PR2425-04738</t>
        </is>
      </c>
      <c r="H722" s="5" t="inlineStr">
        <is>
          <t>PO2425-5296</t>
        </is>
      </c>
      <c r="I722" s="290">
        <f>IF(RawDataGenPO[[#This Row],[PO No.]]="","",RawDataGenPO[[#This Row],[DMY Create PR]]+7)</f>
        <v/>
      </c>
      <c r="J722" s="290" t="n"/>
      <c r="K722" s="20" t="n">
        <v>45</v>
      </c>
      <c r="L722" s="159" t="inlineStr">
        <is>
          <t>SFST34000145</t>
        </is>
      </c>
      <c r="M722" s="7" t="inlineStr">
        <is>
          <t>Consumable part for MN</t>
        </is>
      </c>
      <c r="N722" s="7" t="inlineStr">
        <is>
          <t>Tool and Equipment</t>
        </is>
      </c>
      <c r="O722" s="11" t="n">
        <v>8</v>
      </c>
      <c r="P722" s="158" t="inlineStr">
        <is>
          <t>fittingstraight couplingair linemale thread 1/2" outlet 8 mm.</t>
        </is>
      </c>
      <c r="Q722" s="277" t="n">
        <v>10</v>
      </c>
      <c r="R722" s="5" t="inlineStr">
        <is>
          <t>PCS.</t>
        </is>
      </c>
      <c r="S722" s="292">
        <f>RawDataGenPO[[#This Row],[Total price]]/RawDataGenPO[[#This Row],[Qty'']]</f>
        <v/>
      </c>
      <c r="T722" s="278" t="n">
        <v>240</v>
      </c>
      <c r="U722" s="291" t="n"/>
      <c r="V722" s="7" t="inlineStr">
        <is>
          <t>V1000310 - BOONBAWORN ENGINEERING CO., LTD</t>
        </is>
      </c>
      <c r="W722" s="30" t="inlineStr">
        <is>
          <t>Recive bill and GRN already</t>
        </is>
      </c>
      <c r="X722" s="5" t="n"/>
      <c r="Y722" s="3" t="n">
        <v>45659</v>
      </c>
      <c r="Z722" s="3" t="n"/>
      <c r="AA722" s="17">
        <f>IF(RawDataGenPO[[#This Row],[Date Gen PO]]="","",RawDataGenPO[[#This Row],[Date recive bill]]-RawDataGenPO[[#This Row],[Date Gen PO]])</f>
        <v/>
      </c>
      <c r="AB722" s="16">
        <f>IF(RawDataGenPO[[#This Row],[GRN-PO date]]&gt;RawDataGenPO[[#This Row],[Lead time delivery (day)]],"over deliverry","Ontime")</f>
        <v/>
      </c>
      <c r="AC722" s="22" t="n"/>
    </row>
    <row r="723" customFormat="1" s="125">
      <c r="A723" s="5">
        <f>ROW()-ROW(RawDataGenPO[[#Headers],[No.]])</f>
        <v/>
      </c>
      <c r="B723" s="7" t="inlineStr">
        <is>
          <t>Expent  cost</t>
        </is>
      </c>
      <c r="C723" s="301" t="n">
        <v>45631</v>
      </c>
      <c r="D723" s="276" t="inlineStr">
        <is>
          <t>CPP24-133</t>
        </is>
      </c>
      <c r="E723" s="281" t="n"/>
      <c r="F723" s="301" t="n">
        <v>45631</v>
      </c>
      <c r="G723" s="5" t="inlineStr">
        <is>
          <t>PR2425-04738</t>
        </is>
      </c>
      <c r="H723" s="5" t="inlineStr">
        <is>
          <t>PO2425-5296</t>
        </is>
      </c>
      <c r="I723" s="290">
        <f>IF(RawDataGenPO[[#This Row],[PO No.]]="","",RawDataGenPO[[#This Row],[DMY Create PR]]+7)</f>
        <v/>
      </c>
      <c r="J723" s="290" t="n"/>
      <c r="K723" s="20" t="n">
        <v>45</v>
      </c>
      <c r="L723" s="159" t="inlineStr">
        <is>
          <t>SFST34000146</t>
        </is>
      </c>
      <c r="M723" s="7" t="inlineStr">
        <is>
          <t>Consumable part for MN</t>
        </is>
      </c>
      <c r="N723" s="7" t="inlineStr">
        <is>
          <t>Tool and Equipment</t>
        </is>
      </c>
      <c r="O723" s="11" t="n">
        <v>9</v>
      </c>
      <c r="P723" s="158" t="inlineStr">
        <is>
          <t>fittingstraight couplingair linemale thread 1/8" outlet 10 mm.</t>
        </is>
      </c>
      <c r="Q723" s="277" t="n">
        <v>10</v>
      </c>
      <c r="R723" s="5" t="inlineStr">
        <is>
          <t>PCS.</t>
        </is>
      </c>
      <c r="S723" s="292">
        <f>RawDataGenPO[[#This Row],[Total price]]/RawDataGenPO[[#This Row],[Qty'']]</f>
        <v/>
      </c>
      <c r="T723" s="278" t="n">
        <v>160</v>
      </c>
      <c r="U723" s="291" t="n"/>
      <c r="V723" s="7" t="inlineStr">
        <is>
          <t>V1000310 - BOONBAWORN ENGINEERING CO., LTD</t>
        </is>
      </c>
      <c r="W723" s="30" t="inlineStr">
        <is>
          <t>Recive bill and GRN already</t>
        </is>
      </c>
      <c r="X723" s="5" t="n"/>
      <c r="Y723" s="3" t="n">
        <v>45659</v>
      </c>
      <c r="Z723" s="3" t="n"/>
      <c r="AA723" s="17">
        <f>IF(RawDataGenPO[[#This Row],[Date Gen PO]]="","",RawDataGenPO[[#This Row],[Date recive bill]]-RawDataGenPO[[#This Row],[Date Gen PO]])</f>
        <v/>
      </c>
      <c r="AB723" s="16">
        <f>IF(RawDataGenPO[[#This Row],[GRN-PO date]]&gt;RawDataGenPO[[#This Row],[Lead time delivery (day)]],"over deliverry","Ontime")</f>
        <v/>
      </c>
      <c r="AC723" s="22" t="n"/>
    </row>
    <row r="724" customFormat="1" s="125">
      <c r="A724" s="5">
        <f>ROW()-ROW(RawDataGenPO[[#Headers],[No.]])</f>
        <v/>
      </c>
      <c r="B724" s="7" t="inlineStr">
        <is>
          <t>Expent  cost</t>
        </is>
      </c>
      <c r="C724" s="301" t="n">
        <v>45631</v>
      </c>
      <c r="D724" s="276" t="inlineStr">
        <is>
          <t>CPP24-133</t>
        </is>
      </c>
      <c r="E724" s="281" t="n"/>
      <c r="F724" s="301" t="n">
        <v>45631</v>
      </c>
      <c r="G724" s="5" t="inlineStr">
        <is>
          <t>PR2425-04738</t>
        </is>
      </c>
      <c r="H724" s="5" t="inlineStr">
        <is>
          <t>PO2425-5296</t>
        </is>
      </c>
      <c r="I724" s="290">
        <f>IF(RawDataGenPO[[#This Row],[PO No.]]="","",RawDataGenPO[[#This Row],[DMY Create PR]]+7)</f>
        <v/>
      </c>
      <c r="J724" s="290" t="n"/>
      <c r="K724" s="20" t="n">
        <v>45</v>
      </c>
      <c r="L724" s="159" t="inlineStr">
        <is>
          <t>SFST34000147</t>
        </is>
      </c>
      <c r="M724" s="7" t="inlineStr">
        <is>
          <t>Consumable part for MN</t>
        </is>
      </c>
      <c r="N724" s="7" t="inlineStr">
        <is>
          <t>Tool and Equipment</t>
        </is>
      </c>
      <c r="O724" s="11" t="n">
        <v>10</v>
      </c>
      <c r="P724" s="158" t="inlineStr">
        <is>
          <t>fittingstraight couplingair linemale thread 1/4" outlet 10 mm.</t>
        </is>
      </c>
      <c r="Q724" s="277" t="n">
        <v>10</v>
      </c>
      <c r="R724" s="5" t="inlineStr">
        <is>
          <t>PCS.</t>
        </is>
      </c>
      <c r="S724" s="292">
        <f>RawDataGenPO[[#This Row],[Total price]]/RawDataGenPO[[#This Row],[Qty'']]</f>
        <v/>
      </c>
      <c r="T724" s="278" t="n">
        <v>160</v>
      </c>
      <c r="U724" s="291" t="n"/>
      <c r="V724" s="7" t="inlineStr">
        <is>
          <t>V1000310 - BOONBAWORN ENGINEERING CO., LTD</t>
        </is>
      </c>
      <c r="W724" s="30" t="inlineStr">
        <is>
          <t>Recive bill and GRN already</t>
        </is>
      </c>
      <c r="X724" s="5" t="n"/>
      <c r="Y724" s="3" t="n">
        <v>45659</v>
      </c>
      <c r="Z724" s="3" t="n"/>
      <c r="AA724" s="17">
        <f>IF(RawDataGenPO[[#This Row],[Date Gen PO]]="","",RawDataGenPO[[#This Row],[Date recive bill]]-RawDataGenPO[[#This Row],[Date Gen PO]])</f>
        <v/>
      </c>
      <c r="AB724" s="16">
        <f>IF(RawDataGenPO[[#This Row],[GRN-PO date]]&gt;RawDataGenPO[[#This Row],[Lead time delivery (day)]],"over deliverry","Ontime")</f>
        <v/>
      </c>
      <c r="AC724" s="22" t="n"/>
    </row>
    <row r="725" customFormat="1" s="125">
      <c r="A725" s="5">
        <f>ROW()-ROW(RawDataGenPO[[#Headers],[No.]])</f>
        <v/>
      </c>
      <c r="B725" s="7" t="inlineStr">
        <is>
          <t>Expent  cost</t>
        </is>
      </c>
      <c r="C725" s="301" t="n">
        <v>45631</v>
      </c>
      <c r="D725" s="276" t="inlineStr">
        <is>
          <t>CPP24-133</t>
        </is>
      </c>
      <c r="E725" s="281" t="n"/>
      <c r="F725" s="301" t="n">
        <v>45631</v>
      </c>
      <c r="G725" s="5" t="inlineStr">
        <is>
          <t>PR2425-04738</t>
        </is>
      </c>
      <c r="H725" s="5" t="inlineStr">
        <is>
          <t>PO2425-5296</t>
        </is>
      </c>
      <c r="I725" s="290">
        <f>IF(RawDataGenPO[[#This Row],[PO No.]]="","",RawDataGenPO[[#This Row],[DMY Create PR]]+7)</f>
        <v/>
      </c>
      <c r="J725" s="290" t="n"/>
      <c r="K725" s="20" t="n">
        <v>45</v>
      </c>
      <c r="L725" s="159" t="inlineStr">
        <is>
          <t>SFST34000148</t>
        </is>
      </c>
      <c r="M725" s="7" t="inlineStr">
        <is>
          <t>Consumable part for MN</t>
        </is>
      </c>
      <c r="N725" s="7" t="inlineStr">
        <is>
          <t>Tool and Equipment</t>
        </is>
      </c>
      <c r="O725" s="11" t="n">
        <v>11</v>
      </c>
      <c r="P725" s="158" t="inlineStr">
        <is>
          <t>fittingstraight couplingair linemale thread 3/8" outlet 10 mm.</t>
        </is>
      </c>
      <c r="Q725" s="277" t="n">
        <v>10</v>
      </c>
      <c r="R725" s="5" t="inlineStr">
        <is>
          <t>PCS.</t>
        </is>
      </c>
      <c r="S725" s="292">
        <f>RawDataGenPO[[#This Row],[Total price]]/RawDataGenPO[[#This Row],[Qty'']]</f>
        <v/>
      </c>
      <c r="T725" s="278" t="n">
        <v>170</v>
      </c>
      <c r="U725" s="291" t="n"/>
      <c r="V725" s="7" t="inlineStr">
        <is>
          <t>V1000310 - BOONBAWORN ENGINEERING CO., LTD</t>
        </is>
      </c>
      <c r="W725" s="30" t="inlineStr">
        <is>
          <t>Recive bill and GRN already</t>
        </is>
      </c>
      <c r="X725" s="5" t="n"/>
      <c r="Y725" s="3" t="n">
        <v>45659</v>
      </c>
      <c r="Z725" s="3" t="n"/>
      <c r="AA725" s="17">
        <f>IF(RawDataGenPO[[#This Row],[Date Gen PO]]="","",RawDataGenPO[[#This Row],[Date recive bill]]-RawDataGenPO[[#This Row],[Date Gen PO]])</f>
        <v/>
      </c>
      <c r="AB725" s="16">
        <f>IF(RawDataGenPO[[#This Row],[GRN-PO date]]&gt;RawDataGenPO[[#This Row],[Lead time delivery (day)]],"over deliverry","Ontime")</f>
        <v/>
      </c>
      <c r="AC725" s="22" t="n"/>
    </row>
    <row r="726" customFormat="1" s="125">
      <c r="A726" s="5">
        <f>ROW()-ROW(RawDataGenPO[[#Headers],[No.]])</f>
        <v/>
      </c>
      <c r="B726" s="7" t="inlineStr">
        <is>
          <t>Expent  cost</t>
        </is>
      </c>
      <c r="C726" s="301" t="n">
        <v>45631</v>
      </c>
      <c r="D726" s="276" t="inlineStr">
        <is>
          <t>CPP24-133</t>
        </is>
      </c>
      <c r="E726" s="281" t="n"/>
      <c r="F726" s="301" t="n">
        <v>45631</v>
      </c>
      <c r="G726" s="5" t="inlineStr">
        <is>
          <t>PR2425-04738</t>
        </is>
      </c>
      <c r="H726" s="5" t="inlineStr">
        <is>
          <t>PO2425-5296</t>
        </is>
      </c>
      <c r="I726" s="290">
        <f>IF(RawDataGenPO[[#This Row],[PO No.]]="","",RawDataGenPO[[#This Row],[DMY Create PR]]+7)</f>
        <v/>
      </c>
      <c r="J726" s="290" t="n"/>
      <c r="K726" s="20" t="n">
        <v>45</v>
      </c>
      <c r="L726" s="159" t="inlineStr">
        <is>
          <t>SFST34000149</t>
        </is>
      </c>
      <c r="M726" s="7" t="inlineStr">
        <is>
          <t>Consumable part for MN</t>
        </is>
      </c>
      <c r="N726" s="7" t="inlineStr">
        <is>
          <t>Tool and Equipment</t>
        </is>
      </c>
      <c r="O726" s="11" t="n">
        <v>12</v>
      </c>
      <c r="P726" s="158" t="inlineStr">
        <is>
          <t>fittingstraight couplingair linemale thread 1/2" outlet 10 mm.</t>
        </is>
      </c>
      <c r="Q726" s="277" t="n">
        <v>10</v>
      </c>
      <c r="R726" s="5" t="inlineStr">
        <is>
          <t>PCS.</t>
        </is>
      </c>
      <c r="S726" s="292">
        <f>RawDataGenPO[[#This Row],[Total price]]/RawDataGenPO[[#This Row],[Qty'']]</f>
        <v/>
      </c>
      <c r="T726" s="278" t="n">
        <v>240</v>
      </c>
      <c r="U726" s="291" t="n"/>
      <c r="V726" s="7" t="inlineStr">
        <is>
          <t>V1000310 - BOONBAWORN ENGINEERING CO., LTD</t>
        </is>
      </c>
      <c r="W726" s="30" t="inlineStr">
        <is>
          <t>Recive bill and GRN already</t>
        </is>
      </c>
      <c r="X726" s="5" t="n"/>
      <c r="Y726" s="3" t="n">
        <v>45659</v>
      </c>
      <c r="Z726" s="3" t="n"/>
      <c r="AA726" s="17">
        <f>IF(RawDataGenPO[[#This Row],[Date Gen PO]]="","",RawDataGenPO[[#This Row],[Date recive bill]]-RawDataGenPO[[#This Row],[Date Gen PO]])</f>
        <v/>
      </c>
      <c r="AB726" s="16">
        <f>IF(RawDataGenPO[[#This Row],[GRN-PO date]]&gt;RawDataGenPO[[#This Row],[Lead time delivery (day)]],"over deliverry","Ontime")</f>
        <v/>
      </c>
      <c r="AC726" s="22" t="n"/>
    </row>
    <row r="727" customFormat="1" s="125">
      <c r="A727" s="5">
        <f>ROW()-ROW(RawDataGenPO[[#Headers],[No.]])</f>
        <v/>
      </c>
      <c r="B727" s="7" t="inlineStr">
        <is>
          <t>Expent  cost</t>
        </is>
      </c>
      <c r="C727" s="301" t="n">
        <v>45631</v>
      </c>
      <c r="D727" s="276" t="inlineStr">
        <is>
          <t>CPP24-133</t>
        </is>
      </c>
      <c r="E727" s="281" t="n"/>
      <c r="F727" s="301" t="n">
        <v>45631</v>
      </c>
      <c r="G727" s="5" t="inlineStr">
        <is>
          <t>PR2425-04738</t>
        </is>
      </c>
      <c r="H727" s="5" t="inlineStr">
        <is>
          <t>PO2425-5296</t>
        </is>
      </c>
      <c r="I727" s="290">
        <f>IF(RawDataGenPO[[#This Row],[PO No.]]="","",RawDataGenPO[[#This Row],[DMY Create PR]]+7)</f>
        <v/>
      </c>
      <c r="J727" s="290" t="n"/>
      <c r="K727" s="20" t="n">
        <v>45</v>
      </c>
      <c r="L727" s="159" t="inlineStr">
        <is>
          <t>SFST34000150</t>
        </is>
      </c>
      <c r="M727" s="7" t="inlineStr">
        <is>
          <t>Consumable part for MN</t>
        </is>
      </c>
      <c r="N727" s="7" t="inlineStr">
        <is>
          <t>Tool and Equipment</t>
        </is>
      </c>
      <c r="O727" s="11" t="n">
        <v>13</v>
      </c>
      <c r="P727" s="158" t="inlineStr">
        <is>
          <t>fittingstraight couplingplugair linetypereducing 8 mm to 6 mm.</t>
        </is>
      </c>
      <c r="Q727" s="277" t="n">
        <v>10</v>
      </c>
      <c r="R727" s="5" t="inlineStr">
        <is>
          <t>PCS.</t>
        </is>
      </c>
      <c r="S727" s="292">
        <f>RawDataGenPO[[#This Row],[Total price]]/RawDataGenPO[[#This Row],[Qty'']]</f>
        <v/>
      </c>
      <c r="T727" s="278" t="n">
        <v>220</v>
      </c>
      <c r="U727" s="291" t="n"/>
      <c r="V727" s="7" t="inlineStr">
        <is>
          <t>V1000310 - BOONBAWORN ENGINEERING CO., LTD</t>
        </is>
      </c>
      <c r="W727" s="30" t="inlineStr">
        <is>
          <t>Recive bill and GRN already</t>
        </is>
      </c>
      <c r="X727" s="5" t="n"/>
      <c r="Y727" s="3" t="n">
        <v>45659</v>
      </c>
      <c r="Z727" s="3" t="n"/>
      <c r="AA727" s="17">
        <f>IF(RawDataGenPO[[#This Row],[Date Gen PO]]="","",RawDataGenPO[[#This Row],[Date recive bill]]-RawDataGenPO[[#This Row],[Date Gen PO]])</f>
        <v/>
      </c>
      <c r="AB727" s="16">
        <f>IF(RawDataGenPO[[#This Row],[GRN-PO date]]&gt;RawDataGenPO[[#This Row],[Lead time delivery (day)]],"over deliverry","Ontime")</f>
        <v/>
      </c>
      <c r="AC727" s="22" t="n"/>
    </row>
    <row r="728" customFormat="1" s="125">
      <c r="A728" s="5">
        <f>ROW()-ROW(RawDataGenPO[[#Headers],[No.]])</f>
        <v/>
      </c>
      <c r="B728" s="7" t="inlineStr">
        <is>
          <t>Expent  cost</t>
        </is>
      </c>
      <c r="C728" s="301" t="n">
        <v>45631</v>
      </c>
      <c r="D728" s="276" t="inlineStr">
        <is>
          <t>CPP24-133</t>
        </is>
      </c>
      <c r="E728" s="281" t="n"/>
      <c r="F728" s="301" t="n">
        <v>45631</v>
      </c>
      <c r="G728" s="5" t="inlineStr">
        <is>
          <t>PR2425-04738</t>
        </is>
      </c>
      <c r="H728" s="5" t="inlineStr">
        <is>
          <t>PO2425-5296</t>
        </is>
      </c>
      <c r="I728" s="290">
        <f>IF(RawDataGenPO[[#This Row],[PO No.]]="","",RawDataGenPO[[#This Row],[DMY Create PR]]+7)</f>
        <v/>
      </c>
      <c r="J728" s="290" t="n"/>
      <c r="K728" s="20" t="n">
        <v>45</v>
      </c>
      <c r="L728" s="159" t="inlineStr">
        <is>
          <t>SFST34000151</t>
        </is>
      </c>
      <c r="M728" s="7" t="inlineStr">
        <is>
          <t>Consumable part for MN</t>
        </is>
      </c>
      <c r="N728" s="7" t="inlineStr">
        <is>
          <t>Tool and Equipment</t>
        </is>
      </c>
      <c r="O728" s="11" t="n">
        <v>14</v>
      </c>
      <c r="P728" s="158" t="inlineStr">
        <is>
          <t>fittingstraight couplingplugair linetypereducing 10 mm to 8 mm.</t>
        </is>
      </c>
      <c r="Q728" s="277" t="n">
        <v>10</v>
      </c>
      <c r="R728" s="5" t="inlineStr">
        <is>
          <t>PCS.</t>
        </is>
      </c>
      <c r="S728" s="292">
        <f>RawDataGenPO[[#This Row],[Total price]]/RawDataGenPO[[#This Row],[Qty'']]</f>
        <v/>
      </c>
      <c r="T728" s="278" t="n">
        <v>270</v>
      </c>
      <c r="U728" s="291" t="n"/>
      <c r="V728" s="7" t="inlineStr">
        <is>
          <t>V1000310 - BOONBAWORN ENGINEERING CO., LTD</t>
        </is>
      </c>
      <c r="W728" s="30" t="inlineStr">
        <is>
          <t>Recive bill and GRN already</t>
        </is>
      </c>
      <c r="X728" s="5" t="n"/>
      <c r="Y728" s="3" t="n">
        <v>45659</v>
      </c>
      <c r="Z728" s="3" t="n"/>
      <c r="AA728" s="17">
        <f>IF(RawDataGenPO[[#This Row],[Date Gen PO]]="","",RawDataGenPO[[#This Row],[Date recive bill]]-RawDataGenPO[[#This Row],[Date Gen PO]])</f>
        <v/>
      </c>
      <c r="AB728" s="16">
        <f>IF(RawDataGenPO[[#This Row],[GRN-PO date]]&gt;RawDataGenPO[[#This Row],[Lead time delivery (day)]],"over deliverry","Ontime")</f>
        <v/>
      </c>
      <c r="AC728" s="22" t="n"/>
    </row>
    <row r="729" customFormat="1" s="125">
      <c r="A729" s="5">
        <f>ROW()-ROW(RawDataGenPO[[#Headers],[No.]])</f>
        <v/>
      </c>
      <c r="B729" s="7" t="inlineStr">
        <is>
          <t>Expent  cost</t>
        </is>
      </c>
      <c r="C729" s="301" t="n">
        <v>45631</v>
      </c>
      <c r="D729" s="276" t="inlineStr">
        <is>
          <t>CPP24-133</t>
        </is>
      </c>
      <c r="E729" s="281" t="n"/>
      <c r="F729" s="301" t="n">
        <v>45631</v>
      </c>
      <c r="G729" s="5" t="inlineStr">
        <is>
          <t>PR2425-04738</t>
        </is>
      </c>
      <c r="H729" s="5" t="inlineStr">
        <is>
          <t>PO2425-5296</t>
        </is>
      </c>
      <c r="I729" s="290">
        <f>IF(RawDataGenPO[[#This Row],[PO No.]]="","",RawDataGenPO[[#This Row],[DMY Create PR]]+7)</f>
        <v/>
      </c>
      <c r="J729" s="290" t="n"/>
      <c r="K729" s="20" t="n">
        <v>45</v>
      </c>
      <c r="L729" s="159" t="inlineStr">
        <is>
          <t>SFST34000152</t>
        </is>
      </c>
      <c r="M729" s="7" t="inlineStr">
        <is>
          <t>Consumable part for MN</t>
        </is>
      </c>
      <c r="N729" s="7" t="inlineStr">
        <is>
          <t>Tool and Equipment</t>
        </is>
      </c>
      <c r="O729" s="11" t="n">
        <v>15</v>
      </c>
      <c r="P729" s="158" t="inlineStr">
        <is>
          <t>fittingstraight couplingplugair linetypereducing 10 mm to 6 mm.</t>
        </is>
      </c>
      <c r="Q729" s="277" t="n">
        <v>10</v>
      </c>
      <c r="R729" s="5" t="inlineStr">
        <is>
          <t>PCS.</t>
        </is>
      </c>
      <c r="S729" s="292">
        <f>RawDataGenPO[[#This Row],[Total price]]/RawDataGenPO[[#This Row],[Qty'']]</f>
        <v/>
      </c>
      <c r="T729" s="278" t="n">
        <v>280</v>
      </c>
      <c r="U729" s="291" t="n"/>
      <c r="V729" s="7" t="inlineStr">
        <is>
          <t>V1000310 - BOONBAWORN ENGINEERING CO., LTD</t>
        </is>
      </c>
      <c r="W729" s="30" t="inlineStr">
        <is>
          <t>Recive bill and GRN already</t>
        </is>
      </c>
      <c r="X729" s="5" t="n"/>
      <c r="Y729" s="3" t="n">
        <v>45659</v>
      </c>
      <c r="Z729" s="3" t="n"/>
      <c r="AA729" s="17">
        <f>IF(RawDataGenPO[[#This Row],[Date Gen PO]]="","",RawDataGenPO[[#This Row],[Date recive bill]]-RawDataGenPO[[#This Row],[Date Gen PO]])</f>
        <v/>
      </c>
      <c r="AB729" s="16">
        <f>IF(RawDataGenPO[[#This Row],[GRN-PO date]]&gt;RawDataGenPO[[#This Row],[Lead time delivery (day)]],"over deliverry","Ontime")</f>
        <v/>
      </c>
      <c r="AC729" s="22" t="n"/>
    </row>
    <row r="730" customFormat="1" s="125">
      <c r="A730" s="5">
        <f>ROW()-ROW(RawDataGenPO[[#Headers],[No.]])</f>
        <v/>
      </c>
      <c r="B730" s="7" t="inlineStr">
        <is>
          <t>Expent  cost</t>
        </is>
      </c>
      <c r="C730" s="301" t="n">
        <v>45631</v>
      </c>
      <c r="D730" s="276" t="inlineStr">
        <is>
          <t>CPP24-133</t>
        </is>
      </c>
      <c r="E730" s="281" t="n"/>
      <c r="F730" s="301" t="n">
        <v>45631</v>
      </c>
      <c r="G730" s="5" t="inlineStr">
        <is>
          <t>PR2425-04738</t>
        </is>
      </c>
      <c r="H730" s="5" t="inlineStr">
        <is>
          <t>PO2425-5296</t>
        </is>
      </c>
      <c r="I730" s="290">
        <f>IF(RawDataGenPO[[#This Row],[PO No.]]="","",RawDataGenPO[[#This Row],[DMY Create PR]]+7)</f>
        <v/>
      </c>
      <c r="J730" s="290" t="n"/>
      <c r="K730" s="20" t="n">
        <v>45</v>
      </c>
      <c r="L730" s="159" t="inlineStr">
        <is>
          <t>SFST34000153</t>
        </is>
      </c>
      <c r="M730" s="7" t="inlineStr">
        <is>
          <t>Consumable part for MN</t>
        </is>
      </c>
      <c r="N730" s="7" t="inlineStr">
        <is>
          <t>Tool and Equipment</t>
        </is>
      </c>
      <c r="O730" s="11" t="n">
        <v>16</v>
      </c>
      <c r="P730" s="158" t="inlineStr">
        <is>
          <t>pcssoundproof (Silencer) male threadsize 1/8"</t>
        </is>
      </c>
      <c r="Q730" s="277" t="n">
        <v>10</v>
      </c>
      <c r="R730" s="5" t="inlineStr">
        <is>
          <t>PCS.</t>
        </is>
      </c>
      <c r="S730" s="292">
        <f>RawDataGenPO[[#This Row],[Total price]]/RawDataGenPO[[#This Row],[Qty'']]</f>
        <v/>
      </c>
      <c r="T730" s="278" t="n">
        <v>150</v>
      </c>
      <c r="U730" s="291" t="n"/>
      <c r="V730" s="7" t="inlineStr">
        <is>
          <t>V1000310 - BOONBAWORN ENGINEERING CO., LTD</t>
        </is>
      </c>
      <c r="W730" s="30" t="inlineStr">
        <is>
          <t>Recive bill and GRN already</t>
        </is>
      </c>
      <c r="X730" s="5" t="n"/>
      <c r="Y730" s="3" t="n">
        <v>45659</v>
      </c>
      <c r="Z730" s="3" t="n"/>
      <c r="AA730" s="17">
        <f>IF(RawDataGenPO[[#This Row],[Date Gen PO]]="","",RawDataGenPO[[#This Row],[Date recive bill]]-RawDataGenPO[[#This Row],[Date Gen PO]])</f>
        <v/>
      </c>
      <c r="AB730" s="16">
        <f>IF(RawDataGenPO[[#This Row],[GRN-PO date]]&gt;RawDataGenPO[[#This Row],[Lead time delivery (day)]],"over deliverry","Ontime")</f>
        <v/>
      </c>
      <c r="AC730" s="22" t="n"/>
    </row>
    <row r="731" customFormat="1" s="125">
      <c r="A731" s="5">
        <f>ROW()-ROW(RawDataGenPO[[#Headers],[No.]])</f>
        <v/>
      </c>
      <c r="B731" s="7" t="inlineStr">
        <is>
          <t>Expent  cost</t>
        </is>
      </c>
      <c r="C731" s="301" t="n">
        <v>45631</v>
      </c>
      <c r="D731" s="276" t="inlineStr">
        <is>
          <t>CPP24-133</t>
        </is>
      </c>
      <c r="E731" s="281" t="n"/>
      <c r="F731" s="301" t="n">
        <v>45631</v>
      </c>
      <c r="G731" s="5" t="inlineStr">
        <is>
          <t>PR2425-04738</t>
        </is>
      </c>
      <c r="H731" s="5" t="inlineStr">
        <is>
          <t>PO2425-5296</t>
        </is>
      </c>
      <c r="I731" s="290">
        <f>IF(RawDataGenPO[[#This Row],[PO No.]]="","",RawDataGenPO[[#This Row],[DMY Create PR]]+7)</f>
        <v/>
      </c>
      <c r="J731" s="290" t="n"/>
      <c r="K731" s="20" t="n">
        <v>45</v>
      </c>
      <c r="L731" s="159" t="inlineStr">
        <is>
          <t>SFST34000154</t>
        </is>
      </c>
      <c r="M731" s="7" t="inlineStr">
        <is>
          <t>Consumable part for MN</t>
        </is>
      </c>
      <c r="N731" s="7" t="inlineStr">
        <is>
          <t>Tool and Equipment</t>
        </is>
      </c>
      <c r="O731" s="11" t="n">
        <v>17</v>
      </c>
      <c r="P731" s="158" t="inlineStr">
        <is>
          <t>pcssoundproof (Silencer) male threadsize 1/4"</t>
        </is>
      </c>
      <c r="Q731" s="277" t="n">
        <v>10</v>
      </c>
      <c r="R731" s="5" t="inlineStr">
        <is>
          <t>PCS.</t>
        </is>
      </c>
      <c r="S731" s="292">
        <f>RawDataGenPO[[#This Row],[Total price]]/RawDataGenPO[[#This Row],[Qty'']]</f>
        <v/>
      </c>
      <c r="T731" s="278" t="n">
        <v>180</v>
      </c>
      <c r="U731" s="291" t="n"/>
      <c r="V731" s="7" t="inlineStr">
        <is>
          <t>V1000310 - BOONBAWORN ENGINEERING CO., LTD</t>
        </is>
      </c>
      <c r="W731" s="30" t="inlineStr">
        <is>
          <t>Recive bill and GRN already</t>
        </is>
      </c>
      <c r="X731" s="5" t="n"/>
      <c r="Y731" s="3" t="n">
        <v>45659</v>
      </c>
      <c r="Z731" s="3" t="n"/>
      <c r="AA731" s="17">
        <f>IF(RawDataGenPO[[#This Row],[Date Gen PO]]="","",RawDataGenPO[[#This Row],[Date recive bill]]-RawDataGenPO[[#This Row],[Date Gen PO]])</f>
        <v/>
      </c>
      <c r="AB731" s="16">
        <f>IF(RawDataGenPO[[#This Row],[GRN-PO date]]&gt;RawDataGenPO[[#This Row],[Lead time delivery (day)]],"over deliverry","Ontime")</f>
        <v/>
      </c>
      <c r="AC731" s="22" t="n"/>
    </row>
    <row r="732" customFormat="1" s="125">
      <c r="A732" s="5">
        <f>ROW()-ROW(RawDataGenPO[[#Headers],[No.]])</f>
        <v/>
      </c>
      <c r="B732" s="7" t="inlineStr">
        <is>
          <t>Expent  cost</t>
        </is>
      </c>
      <c r="C732" s="301" t="n">
        <v>45631</v>
      </c>
      <c r="D732" s="276" t="inlineStr">
        <is>
          <t>CPP24-133</t>
        </is>
      </c>
      <c r="E732" s="281" t="n"/>
      <c r="F732" s="301" t="n">
        <v>45631</v>
      </c>
      <c r="G732" s="5" t="inlineStr">
        <is>
          <t>PR2425-04738</t>
        </is>
      </c>
      <c r="H732" s="5" t="inlineStr">
        <is>
          <t>PO2425-5296</t>
        </is>
      </c>
      <c r="I732" s="290">
        <f>IF(RawDataGenPO[[#This Row],[PO No.]]="","",RawDataGenPO[[#This Row],[DMY Create PR]]+7)</f>
        <v/>
      </c>
      <c r="J732" s="290" t="n"/>
      <c r="K732" s="20" t="n">
        <v>45</v>
      </c>
      <c r="L732" s="159" t="inlineStr">
        <is>
          <t>SFST34000155</t>
        </is>
      </c>
      <c r="M732" s="7" t="inlineStr">
        <is>
          <t>Consumable part for MN</t>
        </is>
      </c>
      <c r="N732" s="7" t="inlineStr">
        <is>
          <t>Tool and Equipment</t>
        </is>
      </c>
      <c r="O732" s="11" t="n">
        <v>18</v>
      </c>
      <c r="P732" s="158" t="inlineStr">
        <is>
          <t>pcssoundproof (Silencer) male threadsize 3/8"</t>
        </is>
      </c>
      <c r="Q732" s="277" t="n">
        <v>10</v>
      </c>
      <c r="R732" s="5" t="inlineStr">
        <is>
          <t>PCS.</t>
        </is>
      </c>
      <c r="S732" s="292">
        <f>RawDataGenPO[[#This Row],[Total price]]/RawDataGenPO[[#This Row],[Qty'']]</f>
        <v/>
      </c>
      <c r="T732" s="278" t="n">
        <v>520</v>
      </c>
      <c r="U732" s="291" t="n"/>
      <c r="V732" s="7" t="inlineStr">
        <is>
          <t>V1000310 - BOONBAWORN ENGINEERING CO., LTD</t>
        </is>
      </c>
      <c r="W732" s="30" t="inlineStr">
        <is>
          <t>Recive bill and GRN already</t>
        </is>
      </c>
      <c r="X732" s="5" t="n"/>
      <c r="Y732" s="3" t="n">
        <v>45659</v>
      </c>
      <c r="Z732" s="3" t="n"/>
      <c r="AA732" s="17">
        <f>IF(RawDataGenPO[[#This Row],[Date Gen PO]]="","",RawDataGenPO[[#This Row],[Date recive bill]]-RawDataGenPO[[#This Row],[Date Gen PO]])</f>
        <v/>
      </c>
      <c r="AB732" s="16">
        <f>IF(RawDataGenPO[[#This Row],[GRN-PO date]]&gt;RawDataGenPO[[#This Row],[Lead time delivery (day)]],"over deliverry","Ontime")</f>
        <v/>
      </c>
      <c r="AC732" s="22" t="n"/>
    </row>
    <row r="733" customFormat="1" s="125">
      <c r="A733" s="5">
        <f>ROW()-ROW(RawDataGenPO[[#Headers],[No.]])</f>
        <v/>
      </c>
      <c r="B733" s="7" t="inlineStr">
        <is>
          <t>Expent  cost</t>
        </is>
      </c>
      <c r="C733" s="301" t="n">
        <v>45631</v>
      </c>
      <c r="D733" s="276" t="inlineStr">
        <is>
          <t>CPP24-133</t>
        </is>
      </c>
      <c r="E733" s="281" t="n"/>
      <c r="F733" s="301" t="n">
        <v>45631</v>
      </c>
      <c r="G733" s="5" t="inlineStr">
        <is>
          <t>PR2425-04738</t>
        </is>
      </c>
      <c r="H733" s="5" t="inlineStr">
        <is>
          <t>PO2425-5296</t>
        </is>
      </c>
      <c r="I733" s="290">
        <f>IF(RawDataGenPO[[#This Row],[PO No.]]="","",RawDataGenPO[[#This Row],[DMY Create PR]]+7)</f>
        <v/>
      </c>
      <c r="J733" s="290" t="n"/>
      <c r="K733" s="20" t="n">
        <v>45</v>
      </c>
      <c r="L733" s="159" t="inlineStr">
        <is>
          <t>SFST34000156</t>
        </is>
      </c>
      <c r="M733" s="7" t="inlineStr">
        <is>
          <t>Consumable part for MN</t>
        </is>
      </c>
      <c r="N733" s="7" t="inlineStr">
        <is>
          <t>Tool and Equipment</t>
        </is>
      </c>
      <c r="O733" s="11" t="n">
        <v>19</v>
      </c>
      <c r="P733" s="158" t="inlineStr">
        <is>
          <t>fittingstraight couplingplugair line 6 mm.</t>
        </is>
      </c>
      <c r="Q733" s="277" t="n">
        <v>10</v>
      </c>
      <c r="R733" s="5" t="inlineStr">
        <is>
          <t>PCS.</t>
        </is>
      </c>
      <c r="S733" s="292">
        <f>RawDataGenPO[[#This Row],[Total price]]/RawDataGenPO[[#This Row],[Qty'']]</f>
        <v/>
      </c>
      <c r="T733" s="278" t="n">
        <v>110</v>
      </c>
      <c r="U733" s="291" t="n"/>
      <c r="V733" s="7" t="inlineStr">
        <is>
          <t>V1000310 - BOONBAWORN ENGINEERING CO., LTD</t>
        </is>
      </c>
      <c r="W733" s="30" t="inlineStr">
        <is>
          <t>Recive bill and GRN already</t>
        </is>
      </c>
      <c r="X733" s="5" t="n"/>
      <c r="Y733" s="3" t="n">
        <v>45659</v>
      </c>
      <c r="Z733" s="3" t="n"/>
      <c r="AA733" s="17">
        <f>IF(RawDataGenPO[[#This Row],[Date Gen PO]]="","",RawDataGenPO[[#This Row],[Date recive bill]]-RawDataGenPO[[#This Row],[Date Gen PO]])</f>
        <v/>
      </c>
      <c r="AB733" s="16">
        <f>IF(RawDataGenPO[[#This Row],[GRN-PO date]]&gt;RawDataGenPO[[#This Row],[Lead time delivery (day)]],"over deliverry","Ontime")</f>
        <v/>
      </c>
      <c r="AC733" s="22" t="n"/>
    </row>
    <row r="734" customFormat="1" s="125">
      <c r="A734" s="5">
        <f>ROW()-ROW(RawDataGenPO[[#Headers],[No.]])</f>
        <v/>
      </c>
      <c r="B734" s="7" t="inlineStr">
        <is>
          <t>Expent  cost</t>
        </is>
      </c>
      <c r="C734" s="301" t="n">
        <v>45631</v>
      </c>
      <c r="D734" s="276" t="inlineStr">
        <is>
          <t>CPP24-133</t>
        </is>
      </c>
      <c r="E734" s="281" t="n"/>
      <c r="F734" s="301" t="n">
        <v>45631</v>
      </c>
      <c r="G734" s="5" t="inlineStr">
        <is>
          <t>PR2425-04738</t>
        </is>
      </c>
      <c r="H734" s="5" t="inlineStr">
        <is>
          <t>PO2425-5296</t>
        </is>
      </c>
      <c r="I734" s="290">
        <f>IF(RawDataGenPO[[#This Row],[PO No.]]="","",RawDataGenPO[[#This Row],[DMY Create PR]]+7)</f>
        <v/>
      </c>
      <c r="J734" s="290" t="n"/>
      <c r="K734" s="20" t="n">
        <v>45</v>
      </c>
      <c r="L734" s="159" t="inlineStr">
        <is>
          <t>SFST34000157</t>
        </is>
      </c>
      <c r="M734" s="7" t="inlineStr">
        <is>
          <t>Consumable part for MN</t>
        </is>
      </c>
      <c r="N734" s="7" t="inlineStr">
        <is>
          <t>Tool and Equipment</t>
        </is>
      </c>
      <c r="O734" s="11" t="n">
        <v>20</v>
      </c>
      <c r="P734" s="158" t="inlineStr">
        <is>
          <t>fittingstraight couplingplugair line 8 mm.</t>
        </is>
      </c>
      <c r="Q734" s="277" t="n">
        <v>10</v>
      </c>
      <c r="R734" s="5" t="inlineStr">
        <is>
          <t>PCS.</t>
        </is>
      </c>
      <c r="S734" s="292">
        <f>RawDataGenPO[[#This Row],[Total price]]/RawDataGenPO[[#This Row],[Qty'']]</f>
        <v/>
      </c>
      <c r="T734" s="278" t="n">
        <v>110</v>
      </c>
      <c r="U734" s="291" t="n"/>
      <c r="V734" s="7" t="inlineStr">
        <is>
          <t>V1000310 - BOONBAWORN ENGINEERING CO., LTD</t>
        </is>
      </c>
      <c r="W734" s="30" t="inlineStr">
        <is>
          <t>Recive bill and GRN already</t>
        </is>
      </c>
      <c r="X734" s="5" t="n"/>
      <c r="Y734" s="3" t="n">
        <v>45659</v>
      </c>
      <c r="Z734" s="3" t="n"/>
      <c r="AA734" s="17">
        <f>IF(RawDataGenPO[[#This Row],[Date Gen PO]]="","",RawDataGenPO[[#This Row],[Date recive bill]]-RawDataGenPO[[#This Row],[Date Gen PO]])</f>
        <v/>
      </c>
      <c r="AB734" s="16">
        <f>IF(RawDataGenPO[[#This Row],[GRN-PO date]]&gt;RawDataGenPO[[#This Row],[Lead time delivery (day)]],"over deliverry","Ontime")</f>
        <v/>
      </c>
      <c r="AC734" s="22" t="n"/>
    </row>
    <row r="735" customFormat="1" s="125">
      <c r="A735" s="5">
        <f>ROW()-ROW(RawDataGenPO[[#Headers],[No.]])</f>
        <v/>
      </c>
      <c r="B735" s="7" t="inlineStr">
        <is>
          <t>Expent  cost</t>
        </is>
      </c>
      <c r="C735" s="301" t="n">
        <v>45631</v>
      </c>
      <c r="D735" s="276" t="inlineStr">
        <is>
          <t>CPP24-133</t>
        </is>
      </c>
      <c r="E735" s="281" t="n"/>
      <c r="F735" s="301" t="n">
        <v>45631</v>
      </c>
      <c r="G735" s="5" t="inlineStr">
        <is>
          <t>PR2425-04738</t>
        </is>
      </c>
      <c r="H735" s="5" t="inlineStr">
        <is>
          <t>PO2425-5296</t>
        </is>
      </c>
      <c r="I735" s="290">
        <f>IF(RawDataGenPO[[#This Row],[PO No.]]="","",RawDataGenPO[[#This Row],[DMY Create PR]]+7)</f>
        <v/>
      </c>
      <c r="J735" s="290" t="n"/>
      <c r="K735" s="20" t="n">
        <v>45</v>
      </c>
      <c r="L735" s="159" t="inlineStr">
        <is>
          <t>SFST34000158</t>
        </is>
      </c>
      <c r="M735" s="7" t="inlineStr">
        <is>
          <t>Consumable part for MN</t>
        </is>
      </c>
      <c r="N735" s="7" t="inlineStr">
        <is>
          <t>Tool and Equipment</t>
        </is>
      </c>
      <c r="O735" s="11" t="n">
        <v>21</v>
      </c>
      <c r="P735" s="158" t="inlineStr">
        <is>
          <t>fittingstraight couplingplugair line 10 mm.</t>
        </is>
      </c>
      <c r="Q735" s="277" t="n">
        <v>10</v>
      </c>
      <c r="R735" s="5" t="inlineStr">
        <is>
          <t>PCS.</t>
        </is>
      </c>
      <c r="S735" s="292">
        <f>RawDataGenPO[[#This Row],[Total price]]/RawDataGenPO[[#This Row],[Qty'']]</f>
        <v/>
      </c>
      <c r="T735" s="278" t="n">
        <v>120</v>
      </c>
      <c r="U735" s="291" t="n"/>
      <c r="V735" s="7" t="inlineStr">
        <is>
          <t>V1000310 - BOONBAWORN ENGINEERING CO., LTD</t>
        </is>
      </c>
      <c r="W735" s="30" t="inlineStr">
        <is>
          <t>Recive bill and GRN already</t>
        </is>
      </c>
      <c r="X735" s="5" t="n"/>
      <c r="Y735" s="3" t="n">
        <v>45659</v>
      </c>
      <c r="Z735" s="3" t="n"/>
      <c r="AA735" s="17">
        <f>IF(RawDataGenPO[[#This Row],[Date Gen PO]]="","",RawDataGenPO[[#This Row],[Date recive bill]]-RawDataGenPO[[#This Row],[Date Gen PO]])</f>
        <v/>
      </c>
      <c r="AB735" s="16">
        <f>IF(RawDataGenPO[[#This Row],[GRN-PO date]]&gt;RawDataGenPO[[#This Row],[Lead time delivery (day)]],"over deliverry","Ontime")</f>
        <v/>
      </c>
      <c r="AC735" s="22" t="n"/>
    </row>
    <row r="736" ht="15" customHeight="1">
      <c r="A736" s="5">
        <f>ROW()-ROW(RawDataGenPO[[#Headers],[No.]])</f>
        <v/>
      </c>
      <c r="B736" s="7" t="inlineStr">
        <is>
          <t>CAPEX  (Unbudget)</t>
        </is>
      </c>
      <c r="C736" s="301" t="n">
        <v>45631</v>
      </c>
      <c r="F736" s="301" t="n">
        <v>45631</v>
      </c>
      <c r="G736" s="5" t="inlineStr">
        <is>
          <t>PR2425-04739</t>
        </is>
      </c>
      <c r="H736" s="5" t="inlineStr">
        <is>
          <t>PO2425-05542</t>
        </is>
      </c>
      <c r="I736" s="290">
        <f>IF(RawDataGenPO[[#This Row],[PO No.]]="","",RawDataGenPO[[#This Row],[DMY Create PR]]+7)</f>
        <v/>
      </c>
      <c r="J736" s="290" t="n"/>
      <c r="K736" s="20" t="n">
        <v>80</v>
      </c>
      <c r="L736" s="5" t="inlineStr">
        <is>
          <t>SFST82000007</t>
        </is>
      </c>
      <c r="M736" s="7" t="inlineStr">
        <is>
          <t>LPG  system</t>
        </is>
      </c>
      <c r="N736" s="7" t="inlineStr">
        <is>
          <t>Fire alarm jobs</t>
        </is>
      </c>
      <c r="O736" s="11" t="n">
        <v>1</v>
      </c>
      <c r="P736" s="80" t="inlineStr">
        <is>
          <t>Fire Alarm IoT Box (P00437) (LPG)</t>
        </is>
      </c>
      <c r="Q736" s="277" t="n">
        <v>4</v>
      </c>
      <c r="R736" s="5" t="inlineStr">
        <is>
          <t>JOB</t>
        </is>
      </c>
      <c r="S736" s="292">
        <f>RawDataGenPO[[#This Row],[Total price]]/RawDataGenPO[[#This Row],[Qty'']]</f>
        <v/>
      </c>
      <c r="T736" s="278" t="n">
        <v>54000</v>
      </c>
      <c r="U736" s="291" t="n"/>
      <c r="V736" s="7" t="inlineStr">
        <is>
          <t>V1000745 - SMK AUTOMATION CO.,LTD</t>
        </is>
      </c>
      <c r="W736" s="30" t="inlineStr">
        <is>
          <t>Recive bill and GRN already</t>
        </is>
      </c>
      <c r="X736" s="5" t="inlineStr">
        <is>
          <t>GRN2425-0007434</t>
        </is>
      </c>
      <c r="Y736" s="3" t="n">
        <v>45714</v>
      </c>
      <c r="AA736" s="17">
        <f>IF(RawDataGenPO[[#This Row],[Date Gen PO]]="","",RawDataGenPO[[#This Row],[Date recive bill]]-RawDataGenPO[[#This Row],[Date Gen PO]])</f>
        <v/>
      </c>
      <c r="AB736" s="16">
        <f>IF(RawDataGenPO[[#This Row],[GRN-PO date]]&gt;RawDataGenPO[[#This Row],[Lead time delivery (day)]],"over deliverry","Ontime")</f>
        <v/>
      </c>
      <c r="AC736" s="22" t="n"/>
    </row>
    <row r="737" ht="15" customHeight="1">
      <c r="A737" s="5">
        <f>ROW()-ROW(RawDataGenPO[[#Headers],[No.]])</f>
        <v/>
      </c>
      <c r="B737" s="7" t="inlineStr">
        <is>
          <t>CAPEX  (Unbudget)</t>
        </is>
      </c>
      <c r="C737" s="301" t="n">
        <v>45631</v>
      </c>
      <c r="F737" s="301" t="n">
        <v>45631</v>
      </c>
      <c r="G737" s="5" t="inlineStr">
        <is>
          <t>PR2425-04739</t>
        </is>
      </c>
      <c r="H737" s="5" t="inlineStr">
        <is>
          <t>PO2425-05542</t>
        </is>
      </c>
      <c r="I737" s="290">
        <f>IF(RawDataGenPO[[#This Row],[PO No.]]="","",RawDataGenPO[[#This Row],[DMY Create PR]]+7)</f>
        <v/>
      </c>
      <c r="J737" s="290" t="n"/>
      <c r="K737" s="20" t="n">
        <v>80</v>
      </c>
      <c r="L737" s="5" t="inlineStr">
        <is>
          <t>SFST82000007</t>
        </is>
      </c>
      <c r="M737" s="7" t="inlineStr">
        <is>
          <t>LPG  system</t>
        </is>
      </c>
      <c r="N737" s="7" t="inlineStr">
        <is>
          <t>LPG Tank No.1</t>
        </is>
      </c>
      <c r="O737" s="11" t="n">
        <v>2</v>
      </c>
      <c r="P737" s="80" t="inlineStr">
        <is>
          <t>LPG GAS Detector RS485 (P18846)</t>
        </is>
      </c>
      <c r="Q737" s="277" t="n">
        <v>2</v>
      </c>
      <c r="R737" s="5" t="inlineStr">
        <is>
          <t>JOB</t>
        </is>
      </c>
      <c r="S737" s="292">
        <f>RawDataGenPO[[#This Row],[Total price]]/RawDataGenPO[[#This Row],[Qty'']]</f>
        <v/>
      </c>
      <c r="T737" s="278" t="n">
        <v>19000</v>
      </c>
      <c r="U737" s="291" t="n"/>
      <c r="V737" s="7" t="inlineStr">
        <is>
          <t>V1000745 - SMK AUTOMATION CO.,LTD</t>
        </is>
      </c>
      <c r="W737" s="30" t="inlineStr">
        <is>
          <t>Recive bill and GRN already</t>
        </is>
      </c>
      <c r="X737" s="5" t="inlineStr">
        <is>
          <t>GRN2425-0007434</t>
        </is>
      </c>
      <c r="Y737" s="3" t="n">
        <v>45714</v>
      </c>
      <c r="AA737" s="17">
        <f>IF(RawDataGenPO[[#This Row],[Date Gen PO]]="","",RawDataGenPO[[#This Row],[Date recive bill]]-RawDataGenPO[[#This Row],[Date Gen PO]])</f>
        <v/>
      </c>
      <c r="AB737" s="16">
        <f>IF(RawDataGenPO[[#This Row],[GRN-PO date]]&gt;RawDataGenPO[[#This Row],[Lead time delivery (day)]],"over deliverry","Ontime")</f>
        <v/>
      </c>
      <c r="AC737" s="22" t="n"/>
    </row>
    <row r="738" ht="15" customHeight="1">
      <c r="A738" s="5">
        <f>ROW()-ROW(RawDataGenPO[[#Headers],[No.]])</f>
        <v/>
      </c>
      <c r="B738" s="7" t="inlineStr">
        <is>
          <t>CAPEX  (Unbudget)</t>
        </is>
      </c>
      <c r="C738" s="301" t="n">
        <v>45631</v>
      </c>
      <c r="F738" s="301" t="n">
        <v>45631</v>
      </c>
      <c r="G738" s="5" t="inlineStr">
        <is>
          <t>PR2425-04739</t>
        </is>
      </c>
      <c r="H738" s="5" t="inlineStr">
        <is>
          <t>PO2425-05542</t>
        </is>
      </c>
      <c r="I738" s="290">
        <f>IF(RawDataGenPO[[#This Row],[PO No.]]="","",RawDataGenPO[[#This Row],[DMY Create PR]]+7)</f>
        <v/>
      </c>
      <c r="J738" s="290" t="n"/>
      <c r="K738" s="20" t="n">
        <v>80</v>
      </c>
      <c r="L738" s="5" t="inlineStr">
        <is>
          <t>SFST82000007</t>
        </is>
      </c>
      <c r="M738" s="7" t="inlineStr">
        <is>
          <t>LPG  system</t>
        </is>
      </c>
      <c r="N738" s="7" t="inlineStr">
        <is>
          <t>LPG Tank No.1</t>
        </is>
      </c>
      <c r="O738" s="11" t="n">
        <v>3</v>
      </c>
      <c r="P738" s="80" t="inlineStr">
        <is>
          <t>front installation work and external cable routing (P00294)</t>
        </is>
      </c>
      <c r="Q738" s="277" t="n">
        <v>2</v>
      </c>
      <c r="R738" s="5" t="inlineStr">
        <is>
          <t>JOB</t>
        </is>
      </c>
      <c r="S738" s="292">
        <f>RawDataGenPO[[#This Row],[Total price]]/RawDataGenPO[[#This Row],[Qty'']]</f>
        <v/>
      </c>
      <c r="T738" s="278" t="n">
        <v>6000</v>
      </c>
      <c r="U738" s="291" t="n"/>
      <c r="V738" s="7" t="inlineStr">
        <is>
          <t>V1000745 - SMK AUTOMATION CO.,LTD</t>
        </is>
      </c>
      <c r="W738" s="30" t="inlineStr">
        <is>
          <t>Recive bill and GRN already</t>
        </is>
      </c>
      <c r="X738" s="5" t="inlineStr">
        <is>
          <t>GRN2425-0007434</t>
        </is>
      </c>
      <c r="Y738" s="3" t="n">
        <v>45714</v>
      </c>
      <c r="AA738" s="17">
        <f>IF(RawDataGenPO[[#This Row],[Date Gen PO]]="","",RawDataGenPO[[#This Row],[Date recive bill]]-RawDataGenPO[[#This Row],[Date Gen PO]])</f>
        <v/>
      </c>
      <c r="AB738" s="16">
        <f>IF(RawDataGenPO[[#This Row],[GRN-PO date]]&gt;RawDataGenPO[[#This Row],[Lead time delivery (day)]],"over deliverry","Ontime")</f>
        <v/>
      </c>
      <c r="AC738" s="22" t="n"/>
    </row>
    <row r="739" ht="15" customHeight="1">
      <c r="A739" s="5">
        <f>ROW()-ROW(RawDataGenPO[[#Headers],[No.]])</f>
        <v/>
      </c>
      <c r="B739" s="7" t="inlineStr">
        <is>
          <t>CAPEX  (Unbudget)</t>
        </is>
      </c>
      <c r="C739" s="301" t="n">
        <v>45631</v>
      </c>
      <c r="F739" s="301" t="n">
        <v>45631</v>
      </c>
      <c r="G739" s="5" t="inlineStr">
        <is>
          <t>PR2425-04739</t>
        </is>
      </c>
      <c r="H739" s="5" t="inlineStr">
        <is>
          <t>PO2425-05542</t>
        </is>
      </c>
      <c r="I739" s="290">
        <f>IF(RawDataGenPO[[#This Row],[PO No.]]="","",RawDataGenPO[[#This Row],[DMY Create PR]]+7)</f>
        <v/>
      </c>
      <c r="J739" s="290" t="n"/>
      <c r="K739" s="20" t="n">
        <v>80</v>
      </c>
      <c r="L739" s="5" t="inlineStr">
        <is>
          <t>SFST82000007</t>
        </is>
      </c>
      <c r="M739" s="7" t="inlineStr">
        <is>
          <t>LPG  system</t>
        </is>
      </c>
      <c r="N739" s="7" t="inlineStr">
        <is>
          <t>LPG Tank No.1</t>
        </is>
      </c>
      <c r="O739" s="11" t="n">
        <v>4</v>
      </c>
      <c r="P739" s="80" t="inlineStr">
        <is>
          <t>Service charge Config V-Box (P00608)</t>
        </is>
      </c>
      <c r="Q739" s="277" t="n">
        <v>2</v>
      </c>
      <c r="R739" s="5" t="inlineStr">
        <is>
          <t>JOB</t>
        </is>
      </c>
      <c r="S739" s="292">
        <f>RawDataGenPO[[#This Row],[Total price]]/RawDataGenPO[[#This Row],[Qty'']]</f>
        <v/>
      </c>
      <c r="T739" s="278" t="n">
        <v>6000</v>
      </c>
      <c r="U739" s="291" t="n"/>
      <c r="V739" s="7" t="inlineStr">
        <is>
          <t>V1000745 - SMK AUTOMATION CO.,LTD</t>
        </is>
      </c>
      <c r="W739" s="30" t="inlineStr">
        <is>
          <t>Recive bill and GRN already</t>
        </is>
      </c>
      <c r="X739" s="5" t="inlineStr">
        <is>
          <t>GRN2425-0007434</t>
        </is>
      </c>
      <c r="Y739" s="3" t="n">
        <v>45714</v>
      </c>
      <c r="AA739" s="17">
        <f>IF(RawDataGenPO[[#This Row],[Date Gen PO]]="","",RawDataGenPO[[#This Row],[Date recive bill]]-RawDataGenPO[[#This Row],[Date Gen PO]])</f>
        <v/>
      </c>
      <c r="AB739" s="16">
        <f>IF(RawDataGenPO[[#This Row],[GRN-PO date]]&gt;RawDataGenPO[[#This Row],[Lead time delivery (day)]],"over deliverry","Ontime")</f>
        <v/>
      </c>
      <c r="AC739" s="22" t="n"/>
    </row>
    <row r="740" ht="30" customFormat="1" customHeight="1" s="125">
      <c r="A740" s="5">
        <f>ROW()-ROW(RawDataGenPO[[#Headers],[No.]])</f>
        <v/>
      </c>
      <c r="B740" s="7" t="inlineStr">
        <is>
          <t>CAPEX  (Unbudget)</t>
        </is>
      </c>
      <c r="C740" s="301" t="n">
        <v>45631</v>
      </c>
      <c r="D740" s="276" t="n"/>
      <c r="E740" s="276" t="n"/>
      <c r="F740" s="301" t="n">
        <v>45631</v>
      </c>
      <c r="G740" s="5" t="inlineStr">
        <is>
          <t>PR2425-04740</t>
        </is>
      </c>
      <c r="H740" s="5" t="inlineStr">
        <is>
          <t>PO2425-05535</t>
        </is>
      </c>
      <c r="I740" s="290">
        <f>IF(RawDataGenPO[[#This Row],[PO No.]]="","",RawDataGenPO[[#This Row],[DMY Create PR]]+7)</f>
        <v/>
      </c>
      <c r="J740" s="290" t="n"/>
      <c r="K740" s="20" t="n">
        <v>45</v>
      </c>
      <c r="L740" s="5" t="inlineStr">
        <is>
          <t>SFST82000007</t>
        </is>
      </c>
      <c r="M740" s="7" t="inlineStr">
        <is>
          <t>LPG  system</t>
        </is>
      </c>
      <c r="N740" s="7" t="inlineStr">
        <is>
          <t>LPG Tank No.1</t>
        </is>
      </c>
      <c r="O740" s="11" t="n">
        <v>1</v>
      </c>
      <c r="P740" s="80" t="inlineStr">
        <is>
          <t>Replaceequipmentwithinstall LPG DETECTOR
"EWOO" EW-403 Gas Detector Ex-Proof</t>
        </is>
      </c>
      <c r="Q740" s="277" t="n">
        <v>1</v>
      </c>
      <c r="R740" s="5" t="inlineStr">
        <is>
          <t>SET</t>
        </is>
      </c>
      <c r="S740" s="292">
        <f>RawDataGenPO[[#This Row],[Total price]]/RawDataGenPO[[#This Row],[Qty'']]</f>
        <v/>
      </c>
      <c r="T740" s="278" t="n">
        <v>8925</v>
      </c>
      <c r="U740" s="291" t="n"/>
      <c r="V740" s="7" t="inlineStr">
        <is>
          <t>V1000742 - SAENCHOTE ELECTRIC INSTRUMENT COMPANY LIMITED</t>
        </is>
      </c>
      <c r="W740" s="30" t="inlineStr">
        <is>
          <t>Recive bill and GRN already</t>
        </is>
      </c>
      <c r="X740" s="5" t="inlineStr">
        <is>
          <t>GRN2425-0006567</t>
        </is>
      </c>
      <c r="Y740" s="3" t="n">
        <v>45677</v>
      </c>
      <c r="Z740" s="3" t="n"/>
      <c r="AA740" s="17">
        <f>IF(RawDataGenPO[[#This Row],[Date Gen PO]]="","",RawDataGenPO[[#This Row],[Date recive bill]]-RawDataGenPO[[#This Row],[Date Gen PO]])</f>
        <v/>
      </c>
      <c r="AB740" s="16">
        <f>IF(RawDataGenPO[[#This Row],[GRN-PO date]]&gt;RawDataGenPO[[#This Row],[Lead time delivery (day)]],"over deliverry","Ontime")</f>
        <v/>
      </c>
      <c r="AC740" s="22" t="n"/>
    </row>
    <row r="741" ht="15" customFormat="1" customHeight="1" s="125">
      <c r="A741" s="5">
        <f>ROW()-ROW(RawDataGenPO[[#Headers],[No.]])</f>
        <v/>
      </c>
      <c r="B741" s="7" t="inlineStr">
        <is>
          <t>CAPEX  (Unbudget)</t>
        </is>
      </c>
      <c r="C741" s="301" t="n">
        <v>45631</v>
      </c>
      <c r="D741" s="276" t="n"/>
      <c r="E741" s="276" t="n"/>
      <c r="F741" s="301" t="n">
        <v>45631</v>
      </c>
      <c r="G741" s="5" t="inlineStr">
        <is>
          <t>PR2425-04740</t>
        </is>
      </c>
      <c r="H741" s="5" t="inlineStr">
        <is>
          <t>PO2425-05535</t>
        </is>
      </c>
      <c r="I741" s="290">
        <f>IF(RawDataGenPO[[#This Row],[PO No.]]="","",RawDataGenPO[[#This Row],[DMY Create PR]]+7)</f>
        <v/>
      </c>
      <c r="J741" s="290" t="n"/>
      <c r="K741" s="20" t="n">
        <v>45</v>
      </c>
      <c r="L741" s="5" t="inlineStr">
        <is>
          <t>SFST82000007</t>
        </is>
      </c>
      <c r="M741" s="7" t="inlineStr">
        <is>
          <t>LPG  system</t>
        </is>
      </c>
      <c r="N741" s="7" t="inlineStr">
        <is>
          <t>LPG Tank No.1</t>
        </is>
      </c>
      <c r="O741" s="11" t="n">
        <v>2</v>
      </c>
      <c r="P741" s="80" t="inlineStr">
        <is>
          <t>Cover Stainless Steel "EWOO" EW-403</t>
        </is>
      </c>
      <c r="Q741" s="277" t="n">
        <v>1</v>
      </c>
      <c r="R741" s="5" t="inlineStr">
        <is>
          <t>SET</t>
        </is>
      </c>
      <c r="S741" s="292">
        <f>RawDataGenPO[[#This Row],[Total price]]/RawDataGenPO[[#This Row],[Qty'']]</f>
        <v/>
      </c>
      <c r="T741" s="278" t="n">
        <v>4875</v>
      </c>
      <c r="U741" s="291" t="n"/>
      <c r="V741" s="7" t="inlineStr">
        <is>
          <t>V1000742 - SAENCHOTE ELECTRIC INSTRUMENT COMPANY LIMITED</t>
        </is>
      </c>
      <c r="W741" s="30" t="inlineStr">
        <is>
          <t>Recive bill and GRN already</t>
        </is>
      </c>
      <c r="X741" s="5" t="inlineStr">
        <is>
          <t>GRN2425-0006567</t>
        </is>
      </c>
      <c r="Y741" s="3" t="n">
        <v>45677</v>
      </c>
      <c r="Z741" s="3" t="n"/>
      <c r="AA741" s="17">
        <f>IF(RawDataGenPO[[#This Row],[Date Gen PO]]="","",RawDataGenPO[[#This Row],[Date recive bill]]-RawDataGenPO[[#This Row],[Date Gen PO]])</f>
        <v/>
      </c>
      <c r="AB741" s="16">
        <f>IF(RawDataGenPO[[#This Row],[GRN-PO date]]&gt;RawDataGenPO[[#This Row],[Lead time delivery (day)]],"over deliverry","Ontime")</f>
        <v/>
      </c>
      <c r="AC741" s="22" t="n"/>
    </row>
    <row r="742" ht="15" customFormat="1" customHeight="1" s="125">
      <c r="A742" s="5">
        <f>ROW()-ROW(RawDataGenPO[[#Headers],[No.]])</f>
        <v/>
      </c>
      <c r="B742" s="7" t="inlineStr">
        <is>
          <t>CAPEX  (Unbudget)</t>
        </is>
      </c>
      <c r="C742" s="301" t="n">
        <v>45631</v>
      </c>
      <c r="D742" s="276" t="n"/>
      <c r="E742" s="276" t="n"/>
      <c r="F742" s="301" t="n">
        <v>45631</v>
      </c>
      <c r="G742" s="5" t="inlineStr">
        <is>
          <t>PR2425-04740</t>
        </is>
      </c>
      <c r="H742" s="5" t="inlineStr">
        <is>
          <t>PO2425-05535</t>
        </is>
      </c>
      <c r="I742" s="290">
        <f>IF(RawDataGenPO[[#This Row],[PO No.]]="","",RawDataGenPO[[#This Row],[DMY Create PR]]+7)</f>
        <v/>
      </c>
      <c r="J742" s="290" t="n"/>
      <c r="K742" s="20" t="n">
        <v>45</v>
      </c>
      <c r="L742" s="5" t="inlineStr">
        <is>
          <t>SFST82000007</t>
        </is>
      </c>
      <c r="M742" s="7" t="inlineStr">
        <is>
          <t>LPG  system</t>
        </is>
      </c>
      <c r="N742" s="7" t="inlineStr">
        <is>
          <t>LPG Tank No.1</t>
        </is>
      </c>
      <c r="O742" s="11" t="n">
        <v>3</v>
      </c>
      <c r="P742" s="80" t="inlineStr">
        <is>
          <t>Cover Stainless Steel "EWOO" EW-403</t>
        </is>
      </c>
      <c r="Q742" s="277" t="n">
        <v>1</v>
      </c>
      <c r="R742" s="5" t="inlineStr">
        <is>
          <t>JOB</t>
        </is>
      </c>
      <c r="S742" s="292">
        <f>RawDataGenPO[[#This Row],[Total price]]/RawDataGenPO[[#This Row],[Qty'']]</f>
        <v/>
      </c>
      <c r="T742" s="278" t="n">
        <v>3675</v>
      </c>
      <c r="U742" s="291" t="n"/>
      <c r="V742" s="7" t="inlineStr">
        <is>
          <t>V1000742 - SAENCHOTE ELECTRIC INSTRUMENT COMPANY LIMITED</t>
        </is>
      </c>
      <c r="W742" s="30" t="inlineStr">
        <is>
          <t>Recive bill and GRN already</t>
        </is>
      </c>
      <c r="X742" s="5" t="inlineStr">
        <is>
          <t>GRN2425-0006567</t>
        </is>
      </c>
      <c r="Y742" s="3" t="n">
        <v>45677</v>
      </c>
      <c r="Z742" s="3" t="n"/>
      <c r="AA742" s="17">
        <f>IF(RawDataGenPO[[#This Row],[Date Gen PO]]="","",RawDataGenPO[[#This Row],[Date recive bill]]-RawDataGenPO[[#This Row],[Date Gen PO]])</f>
        <v/>
      </c>
      <c r="AB742" s="16">
        <f>IF(RawDataGenPO[[#This Row],[GRN-PO date]]&gt;RawDataGenPO[[#This Row],[Lead time delivery (day)]],"over deliverry","Ontime")</f>
        <v/>
      </c>
      <c r="AC742" s="22" t="n"/>
    </row>
    <row r="743" ht="30" customHeight="1">
      <c r="A743" s="5">
        <f>ROW()-ROW(RawDataGenPO[[#Headers],[No.]])</f>
        <v/>
      </c>
      <c r="B743" s="7" t="inlineStr">
        <is>
          <t>CAPEX  (Unbudget)</t>
        </is>
      </c>
      <c r="C743" s="301" t="n">
        <v>45631</v>
      </c>
      <c r="D743" s="276" t="inlineStr">
        <is>
          <t>CPP24-264</t>
        </is>
      </c>
      <c r="F743" s="301" t="n">
        <v>45631</v>
      </c>
      <c r="G743" s="5" t="inlineStr">
        <is>
          <t>PR2425-04749</t>
        </is>
      </c>
      <c r="H743" s="5" t="inlineStr">
        <is>
          <t>PO2425-05654</t>
        </is>
      </c>
      <c r="I743" s="290">
        <f>IF(RawDataGenPO[[#This Row],[PO No.]]="","",RawDataGenPO[[#This Row],[DMY Create PR]]+7)</f>
        <v/>
      </c>
      <c r="J743" s="290" t="n"/>
      <c r="K743" s="20" t="n">
        <v>240</v>
      </c>
      <c r="L743" s="5" t="inlineStr">
        <is>
          <t>SFST82000015</t>
        </is>
      </c>
      <c r="M743" s="7" t="inlineStr">
        <is>
          <t>Utility Jobs  (Boiler-Air compress-Transformer-LPG)</t>
        </is>
      </c>
      <c r="N743" s="7" t="inlineStr">
        <is>
          <t>Cooling system jobs</t>
        </is>
      </c>
      <c r="O743" s="11" t="n">
        <v>1</v>
      </c>
      <c r="P743" s="130" t="inlineStr">
        <is>
          <t>cooling system forroom New Air Blast Freezer No.3
- additional details as attached quotation</t>
        </is>
      </c>
      <c r="Q743" s="277" t="n">
        <v>1</v>
      </c>
      <c r="R743" s="5" t="inlineStr">
        <is>
          <t>JOB</t>
        </is>
      </c>
      <c r="S743" s="292">
        <f>RawDataGenPO[[#This Row],[Total price]]/RawDataGenPO[[#This Row],[Qty'']]</f>
        <v/>
      </c>
      <c r="T743" s="278" t="n">
        <v>6580000</v>
      </c>
      <c r="U743" s="291" t="n"/>
      <c r="V743" s="7" t="inlineStr">
        <is>
          <t>V1000748 - CARRIER COMMERCIAL REFRIGERATION(THAILAND) COMPANY LIMITED</t>
        </is>
      </c>
      <c r="W743" s="6" t="inlineStr">
        <is>
          <t>Inbetween waitting supplier Fix/Install/Other</t>
        </is>
      </c>
      <c r="AA743" s="17">
        <f>IF(RawDataGenPO[[#This Row],[Date Gen PO]]="","",RawDataGenPO[[#This Row],[Date recive bill]]-RawDataGenPO[[#This Row],[Date Gen PO]])</f>
        <v/>
      </c>
      <c r="AB743" s="16">
        <f>IF(RawDataGenPO[[#This Row],[GRN-PO date]]&gt;RawDataGenPO[[#This Row],[Lead time delivery (day)]],"over deliverry","Ontime")</f>
        <v/>
      </c>
      <c r="AC743" s="22" t="n"/>
    </row>
    <row r="744" ht="15" customFormat="1" customHeight="1" s="125">
      <c r="A744" s="5">
        <f>ROW()-ROW(RawDataGenPO[[#Headers],[No.]])</f>
        <v/>
      </c>
      <c r="B744" s="7" t="inlineStr">
        <is>
          <t>Expent  cost</t>
        </is>
      </c>
      <c r="C744" s="301" t="n">
        <v>45631</v>
      </c>
      <c r="D744" s="276" t="inlineStr">
        <is>
          <t>CPP24-252</t>
        </is>
      </c>
      <c r="E744" s="276" t="n"/>
      <c r="F744" s="301" t="n">
        <v>45631</v>
      </c>
      <c r="G744" s="5" t="inlineStr">
        <is>
          <t>PR2425-04750</t>
        </is>
      </c>
      <c r="H744" s="5" t="inlineStr">
        <is>
          <t>PO2425-05292</t>
        </is>
      </c>
      <c r="I744" s="290">
        <f>IF(RawDataGenPO[[#This Row],[PO No.]]="","",RawDataGenPO[[#This Row],[DMY Create PR]]+7)</f>
        <v/>
      </c>
      <c r="J744" s="290" t="n"/>
      <c r="K744" s="20">
        <f>IF(RawDataGenPO[[#This Row],[PO No.]]="","",10)</f>
        <v/>
      </c>
      <c r="L744" s="5" t="inlineStr">
        <is>
          <t>SFST34000054</t>
        </is>
      </c>
      <c r="M744" s="7" t="inlineStr">
        <is>
          <t>Refrigerant-oil for cooling M/C</t>
        </is>
      </c>
      <c r="N744" s="7" t="inlineStr">
        <is>
          <t>Refrigerant</t>
        </is>
      </c>
      <c r="O744" s="11" t="n">
        <v>1</v>
      </c>
      <c r="P744" s="151" t="inlineStr">
        <is>
          <t>R507 Refrigerant,(1 Tank 11.3 kg/Tank)</t>
        </is>
      </c>
      <c r="Q744" s="293" t="n">
        <v>20</v>
      </c>
      <c r="R744" s="34" t="inlineStr">
        <is>
          <t>DRM.</t>
        </is>
      </c>
      <c r="S744" s="329">
        <f>RawDataGenPO[[#This Row],[Total price]]/RawDataGenPO[[#This Row],[Qty'']]</f>
        <v/>
      </c>
      <c r="T744" s="330" t="n">
        <v>59000</v>
      </c>
      <c r="U744" s="291" t="n"/>
      <c r="V744" s="7" t="inlineStr">
        <is>
          <t>V1000312 - Colder Solution Co., Ltd.</t>
        </is>
      </c>
      <c r="W744" s="30" t="inlineStr">
        <is>
          <t>Recive bill and GRN already</t>
        </is>
      </c>
      <c r="X744" s="5" t="n"/>
      <c r="Y744" s="3" t="n">
        <v>45638</v>
      </c>
      <c r="Z744" s="3" t="n"/>
      <c r="AA744" s="17">
        <f>IF(RawDataGenPO[[#This Row],[Date Gen PO]]="","",RawDataGenPO[[#This Row],[Date recive bill]]-RawDataGenPO[[#This Row],[Date Gen PO]])</f>
        <v/>
      </c>
      <c r="AB744" s="16">
        <f>IF(RawDataGenPO[[#This Row],[GRN-PO date]]&gt;RawDataGenPO[[#This Row],[Lead time delivery (day)]],"over deliverry","Ontime")</f>
        <v/>
      </c>
      <c r="AC744" s="22" t="n"/>
    </row>
    <row r="745" ht="15" customFormat="1" customHeight="1" s="125">
      <c r="A745" s="5">
        <f>ROW()-ROW(RawDataGenPO[[#Headers],[No.]])</f>
        <v/>
      </c>
      <c r="B745" s="7" t="inlineStr">
        <is>
          <t>Expent  cost</t>
        </is>
      </c>
      <c r="C745" s="301" t="n">
        <v>45631</v>
      </c>
      <c r="D745" s="276" t="inlineStr">
        <is>
          <t>CPP24-246</t>
        </is>
      </c>
      <c r="E745" s="276" t="n"/>
      <c r="F745" s="301" t="n">
        <v>45631</v>
      </c>
      <c r="G745" s="5" t="inlineStr">
        <is>
          <t>PR2425-04751</t>
        </is>
      </c>
      <c r="H745" s="5" t="inlineStr">
        <is>
          <t>PO2425-05305</t>
        </is>
      </c>
      <c r="I745" s="290">
        <f>IF(RawDataGenPO[[#This Row],[PO No.]]="","",RawDataGenPO[[#This Row],[DMY Create PR]]+7)</f>
        <v/>
      </c>
      <c r="J745" s="290" t="n"/>
      <c r="K745" s="20">
        <f>IF(RawDataGenPO[[#This Row],[PO No.]]="","",10)</f>
        <v/>
      </c>
      <c r="L745" s="157" t="inlineStr">
        <is>
          <t>SFST34000064</t>
        </is>
      </c>
      <c r="M745" s="7" t="inlineStr">
        <is>
          <t>Consumable part for MN</t>
        </is>
      </c>
      <c r="N745" s="7" t="inlineStr">
        <is>
          <t>Consumable part</t>
        </is>
      </c>
      <c r="O745" s="11" t="n">
        <v>1</v>
      </c>
      <c r="P745" s="80" t="inlineStr">
        <is>
          <t>"Ruamthong", RT490-61-24, 380V, 3PH , 1HP, Motor fan</t>
        </is>
      </c>
      <c r="Q745" s="277" t="n">
        <v>4</v>
      </c>
      <c r="R745" s="5" t="inlineStr">
        <is>
          <t>PCS.</t>
        </is>
      </c>
      <c r="S745" s="292">
        <f>RawDataGenPO[[#This Row],[Total price]]/RawDataGenPO[[#This Row],[Qty'']]</f>
        <v/>
      </c>
      <c r="T745" s="278" t="n">
        <v>18243.92</v>
      </c>
      <c r="U745" s="291" t="n"/>
      <c r="V745" s="7" t="inlineStr">
        <is>
          <t>V1000308 - PLUG'N GO (THAILAND) CO., LTD.</t>
        </is>
      </c>
      <c r="W745" s="30" t="inlineStr">
        <is>
          <t>Recive bill and GRN already</t>
        </is>
      </c>
      <c r="X745" s="5" t="n"/>
      <c r="Y745" s="3" t="n">
        <v>45638</v>
      </c>
      <c r="Z745" s="3" t="n"/>
      <c r="AA745" s="17">
        <f>IF(RawDataGenPO[[#This Row],[Date Gen PO]]="","",RawDataGenPO[[#This Row],[Date recive bill]]-RawDataGenPO[[#This Row],[Date Gen PO]])</f>
        <v/>
      </c>
      <c r="AB745" s="16">
        <f>IF(RawDataGenPO[[#This Row],[GRN-PO date]]&gt;RawDataGenPO[[#This Row],[Lead time delivery (day)]],"over deliverry","Ontime")</f>
        <v/>
      </c>
      <c r="AC745" s="22" t="n"/>
    </row>
    <row r="746" ht="15" customFormat="1" customHeight="1" s="156">
      <c r="A746" s="5">
        <f>ROW()-ROW(RawDataGenPO[[#Headers],[No.]])</f>
        <v/>
      </c>
      <c r="B746" s="7" t="inlineStr">
        <is>
          <t>Expent  cost</t>
        </is>
      </c>
      <c r="C746" s="301" t="n">
        <v>45632</v>
      </c>
      <c r="D746" s="276" t="inlineStr">
        <is>
          <t>CPP24-130</t>
        </is>
      </c>
      <c r="E746" s="276" t="n"/>
      <c r="F746" s="301" t="n">
        <v>45632</v>
      </c>
      <c r="G746" s="5" t="inlineStr">
        <is>
          <t xml:space="preserve">PR2425-04754 </t>
        </is>
      </c>
      <c r="H746" s="5" t="inlineStr">
        <is>
          <t>PO2425-05342</t>
        </is>
      </c>
      <c r="I746" s="290">
        <f>IF(RawDataGenPO[[#This Row],[PO No.]]="","",RawDataGenPO[[#This Row],[DMY Create PR]]+7)</f>
        <v/>
      </c>
      <c r="J746" s="290" t="n"/>
      <c r="K746" s="20" t="n">
        <v>45</v>
      </c>
      <c r="L746" s="5" t="inlineStr">
        <is>
          <t>SFST81000050</t>
        </is>
      </c>
      <c r="M746" s="7" t="inlineStr">
        <is>
          <t>PD Machine</t>
        </is>
      </c>
      <c r="N746" s="7" t="inlineStr">
        <is>
          <t>X-Ray machine No.1</t>
        </is>
      </c>
      <c r="O746" s="11" t="n">
        <v>1</v>
      </c>
      <c r="P746" s="80" t="inlineStr">
        <is>
          <t>"FESTO" MS4-EE-1/4-10V24-S</t>
        </is>
      </c>
      <c r="Q746" s="277" t="n">
        <v>2</v>
      </c>
      <c r="R746" s="5" t="inlineStr">
        <is>
          <t>PCS.</t>
        </is>
      </c>
      <c r="S746" s="292">
        <f>RawDataGenPO[[#This Row],[Total price]]/RawDataGenPO[[#This Row],[Qty'']]</f>
        <v/>
      </c>
      <c r="T746" s="278" t="n">
        <v>4260</v>
      </c>
      <c r="U746" s="291" t="n"/>
      <c r="V746" s="7" t="inlineStr">
        <is>
          <t>V1000481 - Company JW Tech Ltd.</t>
        </is>
      </c>
      <c r="W746" s="30" t="inlineStr">
        <is>
          <t>Recive bill and GRN already</t>
        </is>
      </c>
      <c r="X746" s="31" t="n"/>
      <c r="Y746" s="3" t="n">
        <v>45664</v>
      </c>
      <c r="Z746" s="3" t="n"/>
      <c r="AA746" s="17">
        <f>IF(RawDataGenPO[[#This Row],[Date Gen PO]]="","",RawDataGenPO[[#This Row],[Date recive bill]]-RawDataGenPO[[#This Row],[Date Gen PO]])</f>
        <v/>
      </c>
      <c r="AB746" s="16">
        <f>IF(RawDataGenPO[[#This Row],[GRN-PO date]]&gt;RawDataGenPO[[#This Row],[Lead time delivery (day)]],"over deliverry","Ontime")</f>
        <v/>
      </c>
      <c r="AC746" s="22" t="n"/>
    </row>
    <row r="747" ht="15" customFormat="1" customHeight="1" s="156">
      <c r="A747" s="5">
        <f>ROW()-ROW(RawDataGenPO[[#Headers],[No.]])</f>
        <v/>
      </c>
      <c r="B747" s="7" t="inlineStr">
        <is>
          <t>Expent  cost</t>
        </is>
      </c>
      <c r="C747" s="301" t="n">
        <v>45632</v>
      </c>
      <c r="D747" s="276" t="inlineStr">
        <is>
          <t>CPP24-130</t>
        </is>
      </c>
      <c r="E747" s="276" t="n"/>
      <c r="F747" s="301" t="n">
        <v>45632</v>
      </c>
      <c r="G747" s="5" t="inlineStr">
        <is>
          <t xml:space="preserve">PR2425-04754 </t>
        </is>
      </c>
      <c r="H747" s="5" t="inlineStr">
        <is>
          <t>PO2425-05342</t>
        </is>
      </c>
      <c r="I747" s="290">
        <f>IF(RawDataGenPO[[#This Row],[PO No.]]="","",RawDataGenPO[[#This Row],[DMY Create PR]]+7)</f>
        <v/>
      </c>
      <c r="J747" s="290" t="n"/>
      <c r="K747" s="20" t="n">
        <v>45</v>
      </c>
      <c r="L747" s="5" t="inlineStr">
        <is>
          <t>SFST81000050</t>
        </is>
      </c>
      <c r="M747" s="7" t="inlineStr">
        <is>
          <t>PD Machine</t>
        </is>
      </c>
      <c r="N747" s="7" t="inlineStr">
        <is>
          <t>X-Ray machine No.1</t>
        </is>
      </c>
      <c r="O747" s="11" t="n">
        <v>2</v>
      </c>
      <c r="P747" s="80" t="inlineStr">
        <is>
          <t>"FESTO" MS4-FRM-1/4-Y</t>
        </is>
      </c>
      <c r="Q747" s="277" t="n">
        <v>2</v>
      </c>
      <c r="R747" s="5" t="inlineStr">
        <is>
          <t>PCS.</t>
        </is>
      </c>
      <c r="S747" s="292">
        <f>RawDataGenPO[[#This Row],[Total price]]/RawDataGenPO[[#This Row],[Qty'']]</f>
        <v/>
      </c>
      <c r="T747" s="278" t="n">
        <v>10200</v>
      </c>
      <c r="U747" s="291" t="n"/>
      <c r="V747" s="7" t="inlineStr">
        <is>
          <t>V1000481 - Company JW Tech Ltd.</t>
        </is>
      </c>
      <c r="W747" s="30" t="inlineStr">
        <is>
          <t>Recive bill and GRN already</t>
        </is>
      </c>
      <c r="X747" s="5" t="n"/>
      <c r="Y747" s="3" t="n">
        <v>45664</v>
      </c>
      <c r="Z747" s="3" t="n"/>
      <c r="AA747" s="17">
        <f>IF(RawDataGenPO[[#This Row],[Date Gen PO]]="","",RawDataGenPO[[#This Row],[Date recive bill]]-RawDataGenPO[[#This Row],[Date Gen PO]])</f>
        <v/>
      </c>
      <c r="AB747" s="16">
        <f>IF(RawDataGenPO[[#This Row],[GRN-PO date]]&gt;RawDataGenPO[[#This Row],[Lead time delivery (day)]],"over deliverry","Ontime")</f>
        <v/>
      </c>
      <c r="AC747" s="22" t="n"/>
    </row>
    <row r="748" ht="15" customFormat="1" customHeight="1" s="125">
      <c r="A748" s="5">
        <f>ROW()-ROW(RawDataGenPO[[#Headers],[No.]])</f>
        <v/>
      </c>
      <c r="B748" s="7" t="inlineStr">
        <is>
          <t>Expent  cost</t>
        </is>
      </c>
      <c r="C748" s="301" t="n">
        <v>45632</v>
      </c>
      <c r="D748" s="276" t="inlineStr">
        <is>
          <t>CPP24-130</t>
        </is>
      </c>
      <c r="E748" s="276" t="n"/>
      <c r="F748" s="301" t="n">
        <v>45632</v>
      </c>
      <c r="G748" s="5" t="inlineStr">
        <is>
          <t xml:space="preserve">PR2425-04754 </t>
        </is>
      </c>
      <c r="H748" s="5" t="inlineStr">
        <is>
          <t>PO2425-05342</t>
        </is>
      </c>
      <c r="I748" s="290">
        <f>IF(RawDataGenPO[[#This Row],[PO No.]]="","",RawDataGenPO[[#This Row],[DMY Create PR]]+7)</f>
        <v/>
      </c>
      <c r="J748" s="290" t="n"/>
      <c r="K748" s="20">
        <f>IF(RawDataGenPO[[#This Row],[PO No.]]="","",10)</f>
        <v/>
      </c>
      <c r="L748" s="5" t="inlineStr">
        <is>
          <t>SFST81000050</t>
        </is>
      </c>
      <c r="M748" s="7" t="inlineStr">
        <is>
          <t>PD Machine</t>
        </is>
      </c>
      <c r="N748" s="7" t="inlineStr">
        <is>
          <t>X-Ray machine No.1</t>
        </is>
      </c>
      <c r="O748" s="11" t="n">
        <v>3</v>
      </c>
      <c r="P748" s="80" t="inlineStr">
        <is>
          <t>"FESTO" VUVG-LK14-M52-AT-G18-1R8L-S</t>
        </is>
      </c>
      <c r="Q748" s="277" t="n">
        <v>2</v>
      </c>
      <c r="R748" s="5" t="inlineStr">
        <is>
          <t>PCS.</t>
        </is>
      </c>
      <c r="S748" s="292">
        <f>RawDataGenPO[[#This Row],[Total price]]/RawDataGenPO[[#This Row],[Qty'']]</f>
        <v/>
      </c>
      <c r="T748" s="278" t="n">
        <v>2850</v>
      </c>
      <c r="U748" s="291" t="n"/>
      <c r="V748" s="7" t="inlineStr">
        <is>
          <t>V1000481 - Company JW Tech Ltd.</t>
        </is>
      </c>
      <c r="W748" s="30" t="inlineStr">
        <is>
          <t>Recive bill and GRN already</t>
        </is>
      </c>
      <c r="X748" s="5" t="n"/>
      <c r="Y748" s="3" t="n">
        <v>45645</v>
      </c>
      <c r="Z748" s="3" t="n"/>
      <c r="AA748" s="17">
        <f>IF(RawDataGenPO[[#This Row],[Date Gen PO]]="","",RawDataGenPO[[#This Row],[Date recive bill]]-RawDataGenPO[[#This Row],[Date Gen PO]])</f>
        <v/>
      </c>
      <c r="AB748" s="16">
        <f>IF(RawDataGenPO[[#This Row],[GRN-PO date]]&gt;RawDataGenPO[[#This Row],[Lead time delivery (day)]],"over deliverry","Ontime")</f>
        <v/>
      </c>
      <c r="AC748" s="22" t="n"/>
    </row>
    <row r="749" ht="15" customFormat="1" customHeight="1" s="125">
      <c r="A749" s="5">
        <f>ROW()-ROW(RawDataGenPO[[#Headers],[No.]])</f>
        <v/>
      </c>
      <c r="B749" s="7" t="inlineStr">
        <is>
          <t>Expent  cost</t>
        </is>
      </c>
      <c r="C749" s="301" t="n">
        <v>45632</v>
      </c>
      <c r="D749" s="276" t="inlineStr">
        <is>
          <t>CPP24-244</t>
        </is>
      </c>
      <c r="E749" s="276" t="n"/>
      <c r="F749" s="301" t="n">
        <v>45632</v>
      </c>
      <c r="G749" s="5" t="inlineStr">
        <is>
          <t>PR2425-04755</t>
        </is>
      </c>
      <c r="H749" s="5" t="inlineStr">
        <is>
          <t>PO2425-05303</t>
        </is>
      </c>
      <c r="I749" s="290">
        <f>IF(RawDataGenPO[[#This Row],[PO No.]]="","",RawDataGenPO[[#This Row],[DMY Create PR]]+7)</f>
        <v/>
      </c>
      <c r="J749" s="290" t="n"/>
      <c r="K749" s="20">
        <f>IF(RawDataGenPO[[#This Row],[PO No.]]="","",10)</f>
        <v/>
      </c>
      <c r="L749" s="5" t="inlineStr">
        <is>
          <t>SFST81000050</t>
        </is>
      </c>
      <c r="M749" s="7" t="inlineStr">
        <is>
          <t>PD Machine</t>
        </is>
      </c>
      <c r="N749" s="7" t="inlineStr">
        <is>
          <t>Electrical part</t>
        </is>
      </c>
      <c r="O749" s="11" t="n">
        <v>1</v>
      </c>
      <c r="P749" s="80" t="inlineStr">
        <is>
          <t>electrical cableheat-resistant 200 degree 6 SQ.MM. silicone heater glass-fiber insulated</t>
        </is>
      </c>
      <c r="Q749" s="277" t="n">
        <v>50</v>
      </c>
      <c r="R749" s="5" t="inlineStr">
        <is>
          <t>M.</t>
        </is>
      </c>
      <c r="S749" s="292">
        <f>RawDataGenPO[[#This Row],[Total price]]/RawDataGenPO[[#This Row],[Qty'']]</f>
        <v/>
      </c>
      <c r="T749" s="278" t="n">
        <v>4500</v>
      </c>
      <c r="U749" s="291" t="n"/>
      <c r="V749" s="7" t="inlineStr">
        <is>
          <t>V1000259 - JJP SUPPLY CO., LTD</t>
        </is>
      </c>
      <c r="W749" s="30" t="inlineStr">
        <is>
          <t>Recive bill and GRN already</t>
        </is>
      </c>
      <c r="X749" s="5" t="n"/>
      <c r="Y749" s="3" t="n">
        <v>45645</v>
      </c>
      <c r="Z749" s="3" t="n"/>
      <c r="AA749" s="17">
        <f>IF(RawDataGenPO[[#This Row],[Date Gen PO]]="","",RawDataGenPO[[#This Row],[Date recive bill]]-RawDataGenPO[[#This Row],[Date Gen PO]])</f>
        <v/>
      </c>
      <c r="AB749" s="16">
        <f>IF(RawDataGenPO[[#This Row],[GRN-PO date]]&gt;RawDataGenPO[[#This Row],[Lead time delivery (day)]],"over deliverry","Ontime")</f>
        <v/>
      </c>
      <c r="AC749" s="22" t="n"/>
    </row>
    <row r="750" ht="15" customFormat="1" customHeight="1" s="125">
      <c r="A750" s="5">
        <f>ROW()-ROW(RawDataGenPO[[#Headers],[No.]])</f>
        <v/>
      </c>
      <c r="B750" s="7" t="inlineStr">
        <is>
          <t>Expent  cost</t>
        </is>
      </c>
      <c r="C750" s="301" t="n">
        <v>45632</v>
      </c>
      <c r="D750" s="276" t="inlineStr">
        <is>
          <t>CPP24-250</t>
        </is>
      </c>
      <c r="E750" s="276" t="n"/>
      <c r="F750" s="301" t="n">
        <v>45632</v>
      </c>
      <c r="G750" s="5" t="inlineStr">
        <is>
          <t>PR2425-04756</t>
        </is>
      </c>
      <c r="H750" s="5" t="inlineStr">
        <is>
          <t>PO2425-05298</t>
        </is>
      </c>
      <c r="I750" s="290">
        <f>IF(RawDataGenPO[[#This Row],[PO No.]]="","",RawDataGenPO[[#This Row],[DMY Create PR]]+7)</f>
        <v/>
      </c>
      <c r="J750" s="290" t="n"/>
      <c r="K750" s="20">
        <f>IF(RawDataGenPO[[#This Row],[PO No.]]="","",10)</f>
        <v/>
      </c>
      <c r="L750" s="5" t="inlineStr">
        <is>
          <t>SFST81000050</t>
        </is>
      </c>
      <c r="M750" s="7" t="inlineStr">
        <is>
          <t>PD Machine</t>
        </is>
      </c>
      <c r="N750" s="7" t="inlineStr">
        <is>
          <t>Machanical part</t>
        </is>
      </c>
      <c r="O750" s="11" t="n">
        <v>1</v>
      </c>
      <c r="P750" s="80" t="inlineStr">
        <is>
          <t>"MAKITA" D-06317 drill bit for steel drilling 3.5 mm (10pc/pack)</t>
        </is>
      </c>
      <c r="Q750" s="277" t="n">
        <v>1</v>
      </c>
      <c r="R750" s="5" t="inlineStr">
        <is>
          <t>PACK.</t>
        </is>
      </c>
      <c r="S750" s="292">
        <f>RawDataGenPO[[#This Row],[Total price]]/RawDataGenPO[[#This Row],[Qty'']]</f>
        <v/>
      </c>
      <c r="T750" s="278" t="n">
        <v>180</v>
      </c>
      <c r="U750" s="291" t="n"/>
      <c r="V750" s="7" t="inlineStr">
        <is>
          <t>V1000259 - JJP SUPPLY CO., LTD</t>
        </is>
      </c>
      <c r="W750" s="30" t="inlineStr">
        <is>
          <t>Recive bill and GRN already</t>
        </is>
      </c>
      <c r="X750" s="5" t="n"/>
      <c r="Y750" s="3" t="n">
        <v>45645</v>
      </c>
      <c r="Z750" s="3" t="n"/>
      <c r="AA750" s="17">
        <f>IF(RawDataGenPO[[#This Row],[Date Gen PO]]="","",RawDataGenPO[[#This Row],[Date recive bill]]-RawDataGenPO[[#This Row],[Date Gen PO]])</f>
        <v/>
      </c>
      <c r="AB750" s="16">
        <f>IF(RawDataGenPO[[#This Row],[GRN-PO date]]&gt;RawDataGenPO[[#This Row],[Lead time delivery (day)]],"over deliverry","Ontime")</f>
        <v/>
      </c>
      <c r="AC750" s="22" t="n"/>
    </row>
    <row r="751" ht="15" customFormat="1" customHeight="1" s="125">
      <c r="A751" s="5">
        <f>ROW()-ROW(RawDataGenPO[[#Headers],[No.]])</f>
        <v/>
      </c>
      <c r="B751" s="7" t="inlineStr">
        <is>
          <t>Expent  cost</t>
        </is>
      </c>
      <c r="C751" s="301" t="n">
        <v>45632</v>
      </c>
      <c r="D751" s="276" t="inlineStr">
        <is>
          <t>CPP24-250</t>
        </is>
      </c>
      <c r="E751" s="276" t="n"/>
      <c r="F751" s="301" t="n">
        <v>45632</v>
      </c>
      <c r="G751" s="5" t="inlineStr">
        <is>
          <t>PR2425-04756</t>
        </is>
      </c>
      <c r="H751" s="5" t="inlineStr">
        <is>
          <t>PO2425-05298</t>
        </is>
      </c>
      <c r="I751" s="290">
        <f>IF(RawDataGenPO[[#This Row],[PO No.]]="","",RawDataGenPO[[#This Row],[DMY Create PR]]+7)</f>
        <v/>
      </c>
      <c r="J751" s="290" t="n"/>
      <c r="K751" s="20">
        <f>IF(RawDataGenPO[[#This Row],[PO No.]]="","",10)</f>
        <v/>
      </c>
      <c r="L751" s="5" t="inlineStr">
        <is>
          <t>SFST81000050</t>
        </is>
      </c>
      <c r="M751" s="7" t="inlineStr">
        <is>
          <t>PD Machine</t>
        </is>
      </c>
      <c r="N751" s="7" t="inlineStr">
        <is>
          <t>Machanical part</t>
        </is>
      </c>
      <c r="O751" s="11" t="n">
        <v>2</v>
      </c>
      <c r="P751" s="80" t="inlineStr">
        <is>
          <t>"MAKITA" D-06317 drill bit for steel drilling 3 mm (10pc/pack)</t>
        </is>
      </c>
      <c r="Q751" s="277" t="n">
        <v>1</v>
      </c>
      <c r="R751" s="5" t="inlineStr">
        <is>
          <t>PACK.</t>
        </is>
      </c>
      <c r="S751" s="292">
        <f>RawDataGenPO[[#This Row],[Total price]]/RawDataGenPO[[#This Row],[Qty'']]</f>
        <v/>
      </c>
      <c r="T751" s="278" t="n">
        <v>150</v>
      </c>
      <c r="U751" s="291" t="n"/>
      <c r="V751" s="7" t="inlineStr">
        <is>
          <t>V1000259 - JJP SUPPLY CO., LTD</t>
        </is>
      </c>
      <c r="W751" s="30" t="inlineStr">
        <is>
          <t>Recive bill and GRN already</t>
        </is>
      </c>
      <c r="X751" s="5" t="n"/>
      <c r="Y751" s="3" t="n">
        <v>45645</v>
      </c>
      <c r="Z751" s="3" t="n"/>
      <c r="AA751" s="17">
        <f>IF(RawDataGenPO[[#This Row],[Date Gen PO]]="","",RawDataGenPO[[#This Row],[Date recive bill]]-RawDataGenPO[[#This Row],[Date Gen PO]])</f>
        <v/>
      </c>
      <c r="AB751" s="16">
        <f>IF(RawDataGenPO[[#This Row],[GRN-PO date]]&gt;RawDataGenPO[[#This Row],[Lead time delivery (day)]],"over deliverry","Ontime")</f>
        <v/>
      </c>
      <c r="AC751" s="22" t="n"/>
    </row>
    <row r="752" ht="15" customFormat="1" customHeight="1" s="125">
      <c r="A752" s="5">
        <f>ROW()-ROW(RawDataGenPO[[#Headers],[No.]])</f>
        <v/>
      </c>
      <c r="B752" s="7" t="inlineStr">
        <is>
          <t>Expent  cost</t>
        </is>
      </c>
      <c r="C752" s="301" t="n">
        <v>45632</v>
      </c>
      <c r="D752" s="276" t="inlineStr">
        <is>
          <t>CPP24-250</t>
        </is>
      </c>
      <c r="E752" s="276" t="n"/>
      <c r="F752" s="301" t="n">
        <v>45632</v>
      </c>
      <c r="G752" s="5" t="inlineStr">
        <is>
          <t>PR2425-04756</t>
        </is>
      </c>
      <c r="H752" s="5" t="inlineStr">
        <is>
          <t>PO2425-05302</t>
        </is>
      </c>
      <c r="I752" s="290">
        <f>IF(RawDataGenPO[[#This Row],[PO No.]]="","",RawDataGenPO[[#This Row],[DMY Create PR]]+7)</f>
        <v/>
      </c>
      <c r="J752" s="290" t="n"/>
      <c r="K752" s="20" t="n">
        <v>45</v>
      </c>
      <c r="L752" s="5" t="inlineStr">
        <is>
          <t>SFST81000050</t>
        </is>
      </c>
      <c r="M752" s="7" t="inlineStr">
        <is>
          <t>PD Machine</t>
        </is>
      </c>
      <c r="N752" s="7" t="inlineStr">
        <is>
          <t>Machanical part</t>
        </is>
      </c>
      <c r="O752" s="11" t="n">
        <v>3</v>
      </c>
      <c r="P752" s="80" t="inlineStr">
        <is>
          <t>"MAKITA" D-06317 drill bit for steel drilling 2.5 mm (10pc/pack)</t>
        </is>
      </c>
      <c r="Q752" s="277" t="n">
        <v>1</v>
      </c>
      <c r="R752" s="5" t="inlineStr">
        <is>
          <t>PACK.</t>
        </is>
      </c>
      <c r="S752" s="292">
        <f>RawDataGenPO[[#This Row],[Total price]]/RawDataGenPO[[#This Row],[Qty'']]</f>
        <v/>
      </c>
      <c r="T752" s="278" t="n">
        <v>130</v>
      </c>
      <c r="U752" s="291" t="n"/>
      <c r="V752" s="7" t="inlineStr">
        <is>
          <t>V1000259 - JJP SUPPLY CO., LTD</t>
        </is>
      </c>
      <c r="W752" s="30" t="inlineStr">
        <is>
          <t>Recive bill and GRN already</t>
        </is>
      </c>
      <c r="X752" s="5" t="n"/>
      <c r="Y752" s="3" t="n">
        <v>45674</v>
      </c>
      <c r="Z752" s="3" t="n"/>
      <c r="AA752" s="17">
        <f>IF(RawDataGenPO[[#This Row],[Date Gen PO]]="","",RawDataGenPO[[#This Row],[Date recive bill]]-RawDataGenPO[[#This Row],[Date Gen PO]])</f>
        <v/>
      </c>
      <c r="AB752" s="16">
        <f>IF(RawDataGenPO[[#This Row],[GRN-PO date]]&gt;RawDataGenPO[[#This Row],[Lead time delivery (day)]],"over deliverry","Ontime")</f>
        <v/>
      </c>
      <c r="AC752" s="22" t="n"/>
    </row>
    <row r="753" ht="15" customFormat="1" customHeight="1" s="125">
      <c r="A753" s="5">
        <f>ROW()-ROW(RawDataGenPO[[#Headers],[No.]])</f>
        <v/>
      </c>
      <c r="B753" s="7" t="inlineStr">
        <is>
          <t>Expent  cost</t>
        </is>
      </c>
      <c r="C753" s="301" t="n">
        <v>45632</v>
      </c>
      <c r="D753" s="276" t="inlineStr">
        <is>
          <t>CPP24-250</t>
        </is>
      </c>
      <c r="E753" s="276" t="n"/>
      <c r="F753" s="301" t="n">
        <v>45632</v>
      </c>
      <c r="G753" s="5" t="inlineStr">
        <is>
          <t>PR2425-04756</t>
        </is>
      </c>
      <c r="H753" s="5" t="inlineStr">
        <is>
          <t>PO2425-05298</t>
        </is>
      </c>
      <c r="I753" s="290">
        <f>IF(RawDataGenPO[[#This Row],[PO No.]]="","",RawDataGenPO[[#This Row],[DMY Create PR]]+7)</f>
        <v/>
      </c>
      <c r="J753" s="290" t="n"/>
      <c r="K753" s="20">
        <f>IF(RawDataGenPO[[#This Row],[PO No.]]="","",10)</f>
        <v/>
      </c>
      <c r="L753" s="5" t="inlineStr">
        <is>
          <t>SFST81000050</t>
        </is>
      </c>
      <c r="M753" s="7" t="inlineStr">
        <is>
          <t>PD Machine</t>
        </is>
      </c>
      <c r="N753" s="7" t="inlineStr">
        <is>
          <t>Machanical part</t>
        </is>
      </c>
      <c r="O753" s="11" t="n">
        <v>4</v>
      </c>
      <c r="P753" s="80" t="inlineStr">
        <is>
          <t>"MAKITA" D-06317 drill bit for steel drilling 2 mm (10pc/pack)</t>
        </is>
      </c>
      <c r="Q753" s="277" t="n">
        <v>1</v>
      </c>
      <c r="R753" s="5" t="inlineStr">
        <is>
          <t>PACK.</t>
        </is>
      </c>
      <c r="S753" s="292">
        <f>RawDataGenPO[[#This Row],[Total price]]/RawDataGenPO[[#This Row],[Qty'']]</f>
        <v/>
      </c>
      <c r="T753" s="278" t="n">
        <v>110</v>
      </c>
      <c r="U753" s="291" t="n"/>
      <c r="V753" s="7" t="inlineStr">
        <is>
          <t>V1000259 - JJP SUPPLY CO., LTD</t>
        </is>
      </c>
      <c r="W753" s="30" t="inlineStr">
        <is>
          <t>Recive bill and GRN already</t>
        </is>
      </c>
      <c r="X753" s="5" t="n"/>
      <c r="Y753" s="3" t="n">
        <v>45645</v>
      </c>
      <c r="Z753" s="3" t="n"/>
      <c r="AA753" s="17">
        <f>IF(RawDataGenPO[[#This Row],[Date Gen PO]]="","",RawDataGenPO[[#This Row],[Date recive bill]]-RawDataGenPO[[#This Row],[Date Gen PO]])</f>
        <v/>
      </c>
      <c r="AB753" s="16">
        <f>IF(RawDataGenPO[[#This Row],[GRN-PO date]]&gt;RawDataGenPO[[#This Row],[Lead time delivery (day)]],"over deliverry","Ontime")</f>
        <v/>
      </c>
      <c r="AC753" s="22" t="n"/>
    </row>
    <row r="754" ht="15" customFormat="1" customHeight="1" s="125">
      <c r="A754" s="5">
        <f>ROW()-ROW(RawDataGenPO[[#Headers],[No.]])</f>
        <v/>
      </c>
      <c r="B754" s="7" t="inlineStr">
        <is>
          <t>Expent  cost</t>
        </is>
      </c>
      <c r="C754" s="301" t="n">
        <v>45632</v>
      </c>
      <c r="D754" s="276" t="inlineStr">
        <is>
          <t>CP24-247</t>
        </is>
      </c>
      <c r="E754" s="276" t="n"/>
      <c r="F754" s="301" t="n">
        <v>45632</v>
      </c>
      <c r="G754" s="5" t="inlineStr">
        <is>
          <t>PR2425-04757</t>
        </is>
      </c>
      <c r="H754" s="5" t="inlineStr">
        <is>
          <t>PO2425-05301</t>
        </is>
      </c>
      <c r="I754" s="290">
        <f>IF(RawDataGenPO[[#This Row],[PO No.]]="","",RawDataGenPO[[#This Row],[DMY Create PR]]+7)</f>
        <v/>
      </c>
      <c r="J754" s="290" t="n"/>
      <c r="K754" s="20">
        <f>IF(RawDataGenPO[[#This Row],[PO No.]]="","",10)</f>
        <v/>
      </c>
      <c r="L754" s="5" t="inlineStr">
        <is>
          <t>SFST81000009</t>
        </is>
      </c>
      <c r="M754" s="7" t="inlineStr">
        <is>
          <t>Utility Jobs  (Boiler-Air compress-Transformer-LPG)</t>
        </is>
      </c>
      <c r="N754" s="7" t="inlineStr">
        <is>
          <t>Machanical part</t>
        </is>
      </c>
      <c r="O754" s="11" t="n">
        <v>1</v>
      </c>
      <c r="P754" s="80" t="inlineStr">
        <is>
          <t>ball valve stainless steel 304 size 2 inch (Ball Valve Stainless)</t>
        </is>
      </c>
      <c r="Q754" s="277" t="n">
        <v>3</v>
      </c>
      <c r="R754" s="5" t="inlineStr">
        <is>
          <t>PCS.</t>
        </is>
      </c>
      <c r="S754" s="292">
        <f>RawDataGenPO[[#This Row],[Total price]]/RawDataGenPO[[#This Row],[Qty'']]</f>
        <v/>
      </c>
      <c r="T754" s="278" t="n">
        <v>3600</v>
      </c>
      <c r="U754" s="291" t="n"/>
      <c r="V754" s="7" t="inlineStr">
        <is>
          <t>V1000259 - JJP SUPPLY CO., LTD</t>
        </is>
      </c>
      <c r="W754" s="30" t="inlineStr">
        <is>
          <t>Recive bill and GRN already</t>
        </is>
      </c>
      <c r="X754" s="5" t="n"/>
      <c r="Y754" s="3" t="n">
        <v>45645</v>
      </c>
      <c r="Z754" s="3" t="n"/>
      <c r="AA754" s="17">
        <f>IF(RawDataGenPO[[#This Row],[Date Gen PO]]="","",RawDataGenPO[[#This Row],[Date recive bill]]-RawDataGenPO[[#This Row],[Date Gen PO]])</f>
        <v/>
      </c>
      <c r="AB754" s="16">
        <f>IF(RawDataGenPO[[#This Row],[GRN-PO date]]&gt;RawDataGenPO[[#This Row],[Lead time delivery (day)]],"over deliverry","Ontime")</f>
        <v/>
      </c>
      <c r="AC754" s="22" t="n"/>
    </row>
    <row r="755" ht="15" customFormat="1" customHeight="1" s="125">
      <c r="A755" s="5">
        <f>ROW()-ROW(RawDataGenPO[[#Headers],[No.]])</f>
        <v/>
      </c>
      <c r="B755" s="7" t="inlineStr">
        <is>
          <t>Expent  cost</t>
        </is>
      </c>
      <c r="C755" s="301" t="n">
        <v>45632</v>
      </c>
      <c r="D755" s="276" t="inlineStr">
        <is>
          <t>CP24-247</t>
        </is>
      </c>
      <c r="E755" s="276" t="n"/>
      <c r="F755" s="301" t="n">
        <v>45632</v>
      </c>
      <c r="G755" s="5" t="inlineStr">
        <is>
          <t>PR2425-04757</t>
        </is>
      </c>
      <c r="H755" s="5" t="inlineStr">
        <is>
          <t>PO2425-05301</t>
        </is>
      </c>
      <c r="I755" s="290">
        <f>IF(RawDataGenPO[[#This Row],[PO No.]]="","",RawDataGenPO[[#This Row],[DMY Create PR]]+7)</f>
        <v/>
      </c>
      <c r="J755" s="290" t="n"/>
      <c r="K755" s="20">
        <f>IF(RawDataGenPO[[#This Row],[PO No.]]="","",10)</f>
        <v/>
      </c>
      <c r="L755" s="5" t="inlineStr">
        <is>
          <t>SFST81000009</t>
        </is>
      </c>
      <c r="M755" s="7" t="inlineStr">
        <is>
          <t>Utility Jobs  (Boiler-Air compress-Transformer-LPG)</t>
        </is>
      </c>
      <c r="N755" s="7" t="inlineStr">
        <is>
          <t>Machanical part</t>
        </is>
      </c>
      <c r="O755" s="11" t="n">
        <v>2</v>
      </c>
      <c r="P755" s="80" t="inlineStr">
        <is>
          <t>ball valve stainless steel 304 size 1 inch (Ball Valve Stainless)</t>
        </is>
      </c>
      <c r="Q755" s="277" t="n">
        <v>3</v>
      </c>
      <c r="R755" s="5" t="inlineStr">
        <is>
          <t>PCS.</t>
        </is>
      </c>
      <c r="S755" s="292">
        <f>RawDataGenPO[[#This Row],[Total price]]/RawDataGenPO[[#This Row],[Qty'']]</f>
        <v/>
      </c>
      <c r="T755" s="278" t="n">
        <v>1650</v>
      </c>
      <c r="U755" s="291" t="n"/>
      <c r="V755" s="7" t="inlineStr">
        <is>
          <t>V1000259 - JJP SUPPLY CO., LTD</t>
        </is>
      </c>
      <c r="W755" s="30" t="inlineStr">
        <is>
          <t>Recive bill and GRN already</t>
        </is>
      </c>
      <c r="X755" s="5" t="n"/>
      <c r="Y755" s="3" t="n">
        <v>45645</v>
      </c>
      <c r="Z755" s="3" t="n"/>
      <c r="AA755" s="17">
        <f>IF(RawDataGenPO[[#This Row],[Date Gen PO]]="","",RawDataGenPO[[#This Row],[Date recive bill]]-RawDataGenPO[[#This Row],[Date Gen PO]])</f>
        <v/>
      </c>
      <c r="AB755" s="16">
        <f>IF(RawDataGenPO[[#This Row],[GRN-PO date]]&gt;RawDataGenPO[[#This Row],[Lead time delivery (day)]],"over deliverry","Ontime")</f>
        <v/>
      </c>
      <c r="AC755" s="22" t="n"/>
    </row>
    <row r="756" ht="15" customFormat="1" customHeight="1" s="125">
      <c r="A756" s="5">
        <f>ROW()-ROW(RawDataGenPO[[#Headers],[No.]])</f>
        <v/>
      </c>
      <c r="B756" s="7" t="inlineStr">
        <is>
          <t>Expent  cost</t>
        </is>
      </c>
      <c r="C756" s="301" t="n">
        <v>45632</v>
      </c>
      <c r="D756" s="276" t="inlineStr">
        <is>
          <t>CP24-247</t>
        </is>
      </c>
      <c r="E756" s="276" t="n"/>
      <c r="F756" s="301" t="n">
        <v>45632</v>
      </c>
      <c r="G756" s="5" t="inlineStr">
        <is>
          <t>PR2425-04757</t>
        </is>
      </c>
      <c r="H756" s="5" t="inlineStr">
        <is>
          <t>PO2425-05301</t>
        </is>
      </c>
      <c r="I756" s="290">
        <f>IF(RawDataGenPO[[#This Row],[PO No.]]="","",RawDataGenPO[[#This Row],[DMY Create PR]]+7)</f>
        <v/>
      </c>
      <c r="J756" s="290" t="n"/>
      <c r="K756" s="20">
        <f>IF(RawDataGenPO[[#This Row],[PO No.]]="","",10)</f>
        <v/>
      </c>
      <c r="L756" s="5" t="inlineStr">
        <is>
          <t>SFST34000025</t>
        </is>
      </c>
      <c r="M756" s="7" t="inlineStr">
        <is>
          <t>Consumable part for MN</t>
        </is>
      </c>
      <c r="N756" s="7" t="inlineStr">
        <is>
          <t>Tool and Equipment</t>
        </is>
      </c>
      <c r="O756" s="11" t="n">
        <v>3</v>
      </c>
      <c r="P756" s="80" t="inlineStr">
        <is>
          <t>ball valve stainless steel 304 size 1/2’’ inch (Ball Valve Stainless)</t>
        </is>
      </c>
      <c r="Q756" s="277" t="n">
        <v>6</v>
      </c>
      <c r="R756" s="5" t="inlineStr">
        <is>
          <t>PCS.</t>
        </is>
      </c>
      <c r="S756" s="292">
        <f>RawDataGenPO[[#This Row],[Total price]]/RawDataGenPO[[#This Row],[Qty'']]</f>
        <v/>
      </c>
      <c r="T756" s="278" t="n">
        <v>1020</v>
      </c>
      <c r="U756" s="291" t="n"/>
      <c r="V756" s="7" t="inlineStr">
        <is>
          <t>V1000259 - JJP SUPPLY CO., LTD</t>
        </is>
      </c>
      <c r="W756" s="30" t="inlineStr">
        <is>
          <t>Recive bill and GRN already</t>
        </is>
      </c>
      <c r="X756" s="5" t="n"/>
      <c r="Y756" s="3" t="n">
        <v>45645</v>
      </c>
      <c r="Z756" s="3" t="n"/>
      <c r="AA756" s="17">
        <f>IF(RawDataGenPO[[#This Row],[Date Gen PO]]="","",RawDataGenPO[[#This Row],[Date recive bill]]-RawDataGenPO[[#This Row],[Date Gen PO]])</f>
        <v/>
      </c>
      <c r="AB756" s="16">
        <f>IF(RawDataGenPO[[#This Row],[GRN-PO date]]&gt;RawDataGenPO[[#This Row],[Lead time delivery (day)]],"over deliverry","Ontime")</f>
        <v/>
      </c>
      <c r="AC756" s="22" t="n"/>
    </row>
    <row r="757" ht="30" customFormat="1" customHeight="1" s="125">
      <c r="A757" s="5">
        <f>ROW()-ROW(RawDataGenPO[[#Headers],[No.]])</f>
        <v/>
      </c>
      <c r="B757" s="7" t="inlineStr">
        <is>
          <t>Expent  cost</t>
        </is>
      </c>
      <c r="C757" s="301" t="n">
        <v>45632</v>
      </c>
      <c r="D757" s="276" t="inlineStr">
        <is>
          <t>CPP24-131</t>
        </is>
      </c>
      <c r="E757" s="276" t="n"/>
      <c r="F757" s="301" t="n">
        <v>45632</v>
      </c>
      <c r="G757" s="5" t="inlineStr">
        <is>
          <t>PR2425-04758</t>
        </is>
      </c>
      <c r="H757" s="5" t="inlineStr">
        <is>
          <t>PO2425-05306</t>
        </is>
      </c>
      <c r="I757" s="290">
        <f>IF(RawDataGenPO[[#This Row],[PO No.]]="","",RawDataGenPO[[#This Row],[DMY Create PR]]+7)</f>
        <v/>
      </c>
      <c r="J757" s="290" t="n"/>
      <c r="K757" s="20">
        <f>IF(RawDataGenPO[[#This Row],[PO No.]]="","",10)</f>
        <v/>
      </c>
      <c r="L757" s="5" t="inlineStr">
        <is>
          <t>SFST81000050</t>
        </is>
      </c>
      <c r="M757" s="7" t="inlineStr">
        <is>
          <t>Civill jobs (Floor-Wall-Celling-roof)</t>
        </is>
      </c>
      <c r="N757" s="7" t="inlineStr">
        <is>
          <t>Cevil quipment  &amp; Part</t>
        </is>
      </c>
      <c r="O757" s="11" t="n">
        <v>1</v>
      </c>
      <c r="P757" s="80" t="inlineStr">
        <is>
          <t>square mesh No. 18 mesh opening 1 inch GIANT KINGKONG
size 0.9 x 30 m thick 1.20 mm</t>
        </is>
      </c>
      <c r="Q757" s="277" t="n">
        <v>4</v>
      </c>
      <c r="R757" s="5" t="inlineStr">
        <is>
          <t>ROLL</t>
        </is>
      </c>
      <c r="S757" s="292">
        <f>RawDataGenPO[[#This Row],[Total price]]/RawDataGenPO[[#This Row],[Qty'']]</f>
        <v/>
      </c>
      <c r="T757" s="278" t="n">
        <v>6300</v>
      </c>
      <c r="U757" s="291" t="n"/>
      <c r="V757" s="7" t="inlineStr">
        <is>
          <t>V1000306 - Inter Supply (1992) Co., Ltd.</t>
        </is>
      </c>
      <c r="W757" s="30" t="inlineStr">
        <is>
          <t>Recive bill and GRN already</t>
        </is>
      </c>
      <c r="X757" s="5" t="n"/>
      <c r="Y757" s="3" t="n">
        <v>45643</v>
      </c>
      <c r="Z757" s="3" t="n"/>
      <c r="AA757" s="17">
        <f>IF(RawDataGenPO[[#This Row],[Date Gen PO]]="","",RawDataGenPO[[#This Row],[Date recive bill]]-RawDataGenPO[[#This Row],[Date Gen PO]])</f>
        <v/>
      </c>
      <c r="AB757" s="16">
        <f>IF(RawDataGenPO[[#This Row],[GRN-PO date]]&gt;RawDataGenPO[[#This Row],[Lead time delivery (day)]],"over deliverry","Ontime")</f>
        <v/>
      </c>
      <c r="AC757" s="22" t="n"/>
    </row>
    <row r="758" ht="15" customFormat="1" customHeight="1" s="125">
      <c r="A758" s="5">
        <f>ROW()-ROW(RawDataGenPO[[#Headers],[No.]])</f>
        <v/>
      </c>
      <c r="B758" s="7" t="inlineStr">
        <is>
          <t>Expent  cost</t>
        </is>
      </c>
      <c r="C758" s="301" t="n">
        <v>45632</v>
      </c>
      <c r="D758" s="276" t="inlineStr">
        <is>
          <t>CPP24-242</t>
        </is>
      </c>
      <c r="E758" s="276" t="n"/>
      <c r="F758" s="301" t="n">
        <v>45632</v>
      </c>
      <c r="G758" s="5" t="inlineStr">
        <is>
          <t>PR2425-04760</t>
        </is>
      </c>
      <c r="H758" s="5" t="inlineStr">
        <is>
          <t>PO2425-05319</t>
        </is>
      </c>
      <c r="I758" s="290">
        <f>IF(RawDataGenPO[[#This Row],[PO No.]]="","",RawDataGenPO[[#This Row],[DMY Create PR]]+7)</f>
        <v/>
      </c>
      <c r="J758" s="290" t="n"/>
      <c r="K758" s="20">
        <f>IF(RawDataGenPO[[#This Row],[PO No.]]="","",10)</f>
        <v/>
      </c>
      <c r="L758" s="5" t="inlineStr">
        <is>
          <t>SFST81000050</t>
        </is>
      </c>
      <c r="M758" s="7" t="inlineStr">
        <is>
          <t>Tool and Equipment PD M/C</t>
        </is>
      </c>
      <c r="N758" s="7" t="inlineStr">
        <is>
          <t>Electrical part</t>
        </is>
      </c>
      <c r="O758" s="11" t="n">
        <v>1</v>
      </c>
      <c r="P758" s="80" t="inlineStr">
        <is>
          <t>"HACO" frontcoverwaterproof 3 slot AP-W222R-GY grey</t>
        </is>
      </c>
      <c r="Q758" s="277" t="n">
        <v>24</v>
      </c>
      <c r="R758" s="5" t="inlineStr">
        <is>
          <t>PCS.</t>
        </is>
      </c>
      <c r="S758" s="292">
        <f>RawDataGenPO[[#This Row],[Total price]]/RawDataGenPO[[#This Row],[Qty'']]</f>
        <v/>
      </c>
      <c r="T758" s="278" t="n">
        <v>5520</v>
      </c>
      <c r="U758" s="291" t="n"/>
      <c r="V758" s="7" t="inlineStr">
        <is>
          <t>V1000481 - Company JW Tech Ltd.</t>
        </is>
      </c>
      <c r="W758" s="30" t="inlineStr">
        <is>
          <t>Recive bill and GRN already</t>
        </is>
      </c>
      <c r="X758" s="5" t="n"/>
      <c r="Y758" s="3" t="n">
        <v>45645</v>
      </c>
      <c r="Z758" s="3" t="n"/>
      <c r="AA758" s="17">
        <f>IF(RawDataGenPO[[#This Row],[Date Gen PO]]="","",RawDataGenPO[[#This Row],[Date recive bill]]-RawDataGenPO[[#This Row],[Date Gen PO]])</f>
        <v/>
      </c>
      <c r="AB758" s="16">
        <f>IF(RawDataGenPO[[#This Row],[GRN-PO date]]&gt;RawDataGenPO[[#This Row],[Lead time delivery (day)]],"over deliverry","Ontime")</f>
        <v/>
      </c>
      <c r="AC758" s="22" t="n"/>
    </row>
    <row r="759" ht="15" customFormat="1" customHeight="1" s="125">
      <c r="A759" s="5">
        <f>ROW()-ROW(RawDataGenPO[[#Headers],[No.]])</f>
        <v/>
      </c>
      <c r="B759" s="7" t="inlineStr">
        <is>
          <t>Expent  cost</t>
        </is>
      </c>
      <c r="C759" s="301" t="n">
        <v>45632</v>
      </c>
      <c r="D759" s="276" t="inlineStr">
        <is>
          <t>CPP24-242</t>
        </is>
      </c>
      <c r="E759" s="276" t="n"/>
      <c r="F759" s="301" t="n">
        <v>45632</v>
      </c>
      <c r="G759" s="5" t="inlineStr">
        <is>
          <t>PR2425-04760</t>
        </is>
      </c>
      <c r="H759" s="5" t="inlineStr">
        <is>
          <t>PO2425-05319</t>
        </is>
      </c>
      <c r="I759" s="290">
        <f>IF(RawDataGenPO[[#This Row],[PO No.]]="","",RawDataGenPO[[#This Row],[DMY Create PR]]+7)</f>
        <v/>
      </c>
      <c r="J759" s="290" t="n"/>
      <c r="K759" s="20">
        <f>IF(RawDataGenPO[[#This Row],[PO No.]]="","",10)</f>
        <v/>
      </c>
      <c r="L759" s="5" t="inlineStr">
        <is>
          <t>SFST81000050</t>
        </is>
      </c>
      <c r="M759" s="7" t="inlineStr">
        <is>
          <t>Tool and Equipment PD M/C</t>
        </is>
      </c>
      <c r="N759" s="7" t="inlineStr">
        <is>
          <t>Electrical part</t>
        </is>
      </c>
      <c r="O759" s="11" t="n">
        <v>2</v>
      </c>
      <c r="P759" s="80" t="inlineStr">
        <is>
          <t>"Panasonic" frontcoverwaterproof waterproof cover 3 slot model WEG8981 (2x4)</t>
        </is>
      </c>
      <c r="Q759" s="277" t="n">
        <v>10</v>
      </c>
      <c r="R759" s="5" t="inlineStr">
        <is>
          <t>PCS.</t>
        </is>
      </c>
      <c r="S759" s="292">
        <f>RawDataGenPO[[#This Row],[Total price]]/RawDataGenPO[[#This Row],[Qty'']]</f>
        <v/>
      </c>
      <c r="T759" s="278" t="n">
        <v>3100</v>
      </c>
      <c r="U759" s="291" t="n"/>
      <c r="V759" s="7" t="inlineStr">
        <is>
          <t>V1000481 - Company JW Tech Ltd.</t>
        </is>
      </c>
      <c r="W759" s="30" t="inlineStr">
        <is>
          <t>Recive bill and GRN already</t>
        </is>
      </c>
      <c r="X759" s="5" t="n"/>
      <c r="Y759" s="3" t="n">
        <v>45645</v>
      </c>
      <c r="Z759" s="3" t="n"/>
      <c r="AA759" s="17">
        <f>IF(RawDataGenPO[[#This Row],[Date Gen PO]]="","",RawDataGenPO[[#This Row],[Date recive bill]]-RawDataGenPO[[#This Row],[Date Gen PO]])</f>
        <v/>
      </c>
      <c r="AB759" s="16">
        <f>IF(RawDataGenPO[[#This Row],[GRN-PO date]]&gt;RawDataGenPO[[#This Row],[Lead time delivery (day)]],"over deliverry","Ontime")</f>
        <v/>
      </c>
      <c r="AC759" s="22" t="n"/>
    </row>
    <row r="760" ht="15" customFormat="1" customHeight="1" s="125">
      <c r="A760" s="5">
        <f>ROW()-ROW(RawDataGenPO[[#Headers],[No.]])</f>
        <v/>
      </c>
      <c r="B760" s="7" t="inlineStr">
        <is>
          <t>Expent  cost</t>
        </is>
      </c>
      <c r="C760" s="301" t="n">
        <v>45632</v>
      </c>
      <c r="D760" s="276" t="inlineStr">
        <is>
          <t>CPP24-248</t>
        </is>
      </c>
      <c r="E760" s="276" t="n"/>
      <c r="F760" s="301" t="n">
        <v>45632</v>
      </c>
      <c r="G760" s="5" t="inlineStr">
        <is>
          <t xml:space="preserve">PR2425-04761 </t>
        </is>
      </c>
      <c r="H760" s="5" t="inlineStr">
        <is>
          <t>PO2425-5299</t>
        </is>
      </c>
      <c r="I760" s="290">
        <f>IF(RawDataGenPO[[#This Row],[PO No.]]="","",RawDataGenPO[[#This Row],[DMY Create PR]]+7)</f>
        <v/>
      </c>
      <c r="J760" s="290" t="n"/>
      <c r="K760" s="20">
        <f>IF(RawDataGenPO[[#This Row],[PO No.]]="","",10)</f>
        <v/>
      </c>
      <c r="L760" s="5" t="inlineStr">
        <is>
          <t>SFST81000050</t>
        </is>
      </c>
      <c r="M760" s="7" t="inlineStr">
        <is>
          <t>Tool and Equipment  Engineering</t>
        </is>
      </c>
      <c r="N760" s="7" t="inlineStr">
        <is>
          <t>Tool and Equipment</t>
        </is>
      </c>
      <c r="O760" s="11" t="n">
        <v>1</v>
      </c>
      <c r="P760" s="80" t="inlineStr">
        <is>
          <t>"TOTAL" THT 53321 pipe cutter 3-32 mm</t>
        </is>
      </c>
      <c r="Q760" s="277" t="n">
        <v>2</v>
      </c>
      <c r="R760" s="5" t="inlineStr">
        <is>
          <t>PCS.</t>
        </is>
      </c>
      <c r="S760" s="292">
        <f>RawDataGenPO[[#This Row],[Total price]]/RawDataGenPO[[#This Row],[Qty'']]</f>
        <v/>
      </c>
      <c r="T760" s="278" t="n">
        <v>440</v>
      </c>
      <c r="U760" s="291" t="n"/>
      <c r="V760" s="7" t="inlineStr">
        <is>
          <t>V1000259 - JJP SUPPLY CO., LTD</t>
        </is>
      </c>
      <c r="W760" s="30" t="inlineStr">
        <is>
          <t>Recive bill and GRN already</t>
        </is>
      </c>
      <c r="X760" s="5" t="n"/>
      <c r="Y760" s="3" t="n">
        <v>45645</v>
      </c>
      <c r="Z760" s="3" t="n"/>
      <c r="AA760" s="17">
        <f>IF(RawDataGenPO[[#This Row],[Date Gen PO]]="","",RawDataGenPO[[#This Row],[Date recive bill]]-RawDataGenPO[[#This Row],[Date Gen PO]])</f>
        <v/>
      </c>
      <c r="AB760" s="16">
        <f>IF(RawDataGenPO[[#This Row],[GRN-PO date]]&gt;RawDataGenPO[[#This Row],[Lead time delivery (day)]],"over deliverry","Ontime")</f>
        <v/>
      </c>
      <c r="AC760" s="22" t="n"/>
    </row>
    <row r="761" ht="15" customFormat="1" customHeight="1" s="125">
      <c r="A761" s="5">
        <f>ROW()-ROW(RawDataGenPO[[#Headers],[No.]])</f>
        <v/>
      </c>
      <c r="B761" s="7" t="inlineStr">
        <is>
          <t>Expent  cost</t>
        </is>
      </c>
      <c r="C761" s="301" t="n">
        <v>45632</v>
      </c>
      <c r="D761" s="276" t="n"/>
      <c r="E761" s="276" t="n"/>
      <c r="F761" s="301" t="n">
        <v>45632</v>
      </c>
      <c r="G761" s="5" t="inlineStr">
        <is>
          <t>PR2425-04762</t>
        </is>
      </c>
      <c r="H761" s="5" t="inlineStr">
        <is>
          <t>PO2425-05344</t>
        </is>
      </c>
      <c r="I761" s="290">
        <f>IF(RawDataGenPO[[#This Row],[PO No.]]="","",RawDataGenPO[[#This Row],[DMY Create PR]]+7)</f>
        <v/>
      </c>
      <c r="J761" s="290" t="n"/>
      <c r="K761" s="20" t="n">
        <v>45</v>
      </c>
      <c r="L761" s="5" t="inlineStr">
        <is>
          <t>SFST11000004</t>
        </is>
      </c>
      <c r="M761" s="7" t="inlineStr">
        <is>
          <t>Utility Jobs  (Boiler-Air compress-Transformer-LPG)</t>
        </is>
      </c>
      <c r="N761" s="7" t="inlineStr">
        <is>
          <t>Utility jobs</t>
        </is>
      </c>
      <c r="O761" s="11" t="n">
        <v>1</v>
      </c>
      <c r="P761" s="80" t="inlineStr">
        <is>
          <t>resin cleaning salt</t>
        </is>
      </c>
      <c r="Q761" s="277" t="n">
        <v>3000</v>
      </c>
      <c r="R761" s="5" t="inlineStr">
        <is>
          <t>KG.</t>
        </is>
      </c>
      <c r="S761" s="292">
        <f>RawDataGenPO[[#This Row],[Total price]]/RawDataGenPO[[#This Row],[Qty'']]</f>
        <v/>
      </c>
      <c r="T761" s="278" t="n">
        <v>111000</v>
      </c>
      <c r="U761" s="291" t="n"/>
      <c r="V761" s="7" t="inlineStr">
        <is>
          <t>V1000001 - THAI REFINED SALT CO., LTD.</t>
        </is>
      </c>
      <c r="W761" s="30" t="inlineStr">
        <is>
          <t>Recive bill and GRN already</t>
        </is>
      </c>
      <c r="X761" s="5" t="inlineStr">
        <is>
          <t>GRN2425-0006423</t>
        </is>
      </c>
      <c r="Y761" s="3" t="n">
        <v>45672</v>
      </c>
      <c r="Z761" s="3" t="n"/>
      <c r="AA761" s="17">
        <f>IF(RawDataGenPO[[#This Row],[Date Gen PO]]="","",RawDataGenPO[[#This Row],[Date recive bill]]-RawDataGenPO[[#This Row],[Date Gen PO]])</f>
        <v/>
      </c>
      <c r="AB761" s="16">
        <f>IF(RawDataGenPO[[#This Row],[GRN-PO date]]&gt;RawDataGenPO[[#This Row],[Lead time delivery (day)]],"over deliverry","Ontime")</f>
        <v/>
      </c>
      <c r="AC761" s="22" t="n"/>
    </row>
    <row r="762" ht="15" customFormat="1" customHeight="1" s="125">
      <c r="A762" s="5">
        <f>ROW()-ROW(RawDataGenPO[[#Headers],[No.]])</f>
        <v/>
      </c>
      <c r="B762" s="7" t="inlineStr">
        <is>
          <t>Expent  cost</t>
        </is>
      </c>
      <c r="C762" s="301" t="n">
        <v>45632</v>
      </c>
      <c r="D762" s="276" t="inlineStr">
        <is>
          <t>CPP24-255</t>
        </is>
      </c>
      <c r="E762" s="276" t="n"/>
      <c r="F762" s="301" t="n">
        <v>45632</v>
      </c>
      <c r="G762" s="5" t="inlineStr">
        <is>
          <t>PR2425-04791</t>
        </is>
      </c>
      <c r="H762" s="5" t="inlineStr">
        <is>
          <t>PO2425-05298</t>
        </is>
      </c>
      <c r="I762" s="290">
        <f>IF(RawDataGenPO[[#This Row],[PO No.]]="","",RawDataGenPO[[#This Row],[DMY Create PR]]+7)</f>
        <v/>
      </c>
      <c r="J762" s="290" t="n"/>
      <c r="K762" s="20">
        <f>IF(RawDataGenPO[[#This Row],[PO No.]]="","",10)</f>
        <v/>
      </c>
      <c r="L762" s="5" t="inlineStr">
        <is>
          <t>SFST81000050</t>
        </is>
      </c>
      <c r="M762" s="7" t="inlineStr">
        <is>
          <t>Tool and Equipment PD M/C</t>
        </is>
      </c>
      <c r="N762" s="7" t="inlineStr">
        <is>
          <t>Tool and Equipment</t>
        </is>
      </c>
      <c r="O762" s="11" t="n">
        <v>1</v>
      </c>
      <c r="P762" s="80" t="inlineStr">
        <is>
          <t>Koche" KS-1900/91 hex key setpcs 10 pcs withpacked in leather pouchblack</t>
        </is>
      </c>
      <c r="Q762" s="277" t="n">
        <v>7</v>
      </c>
      <c r="R762" s="5" t="inlineStr">
        <is>
          <t>SET</t>
        </is>
      </c>
      <c r="S762" s="292">
        <f>RawDataGenPO[[#This Row],[Total price]]/RawDataGenPO[[#This Row],[Qty'']]</f>
        <v/>
      </c>
      <c r="T762" s="278" t="n">
        <v>8400</v>
      </c>
      <c r="U762" s="291" t="n"/>
      <c r="V762" s="7" t="inlineStr">
        <is>
          <t>V1000259 - JJP SUPPLY CO., LTD</t>
        </is>
      </c>
      <c r="W762" s="30" t="inlineStr">
        <is>
          <t>Recive bill and GRN already</t>
        </is>
      </c>
      <c r="X762" s="5" t="inlineStr">
        <is>
          <t>GRN2425-0005985</t>
        </is>
      </c>
      <c r="Y762" s="3" t="n">
        <v>45645</v>
      </c>
      <c r="Z762" s="3" t="n"/>
      <c r="AA762" s="17">
        <f>IF(RawDataGenPO[[#This Row],[Date Gen PO]]="","",RawDataGenPO[[#This Row],[Date recive bill]]-RawDataGenPO[[#This Row],[Date Gen PO]])</f>
        <v/>
      </c>
      <c r="AB762" s="16">
        <f>IF(RawDataGenPO[[#This Row],[GRN-PO date]]&gt;RawDataGenPO[[#This Row],[Lead time delivery (day)]],"over deliverry","Ontime")</f>
        <v/>
      </c>
      <c r="AC762" s="22" t="n"/>
    </row>
    <row r="763" ht="15" customFormat="1" customHeight="1" s="125">
      <c r="A763" s="5">
        <f>ROW()-ROW(RawDataGenPO[[#Headers],[No.]])</f>
        <v/>
      </c>
      <c r="B763" s="7" t="inlineStr">
        <is>
          <t>Expent  cost</t>
        </is>
      </c>
      <c r="C763" s="301" t="n">
        <v>45632</v>
      </c>
      <c r="D763" s="276" t="inlineStr">
        <is>
          <t>CPP24-253</t>
        </is>
      </c>
      <c r="E763" s="276" t="n"/>
      <c r="F763" s="301" t="n">
        <v>45632</v>
      </c>
      <c r="G763" s="5" t="inlineStr">
        <is>
          <t>PR2425-04793</t>
        </is>
      </c>
      <c r="H763" s="5" t="inlineStr">
        <is>
          <t>PO2425-05297</t>
        </is>
      </c>
      <c r="I763" s="290">
        <f>IF(RawDataGenPO[[#This Row],[PO No.]]="","",RawDataGenPO[[#This Row],[DMY Create PR]]+7)</f>
        <v/>
      </c>
      <c r="J763" s="290" t="n"/>
      <c r="K763" s="20">
        <f>IF(RawDataGenPO[[#This Row],[PO No.]]="","",10)</f>
        <v/>
      </c>
      <c r="L763" s="5" t="inlineStr">
        <is>
          <t>SFST81000050</t>
        </is>
      </c>
      <c r="M763" s="7" t="inlineStr">
        <is>
          <t>Tool and Equipment PD M/C</t>
        </is>
      </c>
      <c r="N763" s="7" t="inlineStr">
        <is>
          <t>Electrical part</t>
        </is>
      </c>
      <c r="O763" s="11" t="n">
        <v>1</v>
      </c>
      <c r="P763" s="80" t="inlineStr">
        <is>
          <t>"Weidmuller" Terminal Ground W-Series WPE 2.5</t>
        </is>
      </c>
      <c r="Q763" s="277" t="n">
        <v>50</v>
      </c>
      <c r="R763" s="5" t="inlineStr">
        <is>
          <t>PCS.</t>
        </is>
      </c>
      <c r="S763" s="292">
        <f>RawDataGenPO[[#This Row],[Total price]]/RawDataGenPO[[#This Row],[Qty'']]</f>
        <v/>
      </c>
      <c r="T763" s="278" t="n">
        <v>4250</v>
      </c>
      <c r="U763" s="291" t="n"/>
      <c r="V763" s="7" t="inlineStr">
        <is>
          <t>V1000259 - JJP SUPPLY CO., LTD</t>
        </is>
      </c>
      <c r="W763" s="30" t="inlineStr">
        <is>
          <t>Recive bill and GRN already</t>
        </is>
      </c>
      <c r="X763" s="5" t="inlineStr">
        <is>
          <t>GRN2425-0005985</t>
        </is>
      </c>
      <c r="Y763" s="3" t="n">
        <v>45645</v>
      </c>
      <c r="Z763" s="3" t="n"/>
      <c r="AA763" s="17">
        <f>IF(RawDataGenPO[[#This Row],[Date Gen PO]]="","",RawDataGenPO[[#This Row],[Date recive bill]]-RawDataGenPO[[#This Row],[Date Gen PO]])</f>
        <v/>
      </c>
      <c r="AB763" s="16">
        <f>IF(RawDataGenPO[[#This Row],[GRN-PO date]]&gt;RawDataGenPO[[#This Row],[Lead time delivery (day)]],"over deliverry","Ontime")</f>
        <v/>
      </c>
      <c r="AC763" s="22" t="n"/>
    </row>
    <row r="764" ht="15" customFormat="1" customHeight="1" s="125">
      <c r="A764" s="5">
        <f>ROW()-ROW(RawDataGenPO[[#Headers],[No.]])</f>
        <v/>
      </c>
      <c r="B764" s="7" t="inlineStr">
        <is>
          <t>Expent  cost</t>
        </is>
      </c>
      <c r="C764" s="301" t="n">
        <v>45632</v>
      </c>
      <c r="D764" s="276" t="inlineStr">
        <is>
          <t>CPP24-253</t>
        </is>
      </c>
      <c r="E764" s="276" t="n"/>
      <c r="F764" s="301" t="n">
        <v>45632</v>
      </c>
      <c r="G764" s="5" t="inlineStr">
        <is>
          <t>PR2425-04793</t>
        </is>
      </c>
      <c r="H764" s="5" t="inlineStr">
        <is>
          <t>PO2425-05297</t>
        </is>
      </c>
      <c r="I764" s="290">
        <f>IF(RawDataGenPO[[#This Row],[PO No.]]="","",RawDataGenPO[[#This Row],[DMY Create PR]]+7)</f>
        <v/>
      </c>
      <c r="J764" s="290" t="n"/>
      <c r="K764" s="20">
        <f>IF(RawDataGenPO[[#This Row],[PO No.]]="","",10)</f>
        <v/>
      </c>
      <c r="L764" s="5" t="inlineStr">
        <is>
          <t>SFST81000050</t>
        </is>
      </c>
      <c r="M764" s="7" t="inlineStr">
        <is>
          <t>Tool and Equipment PD M/C</t>
        </is>
      </c>
      <c r="N764" s="7" t="inlineStr">
        <is>
          <t>Electrical part</t>
        </is>
      </c>
      <c r="O764" s="11" t="n">
        <v>2</v>
      </c>
      <c r="P764" s="80" t="inlineStr">
        <is>
          <t>"Weidmuller" Terminal Ground W-Series WPE 6</t>
        </is>
      </c>
      <c r="Q764" s="277" t="n">
        <v>50</v>
      </c>
      <c r="R764" s="5" t="inlineStr">
        <is>
          <t>PCS.</t>
        </is>
      </c>
      <c r="S764" s="292">
        <f>RawDataGenPO[[#This Row],[Total price]]/RawDataGenPO[[#This Row],[Qty'']]</f>
        <v/>
      </c>
      <c r="T764" s="278" t="n">
        <v>5000</v>
      </c>
      <c r="U764" s="291" t="n"/>
      <c r="V764" s="7" t="inlineStr">
        <is>
          <t>V1000259 - JJP SUPPLY CO., LTD</t>
        </is>
      </c>
      <c r="W764" s="30" t="inlineStr">
        <is>
          <t>Recive bill and GRN already</t>
        </is>
      </c>
      <c r="X764" s="5" t="inlineStr">
        <is>
          <t>GRN2425-0005985</t>
        </is>
      </c>
      <c r="Y764" s="3" t="n">
        <v>45645</v>
      </c>
      <c r="Z764" s="3" t="n"/>
      <c r="AA764" s="17">
        <f>IF(RawDataGenPO[[#This Row],[Date Gen PO]]="","",RawDataGenPO[[#This Row],[Date recive bill]]-RawDataGenPO[[#This Row],[Date Gen PO]])</f>
        <v/>
      </c>
      <c r="AB764" s="16">
        <f>IF(RawDataGenPO[[#This Row],[GRN-PO date]]&gt;RawDataGenPO[[#This Row],[Lead time delivery (day)]],"over deliverry","Ontime")</f>
        <v/>
      </c>
      <c r="AC764" s="22" t="n"/>
    </row>
    <row r="765" ht="15" customFormat="1" customHeight="1" s="125">
      <c r="A765" s="5">
        <f>ROW()-ROW(RawDataGenPO[[#Headers],[No.]])</f>
        <v/>
      </c>
      <c r="B765" s="7" t="inlineStr">
        <is>
          <t>Expent  cost</t>
        </is>
      </c>
      <c r="C765" s="301" t="n">
        <v>45632</v>
      </c>
      <c r="D765" s="276" t="inlineStr">
        <is>
          <t>CPP24-253</t>
        </is>
      </c>
      <c r="E765" s="276" t="n"/>
      <c r="F765" s="301" t="n">
        <v>45632</v>
      </c>
      <c r="G765" s="5" t="inlineStr">
        <is>
          <t>PR2425-04793</t>
        </is>
      </c>
      <c r="H765" s="5" t="inlineStr">
        <is>
          <t>PO2425-05297</t>
        </is>
      </c>
      <c r="I765" s="290">
        <f>IF(RawDataGenPO[[#This Row],[PO No.]]="","",RawDataGenPO[[#This Row],[DMY Create PR]]+7)</f>
        <v/>
      </c>
      <c r="J765" s="290" t="n"/>
      <c r="K765" s="20">
        <f>IF(RawDataGenPO[[#This Row],[PO No.]]="","",10)</f>
        <v/>
      </c>
      <c r="L765" s="5" t="inlineStr">
        <is>
          <t>SFST81000050</t>
        </is>
      </c>
      <c r="M765" s="7" t="inlineStr">
        <is>
          <t>Tool and Equipment PD M/C</t>
        </is>
      </c>
      <c r="N765" s="7" t="inlineStr">
        <is>
          <t>Electrical part</t>
        </is>
      </c>
      <c r="O765" s="11" t="n">
        <v>3</v>
      </c>
      <c r="P765" s="80" t="inlineStr">
        <is>
          <t>"Weidmuller" Terminal W-Series WDU 2.5</t>
        </is>
      </c>
      <c r="Q765" s="277" t="n">
        <v>50</v>
      </c>
      <c r="R765" s="5" t="inlineStr">
        <is>
          <t>PCS.</t>
        </is>
      </c>
      <c r="S765" s="292">
        <f>RawDataGenPO[[#This Row],[Total price]]/RawDataGenPO[[#This Row],[Qty'']]</f>
        <v/>
      </c>
      <c r="T765" s="278" t="n">
        <v>750</v>
      </c>
      <c r="U765" s="291" t="n"/>
      <c r="V765" s="7" t="inlineStr">
        <is>
          <t>V1000259 - JJP SUPPLY CO., LTD</t>
        </is>
      </c>
      <c r="W765" s="30" t="inlineStr">
        <is>
          <t>Recive bill and GRN already</t>
        </is>
      </c>
      <c r="X765" s="5" t="inlineStr">
        <is>
          <t>GRN2425-0005985</t>
        </is>
      </c>
      <c r="Y765" s="3" t="n">
        <v>45645</v>
      </c>
      <c r="Z765" s="3" t="n"/>
      <c r="AA765" s="17">
        <f>IF(RawDataGenPO[[#This Row],[Date Gen PO]]="","",RawDataGenPO[[#This Row],[Date recive bill]]-RawDataGenPO[[#This Row],[Date Gen PO]])</f>
        <v/>
      </c>
      <c r="AB765" s="16">
        <f>IF(RawDataGenPO[[#This Row],[GRN-PO date]]&gt;RawDataGenPO[[#This Row],[Lead time delivery (day)]],"over deliverry","Ontime")</f>
        <v/>
      </c>
      <c r="AC765" s="22" t="n"/>
    </row>
    <row r="766" ht="15" customFormat="1" customHeight="1" s="125">
      <c r="A766" s="5">
        <f>ROW()-ROW(RawDataGenPO[[#Headers],[No.]])</f>
        <v/>
      </c>
      <c r="B766" s="7" t="inlineStr">
        <is>
          <t>Expent  cost</t>
        </is>
      </c>
      <c r="C766" s="301" t="n">
        <v>45632</v>
      </c>
      <c r="D766" s="276" t="inlineStr">
        <is>
          <t>CPP24-253</t>
        </is>
      </c>
      <c r="E766" s="276" t="n"/>
      <c r="F766" s="301" t="n">
        <v>45632</v>
      </c>
      <c r="G766" s="5" t="inlineStr">
        <is>
          <t>PR2425-04793</t>
        </is>
      </c>
      <c r="H766" s="5" t="inlineStr">
        <is>
          <t>PO2425-05297</t>
        </is>
      </c>
      <c r="I766" s="290">
        <f>IF(RawDataGenPO[[#This Row],[PO No.]]="","",RawDataGenPO[[#This Row],[DMY Create PR]]+7)</f>
        <v/>
      </c>
      <c r="J766" s="290" t="n"/>
      <c r="K766" s="20">
        <f>IF(RawDataGenPO[[#This Row],[PO No.]]="","",10)</f>
        <v/>
      </c>
      <c r="L766" s="5" t="inlineStr">
        <is>
          <t>SFST81000050</t>
        </is>
      </c>
      <c r="M766" s="7" t="inlineStr">
        <is>
          <t>Tool and Equipment PD M/C</t>
        </is>
      </c>
      <c r="N766" s="7" t="inlineStr">
        <is>
          <t>Electrical part</t>
        </is>
      </c>
      <c r="O766" s="11" t="n">
        <v>4</v>
      </c>
      <c r="P766" s="80" t="inlineStr">
        <is>
          <t>"Weidmuller" Terminal W-Series WDU 6</t>
        </is>
      </c>
      <c r="Q766" s="277" t="n">
        <v>50</v>
      </c>
      <c r="R766" s="5" t="inlineStr">
        <is>
          <t>PCS.</t>
        </is>
      </c>
      <c r="S766" s="292">
        <f>RawDataGenPO[[#This Row],[Total price]]/RawDataGenPO[[#This Row],[Qty'']]</f>
        <v/>
      </c>
      <c r="T766" s="278" t="n">
        <v>1750</v>
      </c>
      <c r="U766" s="291" t="n"/>
      <c r="V766" s="7" t="inlineStr">
        <is>
          <t>V1000259 - JJP SUPPLY CO., LTD</t>
        </is>
      </c>
      <c r="W766" s="30" t="inlineStr">
        <is>
          <t>Recive bill and GRN already</t>
        </is>
      </c>
      <c r="X766" s="5" t="inlineStr">
        <is>
          <t>GRN2425-0005985</t>
        </is>
      </c>
      <c r="Y766" s="3" t="n">
        <v>45645</v>
      </c>
      <c r="Z766" s="3" t="n"/>
      <c r="AA766" s="17">
        <f>IF(RawDataGenPO[[#This Row],[Date Gen PO]]="","",RawDataGenPO[[#This Row],[Date recive bill]]-RawDataGenPO[[#This Row],[Date Gen PO]])</f>
        <v/>
      </c>
      <c r="AB766" s="16">
        <f>IF(RawDataGenPO[[#This Row],[GRN-PO date]]&gt;RawDataGenPO[[#This Row],[Lead time delivery (day)]],"over deliverry","Ontime")</f>
        <v/>
      </c>
      <c r="AC766" s="22" t="n"/>
    </row>
    <row r="767" ht="15" customFormat="1" customHeight="1" s="125">
      <c r="A767" s="5">
        <f>ROW()-ROW(RawDataGenPO[[#Headers],[No.]])</f>
        <v/>
      </c>
      <c r="B767" s="7" t="inlineStr">
        <is>
          <t>Expent  cost</t>
        </is>
      </c>
      <c r="C767" s="301" t="n">
        <v>45632</v>
      </c>
      <c r="D767" s="276" t="inlineStr">
        <is>
          <t>CPP24-253</t>
        </is>
      </c>
      <c r="E767" s="276" t="n"/>
      <c r="F767" s="301" t="n">
        <v>45632</v>
      </c>
      <c r="G767" s="5" t="inlineStr">
        <is>
          <t>PR2425-04793</t>
        </is>
      </c>
      <c r="H767" s="5" t="inlineStr">
        <is>
          <t>PO2425-05297</t>
        </is>
      </c>
      <c r="I767" s="290">
        <f>IF(RawDataGenPO[[#This Row],[PO No.]]="","",RawDataGenPO[[#This Row],[DMY Create PR]]+7)</f>
        <v/>
      </c>
      <c r="J767" s="290" t="n"/>
      <c r="K767" s="20">
        <f>IF(RawDataGenPO[[#This Row],[PO No.]]="","",10)</f>
        <v/>
      </c>
      <c r="L767" s="5" t="inlineStr">
        <is>
          <t>SFST81000050</t>
        </is>
      </c>
      <c r="M767" s="7" t="inlineStr">
        <is>
          <t>Tool and Equipment PD M/C</t>
        </is>
      </c>
      <c r="N767" s="7" t="inlineStr">
        <is>
          <t>Electrical part</t>
        </is>
      </c>
      <c r="O767" s="11" t="n">
        <v>5</v>
      </c>
      <c r="P767" s="80" t="inlineStr">
        <is>
          <t>"Weidmuller" Stopper W-Series WEW 35/2</t>
        </is>
      </c>
      <c r="Q767" s="277" t="n">
        <v>50</v>
      </c>
      <c r="R767" s="5" t="inlineStr">
        <is>
          <t>PCS.</t>
        </is>
      </c>
      <c r="S767" s="284">
        <f>RawDataGenPO[[#This Row],[Total price]]/RawDataGenPO[[#This Row],[Qty'']]</f>
        <v/>
      </c>
      <c r="T767" s="278" t="n">
        <v>2500</v>
      </c>
      <c r="U767" s="291" t="n"/>
      <c r="V767" s="7" t="inlineStr">
        <is>
          <t>V1000259 - JJP SUPPLY CO., LTD</t>
        </is>
      </c>
      <c r="W767" s="30" t="inlineStr">
        <is>
          <t>Recive bill and GRN already</t>
        </is>
      </c>
      <c r="X767" s="5" t="inlineStr">
        <is>
          <t>GRN2425-0005985</t>
        </is>
      </c>
      <c r="Y767" s="3" t="n">
        <v>45645</v>
      </c>
      <c r="Z767" s="3" t="n"/>
      <c r="AA767" s="17">
        <f>IF(RawDataGenPO[[#This Row],[Date Gen PO]]="","",RawDataGenPO[[#This Row],[Date recive bill]]-RawDataGenPO[[#This Row],[Date Gen PO]])</f>
        <v/>
      </c>
      <c r="AB767" s="16">
        <f>IF(RawDataGenPO[[#This Row],[GRN-PO date]]&gt;RawDataGenPO[[#This Row],[Lead time delivery (day)]],"over deliverry","Ontime")</f>
        <v/>
      </c>
      <c r="AC767" s="22" t="n"/>
    </row>
    <row r="768" ht="15" customFormat="1" customHeight="1" s="125">
      <c r="A768" s="5">
        <f>ROW()-ROW(RawDataGenPO[[#Headers],[No.]])</f>
        <v/>
      </c>
      <c r="B768" s="7" t="inlineStr">
        <is>
          <t>Expent  cost</t>
        </is>
      </c>
      <c r="C768" s="301" t="n">
        <v>45632</v>
      </c>
      <c r="D768" s="276" t="inlineStr">
        <is>
          <t>CPP24-253</t>
        </is>
      </c>
      <c r="E768" s="276" t="n"/>
      <c r="F768" s="301" t="n">
        <v>45632</v>
      </c>
      <c r="G768" s="5" t="inlineStr">
        <is>
          <t>PR2425-04793</t>
        </is>
      </c>
      <c r="H768" s="5" t="inlineStr">
        <is>
          <t>PO2425-05297</t>
        </is>
      </c>
      <c r="I768" s="290">
        <f>IF(RawDataGenPO[[#This Row],[PO No.]]="","",RawDataGenPO[[#This Row],[DMY Create PR]]+7)</f>
        <v/>
      </c>
      <c r="J768" s="290" t="n"/>
      <c r="K768" s="20">
        <f>IF(RawDataGenPO[[#This Row],[PO No.]]="","",10)</f>
        <v/>
      </c>
      <c r="L768" s="5" t="inlineStr">
        <is>
          <t>SFST81000050</t>
        </is>
      </c>
      <c r="M768" s="7" t="inlineStr">
        <is>
          <t>Tool and Equipment PD M/C</t>
        </is>
      </c>
      <c r="N768" s="7" t="inlineStr">
        <is>
          <t>Electrical part</t>
        </is>
      </c>
      <c r="O768" s="11" t="n">
        <v>6</v>
      </c>
      <c r="P768" s="80" t="inlineStr">
        <is>
          <t>"Weidmuller" End Plate W-Series WAP 2.5/4/6/10</t>
        </is>
      </c>
      <c r="Q768" s="277" t="n">
        <v>50</v>
      </c>
      <c r="R768" s="5" t="inlineStr">
        <is>
          <t>PCS.</t>
        </is>
      </c>
      <c r="S768" s="292">
        <f>RawDataGenPO[[#This Row],[Total price]]/RawDataGenPO[[#This Row],[Qty'']]</f>
        <v/>
      </c>
      <c r="T768" s="278" t="n">
        <v>750</v>
      </c>
      <c r="U768" s="291" t="n"/>
      <c r="V768" s="7" t="inlineStr">
        <is>
          <t>V1000259 - JJP SUPPLY CO., LTD</t>
        </is>
      </c>
      <c r="W768" s="30" t="inlineStr">
        <is>
          <t>Recive bill and GRN already</t>
        </is>
      </c>
      <c r="X768" s="5" t="inlineStr">
        <is>
          <t>GRN2425-0005985</t>
        </is>
      </c>
      <c r="Y768" s="3" t="n">
        <v>45645</v>
      </c>
      <c r="Z768" s="3" t="n"/>
      <c r="AA768" s="17">
        <f>IF(RawDataGenPO[[#This Row],[Date Gen PO]]="","",RawDataGenPO[[#This Row],[Date recive bill]]-RawDataGenPO[[#This Row],[Date Gen PO]])</f>
        <v/>
      </c>
      <c r="AB768" s="16">
        <f>IF(RawDataGenPO[[#This Row],[GRN-PO date]]&gt;RawDataGenPO[[#This Row],[Lead time delivery (day)]],"over deliverry","Ontime")</f>
        <v/>
      </c>
      <c r="AC768" s="22" t="n"/>
    </row>
    <row r="769" ht="30" customFormat="1" customHeight="1" s="125">
      <c r="A769" s="5">
        <f>ROW()-ROW(RawDataGenPO[[#Headers],[No.]])</f>
        <v/>
      </c>
      <c r="B769" s="7" t="inlineStr">
        <is>
          <t>Expent  cost</t>
        </is>
      </c>
      <c r="C769" s="301" t="n">
        <v>45632</v>
      </c>
      <c r="D769" s="276" t="inlineStr">
        <is>
          <t>CPP24-253</t>
        </is>
      </c>
      <c r="E769" s="276" t="n"/>
      <c r="F769" s="301" t="n">
        <v>45632</v>
      </c>
      <c r="G769" s="5" t="inlineStr">
        <is>
          <t>PR2425-04793</t>
        </is>
      </c>
      <c r="H769" s="5" t="inlineStr">
        <is>
          <t>PO2425-05297</t>
        </is>
      </c>
      <c r="I769" s="290">
        <f>IF(RawDataGenPO[[#This Row],[PO No.]]="","",RawDataGenPO[[#This Row],[DMY Create PR]]+7)</f>
        <v/>
      </c>
      <c r="J769" s="290" t="n"/>
      <c r="K769" s="20">
        <f>IF(RawDataGenPO[[#This Row],[PO No.]]="","",10)</f>
        <v/>
      </c>
      <c r="L769" s="5" t="inlineStr">
        <is>
          <t>SFST81000050</t>
        </is>
      </c>
      <c r="M769" s="7" t="inlineStr">
        <is>
          <t>Tool and Equipment PD M/C</t>
        </is>
      </c>
      <c r="N769" s="7" t="inlineStr">
        <is>
          <t>Cevil quipment  &amp; Part</t>
        </is>
      </c>
      <c r="O769" s="11" t="n">
        <v>8</v>
      </c>
      <c r="P769" s="80" t="inlineStr">
        <is>
          <t>Bandex hook-and-loop mounting pad size 21x21 mm
model TM-2121-4 white (1pack 100 pcs)</t>
        </is>
      </c>
      <c r="Q769" s="277" t="n">
        <v>1</v>
      </c>
      <c r="R769" s="5" t="inlineStr">
        <is>
          <t>PACK.</t>
        </is>
      </c>
      <c r="S769" s="292">
        <f>RawDataGenPO[[#This Row],[Total price]]/RawDataGenPO[[#This Row],[Qty'']]</f>
        <v/>
      </c>
      <c r="T769" s="278" t="n">
        <v>280</v>
      </c>
      <c r="U769" s="291" t="n"/>
      <c r="V769" s="7" t="inlineStr">
        <is>
          <t>V1000259 - JJP SUPPLY CO., LTD</t>
        </is>
      </c>
      <c r="W769" s="30" t="inlineStr">
        <is>
          <t>Recive bill and GRN already</t>
        </is>
      </c>
      <c r="X769" s="5" t="inlineStr">
        <is>
          <t>GRN2425-0005985</t>
        </is>
      </c>
      <c r="Y769" s="3" t="n">
        <v>45645</v>
      </c>
      <c r="Z769" s="3" t="n"/>
      <c r="AA769" s="17">
        <f>IF(RawDataGenPO[[#This Row],[Date Gen PO]]="","",RawDataGenPO[[#This Row],[Date recive bill]]-RawDataGenPO[[#This Row],[Date Gen PO]])</f>
        <v/>
      </c>
      <c r="AB769" s="16">
        <f>IF(RawDataGenPO[[#This Row],[GRN-PO date]]&gt;RawDataGenPO[[#This Row],[Lead time delivery (day)]],"over deliverry","Ontime")</f>
        <v/>
      </c>
      <c r="AC769" s="22" t="n"/>
    </row>
    <row r="770" ht="150" customFormat="1" customHeight="1" s="125">
      <c r="A770" s="5">
        <f>ROW()-ROW(RawDataGenPO[[#Headers],[No.]])</f>
        <v/>
      </c>
      <c r="B770" s="7" t="inlineStr">
        <is>
          <t>Expent  cost</t>
        </is>
      </c>
      <c r="C770" s="301" t="n">
        <v>45632</v>
      </c>
      <c r="D770" s="276" t="n"/>
      <c r="E770" s="276" t="n"/>
      <c r="F770" s="301" t="n">
        <v>45632</v>
      </c>
      <c r="G770" s="5" t="inlineStr">
        <is>
          <t xml:space="preserve">PR2425-04794 </t>
        </is>
      </c>
      <c r="H770" s="5" t="inlineStr">
        <is>
          <t>PO2425-05336</t>
        </is>
      </c>
      <c r="I770" s="290">
        <f>IF(RawDataGenPO[[#This Row],[PO No.]]="","",RawDataGenPO[[#This Row],[DMY Create PR]]+7)</f>
        <v/>
      </c>
      <c r="J770" s="290" t="n"/>
      <c r="K770" s="20" t="n">
        <v>45</v>
      </c>
      <c r="L770" s="5" t="inlineStr">
        <is>
          <t>SFST81000009</t>
        </is>
      </c>
      <c r="M770" s="7" t="inlineStr">
        <is>
          <t>Civill jobs (Floor-Wall-Celling-roof)</t>
        </is>
      </c>
      <c r="N770" s="7" t="inlineStr">
        <is>
          <t>Cevil jobs</t>
        </is>
      </c>
      <c r="O770" s="5" t="n">
        <v>1</v>
      </c>
      <c r="P770" s="80" t="inlineStr">
        <is>
          <t>floor coating work Polyurethane (PU HF 10-12 mm.)
- work area Air Blast1 (31 Sq.m) yellow surfacesmooth
- workraw zone - cooked zone (21 Sq.m)
- raw zone green surfacesmooth
- cooked zone yellow surfacesmooth
- work area Cooking
- protection work
- travel cost
- service charge
- detailsas per attached quotation</t>
        </is>
      </c>
      <c r="Q770" s="277" t="n">
        <v>1</v>
      </c>
      <c r="R770" s="5" t="inlineStr">
        <is>
          <t>JOB.</t>
        </is>
      </c>
      <c r="S770" s="292">
        <f>RawDataGenPO[[#This Row],[Total price]]/RawDataGenPO[[#This Row],[Qty'']]</f>
        <v/>
      </c>
      <c r="T770" s="278" t="n">
        <v>260000</v>
      </c>
      <c r="U770" s="291" t="n"/>
      <c r="V770" s="7" t="inlineStr">
        <is>
          <t>V1000731 - PHUTEWA DEVELOPMENT CO., LTD.</t>
        </is>
      </c>
      <c r="W770" s="134" t="inlineStr">
        <is>
          <t>Recive bill and GRN already</t>
        </is>
      </c>
      <c r="X770" s="5" t="inlineStr">
        <is>
          <t>GRN2425-0006310</t>
        </is>
      </c>
      <c r="Y770" s="3" t="n">
        <v>45666</v>
      </c>
      <c r="Z770" s="3" t="n"/>
      <c r="AA770" s="17">
        <f>IF(RawDataGenPO[[#This Row],[Date Gen PO]]="","",RawDataGenPO[[#This Row],[Date recive bill]]-RawDataGenPO[[#This Row],[Date Gen PO]])</f>
        <v/>
      </c>
      <c r="AB770" s="16">
        <f>IF(RawDataGenPO[[#This Row],[GRN-PO date]]&gt;RawDataGenPO[[#This Row],[Lead time delivery (day)]],"over deliverry","Ontime")</f>
        <v/>
      </c>
      <c r="AC770" s="22" t="n"/>
    </row>
    <row r="771" ht="15" customFormat="1" customHeight="1" s="125">
      <c r="A771" s="5">
        <f>ROW()-ROW(RawDataGenPO[[#Headers],[No.]])</f>
        <v/>
      </c>
      <c r="B771" s="7" t="inlineStr">
        <is>
          <t>Expent  cost</t>
        </is>
      </c>
      <c r="C771" s="301" t="n">
        <v>45633</v>
      </c>
      <c r="D771" s="276" t="n"/>
      <c r="E771" s="276" t="n"/>
      <c r="F771" s="301" t="n">
        <v>45633</v>
      </c>
      <c r="G771" s="5" t="inlineStr">
        <is>
          <t>PR2425-04797</t>
        </is>
      </c>
      <c r="H771" s="5" t="inlineStr">
        <is>
          <t>PO2425-05398</t>
        </is>
      </c>
      <c r="I771" s="290">
        <f>IF(RawDataGenPO[[#This Row],[PO No.]]="","",RawDataGenPO[[#This Row],[DMY Create PR]]+7)</f>
        <v/>
      </c>
      <c r="J771" s="290" t="n"/>
      <c r="K771" s="20" t="n">
        <v>45</v>
      </c>
      <c r="L771" s="5" t="inlineStr">
        <is>
          <t>SFST81000048</t>
        </is>
      </c>
      <c r="M771" s="7" t="inlineStr">
        <is>
          <t>PD Machine</t>
        </is>
      </c>
      <c r="N771" s="7" t="inlineStr">
        <is>
          <t>Check weigth No.2</t>
        </is>
      </c>
      <c r="O771" s="11" t="n">
        <v>1</v>
      </c>
      <c r="P771" s="80" t="inlineStr">
        <is>
          <t>Service charge check weight no.1/no.2</t>
        </is>
      </c>
      <c r="Q771" s="277" t="n">
        <v>1</v>
      </c>
      <c r="R771" s="5" t="inlineStr">
        <is>
          <t>JOB.</t>
        </is>
      </c>
      <c r="S771" s="292">
        <f>RawDataGenPO[[#This Row],[Total price]]/RawDataGenPO[[#This Row],[Qty'']]</f>
        <v/>
      </c>
      <c r="T771" s="278" t="n">
        <v>5900</v>
      </c>
      <c r="U771" s="291" t="n"/>
      <c r="V771" s="7" t="inlineStr">
        <is>
          <t>V1000189 - FPT FOOD PROCESS TECHNOLOGY CO., LTD.</t>
        </is>
      </c>
      <c r="W771" s="30" t="inlineStr">
        <is>
          <t>Recive bill and GRN already</t>
        </is>
      </c>
      <c r="X771" s="5" t="inlineStr">
        <is>
          <t>GRN2425-0006425</t>
        </is>
      </c>
      <c r="Y771" s="3" t="n">
        <v>45662</v>
      </c>
      <c r="Z771" s="3" t="n"/>
      <c r="AA771" s="17">
        <f>IF(RawDataGenPO[[#This Row],[Date Gen PO]]="","",RawDataGenPO[[#This Row],[Date recive bill]]-RawDataGenPO[[#This Row],[Date Gen PO]])</f>
        <v/>
      </c>
      <c r="AB771" s="16">
        <f>IF(RawDataGenPO[[#This Row],[GRN-PO date]]&gt;RawDataGenPO[[#This Row],[Lead time delivery (day)]],"over deliverry","Ontime")</f>
        <v/>
      </c>
      <c r="AC771" s="22" t="n"/>
    </row>
    <row r="772" ht="30" customFormat="1" customHeight="1" s="156">
      <c r="A772" s="5">
        <f>ROW()-ROW(RawDataGenPO[[#Headers],[No.]])</f>
        <v/>
      </c>
      <c r="B772" s="7" t="inlineStr">
        <is>
          <t>Expent  cost</t>
        </is>
      </c>
      <c r="C772" s="301" t="n">
        <v>45635</v>
      </c>
      <c r="D772" s="276" t="n"/>
      <c r="E772" s="276" t="n"/>
      <c r="F772" s="301" t="n">
        <v>45635</v>
      </c>
      <c r="G772" s="5" t="inlineStr">
        <is>
          <t xml:space="preserve">PR2425-04805 </t>
        </is>
      </c>
      <c r="H772" s="5" t="inlineStr">
        <is>
          <t>PO2425-5545</t>
        </is>
      </c>
      <c r="I772" s="290">
        <f>IF(RawDataGenPO[[#This Row],[PO No.]]="","",RawDataGenPO[[#This Row],[DMY Create PR]]+7)</f>
        <v/>
      </c>
      <c r="J772" s="290" t="n"/>
      <c r="K772" s="20" t="n">
        <v>45</v>
      </c>
      <c r="L772" s="5" t="inlineStr">
        <is>
          <t>SFST81000064</t>
        </is>
      </c>
      <c r="M772" s="7" t="inlineStr">
        <is>
          <t>PD Machine</t>
        </is>
      </c>
      <c r="N772" s="7" t="inlineStr">
        <is>
          <t>Cevil jobs</t>
        </is>
      </c>
      <c r="O772" s="11" t="n">
        <v>1</v>
      </c>
      <c r="P772" s="80" t="inlineStr">
        <is>
          <t>inspection and basic repair service (Dock Leveler)
* notexcluding damaged equipment (m)*</t>
        </is>
      </c>
      <c r="Q772" s="277" t="n">
        <v>1</v>
      </c>
      <c r="R772" s="5" t="inlineStr">
        <is>
          <t>JOB.</t>
        </is>
      </c>
      <c r="S772" s="292">
        <f>RawDataGenPO[[#This Row],[Total price]]/RawDataGenPO[[#This Row],[Qty'']]</f>
        <v/>
      </c>
      <c r="T772" s="278" t="n">
        <v>5000</v>
      </c>
      <c r="U772" s="291" t="n"/>
      <c r="V772" s="7" t="inlineStr">
        <is>
          <t>V1000744 - Goldvest Trading (Thailand) Co., Ltd.</t>
        </is>
      </c>
      <c r="W772" s="30" t="inlineStr">
        <is>
          <t>Recive bill and GRN already</t>
        </is>
      </c>
      <c r="X772" s="31" t="n"/>
      <c r="Y772" s="3" t="n">
        <v>45664</v>
      </c>
      <c r="Z772" s="3" t="n"/>
      <c r="AA772" s="17">
        <f>IF(RawDataGenPO[[#This Row],[Date Gen PO]]="","",RawDataGenPO[[#This Row],[Date recive bill]]-RawDataGenPO[[#This Row],[Date Gen PO]])</f>
        <v/>
      </c>
      <c r="AB772" s="16">
        <f>IF(RawDataGenPO[[#This Row],[GRN-PO date]]&gt;RawDataGenPO[[#This Row],[Lead time delivery (day)]],"over deliverry","Ontime")</f>
        <v/>
      </c>
      <c r="AC772" s="22" t="n"/>
    </row>
    <row r="773" ht="15" customFormat="1" customHeight="1" s="125">
      <c r="A773" s="5">
        <f>ROW()-ROW(RawDataGenPO[[#Headers],[No.]])</f>
        <v/>
      </c>
      <c r="B773" s="7" t="inlineStr">
        <is>
          <t>Expent  cost</t>
        </is>
      </c>
      <c r="C773" s="301" t="n">
        <v>45637</v>
      </c>
      <c r="D773" s="276" t="n"/>
      <c r="E773" s="276" t="n"/>
      <c r="F773" s="301" t="n">
        <v>45637</v>
      </c>
      <c r="G773" s="5" t="inlineStr">
        <is>
          <t xml:space="preserve">PR2425-04832 </t>
        </is>
      </c>
      <c r="H773" s="5" t="inlineStr">
        <is>
          <t>PO2425-5539</t>
        </is>
      </c>
      <c r="I773" s="290">
        <f>IF(RawDataGenPO[[#This Row],[PO No.]]="","",RawDataGenPO[[#This Row],[DMY Create PR]]+7)</f>
        <v/>
      </c>
      <c r="J773" s="290" t="n"/>
      <c r="K773" s="20" t="n">
        <v>45</v>
      </c>
      <c r="L773" s="5" t="inlineStr">
        <is>
          <t>SFST81000048</t>
        </is>
      </c>
      <c r="M773" s="7" t="inlineStr">
        <is>
          <t>PD Machine</t>
        </is>
      </c>
      <c r="N773" s="7" t="inlineStr">
        <is>
          <t>Vacuum Tumbler center No.2</t>
        </is>
      </c>
      <c r="O773" s="11" t="n">
        <v>1</v>
      </c>
      <c r="P773" s="80" t="inlineStr">
        <is>
          <t>Repair SIEMENS TOUCH DISPLAY KTP600 S/N PHKX-KTP600</t>
        </is>
      </c>
      <c r="Q773" s="277" t="n">
        <v>1</v>
      </c>
      <c r="R773" s="5" t="inlineStr">
        <is>
          <t>JOB.</t>
        </is>
      </c>
      <c r="S773" s="292">
        <f>RawDataGenPO[[#This Row],[Total price]]/RawDataGenPO[[#This Row],[Qty'']]</f>
        <v/>
      </c>
      <c r="T773" s="278" t="n">
        <v>22445</v>
      </c>
      <c r="U773" s="291" t="n"/>
      <c r="V773" s="7" t="inlineStr">
        <is>
          <t>V1000743 - Waratep Nongpue</t>
        </is>
      </c>
      <c r="W773" s="30" t="inlineStr">
        <is>
          <t>Recive bill and GRN already</t>
        </is>
      </c>
      <c r="X773" s="5" t="inlineStr">
        <is>
          <t>GRN2425-0006282</t>
        </is>
      </c>
      <c r="Y773" s="3" t="n">
        <v>45666</v>
      </c>
      <c r="Z773" s="3" t="n"/>
      <c r="AA773" s="17">
        <f>IF(RawDataGenPO[[#This Row],[Date Gen PO]]="","",RawDataGenPO[[#This Row],[Date recive bill]]-RawDataGenPO[[#This Row],[Date Gen PO]])</f>
        <v/>
      </c>
      <c r="AB773" s="16">
        <f>IF(RawDataGenPO[[#This Row],[GRN-PO date]]&gt;RawDataGenPO[[#This Row],[Lead time delivery (day)]],"over deliverry","Ontime")</f>
        <v/>
      </c>
      <c r="AC773" s="22" t="n"/>
    </row>
    <row r="774" ht="75" customFormat="1" customHeight="1" s="125">
      <c r="A774" s="5">
        <f>ROW()-ROW(RawDataGenPO[[#Headers],[No.]])</f>
        <v/>
      </c>
      <c r="B774" s="7" t="inlineStr">
        <is>
          <t>Expent  cost</t>
        </is>
      </c>
      <c r="C774" s="301" t="n">
        <v>45637</v>
      </c>
      <c r="D774" s="276" t="n"/>
      <c r="E774" s="276" t="n"/>
      <c r="F774" s="301" t="n">
        <v>45637</v>
      </c>
      <c r="G774" s="5" t="inlineStr">
        <is>
          <t xml:space="preserve">PR2425-04832 </t>
        </is>
      </c>
      <c r="H774" s="5" t="inlineStr">
        <is>
          <t>PO2425-5539</t>
        </is>
      </c>
      <c r="I774" s="290">
        <f>IF(RawDataGenPO[[#This Row],[PO No.]]="","",RawDataGenPO[[#This Row],[DMY Create PR]]+7)</f>
        <v/>
      </c>
      <c r="J774" s="290" t="n"/>
      <c r="K774" s="20" t="n">
        <v>45</v>
      </c>
      <c r="L774" s="5" t="inlineStr">
        <is>
          <t>SFST81000048</t>
        </is>
      </c>
      <c r="M774" s="7" t="inlineStr">
        <is>
          <t>PD Machine</t>
        </is>
      </c>
      <c r="N774" s="7" t="inlineStr">
        <is>
          <t>Vacuum Tumbler center No.2</t>
        </is>
      </c>
      <c r="O774" s="11" t="n">
        <v>2</v>
      </c>
      <c r="P774" s="80" t="inlineStr">
        <is>
          <t>Vacuum nozzle 50x180 090_13_02
- Distance ring 30x5,3
- Roller wheel 200 010_04_01
- Bearing DIN6005 2 ZR
010_04_02</t>
        </is>
      </c>
      <c r="Q774" s="277" t="n">
        <v>1</v>
      </c>
      <c r="R774" s="5" t="inlineStr">
        <is>
          <t>JOB.</t>
        </is>
      </c>
      <c r="S774" s="292">
        <f>RawDataGenPO[[#This Row],[Total price]]/RawDataGenPO[[#This Row],[Qty'']]</f>
        <v/>
      </c>
      <c r="T774" s="278" t="n">
        <v>18200</v>
      </c>
      <c r="U774" s="291" t="n"/>
      <c r="V774" s="7" t="inlineStr">
        <is>
          <t>V1000743 - Waratep Nongpue</t>
        </is>
      </c>
      <c r="W774" s="30" t="inlineStr">
        <is>
          <t>Recive bill and GRN already</t>
        </is>
      </c>
      <c r="X774" s="5" t="inlineStr">
        <is>
          <t>GRN2425-0006282</t>
        </is>
      </c>
      <c r="Y774" s="3" t="n">
        <v>45666</v>
      </c>
      <c r="Z774" s="3" t="n"/>
      <c r="AA774" s="17">
        <f>IF(RawDataGenPO[[#This Row],[Date Gen PO]]="","",RawDataGenPO[[#This Row],[Date recive bill]]-RawDataGenPO[[#This Row],[Date Gen PO]])</f>
        <v/>
      </c>
      <c r="AB774" s="16">
        <f>IF(RawDataGenPO[[#This Row],[GRN-PO date]]&gt;RawDataGenPO[[#This Row],[Lead time delivery (day)]],"over deliverry","Ontime")</f>
        <v/>
      </c>
      <c r="AC774" s="22" t="n"/>
    </row>
    <row r="775" ht="15" customFormat="1" customHeight="1" s="125">
      <c r="A775" s="5">
        <f>ROW()-ROW(RawDataGenPO[[#Headers],[No.]])</f>
        <v/>
      </c>
      <c r="B775" s="7" t="inlineStr">
        <is>
          <t>Expent  cost</t>
        </is>
      </c>
      <c r="C775" s="301" t="n">
        <v>45637</v>
      </c>
      <c r="D775" s="276" t="n"/>
      <c r="E775" s="276" t="n"/>
      <c r="F775" s="301" t="n">
        <v>45637</v>
      </c>
      <c r="G775" s="5" t="inlineStr">
        <is>
          <t xml:space="preserve">PR2425-04832 </t>
        </is>
      </c>
      <c r="H775" s="5" t="inlineStr">
        <is>
          <t>PO2425-5539</t>
        </is>
      </c>
      <c r="I775" s="290">
        <f>IF(RawDataGenPO[[#This Row],[PO No.]]="","",RawDataGenPO[[#This Row],[DMY Create PR]]+7)</f>
        <v/>
      </c>
      <c r="J775" s="290" t="n"/>
      <c r="K775" s="20" t="n">
        <v>45</v>
      </c>
      <c r="L775" s="5" t="inlineStr">
        <is>
          <t>SFST81000048</t>
        </is>
      </c>
      <c r="M775" s="7" t="inlineStr">
        <is>
          <t>PD Machine</t>
        </is>
      </c>
      <c r="N775" s="7" t="inlineStr">
        <is>
          <t>Vacuum Tumbler center No.2</t>
        </is>
      </c>
      <c r="O775" s="11" t="n">
        <v>3</v>
      </c>
      <c r="P775" s="80" t="inlineStr">
        <is>
          <t>Dowfrost 1GAL Article number PPWCDOWF20 (1 GAL=20 KG)</t>
        </is>
      </c>
      <c r="Q775" s="277" t="n">
        <v>1</v>
      </c>
      <c r="R775" s="5" t="inlineStr">
        <is>
          <t>JOB.</t>
        </is>
      </c>
      <c r="S775" s="292">
        <f>RawDataGenPO[[#This Row],[Total price]]/RawDataGenPO[[#This Row],[Qty'']]</f>
        <v/>
      </c>
      <c r="T775" s="278" t="n">
        <v>9000</v>
      </c>
      <c r="U775" s="291" t="n"/>
      <c r="V775" s="7" t="inlineStr">
        <is>
          <t>V1000743 - Waratep Nongpue</t>
        </is>
      </c>
      <c r="W775" s="30" t="inlineStr">
        <is>
          <t>Recive bill and GRN already</t>
        </is>
      </c>
      <c r="X775" s="5" t="inlineStr">
        <is>
          <t>GRN2425-0006282</t>
        </is>
      </c>
      <c r="Y775" s="3" t="n">
        <v>45666</v>
      </c>
      <c r="Z775" s="3" t="n"/>
      <c r="AA775" s="17">
        <f>IF(RawDataGenPO[[#This Row],[Date Gen PO]]="","",RawDataGenPO[[#This Row],[Date recive bill]]-RawDataGenPO[[#This Row],[Date Gen PO]])</f>
        <v/>
      </c>
      <c r="AB775" s="16">
        <f>IF(RawDataGenPO[[#This Row],[GRN-PO date]]&gt;RawDataGenPO[[#This Row],[Lead time delivery (day)]],"over deliverry","Ontime")</f>
        <v/>
      </c>
      <c r="AC775" s="22" t="n"/>
    </row>
    <row r="776" ht="30" customFormat="1" customHeight="1" s="125">
      <c r="A776" s="5">
        <f>ROW()-ROW(RawDataGenPO[[#Headers],[No.]])</f>
        <v/>
      </c>
      <c r="B776" s="7" t="inlineStr">
        <is>
          <t>Expent  cost</t>
        </is>
      </c>
      <c r="C776" s="301" t="n">
        <v>45637</v>
      </c>
      <c r="D776" s="276" t="n"/>
      <c r="E776" s="276" t="n"/>
      <c r="F776" s="301" t="n">
        <v>45637</v>
      </c>
      <c r="G776" s="5" t="inlineStr">
        <is>
          <t xml:space="preserve">PR2425-04832 </t>
        </is>
      </c>
      <c r="H776" s="5" t="inlineStr">
        <is>
          <t>PO2425-5539</t>
        </is>
      </c>
      <c r="I776" s="290">
        <f>IF(RawDataGenPO[[#This Row],[PO No.]]="","",RawDataGenPO[[#This Row],[DMY Create PR]]+7)</f>
        <v/>
      </c>
      <c r="J776" s="290" t="n"/>
      <c r="K776" s="20" t="n">
        <v>45</v>
      </c>
      <c r="L776" s="5" t="inlineStr">
        <is>
          <t>SFST81000048</t>
        </is>
      </c>
      <c r="M776" s="7" t="inlineStr">
        <is>
          <t>PD Machine</t>
        </is>
      </c>
      <c r="N776" s="7" t="inlineStr">
        <is>
          <t>Vacuum Tumbler center No.2</t>
        </is>
      </c>
      <c r="O776" s="11" t="n">
        <v>4</v>
      </c>
      <c r="P776" s="80" t="inlineStr">
        <is>
          <t>Overhaul Vacuum pump DR VACUUM V0040C
- detailsas per attached quotation</t>
        </is>
      </c>
      <c r="Q776" s="277" t="n">
        <v>1</v>
      </c>
      <c r="R776" s="5" t="inlineStr">
        <is>
          <t>JOB.</t>
        </is>
      </c>
      <c r="S776" s="292">
        <f>RawDataGenPO[[#This Row],[Total price]]/RawDataGenPO[[#This Row],[Qty'']]</f>
        <v/>
      </c>
      <c r="T776" s="278" t="n">
        <v>28400</v>
      </c>
      <c r="U776" s="291" t="n"/>
      <c r="V776" s="7" t="inlineStr">
        <is>
          <t>V1000743 - Waratep Nongpue</t>
        </is>
      </c>
      <c r="W776" s="30" t="inlineStr">
        <is>
          <t>Recive bill and GRN already</t>
        </is>
      </c>
      <c r="X776" s="5" t="inlineStr">
        <is>
          <t>GRN2425-0006282</t>
        </is>
      </c>
      <c r="Y776" s="3" t="n">
        <v>45666</v>
      </c>
      <c r="Z776" s="3" t="n"/>
      <c r="AA776" s="17">
        <f>IF(RawDataGenPO[[#This Row],[Date Gen PO]]="","",RawDataGenPO[[#This Row],[Date recive bill]]-RawDataGenPO[[#This Row],[Date Gen PO]])</f>
        <v/>
      </c>
      <c r="AB776" s="16">
        <f>IF(RawDataGenPO[[#This Row],[GRN-PO date]]&gt;RawDataGenPO[[#This Row],[Lead time delivery (day)]],"over deliverry","Ontime")</f>
        <v/>
      </c>
      <c r="AC776" s="22" t="n"/>
    </row>
    <row r="777" ht="15" customFormat="1" customHeight="1" s="125">
      <c r="A777" s="5">
        <f>ROW()-ROW(RawDataGenPO[[#Headers],[No.]])</f>
        <v/>
      </c>
      <c r="B777" s="7" t="inlineStr">
        <is>
          <t>Expent  cost</t>
        </is>
      </c>
      <c r="C777" s="301" t="n">
        <v>45637</v>
      </c>
      <c r="D777" s="276" t="n"/>
      <c r="E777" s="276" t="n"/>
      <c r="F777" s="301" t="n">
        <v>45637</v>
      </c>
      <c r="G777" s="5" t="inlineStr">
        <is>
          <t xml:space="preserve">PR2425-04832 </t>
        </is>
      </c>
      <c r="H777" s="5" t="inlineStr">
        <is>
          <t>PO2425-5539</t>
        </is>
      </c>
      <c r="I777" s="290">
        <f>IF(RawDataGenPO[[#This Row],[PO No.]]="","",RawDataGenPO[[#This Row],[DMY Create PR]]+7)</f>
        <v/>
      </c>
      <c r="J777" s="290" t="n"/>
      <c r="K777" s="20" t="n">
        <v>45</v>
      </c>
      <c r="L777" s="5" t="inlineStr">
        <is>
          <t>SFST81000048</t>
        </is>
      </c>
      <c r="M777" s="7" t="inlineStr">
        <is>
          <t>PD Machine</t>
        </is>
      </c>
      <c r="N777" s="7" t="inlineStr">
        <is>
          <t>Vacuum Tumbler center No.2</t>
        </is>
      </c>
      <c r="O777" s="11" t="n">
        <v>5</v>
      </c>
      <c r="P777" s="80" t="inlineStr">
        <is>
          <t>Service charge checked and Install</t>
        </is>
      </c>
      <c r="Q777" s="277" t="n">
        <v>1</v>
      </c>
      <c r="R777" s="5" t="inlineStr">
        <is>
          <t>JOB.</t>
        </is>
      </c>
      <c r="S777" s="292">
        <f>RawDataGenPO[[#This Row],[Total price]]/RawDataGenPO[[#This Row],[Qty'']]</f>
        <v/>
      </c>
      <c r="T777" s="278" t="n">
        <v>3500</v>
      </c>
      <c r="U777" s="291" t="n"/>
      <c r="V777" s="7" t="inlineStr">
        <is>
          <t>V1000743 - Waratep Nongpue</t>
        </is>
      </c>
      <c r="W777" s="30" t="inlineStr">
        <is>
          <t>Recive bill and GRN already</t>
        </is>
      </c>
      <c r="X777" s="5" t="inlineStr">
        <is>
          <t>GRN2425-0006282</t>
        </is>
      </c>
      <c r="Y777" s="3" t="n">
        <v>45666</v>
      </c>
      <c r="Z777" s="3" t="n"/>
      <c r="AA777" s="17">
        <f>IF(RawDataGenPO[[#This Row],[Date Gen PO]]="","",RawDataGenPO[[#This Row],[Date recive bill]]-RawDataGenPO[[#This Row],[Date Gen PO]])</f>
        <v/>
      </c>
      <c r="AB777" s="16">
        <f>IF(RawDataGenPO[[#This Row],[GRN-PO date]]&gt;RawDataGenPO[[#This Row],[Lead time delivery (day)]],"over deliverry","Ontime")</f>
        <v/>
      </c>
      <c r="AC777" s="22" t="n"/>
    </row>
    <row r="778" ht="75" customFormat="1" customHeight="1" s="125">
      <c r="A778" s="5">
        <f>ROW()-ROW(RawDataGenPO[[#Headers],[No.]])</f>
        <v/>
      </c>
      <c r="B778" s="7" t="inlineStr">
        <is>
          <t>Expent  cost</t>
        </is>
      </c>
      <c r="C778" s="301" t="n">
        <v>45639</v>
      </c>
      <c r="D778" s="276" t="n"/>
      <c r="E778" s="276" t="n"/>
      <c r="F778" s="301" t="n">
        <v>45639</v>
      </c>
      <c r="G778" s="5" t="inlineStr">
        <is>
          <t xml:space="preserve">PR2425-04875 </t>
        </is>
      </c>
      <c r="H778" s="5" t="inlineStr">
        <is>
          <t>PO2425-5423</t>
        </is>
      </c>
      <c r="I778" s="290">
        <f>IF(RawDataGenPO[[#This Row],[PO No.]]="","",RawDataGenPO[[#This Row],[DMY Create PR]]+7)</f>
        <v/>
      </c>
      <c r="J778" s="290" t="n"/>
      <c r="K778" s="20">
        <f>IF(RawDataGenPO[[#This Row],[PO No.]]="","",10)</f>
        <v/>
      </c>
      <c r="L778" s="5" t="inlineStr">
        <is>
          <t>SFST81000009</t>
        </is>
      </c>
      <c r="M778" s="7" t="inlineStr">
        <is>
          <t>PD Machine</t>
        </is>
      </c>
      <c r="N778" s="7" t="inlineStr">
        <is>
          <t>Mini flame Grill  Machine No.1</t>
        </is>
      </c>
      <c r="O778" s="11" t="n">
        <v>1</v>
      </c>
      <c r="P778" s="80" t="inlineStr">
        <is>
          <t>"PILOT" PISTON VALVE SINGLE ACTING
BODY: SS-316 N.C SCREWED BSPT 3/4"
MAX TEMP: 180 C
P/N: 2K200-20 (HEAD:PP)(L=93M.M) CONTROL PRESSURE 5 TO 10
BAR, MAX PRESSURE 16 BAR</t>
        </is>
      </c>
      <c r="Q778" s="277" t="n">
        <v>1</v>
      </c>
      <c r="R778" s="5" t="inlineStr">
        <is>
          <t>PCS.</t>
        </is>
      </c>
      <c r="S778" s="292">
        <f>RawDataGenPO[[#This Row],[Total price]]/RawDataGenPO[[#This Row],[Qty'']]</f>
        <v/>
      </c>
      <c r="T778" s="278" t="n">
        <v>4400</v>
      </c>
      <c r="U778" s="291" t="n"/>
      <c r="V778" s="7" t="inlineStr">
        <is>
          <t xml:space="preserve"> V1000655 - SRM ENGINEERING 1991 CO., LTD.</t>
        </is>
      </c>
      <c r="W778" s="30" t="inlineStr">
        <is>
          <t>Recive bill and GRN already</t>
        </is>
      </c>
      <c r="X778" s="5" t="n"/>
      <c r="Y778" s="3" t="n">
        <v>45649</v>
      </c>
      <c r="Z778" s="3" t="n"/>
      <c r="AA778" s="17">
        <f>IF(RawDataGenPO[[#This Row],[Date Gen PO]]="","",RawDataGenPO[[#This Row],[Date recive bill]]-RawDataGenPO[[#This Row],[Date Gen PO]])</f>
        <v/>
      </c>
      <c r="AB778" s="16">
        <f>IF(RawDataGenPO[[#This Row],[GRN-PO date]]&gt;RawDataGenPO[[#This Row],[Lead time delivery (day)]],"over deliverry","Ontime")</f>
        <v/>
      </c>
      <c r="AC778" s="22" t="n"/>
    </row>
    <row r="779" ht="15" customFormat="1" customHeight="1" s="125">
      <c r="A779" s="5">
        <f>ROW()-ROW(RawDataGenPO[[#Headers],[No.]])</f>
        <v/>
      </c>
      <c r="B779" s="7" t="inlineStr">
        <is>
          <t>Expent  cost</t>
        </is>
      </c>
      <c r="C779" s="301" t="n">
        <v>45639</v>
      </c>
      <c r="D779" s="276" t="n"/>
      <c r="E779" s="276" t="n"/>
      <c r="F779" s="301" t="n">
        <v>45639</v>
      </c>
      <c r="G779" s="5" t="inlineStr">
        <is>
          <t>PR2425-04877</t>
        </is>
      </c>
      <c r="H779" s="5" t="inlineStr">
        <is>
          <t>PO2425-05422</t>
        </is>
      </c>
      <c r="I779" s="290">
        <f>IF(RawDataGenPO[[#This Row],[PO No.]]="","",RawDataGenPO[[#This Row],[DMY Create PR]]+7)</f>
        <v/>
      </c>
      <c r="J779" s="290" t="n"/>
      <c r="K779" s="20" t="n">
        <v>45</v>
      </c>
      <c r="L779" s="5" t="inlineStr">
        <is>
          <t>SFST34000174</t>
        </is>
      </c>
      <c r="M779" s="7" t="inlineStr">
        <is>
          <t>Consumable part for MN</t>
        </is>
      </c>
      <c r="N779" s="7" t="inlineStr">
        <is>
          <t>Consumable part</t>
        </is>
      </c>
      <c r="O779" s="11" t="n">
        <v>1</v>
      </c>
      <c r="P779" s="80" t="inlineStr">
        <is>
          <t>PP melt blown cartridge Filter, 10", 5 Micron</t>
        </is>
      </c>
      <c r="Q779" s="277" t="n">
        <v>48</v>
      </c>
      <c r="R779" s="5" t="inlineStr">
        <is>
          <t>PCS.</t>
        </is>
      </c>
      <c r="S779" s="292">
        <f>RawDataGenPO[[#This Row],[Total price]]/RawDataGenPO[[#This Row],[Qty'']]</f>
        <v/>
      </c>
      <c r="T779" s="278" t="n">
        <v>1749.6</v>
      </c>
      <c r="U779" s="291" t="n"/>
      <c r="V779" s="7" t="inlineStr">
        <is>
          <t>V1000450 - Company O.K. Filter Trading Ltd.</t>
        </is>
      </c>
      <c r="W779" s="30" t="inlineStr">
        <is>
          <t>Recive bill and GRN already</t>
        </is>
      </c>
      <c r="X779" s="5" t="inlineStr">
        <is>
          <t>GRN2425-0006608</t>
        </is>
      </c>
      <c r="Y779" s="3" t="n">
        <v>45679</v>
      </c>
      <c r="Z779" s="3" t="n"/>
      <c r="AA779" s="17">
        <f>IF(RawDataGenPO[[#This Row],[Date Gen PO]]="","",RawDataGenPO[[#This Row],[Date recive bill]]-RawDataGenPO[[#This Row],[Date Gen PO]])</f>
        <v/>
      </c>
      <c r="AB779" s="16">
        <f>IF(RawDataGenPO[[#This Row],[GRN-PO date]]&gt;RawDataGenPO[[#This Row],[Lead time delivery (day)]],"over deliverry","Ontime")</f>
        <v/>
      </c>
      <c r="AC779" s="22" t="n"/>
    </row>
    <row r="780" ht="15" customFormat="1" customHeight="1" s="125">
      <c r="A780" s="5">
        <f>ROW()-ROW(RawDataGenPO[[#Headers],[No.]])</f>
        <v/>
      </c>
      <c r="B780" s="7" t="inlineStr">
        <is>
          <t>Expent  cost</t>
        </is>
      </c>
      <c r="C780" s="301" t="n">
        <v>45639</v>
      </c>
      <c r="D780" s="276" t="n"/>
      <c r="E780" s="276" t="n"/>
      <c r="F780" s="301" t="n">
        <v>45639</v>
      </c>
      <c r="G780" s="5" t="inlineStr">
        <is>
          <t>PR2425-04877</t>
        </is>
      </c>
      <c r="H780" s="5" t="inlineStr">
        <is>
          <t>PO2425-05422</t>
        </is>
      </c>
      <c r="I780" s="290">
        <f>IF(RawDataGenPO[[#This Row],[PO No.]]="","",RawDataGenPO[[#This Row],[DMY Create PR]]+7)</f>
        <v/>
      </c>
      <c r="J780" s="290" t="n"/>
      <c r="K780" s="20" t="n">
        <v>45</v>
      </c>
      <c r="L780" s="5" t="inlineStr">
        <is>
          <t>SFST34000175</t>
        </is>
      </c>
      <c r="M780" s="7" t="inlineStr">
        <is>
          <t>Consumable part for MN</t>
        </is>
      </c>
      <c r="N780" s="7" t="inlineStr">
        <is>
          <t>Consumable part</t>
        </is>
      </c>
      <c r="O780" s="11" t="n">
        <v>2</v>
      </c>
      <c r="P780" s="80" t="inlineStr">
        <is>
          <t>PP melt blown cartridge Filter, 20", 5 Micron</t>
        </is>
      </c>
      <c r="Q780" s="277" t="n">
        <v>20</v>
      </c>
      <c r="R780" s="5" t="inlineStr">
        <is>
          <t>PCS.</t>
        </is>
      </c>
      <c r="S780" s="292">
        <f>RawDataGenPO[[#This Row],[Total price]]/RawDataGenPO[[#This Row],[Qty'']]</f>
        <v/>
      </c>
      <c r="T780" s="278" t="n">
        <v>1401.8</v>
      </c>
      <c r="U780" s="291" t="n"/>
      <c r="V780" s="7" t="inlineStr">
        <is>
          <t>V1000450 - Company O.K. Filter Trading Ltd.</t>
        </is>
      </c>
      <c r="W780" s="30" t="inlineStr">
        <is>
          <t>Recive bill and GRN already</t>
        </is>
      </c>
      <c r="X780" s="5" t="inlineStr">
        <is>
          <t>GRN2425-0006608</t>
        </is>
      </c>
      <c r="Y780" s="3" t="n">
        <v>45679</v>
      </c>
      <c r="Z780" s="3" t="n"/>
      <c r="AA780" s="17">
        <f>IF(RawDataGenPO[[#This Row],[Date Gen PO]]="","",RawDataGenPO[[#This Row],[Date recive bill]]-RawDataGenPO[[#This Row],[Date Gen PO]])</f>
        <v/>
      </c>
      <c r="AB780" s="16">
        <f>IF(RawDataGenPO[[#This Row],[GRN-PO date]]&gt;RawDataGenPO[[#This Row],[Lead time delivery (day)]],"over deliverry","Ontime")</f>
        <v/>
      </c>
      <c r="AC780" s="22" t="n"/>
    </row>
    <row r="781" ht="15" customFormat="1" customHeight="1" s="125">
      <c r="A781" s="5">
        <f>ROW()-ROW(RawDataGenPO[[#Headers],[No.]])</f>
        <v/>
      </c>
      <c r="B781" s="7" t="inlineStr">
        <is>
          <t>Expent  cost</t>
        </is>
      </c>
      <c r="C781" s="301" t="n">
        <v>45639</v>
      </c>
      <c r="D781" s="276" t="n"/>
      <c r="E781" s="276" t="n"/>
      <c r="F781" s="301" t="n">
        <v>45639</v>
      </c>
      <c r="G781" s="5" t="inlineStr">
        <is>
          <t>PR2425-04879</t>
        </is>
      </c>
      <c r="H781" s="5" t="inlineStr">
        <is>
          <t>PO2425-05425</t>
        </is>
      </c>
      <c r="I781" s="290">
        <f>IF(RawDataGenPO[[#This Row],[PO No.]]="","",RawDataGenPO[[#This Row],[DMY Create PR]]+7)</f>
        <v/>
      </c>
      <c r="J781" s="290" t="n"/>
      <c r="K781" s="20" t="n">
        <v>45</v>
      </c>
      <c r="L781" s="5" t="inlineStr">
        <is>
          <t>SFST34000046</t>
        </is>
      </c>
      <c r="M781" s="7" t="inlineStr">
        <is>
          <t>Consumable part for MN</t>
        </is>
      </c>
      <c r="N781" s="7" t="inlineStr">
        <is>
          <t>Tool and Equipment</t>
        </is>
      </c>
      <c r="O781" s="11" t="n">
        <v>1</v>
      </c>
      <c r="P781" s="80" t="inlineStr">
        <is>
          <t>"Philips", TCW099, 2x36w,lamp waterproof dustproof rainproof 36w</t>
        </is>
      </c>
      <c r="Q781" s="277" t="n">
        <v>20</v>
      </c>
      <c r="R781" s="5" t="inlineStr">
        <is>
          <t>PCS.</t>
        </is>
      </c>
      <c r="S781" s="292">
        <f>RawDataGenPO[[#This Row],[Total price]]/RawDataGenPO[[#This Row],[Qty'']]</f>
        <v/>
      </c>
      <c r="T781" s="278" t="n">
        <v>34000</v>
      </c>
      <c r="U781" s="291" t="n"/>
      <c r="V781" s="7" t="inlineStr">
        <is>
          <t>V1000259 - JJP SUPPLY CO., LTD</t>
        </is>
      </c>
      <c r="W781" s="30" t="inlineStr">
        <is>
          <t>Recive bill and GRN already</t>
        </is>
      </c>
      <c r="X781" s="5" t="inlineStr">
        <is>
          <t>GRN2425-0006534</t>
        </is>
      </c>
      <c r="Y781" s="3" t="n">
        <v>45674</v>
      </c>
      <c r="Z781" s="3" t="n"/>
      <c r="AA781" s="17">
        <f>IF(RawDataGenPO[[#This Row],[Date Gen PO]]="","",RawDataGenPO[[#This Row],[Date recive bill]]-RawDataGenPO[[#This Row],[Date Gen PO]])</f>
        <v/>
      </c>
      <c r="AB781" s="16">
        <f>IF(RawDataGenPO[[#This Row],[GRN-PO date]]&gt;RawDataGenPO[[#This Row],[Lead time delivery (day)]],"over deliverry","Ontime")</f>
        <v/>
      </c>
      <c r="AC781" s="22" t="n"/>
    </row>
    <row r="782" ht="15" customFormat="1" customHeight="1" s="125">
      <c r="A782" s="5">
        <f>ROW()-ROW(RawDataGenPO[[#Headers],[No.]])</f>
        <v/>
      </c>
      <c r="B782" s="7" t="inlineStr">
        <is>
          <t>Expent  cost</t>
        </is>
      </c>
      <c r="C782" s="301" t="n">
        <v>45639</v>
      </c>
      <c r="D782" s="276" t="n"/>
      <c r="E782" s="276" t="n"/>
      <c r="F782" s="301" t="n">
        <v>45639</v>
      </c>
      <c r="G782" s="5" t="inlineStr">
        <is>
          <t>PR2425-04879</t>
        </is>
      </c>
      <c r="H782" s="5" t="inlineStr">
        <is>
          <t>PO2425-05427</t>
        </is>
      </c>
      <c r="I782" s="290">
        <f>IF(RawDataGenPO[[#This Row],[PO No.]]="","",RawDataGenPO[[#This Row],[DMY Create PR]]+7)</f>
        <v/>
      </c>
      <c r="J782" s="290" t="n"/>
      <c r="K782" s="20" t="n">
        <v>45</v>
      </c>
      <c r="L782" s="5" t="inlineStr">
        <is>
          <t>SFST34000047</t>
        </is>
      </c>
      <c r="M782" s="7" t="inlineStr">
        <is>
          <t>Consumable part for MN</t>
        </is>
      </c>
      <c r="N782" s="7" t="inlineStr">
        <is>
          <t>Electrical jobs</t>
        </is>
      </c>
      <c r="O782" s="11" t="n">
        <v>2</v>
      </c>
      <c r="P782" s="80" t="inlineStr">
        <is>
          <t>"Philips" model WT069C,light fixture T8 LED waterproof dustproof rainproof</t>
        </is>
      </c>
      <c r="Q782" s="277" t="n">
        <v>15</v>
      </c>
      <c r="R782" s="5" t="inlineStr">
        <is>
          <t>PCS.</t>
        </is>
      </c>
      <c r="S782" s="292">
        <f>RawDataGenPO[[#This Row],[Total price]]/RawDataGenPO[[#This Row],[Qty'']]</f>
        <v/>
      </c>
      <c r="T782" s="278" t="n">
        <v>10920</v>
      </c>
      <c r="U782" s="291" t="n"/>
      <c r="V782" s="7" t="inlineStr">
        <is>
          <t>V1000729 - BN SUPPLY 1991 CO., LTD.</t>
        </is>
      </c>
      <c r="W782" s="30" t="inlineStr">
        <is>
          <t>Recive bill and GRN already</t>
        </is>
      </c>
      <c r="X782" s="5" t="inlineStr">
        <is>
          <t>GRN2425-0006089</t>
        </is>
      </c>
      <c r="Y782" s="3" t="n">
        <v>45659</v>
      </c>
      <c r="Z782" s="3" t="n"/>
      <c r="AA782" s="17">
        <f>IF(RawDataGenPO[[#This Row],[Date Gen PO]]="","",RawDataGenPO[[#This Row],[Date recive bill]]-RawDataGenPO[[#This Row],[Date Gen PO]])</f>
        <v/>
      </c>
      <c r="AB782" s="16">
        <f>IF(RawDataGenPO[[#This Row],[GRN-PO date]]&gt;RawDataGenPO[[#This Row],[Lead time delivery (day)]],"over deliverry","Ontime")</f>
        <v/>
      </c>
      <c r="AC782" s="22" t="n"/>
    </row>
    <row r="783" ht="15" customFormat="1" customHeight="1" s="125">
      <c r="A783" s="5">
        <f>ROW()-ROW(RawDataGenPO[[#Headers],[No.]])</f>
        <v/>
      </c>
      <c r="B783" s="7" t="inlineStr">
        <is>
          <t>Expent  cost</t>
        </is>
      </c>
      <c r="C783" s="301" t="n">
        <v>45639</v>
      </c>
      <c r="D783" s="276" t="n"/>
      <c r="E783" s="276" t="n"/>
      <c r="F783" s="301" t="n">
        <v>45639</v>
      </c>
      <c r="G783" s="5" t="inlineStr">
        <is>
          <t>PR2425-04879</t>
        </is>
      </c>
      <c r="H783" s="5" t="inlineStr">
        <is>
          <t>PO2425-05436</t>
        </is>
      </c>
      <c r="I783" s="290">
        <f>IF(RawDataGenPO[[#This Row],[PO No.]]="","",RawDataGenPO[[#This Row],[DMY Create PR]]+7)</f>
        <v/>
      </c>
      <c r="J783" s="290" t="n"/>
      <c r="K783" s="20" t="n">
        <v>45</v>
      </c>
      <c r="L783" s="5" t="inlineStr">
        <is>
          <t>SFST81000050</t>
        </is>
      </c>
      <c r="M783" s="7" t="inlineStr">
        <is>
          <t>Electrical system in PD area</t>
        </is>
      </c>
      <c r="N783" s="7" t="inlineStr">
        <is>
          <t>Electrical part</t>
        </is>
      </c>
      <c r="O783" s="11" t="n">
        <v>3</v>
      </c>
      <c r="P783" s="80" t="inlineStr">
        <is>
          <t>Temp Control "Omron" E5CC - RX2ASM-800</t>
        </is>
      </c>
      <c r="Q783" s="277" t="n">
        <v>6</v>
      </c>
      <c r="R783" s="5" t="inlineStr">
        <is>
          <t>PCS.</t>
        </is>
      </c>
      <c r="S783" s="292">
        <f>RawDataGenPO[[#This Row],[Total price]]/RawDataGenPO[[#This Row],[Qty'']]</f>
        <v/>
      </c>
      <c r="T783" s="278" t="n">
        <v>13824</v>
      </c>
      <c r="U783" s="291" t="n"/>
      <c r="V783" s="7" t="inlineStr">
        <is>
          <t>V1000310 - BOONBAWORN ENGINEERING CO., LTD</t>
        </is>
      </c>
      <c r="W783" s="30" t="inlineStr">
        <is>
          <t>Recive bill and GRN already</t>
        </is>
      </c>
      <c r="X783" s="5" t="inlineStr">
        <is>
          <t>GRN2425-0006317</t>
        </is>
      </c>
      <c r="Y783" s="3" t="n">
        <v>45666</v>
      </c>
      <c r="Z783" s="3" t="n"/>
      <c r="AA783" s="17">
        <f>IF(RawDataGenPO[[#This Row],[Date Gen PO]]="","",RawDataGenPO[[#This Row],[Date recive bill]]-RawDataGenPO[[#This Row],[Date Gen PO]])</f>
        <v/>
      </c>
      <c r="AB783" s="16">
        <f>IF(RawDataGenPO[[#This Row],[GRN-PO date]]&gt;RawDataGenPO[[#This Row],[Lead time delivery (day)]],"over deliverry","Ontime")</f>
        <v/>
      </c>
      <c r="AC783" s="22" t="n"/>
    </row>
    <row r="784" ht="15" customFormat="1" customHeight="1" s="125">
      <c r="A784" s="5">
        <f>ROW()-ROW(RawDataGenPO[[#Headers],[No.]])</f>
        <v/>
      </c>
      <c r="B784" s="7" t="inlineStr">
        <is>
          <t>Expent  cost</t>
        </is>
      </c>
      <c r="C784" s="301" t="n">
        <v>45639</v>
      </c>
      <c r="D784" s="276" t="n"/>
      <c r="E784" s="276" t="n"/>
      <c r="F784" s="301" t="n">
        <v>45639</v>
      </c>
      <c r="G784" s="5" t="inlineStr">
        <is>
          <t>PR2425-04879</t>
        </is>
      </c>
      <c r="H784" s="5" t="inlineStr">
        <is>
          <t>PO2425-05436</t>
        </is>
      </c>
      <c r="I784" s="290">
        <f>IF(RawDataGenPO[[#This Row],[PO No.]]="","",RawDataGenPO[[#This Row],[DMY Create PR]]+7)</f>
        <v/>
      </c>
      <c r="J784" s="290" t="n"/>
      <c r="K784" s="20" t="n">
        <v>45</v>
      </c>
      <c r="L784" s="5" t="inlineStr">
        <is>
          <t>SFST34000037</t>
        </is>
      </c>
      <c r="M784" s="7" t="inlineStr">
        <is>
          <t>Consumable part for MN</t>
        </is>
      </c>
      <c r="N784" s="7" t="inlineStr">
        <is>
          <t>Tool and Equipment</t>
        </is>
      </c>
      <c r="O784" s="11" t="n">
        <v>4</v>
      </c>
      <c r="P784" s="80" t="inlineStr">
        <is>
          <t>"Erina", model 2510C, 1 Pole 25,A ,22oVAC, magnetic contactor</t>
        </is>
      </c>
      <c r="Q784" s="277" t="n">
        <v>5</v>
      </c>
      <c r="R784" s="5" t="inlineStr">
        <is>
          <t>PCS.</t>
        </is>
      </c>
      <c r="S784" s="292">
        <f>RawDataGenPO[[#This Row],[Total price]]/RawDataGenPO[[#This Row],[Qty'']]</f>
        <v/>
      </c>
      <c r="T784" s="278" t="n">
        <v>1200</v>
      </c>
      <c r="U784" s="291" t="n"/>
      <c r="V784" s="7" t="inlineStr">
        <is>
          <t>V1000310 - BOONBAWORN ENGINEERING CO., LTD</t>
        </is>
      </c>
      <c r="W784" s="30" t="inlineStr">
        <is>
          <t>Recive bill and GRN already</t>
        </is>
      </c>
      <c r="X784" s="5" t="inlineStr">
        <is>
          <t>GRN2425-0006317</t>
        </is>
      </c>
      <c r="Y784" s="3" t="n">
        <v>45666</v>
      </c>
      <c r="Z784" s="3" t="n"/>
      <c r="AA784" s="17">
        <f>IF(RawDataGenPO[[#This Row],[Date Gen PO]]="","",RawDataGenPO[[#This Row],[Date recive bill]]-RawDataGenPO[[#This Row],[Date Gen PO]])</f>
        <v/>
      </c>
      <c r="AB784" s="16">
        <f>IF(RawDataGenPO[[#This Row],[GRN-PO date]]&gt;RawDataGenPO[[#This Row],[Lead time delivery (day)]],"over deliverry","Ontime")</f>
        <v/>
      </c>
      <c r="AC784" s="22" t="n"/>
    </row>
    <row r="785" ht="15" customFormat="1" customHeight="1" s="125">
      <c r="A785" s="5">
        <f>ROW()-ROW(RawDataGenPO[[#Headers],[No.]])</f>
        <v/>
      </c>
      <c r="B785" s="7" t="inlineStr">
        <is>
          <t>Expent  cost</t>
        </is>
      </c>
      <c r="C785" s="301" t="n">
        <v>45639</v>
      </c>
      <c r="D785" s="276" t="n"/>
      <c r="E785" s="276" t="n"/>
      <c r="F785" s="301" t="n">
        <v>45639</v>
      </c>
      <c r="G785" s="5" t="inlineStr">
        <is>
          <t xml:space="preserve">PR2425-04882 </t>
        </is>
      </c>
      <c r="H785" s="5" t="inlineStr">
        <is>
          <t>PO2425-05424</t>
        </is>
      </c>
      <c r="I785" s="290">
        <f>IF(RawDataGenPO[[#This Row],[PO No.]]="","",RawDataGenPO[[#This Row],[DMY Create PR]]+7)</f>
        <v/>
      </c>
      <c r="J785" s="290" t="n"/>
      <c r="K785" s="20" t="n">
        <v>45</v>
      </c>
      <c r="L785" s="5" t="inlineStr">
        <is>
          <t>SFST81000009</t>
        </is>
      </c>
      <c r="M785" s="7" t="inlineStr">
        <is>
          <t>Cooling machine for PD line</t>
        </is>
      </c>
      <c r="N785" s="7" t="inlineStr">
        <is>
          <t>Cooling  part</t>
        </is>
      </c>
      <c r="O785" s="11" t="n">
        <v>1</v>
      </c>
      <c r="P785" s="80" t="inlineStr">
        <is>
          <t>Suction Filter Header 2-5/8" STAS-9621</t>
        </is>
      </c>
      <c r="Q785" s="277" t="n">
        <v>1</v>
      </c>
      <c r="R785" s="5" t="inlineStr">
        <is>
          <t>JOB.</t>
        </is>
      </c>
      <c r="S785" s="292">
        <f>RawDataGenPO[[#This Row],[Total price]]/RawDataGenPO[[#This Row],[Qty'']]</f>
        <v/>
      </c>
      <c r="T785" s="278" t="n">
        <v>7500</v>
      </c>
      <c r="U785" s="291" t="n"/>
      <c r="V785" s="7" t="inlineStr">
        <is>
          <t>V1000554 - SHANTECH (THAILAND) CO.,LTD.</t>
        </is>
      </c>
      <c r="W785" s="30" t="inlineStr">
        <is>
          <t>Recive bill and GRN already</t>
        </is>
      </c>
      <c r="X785" s="5" t="inlineStr">
        <is>
          <t>GRN2425-0006320</t>
        </is>
      </c>
      <c r="Y785" s="3" t="n">
        <v>45666</v>
      </c>
      <c r="Z785" s="3" t="n"/>
      <c r="AA785" s="17">
        <f>IF(RawDataGenPO[[#This Row],[Date Gen PO]]="","",RawDataGenPO[[#This Row],[Date recive bill]]-RawDataGenPO[[#This Row],[Date Gen PO]])</f>
        <v/>
      </c>
      <c r="AB785" s="16">
        <f>IF(RawDataGenPO[[#This Row],[GRN-PO date]]&gt;RawDataGenPO[[#This Row],[Lead time delivery (day)]],"over deliverry","Ontime")</f>
        <v/>
      </c>
      <c r="AC785" s="22" t="n"/>
    </row>
    <row r="786" ht="15" customFormat="1" customHeight="1" s="125">
      <c r="A786" s="5">
        <f>ROW()-ROW(RawDataGenPO[[#Headers],[No.]])</f>
        <v/>
      </c>
      <c r="B786" s="7" t="inlineStr">
        <is>
          <t>Expent  cost</t>
        </is>
      </c>
      <c r="C786" s="301" t="n">
        <v>45639</v>
      </c>
      <c r="D786" s="276" t="n"/>
      <c r="E786" s="276" t="n"/>
      <c r="F786" s="301" t="n">
        <v>45639</v>
      </c>
      <c r="G786" s="5" t="inlineStr">
        <is>
          <t xml:space="preserve">PR2425-04882 </t>
        </is>
      </c>
      <c r="H786" s="5" t="inlineStr">
        <is>
          <t>PO2425-05424</t>
        </is>
      </c>
      <c r="I786" s="290">
        <f>IF(RawDataGenPO[[#This Row],[PO No.]]="","",RawDataGenPO[[#This Row],[DMY Create PR]]+7)</f>
        <v/>
      </c>
      <c r="J786" s="290" t="n"/>
      <c r="K786" s="20" t="n">
        <v>45</v>
      </c>
      <c r="L786" s="5" t="inlineStr">
        <is>
          <t>SFST81000009</t>
        </is>
      </c>
      <c r="M786" s="7" t="inlineStr">
        <is>
          <t>Cooling machine for PD line</t>
        </is>
      </c>
      <c r="N786" s="7" t="inlineStr">
        <is>
          <t>Cooling  part</t>
        </is>
      </c>
      <c r="O786" s="11" t="n">
        <v>2</v>
      </c>
      <c r="P786" s="80" t="inlineStr">
        <is>
          <t>Drier Core: F-48 for Suction Header</t>
        </is>
      </c>
      <c r="Q786" s="277" t="n">
        <v>2</v>
      </c>
      <c r="R786" s="5" t="inlineStr">
        <is>
          <t>JOB.</t>
        </is>
      </c>
      <c r="S786" s="292">
        <f>RawDataGenPO[[#This Row],[Total price]]/RawDataGenPO[[#This Row],[Qty'']]</f>
        <v/>
      </c>
      <c r="T786" s="278" t="n">
        <v>2400</v>
      </c>
      <c r="U786" s="291" t="n"/>
      <c r="V786" s="7" t="inlineStr">
        <is>
          <t>V1000554 - SHANTECH (THAILAND) CO.,LTD.</t>
        </is>
      </c>
      <c r="W786" s="30" t="inlineStr">
        <is>
          <t>Recive bill and GRN already</t>
        </is>
      </c>
      <c r="X786" s="5" t="inlineStr">
        <is>
          <t>GRN2425-0006320</t>
        </is>
      </c>
      <c r="Y786" s="3" t="n">
        <v>45666</v>
      </c>
      <c r="Z786" s="3" t="n"/>
      <c r="AA786" s="17">
        <f>IF(RawDataGenPO[[#This Row],[Date Gen PO]]="","",RawDataGenPO[[#This Row],[Date recive bill]]-RawDataGenPO[[#This Row],[Date Gen PO]])</f>
        <v/>
      </c>
      <c r="AB786" s="16">
        <f>IF(RawDataGenPO[[#This Row],[GRN-PO date]]&gt;RawDataGenPO[[#This Row],[Lead time delivery (day)]],"over deliverry","Ontime")</f>
        <v/>
      </c>
      <c r="AC786" s="22" t="n"/>
    </row>
    <row r="787" ht="15" customFormat="1" customHeight="1" s="125">
      <c r="A787" s="5">
        <f>ROW()-ROW(RawDataGenPO[[#Headers],[No.]])</f>
        <v/>
      </c>
      <c r="B787" s="7" t="inlineStr">
        <is>
          <t>Expent  cost</t>
        </is>
      </c>
      <c r="C787" s="301" t="n">
        <v>45639</v>
      </c>
      <c r="D787" s="276" t="n"/>
      <c r="E787" s="276" t="n"/>
      <c r="F787" s="301" t="n">
        <v>45639</v>
      </c>
      <c r="G787" s="5" t="inlineStr">
        <is>
          <t xml:space="preserve">PR2425-04882 </t>
        </is>
      </c>
      <c r="H787" s="5" t="inlineStr">
        <is>
          <t>PO2425-05424</t>
        </is>
      </c>
      <c r="I787" s="290">
        <f>IF(RawDataGenPO[[#This Row],[PO No.]]="","",RawDataGenPO[[#This Row],[DMY Create PR]]+7)</f>
        <v/>
      </c>
      <c r="J787" s="290" t="n"/>
      <c r="K787" s="20" t="n">
        <v>45</v>
      </c>
      <c r="L787" s="5" t="inlineStr">
        <is>
          <t>SFST81000009</t>
        </is>
      </c>
      <c r="M787" s="7" t="inlineStr">
        <is>
          <t>Cooling machine for PD line</t>
        </is>
      </c>
      <c r="N787" s="7" t="inlineStr">
        <is>
          <t>Cooling  part</t>
        </is>
      </c>
      <c r="O787" s="11" t="n">
        <v>3</v>
      </c>
      <c r="P787" s="80" t="inlineStr">
        <is>
          <t>Oil Strainer 1/2" (Flare)</t>
        </is>
      </c>
      <c r="Q787" s="277" t="n">
        <v>1</v>
      </c>
      <c r="R787" s="5" t="inlineStr">
        <is>
          <t>JOB.</t>
        </is>
      </c>
      <c r="S787" s="292">
        <f>RawDataGenPO[[#This Row],[Total price]]/RawDataGenPO[[#This Row],[Qty'']]</f>
        <v/>
      </c>
      <c r="T787" s="278" t="n">
        <v>1200</v>
      </c>
      <c r="U787" s="291" t="n"/>
      <c r="V787" s="7" t="inlineStr">
        <is>
          <t>V1000554 - SHANTECH (THAILAND) CO.,LTD.</t>
        </is>
      </c>
      <c r="W787" s="30" t="inlineStr">
        <is>
          <t>Recive bill and GRN already</t>
        </is>
      </c>
      <c r="X787" s="5" t="inlineStr">
        <is>
          <t>GRN2425-0006320</t>
        </is>
      </c>
      <c r="Y787" s="3" t="n">
        <v>45666</v>
      </c>
      <c r="Z787" s="3" t="n"/>
      <c r="AA787" s="17">
        <f>IF(RawDataGenPO[[#This Row],[Date Gen PO]]="","",RawDataGenPO[[#This Row],[Date recive bill]]-RawDataGenPO[[#This Row],[Date Gen PO]])</f>
        <v/>
      </c>
      <c r="AB787" s="16">
        <f>IF(RawDataGenPO[[#This Row],[GRN-PO date]]&gt;RawDataGenPO[[#This Row],[Lead time delivery (day)]],"over deliverry","Ontime")</f>
        <v/>
      </c>
      <c r="AC787" s="22" t="n"/>
    </row>
    <row r="788" ht="15" customFormat="1" customHeight="1" s="125">
      <c r="A788" s="5">
        <f>ROW()-ROW(RawDataGenPO[[#Headers],[No.]])</f>
        <v/>
      </c>
      <c r="B788" s="7" t="inlineStr">
        <is>
          <t>Expent  cost</t>
        </is>
      </c>
      <c r="C788" s="301" t="n">
        <v>45639</v>
      </c>
      <c r="D788" s="276" t="n"/>
      <c r="E788" s="276" t="n"/>
      <c r="F788" s="301" t="n">
        <v>45639</v>
      </c>
      <c r="G788" s="5" t="inlineStr">
        <is>
          <t xml:space="preserve">PR2425-04882 </t>
        </is>
      </c>
      <c r="H788" s="5" t="inlineStr">
        <is>
          <t>PO2425-05424</t>
        </is>
      </c>
      <c r="I788" s="290">
        <f>IF(RawDataGenPO[[#This Row],[PO No.]]="","",RawDataGenPO[[#This Row],[DMY Create PR]]+7)</f>
        <v/>
      </c>
      <c r="J788" s="290" t="n"/>
      <c r="K788" s="20" t="n">
        <v>45</v>
      </c>
      <c r="L788" s="5" t="inlineStr">
        <is>
          <t>SFST81000009</t>
        </is>
      </c>
      <c r="M788" s="7" t="inlineStr">
        <is>
          <t>Cooling machine for PD line</t>
        </is>
      </c>
      <c r="N788" s="7" t="inlineStr">
        <is>
          <t>Cooling  part</t>
        </is>
      </c>
      <c r="O788" s="11" t="n">
        <v>4</v>
      </c>
      <c r="P788" s="80" t="inlineStr">
        <is>
          <t>Low pressure gauge MR-206-DS-MULTI-16BAR</t>
        </is>
      </c>
      <c r="Q788" s="277" t="n">
        <v>4</v>
      </c>
      <c r="R788" s="5" t="inlineStr">
        <is>
          <t>JOB.</t>
        </is>
      </c>
      <c r="S788" s="292">
        <f>RawDataGenPO[[#This Row],[Total price]]/RawDataGenPO[[#This Row],[Qty'']]</f>
        <v/>
      </c>
      <c r="T788" s="278" t="n">
        <v>4400</v>
      </c>
      <c r="U788" s="291" t="n"/>
      <c r="V788" s="7" t="inlineStr">
        <is>
          <t>V1000554 - SHANTECH (THAILAND) CO.,LTD.</t>
        </is>
      </c>
      <c r="W788" s="30" t="inlineStr">
        <is>
          <t>Recive bill and GRN already</t>
        </is>
      </c>
      <c r="X788" s="5" t="inlineStr">
        <is>
          <t>GRN2425-0006320</t>
        </is>
      </c>
      <c r="Y788" s="3" t="n">
        <v>45666</v>
      </c>
      <c r="Z788" s="3" t="n"/>
      <c r="AA788" s="17">
        <f>IF(RawDataGenPO[[#This Row],[Date Gen PO]]="","",RawDataGenPO[[#This Row],[Date recive bill]]-RawDataGenPO[[#This Row],[Date Gen PO]])</f>
        <v/>
      </c>
      <c r="AB788" s="16">
        <f>IF(RawDataGenPO[[#This Row],[GRN-PO date]]&gt;RawDataGenPO[[#This Row],[Lead time delivery (day)]],"over deliverry","Ontime")</f>
        <v/>
      </c>
      <c r="AC788" s="22" t="n"/>
    </row>
    <row r="789" ht="15" customFormat="1" customHeight="1" s="125">
      <c r="A789" s="5">
        <f>ROW()-ROW(RawDataGenPO[[#Headers],[No.]])</f>
        <v/>
      </c>
      <c r="B789" s="7" t="inlineStr">
        <is>
          <t>Expent  cost</t>
        </is>
      </c>
      <c r="C789" s="301" t="n">
        <v>45639</v>
      </c>
      <c r="D789" s="276" t="n"/>
      <c r="E789" s="276" t="n"/>
      <c r="F789" s="301" t="n">
        <v>45639</v>
      </c>
      <c r="G789" s="5" t="inlineStr">
        <is>
          <t xml:space="preserve">PR2425-04882 </t>
        </is>
      </c>
      <c r="H789" s="5" t="inlineStr">
        <is>
          <t>PO2425-05424</t>
        </is>
      </c>
      <c r="I789" s="290">
        <f>IF(RawDataGenPO[[#This Row],[PO No.]]="","",RawDataGenPO[[#This Row],[DMY Create PR]]+7)</f>
        <v/>
      </c>
      <c r="J789" s="290" t="n"/>
      <c r="K789" s="20" t="n">
        <v>45</v>
      </c>
      <c r="L789" s="5" t="inlineStr">
        <is>
          <t>SFST81000009</t>
        </is>
      </c>
      <c r="M789" s="7" t="inlineStr">
        <is>
          <t>Cooling machine for PD line</t>
        </is>
      </c>
      <c r="N789" s="7" t="inlineStr">
        <is>
          <t>Cooling  part</t>
        </is>
      </c>
      <c r="O789" s="11" t="n">
        <v>5</v>
      </c>
      <c r="P789" s="80" t="inlineStr">
        <is>
          <t>High pressure gauge MR-306-DS-MULTI-35BAR</t>
        </is>
      </c>
      <c r="Q789" s="277" t="n">
        <v>2</v>
      </c>
      <c r="R789" s="5" t="inlineStr">
        <is>
          <t>JOB.</t>
        </is>
      </c>
      <c r="S789" s="292">
        <f>RawDataGenPO[[#This Row],[Total price]]/RawDataGenPO[[#This Row],[Qty'']]</f>
        <v/>
      </c>
      <c r="T789" s="278" t="n">
        <v>2200</v>
      </c>
      <c r="U789" s="291" t="n"/>
      <c r="V789" s="7" t="inlineStr">
        <is>
          <t>V1000554 - SHANTECH (THAILAND) CO.,LTD.</t>
        </is>
      </c>
      <c r="W789" s="30" t="inlineStr">
        <is>
          <t>Recive bill and GRN already</t>
        </is>
      </c>
      <c r="X789" s="5" t="inlineStr">
        <is>
          <t>GRN2425-0006320</t>
        </is>
      </c>
      <c r="Y789" s="3" t="n">
        <v>45666</v>
      </c>
      <c r="Z789" s="3" t="n"/>
      <c r="AA789" s="17">
        <f>IF(RawDataGenPO[[#This Row],[Date Gen PO]]="","",RawDataGenPO[[#This Row],[Date recive bill]]-RawDataGenPO[[#This Row],[Date Gen PO]])</f>
        <v/>
      </c>
      <c r="AB789" s="16">
        <f>IF(RawDataGenPO[[#This Row],[GRN-PO date]]&gt;RawDataGenPO[[#This Row],[Lead time delivery (day)]],"over deliverry","Ontime")</f>
        <v/>
      </c>
      <c r="AC789" s="22" t="n"/>
    </row>
    <row r="790" ht="45" customFormat="1" customHeight="1" s="125">
      <c r="A790" s="5">
        <f>ROW()-ROW(RawDataGenPO[[#Headers],[No.]])</f>
        <v/>
      </c>
      <c r="B790" s="7" t="inlineStr">
        <is>
          <t>Expent  cost</t>
        </is>
      </c>
      <c r="C790" s="301" t="n">
        <v>45639</v>
      </c>
      <c r="D790" s="276" t="n"/>
      <c r="E790" s="276" t="n"/>
      <c r="F790" s="301" t="n">
        <v>45639</v>
      </c>
      <c r="G790" s="5" t="inlineStr">
        <is>
          <t xml:space="preserve">PR2425-04882 </t>
        </is>
      </c>
      <c r="H790" s="5" t="inlineStr">
        <is>
          <t>PO2425-05424</t>
        </is>
      </c>
      <c r="I790" s="286">
        <f>IF(RawDataGenPO[[#This Row],[PO No.]]="","",RawDataGenPO[[#This Row],[DMY Create PR]]+7)</f>
        <v/>
      </c>
      <c r="J790" s="290" t="n"/>
      <c r="K790" s="77" t="n">
        <v>45</v>
      </c>
      <c r="L790" s="5" t="inlineStr">
        <is>
          <t>SFST81000009</t>
        </is>
      </c>
      <c r="M790" s="7" t="inlineStr">
        <is>
          <t>Cooling machine for PD line</t>
        </is>
      </c>
      <c r="N790" s="7" t="inlineStr">
        <is>
          <t>Cooling  part</t>
        </is>
      </c>
      <c r="O790" s="11" t="n">
        <v>6</v>
      </c>
      <c r="P790" s="80" t="inlineStr">
        <is>
          <t>Nitrogen
- leak detection
- nitrogen test</t>
        </is>
      </c>
      <c r="Q790" s="277" t="n">
        <v>1</v>
      </c>
      <c r="R790" s="5" t="inlineStr">
        <is>
          <t>JOB.</t>
        </is>
      </c>
      <c r="S790" s="292">
        <f>RawDataGenPO[[#This Row],[Total price]]/RawDataGenPO[[#This Row],[Qty'']]</f>
        <v/>
      </c>
      <c r="T790" s="278" t="n">
        <v>3000</v>
      </c>
      <c r="U790" s="331" t="n"/>
      <c r="V790" s="7" t="inlineStr">
        <is>
          <t>V1000554 - SHANTECH (THAILAND) CO.,LTD.</t>
        </is>
      </c>
      <c r="W790" s="30" t="inlineStr">
        <is>
          <t>Recive bill and GRN already</t>
        </is>
      </c>
      <c r="X790" s="5" t="inlineStr">
        <is>
          <t>GRN2425-0006320</t>
        </is>
      </c>
      <c r="Y790" s="3" t="n">
        <v>45666</v>
      </c>
      <c r="Z790" s="3" t="n"/>
      <c r="AA790" s="17">
        <f>IF(RawDataGenPO[[#This Row],[Date Gen PO]]="","",RawDataGenPO[[#This Row],[Date recive bill]]-RawDataGenPO[[#This Row],[Date Gen PO]])</f>
        <v/>
      </c>
      <c r="AB790" s="16">
        <f>IF(RawDataGenPO[[#This Row],[GRN-PO date]]&gt;RawDataGenPO[[#This Row],[Lead time delivery (day)]],"over deliverry","Ontime")</f>
        <v/>
      </c>
      <c r="AC790" s="22" t="n"/>
    </row>
    <row r="791" ht="15" customFormat="1" customHeight="1" s="125">
      <c r="A791" s="5">
        <f>ROW()-ROW(RawDataGenPO[[#Headers],[No.]])</f>
        <v/>
      </c>
      <c r="B791" s="7" t="inlineStr">
        <is>
          <t>Expent  cost</t>
        </is>
      </c>
      <c r="C791" s="301" t="n">
        <v>45639</v>
      </c>
      <c r="D791" s="276" t="n"/>
      <c r="E791" s="276" t="n"/>
      <c r="F791" s="301" t="n">
        <v>45639</v>
      </c>
      <c r="G791" s="5" t="inlineStr">
        <is>
          <t xml:space="preserve">PR2425-04882 </t>
        </is>
      </c>
      <c r="H791" s="5" t="inlineStr">
        <is>
          <t>PO2425-05424</t>
        </is>
      </c>
      <c r="I791" s="290">
        <f>IF(RawDataGenPO[[#This Row],[PO No.]]="","",RawDataGenPO[[#This Row],[DMY Create PR]]+7)</f>
        <v/>
      </c>
      <c r="J791" s="290" t="n"/>
      <c r="K791" s="20" t="n">
        <v>45</v>
      </c>
      <c r="L791" s="5" t="inlineStr">
        <is>
          <t>SFST81000009</t>
        </is>
      </c>
      <c r="M791" s="7" t="inlineStr">
        <is>
          <t>Cooling machine for PD line</t>
        </is>
      </c>
      <c r="N791" s="7" t="inlineStr">
        <is>
          <t>Cooling  part</t>
        </is>
      </c>
      <c r="O791" s="11" t="n">
        <v>7</v>
      </c>
      <c r="P791" s="80" t="inlineStr">
        <is>
          <t>miscellaneous equipment used for internal installation</t>
        </is>
      </c>
      <c r="Q791" s="277" t="n">
        <v>1</v>
      </c>
      <c r="R791" s="5" t="inlineStr">
        <is>
          <t>JOB.</t>
        </is>
      </c>
      <c r="S791" s="292">
        <f>RawDataGenPO[[#This Row],[Total price]]/RawDataGenPO[[#This Row],[Qty'']]</f>
        <v/>
      </c>
      <c r="T791" s="278" t="n">
        <v>6000</v>
      </c>
      <c r="U791" s="291" t="n"/>
      <c r="V791" s="7" t="inlineStr">
        <is>
          <t>V1000554 - SHANTECH (THAILAND) CO.,LTD.</t>
        </is>
      </c>
      <c r="W791" s="30" t="inlineStr">
        <is>
          <t>Recive bill and GRN already</t>
        </is>
      </c>
      <c r="X791" s="5" t="inlineStr">
        <is>
          <t>GRN2425-0006320</t>
        </is>
      </c>
      <c r="Y791" s="3" t="n">
        <v>45666</v>
      </c>
      <c r="Z791" s="3" t="n"/>
      <c r="AA791" s="17">
        <f>IF(RawDataGenPO[[#This Row],[Date Gen PO]]="","",RawDataGenPO[[#This Row],[Date recive bill]]-RawDataGenPO[[#This Row],[Date Gen PO]])</f>
        <v/>
      </c>
      <c r="AB791" s="16">
        <f>IF(RawDataGenPO[[#This Row],[GRN-PO date]]&gt;RawDataGenPO[[#This Row],[Lead time delivery (day)]],"over deliverry","Ontime")</f>
        <v/>
      </c>
      <c r="AC791" s="22" t="n"/>
    </row>
    <row r="792" ht="15" customFormat="1" customHeight="1" s="125">
      <c r="A792" s="5">
        <f>ROW()-ROW(RawDataGenPO[[#Headers],[No.]])</f>
        <v/>
      </c>
      <c r="B792" s="7" t="inlineStr">
        <is>
          <t>Expent  cost</t>
        </is>
      </c>
      <c r="C792" s="301" t="n">
        <v>45639</v>
      </c>
      <c r="D792" s="276" t="n"/>
      <c r="E792" s="276" t="n"/>
      <c r="F792" s="301" t="n">
        <v>45639</v>
      </c>
      <c r="G792" s="5" t="inlineStr">
        <is>
          <t xml:space="preserve">PR2425-04882 </t>
        </is>
      </c>
      <c r="H792" s="5" t="inlineStr">
        <is>
          <t>PO2425-05424</t>
        </is>
      </c>
      <c r="I792" s="290">
        <f>IF(RawDataGenPO[[#This Row],[PO No.]]="","",RawDataGenPO[[#This Row],[DMY Create PR]]+7)</f>
        <v/>
      </c>
      <c r="J792" s="290" t="n"/>
      <c r="K792" s="20" t="n">
        <v>45</v>
      </c>
      <c r="L792" s="5" t="inlineStr">
        <is>
          <t>SFST81000009</t>
        </is>
      </c>
      <c r="M792" s="7" t="inlineStr">
        <is>
          <t>Cooling machine for PD line</t>
        </is>
      </c>
      <c r="N792" s="7" t="inlineStr">
        <is>
          <t>Cooling  part</t>
        </is>
      </c>
      <c r="O792" s="11" t="n">
        <v>8</v>
      </c>
      <c r="P792" s="80" t="inlineStr">
        <is>
          <t>service charge + travel cost</t>
        </is>
      </c>
      <c r="Q792" s="277" t="n">
        <v>1</v>
      </c>
      <c r="R792" s="5" t="inlineStr">
        <is>
          <t>JOB.</t>
        </is>
      </c>
      <c r="S792" s="292">
        <f>RawDataGenPO[[#This Row],[Total price]]/RawDataGenPO[[#This Row],[Qty'']]</f>
        <v/>
      </c>
      <c r="T792" s="278" t="n">
        <v>15000</v>
      </c>
      <c r="U792" s="291" t="n"/>
      <c r="V792" s="7" t="inlineStr">
        <is>
          <t>V1000554 - SHANTECH (THAILAND) CO.,LTD.</t>
        </is>
      </c>
      <c r="W792" s="30" t="inlineStr">
        <is>
          <t>Recive bill and GRN already</t>
        </is>
      </c>
      <c r="X792" s="5" t="inlineStr">
        <is>
          <t>GRN2425-0006320</t>
        </is>
      </c>
      <c r="Y792" s="3" t="n">
        <v>45666</v>
      </c>
      <c r="Z792" s="3" t="n"/>
      <c r="AA792" s="17">
        <f>IF(RawDataGenPO[[#This Row],[Date Gen PO]]="","",RawDataGenPO[[#This Row],[Date recive bill]]-RawDataGenPO[[#This Row],[Date Gen PO]])</f>
        <v/>
      </c>
      <c r="AB792" s="16">
        <f>IF(RawDataGenPO[[#This Row],[GRN-PO date]]&gt;RawDataGenPO[[#This Row],[Lead time delivery (day)]],"over deliverry","Ontime")</f>
        <v/>
      </c>
      <c r="AC792" s="22" t="n"/>
    </row>
    <row r="793" ht="15" customFormat="1" customHeight="1" s="125">
      <c r="A793" s="5">
        <f>ROW()-ROW(RawDataGenPO[[#Headers],[No.]])</f>
        <v/>
      </c>
      <c r="B793" s="7" t="inlineStr">
        <is>
          <t>Expent  cost</t>
        </is>
      </c>
      <c r="C793" s="301" t="n">
        <v>45640</v>
      </c>
      <c r="D793" s="276" t="n"/>
      <c r="E793" s="276" t="n"/>
      <c r="F793" s="301" t="n">
        <v>45640</v>
      </c>
      <c r="G793" s="5" t="inlineStr">
        <is>
          <t>PR2425-04898</t>
        </is>
      </c>
      <c r="H793" s="5" t="inlineStr">
        <is>
          <t xml:space="preserve">PO2425-05421 </t>
        </is>
      </c>
      <c r="I793" s="290">
        <f>IF(RawDataGenPO[[#This Row],[PO No.]]="","",RawDataGenPO[[#This Row],[DMY Create PR]]+7)</f>
        <v/>
      </c>
      <c r="J793" s="290" t="n"/>
      <c r="K793" s="20" t="n">
        <v>45</v>
      </c>
      <c r="L793" s="5" t="inlineStr">
        <is>
          <t>SFST81000050</t>
        </is>
      </c>
      <c r="M793" s="7" t="inlineStr">
        <is>
          <t>PD Machine</t>
        </is>
      </c>
      <c r="N793" s="7" t="inlineStr">
        <is>
          <t>Swing Vacuum No.1</t>
        </is>
      </c>
      <c r="O793" s="11" t="n">
        <v>1</v>
      </c>
      <c r="P793" s="80" t="inlineStr">
        <is>
          <t>Vacuum oil "Busch" VM100 1 L</t>
        </is>
      </c>
      <c r="Q793" s="277" t="n">
        <v>2</v>
      </c>
      <c r="R793" s="5" t="inlineStr">
        <is>
          <t>PCS.</t>
        </is>
      </c>
      <c r="S793" s="292">
        <f>RawDataGenPO[[#This Row],[Total price]]/RawDataGenPO[[#This Row],[Qty'']]</f>
        <v/>
      </c>
      <c r="T793" s="278" t="n">
        <v>400</v>
      </c>
      <c r="U793" s="291" t="n"/>
      <c r="V793" s="7" t="inlineStr">
        <is>
          <t>V1000452 - SRIPIPAT ENGINEERING CO.,LTD.</t>
        </is>
      </c>
      <c r="W793" s="30" t="inlineStr">
        <is>
          <t>Recive bill and GRN already</t>
        </is>
      </c>
      <c r="X793" s="5" t="inlineStr">
        <is>
          <t>GRN2425-0006732</t>
        </is>
      </c>
      <c r="Y793" s="3" t="n">
        <v>45684</v>
      </c>
      <c r="Z793" s="3" t="n"/>
      <c r="AA793" s="17">
        <f>IF(RawDataGenPO[[#This Row],[Date Gen PO]]="","",RawDataGenPO[[#This Row],[Date recive bill]]-RawDataGenPO[[#This Row],[Date Gen PO]])</f>
        <v/>
      </c>
      <c r="AB793" s="16">
        <f>IF(RawDataGenPO[[#This Row],[GRN-PO date]]&gt;RawDataGenPO[[#This Row],[Lead time delivery (day)]],"over deliverry","Ontime")</f>
        <v/>
      </c>
      <c r="AC793" s="22" t="n"/>
    </row>
    <row r="794" ht="15" customFormat="1" customHeight="1" s="125">
      <c r="A794" s="5">
        <f>ROW()-ROW(RawDataGenPO[[#Headers],[No.]])</f>
        <v/>
      </c>
      <c r="B794" s="7" t="inlineStr">
        <is>
          <t>Expent  cost</t>
        </is>
      </c>
      <c r="C794" s="301" t="n">
        <v>45640</v>
      </c>
      <c r="D794" s="276" t="n"/>
      <c r="E794" s="276" t="n"/>
      <c r="F794" s="301" t="n">
        <v>45640</v>
      </c>
      <c r="G794" s="5" t="inlineStr">
        <is>
          <t>PR2425-04898</t>
        </is>
      </c>
      <c r="H794" s="5" t="inlineStr">
        <is>
          <t xml:space="preserve">PO2425-05421 </t>
        </is>
      </c>
      <c r="I794" s="290">
        <f>IF(RawDataGenPO[[#This Row],[PO No.]]="","",RawDataGenPO[[#This Row],[DMY Create PR]]+7)</f>
        <v/>
      </c>
      <c r="J794" s="290" t="n"/>
      <c r="K794" s="20" t="n">
        <v>45</v>
      </c>
      <c r="L794" s="5" t="inlineStr">
        <is>
          <t>SFST81000050</t>
        </is>
      </c>
      <c r="M794" s="7" t="inlineStr">
        <is>
          <t>PD Machine</t>
        </is>
      </c>
      <c r="N794" s="7" t="inlineStr">
        <is>
          <t>Swing Vacuum No.1</t>
        </is>
      </c>
      <c r="O794" s="11" t="n">
        <v>2</v>
      </c>
      <c r="P794" s="80" t="inlineStr">
        <is>
          <t>Oil filter "Mann Filter" W940/1</t>
        </is>
      </c>
      <c r="Q794" s="277" t="n">
        <v>2</v>
      </c>
      <c r="R794" s="5" t="inlineStr">
        <is>
          <t>PCS.</t>
        </is>
      </c>
      <c r="S794" s="292">
        <f>RawDataGenPO[[#This Row],[Total price]]/RawDataGenPO[[#This Row],[Qty'']]</f>
        <v/>
      </c>
      <c r="T794" s="278" t="n">
        <v>400</v>
      </c>
      <c r="U794" s="291" t="n"/>
      <c r="V794" s="7" t="inlineStr">
        <is>
          <t>V1000452 - SRIPIPAT ENGINEERING CO.,LTD.</t>
        </is>
      </c>
      <c r="W794" s="30" t="inlineStr">
        <is>
          <t>Recive bill and GRN already</t>
        </is>
      </c>
      <c r="X794" s="5" t="inlineStr">
        <is>
          <t>GRN2425-0006732</t>
        </is>
      </c>
      <c r="Y794" s="3" t="n">
        <v>45684</v>
      </c>
      <c r="Z794" s="3" t="n"/>
      <c r="AA794" s="17">
        <f>IF(RawDataGenPO[[#This Row],[Date Gen PO]]="","",RawDataGenPO[[#This Row],[Date recive bill]]-RawDataGenPO[[#This Row],[Date Gen PO]])</f>
        <v/>
      </c>
      <c r="AB794" s="16">
        <f>IF(RawDataGenPO[[#This Row],[GRN-PO date]]&gt;RawDataGenPO[[#This Row],[Lead time delivery (day)]],"over deliverry","Ontime")</f>
        <v/>
      </c>
      <c r="AC794" s="22" t="n"/>
    </row>
    <row r="795" ht="15" customFormat="1" customHeight="1" s="125">
      <c r="A795" s="5">
        <f>ROW()-ROW(RawDataGenPO[[#Headers],[No.]])</f>
        <v/>
      </c>
      <c r="B795" s="7" t="inlineStr">
        <is>
          <t>Expent  cost</t>
        </is>
      </c>
      <c r="C795" s="301" t="n">
        <v>45640</v>
      </c>
      <c r="D795" s="276" t="n"/>
      <c r="E795" s="276" t="n"/>
      <c r="F795" s="301" t="n">
        <v>45640</v>
      </c>
      <c r="G795" s="5" t="inlineStr">
        <is>
          <t>PR2425-04898</t>
        </is>
      </c>
      <c r="H795" s="5" t="inlineStr">
        <is>
          <t xml:space="preserve">PO2425-05421 </t>
        </is>
      </c>
      <c r="I795" s="290">
        <f>IF(RawDataGenPO[[#This Row],[PO No.]]="","",RawDataGenPO[[#This Row],[DMY Create PR]]+7)</f>
        <v/>
      </c>
      <c r="J795" s="290" t="n"/>
      <c r="K795" s="20" t="n">
        <v>45</v>
      </c>
      <c r="L795" s="5" t="inlineStr">
        <is>
          <t>SFST81000050</t>
        </is>
      </c>
      <c r="M795" s="7" t="inlineStr">
        <is>
          <t>PD Machine</t>
        </is>
      </c>
      <c r="N795" s="7" t="inlineStr">
        <is>
          <t>Swing Vacuum No.1</t>
        </is>
      </c>
      <c r="O795" s="11" t="n">
        <v>3</v>
      </c>
      <c r="P795" s="80" t="inlineStr">
        <is>
          <t>V-Ring 35A (VA-035)</t>
        </is>
      </c>
      <c r="Q795" s="277" t="n">
        <v>4</v>
      </c>
      <c r="R795" s="5" t="inlineStr">
        <is>
          <t>PCS.</t>
        </is>
      </c>
      <c r="S795" s="292">
        <f>RawDataGenPO[[#This Row],[Total price]]/RawDataGenPO[[#This Row],[Qty'']]</f>
        <v/>
      </c>
      <c r="T795" s="278" t="n">
        <v>2000</v>
      </c>
      <c r="U795" s="291" t="n"/>
      <c r="V795" s="7" t="inlineStr">
        <is>
          <t>V1000452 - SRIPIPAT ENGINEERING CO.,LTD.</t>
        </is>
      </c>
      <c r="W795" s="30" t="inlineStr">
        <is>
          <t>Recive bill and GRN already</t>
        </is>
      </c>
      <c r="X795" s="5" t="inlineStr">
        <is>
          <t>GRN2425-0006732</t>
        </is>
      </c>
      <c r="Y795" s="3" t="n">
        <v>45684</v>
      </c>
      <c r="Z795" s="3" t="n"/>
      <c r="AA795" s="17">
        <f>IF(RawDataGenPO[[#This Row],[Date Gen PO]]="","",RawDataGenPO[[#This Row],[Date recive bill]]-RawDataGenPO[[#This Row],[Date Gen PO]])</f>
        <v/>
      </c>
      <c r="AB795" s="16">
        <f>IF(RawDataGenPO[[#This Row],[GRN-PO date]]&gt;RawDataGenPO[[#This Row],[Lead time delivery (day)]],"over deliverry","Ontime")</f>
        <v/>
      </c>
      <c r="AC795" s="22" t="n"/>
    </row>
    <row r="796" ht="15" customFormat="1" customHeight="1" s="125">
      <c r="A796" s="5">
        <f>ROW()-ROW(RawDataGenPO[[#Headers],[No.]])</f>
        <v/>
      </c>
      <c r="B796" s="7" t="inlineStr">
        <is>
          <t>Expent  cost</t>
        </is>
      </c>
      <c r="C796" s="301" t="n">
        <v>45640</v>
      </c>
      <c r="D796" s="276" t="n"/>
      <c r="E796" s="276" t="n"/>
      <c r="F796" s="301" t="n">
        <v>45640</v>
      </c>
      <c r="G796" s="5" t="inlineStr">
        <is>
          <t>PR2425-04898</t>
        </is>
      </c>
      <c r="H796" s="5" t="inlineStr">
        <is>
          <t xml:space="preserve">PO2425-05421 </t>
        </is>
      </c>
      <c r="I796" s="290">
        <f>IF(RawDataGenPO[[#This Row],[PO No.]]="","",RawDataGenPO[[#This Row],[DMY Create PR]]+7)</f>
        <v/>
      </c>
      <c r="J796" s="290" t="n"/>
      <c r="K796" s="20" t="n">
        <v>45</v>
      </c>
      <c r="L796" s="5" t="inlineStr">
        <is>
          <t>SFST81000050</t>
        </is>
      </c>
      <c r="M796" s="7" t="inlineStr">
        <is>
          <t>PD Machine</t>
        </is>
      </c>
      <c r="N796" s="7" t="inlineStr">
        <is>
          <t>Swing Vacuum No.1</t>
        </is>
      </c>
      <c r="O796" s="11" t="n">
        <v>4</v>
      </c>
      <c r="P796" s="80" t="inlineStr">
        <is>
          <t>160-1176897 O-RING 25 x 15. NBR 07 SHORE FOR VMS 503</t>
        </is>
      </c>
      <c r="Q796" s="277" t="n">
        <v>4</v>
      </c>
      <c r="R796" s="5" t="inlineStr">
        <is>
          <t>PCS.</t>
        </is>
      </c>
      <c r="S796" s="292">
        <f>RawDataGenPO[[#This Row],[Total price]]/RawDataGenPO[[#This Row],[Qty'']]</f>
        <v/>
      </c>
      <c r="T796" s="278" t="n">
        <v>1000</v>
      </c>
      <c r="U796" s="291" t="n"/>
      <c r="V796" s="7" t="inlineStr">
        <is>
          <t>V1000452 - SRIPIPAT ENGINEERING CO.,LTD.</t>
        </is>
      </c>
      <c r="W796" s="30" t="inlineStr">
        <is>
          <t>Recive bill and GRN already</t>
        </is>
      </c>
      <c r="X796" s="5" t="inlineStr">
        <is>
          <t>GRN2425-0006732</t>
        </is>
      </c>
      <c r="Y796" s="3" t="n">
        <v>45684</v>
      </c>
      <c r="Z796" s="3" t="n"/>
      <c r="AA796" s="17">
        <f>IF(RawDataGenPO[[#This Row],[Date Gen PO]]="","",RawDataGenPO[[#This Row],[Date recive bill]]-RawDataGenPO[[#This Row],[Date Gen PO]])</f>
        <v/>
      </c>
      <c r="AB796" s="16">
        <f>IF(RawDataGenPO[[#This Row],[GRN-PO date]]&gt;RawDataGenPO[[#This Row],[Lead time delivery (day)]],"over deliverry","Ontime")</f>
        <v/>
      </c>
      <c r="AC796" s="22" t="n"/>
    </row>
    <row r="797" ht="15" customFormat="1" customHeight="1" s="125">
      <c r="A797" s="5">
        <f>ROW()-ROW(RawDataGenPO[[#Headers],[No.]])</f>
        <v/>
      </c>
      <c r="B797" s="7" t="inlineStr">
        <is>
          <t>Expent  cost</t>
        </is>
      </c>
      <c r="C797" s="301" t="n">
        <v>45640</v>
      </c>
      <c r="D797" s="276" t="n"/>
      <c r="E797" s="276" t="n"/>
      <c r="F797" s="301" t="n">
        <v>45640</v>
      </c>
      <c r="G797" s="5" t="inlineStr">
        <is>
          <t>PR2425-04898</t>
        </is>
      </c>
      <c r="H797" s="5" t="inlineStr">
        <is>
          <t xml:space="preserve">PO2425-05421 </t>
        </is>
      </c>
      <c r="I797" s="290">
        <f>IF(RawDataGenPO[[#This Row],[PO No.]]="","",RawDataGenPO[[#This Row],[DMY Create PR]]+7)</f>
        <v/>
      </c>
      <c r="J797" s="290" t="n"/>
      <c r="K797" s="20" t="n">
        <v>45</v>
      </c>
      <c r="L797" s="5" t="inlineStr">
        <is>
          <t>SFST81000050</t>
        </is>
      </c>
      <c r="M797" s="7" t="inlineStr">
        <is>
          <t>PD Machine</t>
        </is>
      </c>
      <c r="N797" s="7" t="inlineStr">
        <is>
          <t>Swing Vacuum No.1</t>
        </is>
      </c>
      <c r="O797" s="11" t="n">
        <v>5</v>
      </c>
      <c r="P797" s="80" t="inlineStr">
        <is>
          <t>160-2011289 ELECTRODE ASSY' 8( MM. SEAL LEFT)</t>
        </is>
      </c>
      <c r="Q797" s="277" t="n">
        <v>1</v>
      </c>
      <c r="R797" s="5" t="inlineStr">
        <is>
          <t>PCS.</t>
        </is>
      </c>
      <c r="S797" s="292">
        <f>RawDataGenPO[[#This Row],[Total price]]/RawDataGenPO[[#This Row],[Qty'']]</f>
        <v/>
      </c>
      <c r="T797" s="278" t="n">
        <v>1500</v>
      </c>
      <c r="U797" s="291" t="n"/>
      <c r="V797" s="7" t="inlineStr">
        <is>
          <t>V1000452 - SRIPIPAT ENGINEERING CO.,LTD.</t>
        </is>
      </c>
      <c r="W797" s="30" t="inlineStr">
        <is>
          <t>Recive bill and GRN already</t>
        </is>
      </c>
      <c r="X797" s="5" t="inlineStr">
        <is>
          <t>GRN2425-0006732</t>
        </is>
      </c>
      <c r="Y797" s="3" t="n">
        <v>45684</v>
      </c>
      <c r="Z797" s="3" t="n"/>
      <c r="AA797" s="17">
        <f>IF(RawDataGenPO[[#This Row],[Date Gen PO]]="","",RawDataGenPO[[#This Row],[Date recive bill]]-RawDataGenPO[[#This Row],[Date Gen PO]])</f>
        <v/>
      </c>
      <c r="AB797" s="16">
        <f>IF(RawDataGenPO[[#This Row],[GRN-PO date]]&gt;RawDataGenPO[[#This Row],[Lead time delivery (day)]],"over deliverry","Ontime")</f>
        <v/>
      </c>
      <c r="AC797" s="22" t="n"/>
    </row>
    <row r="798" ht="15" customFormat="1" customHeight="1" s="125">
      <c r="A798" s="5">
        <f>ROW()-ROW(RawDataGenPO[[#Headers],[No.]])</f>
        <v/>
      </c>
      <c r="B798" s="7" t="inlineStr">
        <is>
          <t>Expent  cost</t>
        </is>
      </c>
      <c r="C798" s="301" t="n">
        <v>45640</v>
      </c>
      <c r="D798" s="276" t="n"/>
      <c r="E798" s="276" t="n"/>
      <c r="F798" s="301" t="n">
        <v>45640</v>
      </c>
      <c r="G798" s="5" t="inlineStr">
        <is>
          <t>PR2425-04898</t>
        </is>
      </c>
      <c r="H798" s="5" t="inlineStr">
        <is>
          <t xml:space="preserve">PO2425-05421 </t>
        </is>
      </c>
      <c r="I798" s="290">
        <f>IF(RawDataGenPO[[#This Row],[PO No.]]="","",RawDataGenPO[[#This Row],[DMY Create PR]]+7)</f>
        <v/>
      </c>
      <c r="J798" s="290" t="n"/>
      <c r="K798" s="20" t="n">
        <v>45</v>
      </c>
      <c r="L798" s="5" t="inlineStr">
        <is>
          <t>SFST81000050</t>
        </is>
      </c>
      <c r="M798" s="7" t="inlineStr">
        <is>
          <t>PD Machine</t>
        </is>
      </c>
      <c r="N798" s="7" t="inlineStr">
        <is>
          <t>Swing Vacuum No.1</t>
        </is>
      </c>
      <c r="O798" s="11" t="n">
        <v>6</v>
      </c>
      <c r="P798" s="80" t="inlineStr">
        <is>
          <t>160-2011289 ELECTRODE ASSY' 8( MM. SEAL RIGHT)</t>
        </is>
      </c>
      <c r="Q798" s="277" t="n">
        <v>1</v>
      </c>
      <c r="R798" s="5" t="inlineStr">
        <is>
          <t>PCS.</t>
        </is>
      </c>
      <c r="S798" s="292">
        <f>RawDataGenPO[[#This Row],[Total price]]/RawDataGenPO[[#This Row],[Qty'']]</f>
        <v/>
      </c>
      <c r="T798" s="278" t="n">
        <v>1500</v>
      </c>
      <c r="U798" s="291" t="n"/>
      <c r="V798" s="7" t="inlineStr">
        <is>
          <t>V1000452 - SRIPIPAT ENGINEERING CO.,LTD.</t>
        </is>
      </c>
      <c r="W798" s="30" t="inlineStr">
        <is>
          <t>Recive bill and GRN already</t>
        </is>
      </c>
      <c r="X798" s="5" t="inlineStr">
        <is>
          <t>GRN2425-0006732</t>
        </is>
      </c>
      <c r="Y798" s="3" t="n">
        <v>45684</v>
      </c>
      <c r="Z798" s="3" t="n"/>
      <c r="AA798" s="17">
        <f>IF(RawDataGenPO[[#This Row],[Date Gen PO]]="","",RawDataGenPO[[#This Row],[Date recive bill]]-RawDataGenPO[[#This Row],[Date Gen PO]])</f>
        <v/>
      </c>
      <c r="AB798" s="16">
        <f>IF(RawDataGenPO[[#This Row],[GRN-PO date]]&gt;RawDataGenPO[[#This Row],[Lead time delivery (day)]],"over deliverry","Ontime")</f>
        <v/>
      </c>
      <c r="AC798" s="22" t="n"/>
    </row>
    <row r="799" ht="15" customFormat="1" customHeight="1" s="125">
      <c r="A799" s="5">
        <f>ROW()-ROW(RawDataGenPO[[#Headers],[No.]])</f>
        <v/>
      </c>
      <c r="B799" s="7" t="inlineStr">
        <is>
          <t>Expent  cost</t>
        </is>
      </c>
      <c r="C799" s="301" t="n">
        <v>45640</v>
      </c>
      <c r="D799" s="276" t="n"/>
      <c r="E799" s="276" t="n"/>
      <c r="F799" s="301" t="n">
        <v>45640</v>
      </c>
      <c r="G799" s="5" t="inlineStr">
        <is>
          <t>PR2425-04898</t>
        </is>
      </c>
      <c r="H799" s="5" t="inlineStr">
        <is>
          <t xml:space="preserve">PO2425-05421 </t>
        </is>
      </c>
      <c r="I799" s="290">
        <f>IF(RawDataGenPO[[#This Row],[PO No.]]="","",RawDataGenPO[[#This Row],[DMY Create PR]]+7)</f>
        <v/>
      </c>
      <c r="J799" s="290" t="n"/>
      <c r="K799" s="20" t="n">
        <v>45</v>
      </c>
      <c r="L799" s="5" t="inlineStr">
        <is>
          <t>SFST81000050</t>
        </is>
      </c>
      <c r="M799" s="7" t="inlineStr">
        <is>
          <t>PD Machine</t>
        </is>
      </c>
      <c r="N799" s="7" t="inlineStr">
        <is>
          <t>Swing Vacuum No.1</t>
        </is>
      </c>
      <c r="O799" s="11" t="n">
        <v>7</v>
      </c>
      <c r="P799" s="80" t="inlineStr">
        <is>
          <t>160-1331176 MAIN BREAKER KNOB BLACK</t>
        </is>
      </c>
      <c r="Q799" s="277" t="n">
        <v>1</v>
      </c>
      <c r="R799" s="5" t="inlineStr">
        <is>
          <t>PCS.</t>
        </is>
      </c>
      <c r="S799" s="292">
        <f>RawDataGenPO[[#This Row],[Total price]]/RawDataGenPO[[#This Row],[Qty'']]</f>
        <v/>
      </c>
      <c r="T799" s="278" t="n">
        <v>1500</v>
      </c>
      <c r="U799" s="291" t="n"/>
      <c r="V799" s="7" t="inlineStr">
        <is>
          <t>V1000452 - SRIPIPAT ENGINEERING CO.,LTD.</t>
        </is>
      </c>
      <c r="W799" s="30" t="inlineStr">
        <is>
          <t>Recive bill and GRN already</t>
        </is>
      </c>
      <c r="X799" s="5" t="inlineStr">
        <is>
          <t>GRN2425-0006732</t>
        </is>
      </c>
      <c r="Y799" s="3" t="n">
        <v>45684</v>
      </c>
      <c r="Z799" s="3" t="n"/>
      <c r="AA799" s="17">
        <f>IF(RawDataGenPO[[#This Row],[Date Gen PO]]="","",RawDataGenPO[[#This Row],[Date recive bill]]-RawDataGenPO[[#This Row],[Date Gen PO]])</f>
        <v/>
      </c>
      <c r="AB799" s="16">
        <f>IF(RawDataGenPO[[#This Row],[GRN-PO date]]&gt;RawDataGenPO[[#This Row],[Lead time delivery (day)]],"over deliverry","Ontime")</f>
        <v/>
      </c>
      <c r="AC799" s="22" t="n"/>
    </row>
    <row r="800" ht="15" customFormat="1" customHeight="1" s="125">
      <c r="A800" s="5">
        <f>ROW()-ROW(RawDataGenPO[[#Headers],[No.]])</f>
        <v/>
      </c>
      <c r="B800" s="7" t="inlineStr">
        <is>
          <t>Expent  cost</t>
        </is>
      </c>
      <c r="C800" s="301" t="n">
        <v>45640</v>
      </c>
      <c r="D800" s="276" t="n"/>
      <c r="E800" s="276" t="n"/>
      <c r="F800" s="301" t="n">
        <v>45640</v>
      </c>
      <c r="G800" s="5" t="inlineStr">
        <is>
          <t>PR2425-04898</t>
        </is>
      </c>
      <c r="H800" s="5" t="inlineStr">
        <is>
          <t xml:space="preserve">PO2425-05421 </t>
        </is>
      </c>
      <c r="I800" s="290">
        <f>IF(RawDataGenPO[[#This Row],[PO No.]]="","",RawDataGenPO[[#This Row],[DMY Create PR]]+7)</f>
        <v/>
      </c>
      <c r="J800" s="290" t="n"/>
      <c r="K800" s="20" t="n">
        <v>45</v>
      </c>
      <c r="L800" s="5" t="inlineStr">
        <is>
          <t>SFST81000050</t>
        </is>
      </c>
      <c r="M800" s="7" t="inlineStr">
        <is>
          <t>PD Machine</t>
        </is>
      </c>
      <c r="N800" s="7" t="inlineStr">
        <is>
          <t>Swing Vacuum No.1</t>
        </is>
      </c>
      <c r="O800" s="11" t="n">
        <v>8</v>
      </c>
      <c r="P800" s="80" t="inlineStr">
        <is>
          <t>belt Timing Belt Size 24 x 1020 MM. connectortypetoothed</t>
        </is>
      </c>
      <c r="Q800" s="277" t="n">
        <v>4</v>
      </c>
      <c r="R800" s="5" t="inlineStr">
        <is>
          <t>PCS.</t>
        </is>
      </c>
      <c r="S800" s="292">
        <f>RawDataGenPO[[#This Row],[Total price]]/RawDataGenPO[[#This Row],[Qty'']]</f>
        <v/>
      </c>
      <c r="T800" s="278" t="n">
        <v>1000</v>
      </c>
      <c r="U800" s="291" t="n"/>
      <c r="V800" s="7" t="inlineStr">
        <is>
          <t>V1000452 - SRIPIPAT ENGINEERING CO.,LTD.</t>
        </is>
      </c>
      <c r="W800" s="30" t="inlineStr">
        <is>
          <t>Recive bill and GRN already</t>
        </is>
      </c>
      <c r="X800" s="5" t="inlineStr">
        <is>
          <t>GRN2425-0006732</t>
        </is>
      </c>
      <c r="Y800" s="3" t="n">
        <v>45684</v>
      </c>
      <c r="Z800" s="3" t="n"/>
      <c r="AA800" s="17">
        <f>IF(RawDataGenPO[[#This Row],[Date Gen PO]]="","",RawDataGenPO[[#This Row],[Date recive bill]]-RawDataGenPO[[#This Row],[Date Gen PO]])</f>
        <v/>
      </c>
      <c r="AB800" s="16">
        <f>IF(RawDataGenPO[[#This Row],[GRN-PO date]]&gt;RawDataGenPO[[#This Row],[Lead time delivery (day)]],"over deliverry","Ontime")</f>
        <v/>
      </c>
      <c r="AC800" s="22" t="n"/>
    </row>
    <row r="801" ht="45" customHeight="1">
      <c r="A801" s="5">
        <f>ROW()-ROW(RawDataGenPO[[#Headers],[No.]])</f>
        <v/>
      </c>
      <c r="B801" s="7" t="inlineStr">
        <is>
          <t>Expent  cost</t>
        </is>
      </c>
      <c r="C801" s="301" t="n">
        <v>45640</v>
      </c>
      <c r="F801" s="301" t="n">
        <v>45640</v>
      </c>
      <c r="G801" s="5" t="inlineStr">
        <is>
          <t xml:space="preserve">PR2425-04899 </t>
        </is>
      </c>
      <c r="H801" s="5" t="inlineStr">
        <is>
          <t>PO2425-05431</t>
        </is>
      </c>
      <c r="I801" s="290">
        <f>IF(RawDataGenPO[[#This Row],[PO No.]]="","",RawDataGenPO[[#This Row],[DMY Create PR]]+7)</f>
        <v/>
      </c>
      <c r="J801" s="290" t="n"/>
      <c r="K801" s="20" t="n">
        <v>160</v>
      </c>
      <c r="L801" s="5" t="inlineStr">
        <is>
          <t>SFST81000009</t>
        </is>
      </c>
      <c r="M801" s="7" t="inlineStr">
        <is>
          <t>Electrical system out  PD area</t>
        </is>
      </c>
      <c r="N801" s="7" t="inlineStr">
        <is>
          <t>Inspect cost</t>
        </is>
      </c>
      <c r="O801" s="11" t="n">
        <v>1</v>
      </c>
      <c r="P801" s="80" t="inlineStr">
        <is>
          <t>transformer size 630KVA
- filteroil
- replace high-voltage bushing</t>
        </is>
      </c>
      <c r="Q801" s="277" t="n">
        <v>1</v>
      </c>
      <c r="R801" s="5" t="inlineStr">
        <is>
          <t>SET.</t>
        </is>
      </c>
      <c r="S801" s="292">
        <f>RawDataGenPO[[#This Row],[Total price]]/RawDataGenPO[[#This Row],[Qty'']]</f>
        <v/>
      </c>
      <c r="T801" s="278" t="n">
        <v>22500</v>
      </c>
      <c r="U801" s="291" t="n"/>
      <c r="V801" s="7" t="inlineStr">
        <is>
          <t>V1000681 - THAI PATANAKIT TRANSFORMER COMPANY LIMITED</t>
        </is>
      </c>
      <c r="W801" s="30" t="inlineStr">
        <is>
          <t>Recive bill and GRN already</t>
        </is>
      </c>
      <c r="X801" s="5" t="inlineStr">
        <is>
          <t>GRN2526-0000746</t>
        </is>
      </c>
      <c r="Y801" s="3" t="n">
        <v>45785</v>
      </c>
      <c r="AA801" s="17">
        <f>IF(RawDataGenPO[[#This Row],[Date Gen PO]]="","",RawDataGenPO[[#This Row],[Date recive bill]]-RawDataGenPO[[#This Row],[Date Gen PO]])</f>
        <v/>
      </c>
      <c r="AB801" s="16">
        <f>IF(RawDataGenPO[[#This Row],[GRN-PO date]]&gt;RawDataGenPO[[#This Row],[Lead time delivery (day)]],"over deliverry","Ontime")</f>
        <v/>
      </c>
      <c r="AC801" s="22" t="n"/>
    </row>
    <row r="802" ht="60" customHeight="1">
      <c r="A802" s="5">
        <f>ROW()-ROW(RawDataGenPO[[#Headers],[No.]])</f>
        <v/>
      </c>
      <c r="B802" s="7" t="inlineStr">
        <is>
          <t>Expent  cost</t>
        </is>
      </c>
      <c r="C802" s="301" t="n">
        <v>45640</v>
      </c>
      <c r="F802" s="301" t="n">
        <v>45640</v>
      </c>
      <c r="G802" s="5" t="inlineStr">
        <is>
          <t xml:space="preserve">PR2425-04899 </t>
        </is>
      </c>
      <c r="H802" s="5" t="inlineStr">
        <is>
          <t>PO2425-05431</t>
        </is>
      </c>
      <c r="I802" s="290">
        <f>IF(RawDataGenPO[[#This Row],[PO No.]]="","",RawDataGenPO[[#This Row],[DMY Create PR]]+7)</f>
        <v/>
      </c>
      <c r="J802" s="290" t="n"/>
      <c r="K802" s="20" t="n">
        <v>160</v>
      </c>
      <c r="L802" s="5" t="inlineStr">
        <is>
          <t>SFST81000009</t>
        </is>
      </c>
      <c r="M802" s="7" t="inlineStr">
        <is>
          <t>Electrical system out  PD area</t>
        </is>
      </c>
      <c r="N802" s="7" t="inlineStr">
        <is>
          <t>Electrical jobs</t>
        </is>
      </c>
      <c r="O802" s="11" t="n">
        <v>2</v>
      </c>
      <c r="P802" s="80" t="inlineStr">
        <is>
          <t>transformer size 100KVA
- filteroil
- replace high-voltage rubber gasket
- replace low-voltage rubber gasket</t>
        </is>
      </c>
      <c r="Q802" s="277" t="n">
        <v>1</v>
      </c>
      <c r="R802" s="5" t="inlineStr">
        <is>
          <t>SET.</t>
        </is>
      </c>
      <c r="S802" s="292">
        <f>RawDataGenPO[[#This Row],[Total price]]/RawDataGenPO[[#This Row],[Qty'']]</f>
        <v/>
      </c>
      <c r="T802" s="278" t="n">
        <v>9000</v>
      </c>
      <c r="U802" s="291" t="n"/>
      <c r="V802" s="7" t="inlineStr">
        <is>
          <t>V1000681 - THAI PATANAKIT TRANSFORMER COMPANY LIMITED</t>
        </is>
      </c>
      <c r="W802" s="30" t="inlineStr">
        <is>
          <t>Recive bill and GRN already</t>
        </is>
      </c>
      <c r="X802" s="5" t="inlineStr">
        <is>
          <t>GRN2526-0000746</t>
        </is>
      </c>
      <c r="Y802" s="3" t="n">
        <v>45785</v>
      </c>
      <c r="AA802" s="17">
        <f>IF(RawDataGenPO[[#This Row],[Date Gen PO]]="","",RawDataGenPO[[#This Row],[Date recive bill]]-RawDataGenPO[[#This Row],[Date Gen PO]])</f>
        <v/>
      </c>
      <c r="AB802" s="16">
        <f>IF(RawDataGenPO[[#This Row],[GRN-PO date]]&gt;RawDataGenPO[[#This Row],[Lead time delivery (day)]],"over deliverry","Ontime")</f>
        <v/>
      </c>
      <c r="AC802" s="22" t="n"/>
    </row>
    <row r="803" ht="30" customHeight="1">
      <c r="A803" s="5">
        <f>ROW()-ROW(RawDataGenPO[[#Headers],[No.]])</f>
        <v/>
      </c>
      <c r="B803" s="7" t="inlineStr">
        <is>
          <t>Expent  cost</t>
        </is>
      </c>
      <c r="C803" s="301" t="n">
        <v>45640</v>
      </c>
      <c r="F803" s="301" t="n">
        <v>45640</v>
      </c>
      <c r="G803" s="5" t="inlineStr">
        <is>
          <t xml:space="preserve">PR2425-04899 </t>
        </is>
      </c>
      <c r="H803" s="5" t="inlineStr">
        <is>
          <t>PO2425-05431</t>
        </is>
      </c>
      <c r="I803" s="290">
        <f>IF(RawDataGenPO[[#This Row],[PO No.]]="","",RawDataGenPO[[#This Row],[DMY Create PR]]+7)</f>
        <v/>
      </c>
      <c r="J803" s="290" t="n"/>
      <c r="K803" s="20" t="n">
        <v>160</v>
      </c>
      <c r="L803" s="5" t="inlineStr">
        <is>
          <t>SFST81000009</t>
        </is>
      </c>
      <c r="M803" s="7" t="inlineStr">
        <is>
          <t>Electrical system out  PD area</t>
        </is>
      </c>
      <c r="N803" s="7" t="inlineStr">
        <is>
          <t>Electrical jobs</t>
        </is>
      </c>
      <c r="O803" s="11" t="n">
        <v>3</v>
      </c>
      <c r="P803" s="80" t="inlineStr">
        <is>
          <t>transformer size 1250KVA
- filteroil</t>
        </is>
      </c>
      <c r="Q803" s="277" t="n">
        <v>1</v>
      </c>
      <c r="R803" s="5" t="inlineStr">
        <is>
          <t>SET.</t>
        </is>
      </c>
      <c r="S803" s="292">
        <f>RawDataGenPO[[#This Row],[Total price]]/RawDataGenPO[[#This Row],[Qty'']]</f>
        <v/>
      </c>
      <c r="T803" s="278" t="n">
        <v>10300</v>
      </c>
      <c r="U803" s="291" t="n"/>
      <c r="V803" s="7" t="inlineStr">
        <is>
          <t>V1000681 - THAI PATANAKIT TRANSFORMER COMPANY LIMITED</t>
        </is>
      </c>
      <c r="W803" s="30" t="inlineStr">
        <is>
          <t>Recive bill and GRN already</t>
        </is>
      </c>
      <c r="X803" s="5" t="inlineStr">
        <is>
          <t>GRN2526-0000746</t>
        </is>
      </c>
      <c r="Y803" s="3" t="n">
        <v>45785</v>
      </c>
      <c r="AA803" s="17">
        <f>IF(RawDataGenPO[[#This Row],[Date Gen PO]]="","",RawDataGenPO[[#This Row],[Date recive bill]]-RawDataGenPO[[#This Row],[Date Gen PO]])</f>
        <v/>
      </c>
      <c r="AB803" s="16">
        <f>IF(RawDataGenPO[[#This Row],[GRN-PO date]]&gt;RawDataGenPO[[#This Row],[Lead time delivery (day)]],"over deliverry","Ontime")</f>
        <v/>
      </c>
      <c r="AC803" s="22" t="n"/>
    </row>
    <row r="804" ht="15" customHeight="1">
      <c r="A804" s="5">
        <f>ROW()-ROW(RawDataGenPO[[#Headers],[No.]])</f>
        <v/>
      </c>
      <c r="B804" s="7" t="inlineStr">
        <is>
          <t>Expent  cost</t>
        </is>
      </c>
      <c r="C804" s="301" t="n">
        <v>45640</v>
      </c>
      <c r="F804" s="301" t="n">
        <v>45640</v>
      </c>
      <c r="G804" s="5" t="inlineStr">
        <is>
          <t xml:space="preserve">PR2425-04899 </t>
        </is>
      </c>
      <c r="H804" s="5" t="inlineStr">
        <is>
          <t>PO2425-05431</t>
        </is>
      </c>
      <c r="I804" s="290">
        <f>IF(RawDataGenPO[[#This Row],[PO No.]]="","",RawDataGenPO[[#This Row],[DMY Create PR]]+7)</f>
        <v/>
      </c>
      <c r="J804" s="290" t="n"/>
      <c r="K804" s="20" t="n">
        <v>160</v>
      </c>
      <c r="L804" s="5" t="inlineStr">
        <is>
          <t>SFST81000085</t>
        </is>
      </c>
      <c r="M804" s="7" t="inlineStr">
        <is>
          <t>Electrical system out  PD area</t>
        </is>
      </c>
      <c r="N804" s="7" t="inlineStr">
        <is>
          <t>Electrical jobs</t>
        </is>
      </c>
      <c r="O804" s="11" t="n">
        <v>4</v>
      </c>
      <c r="P804" s="80" t="inlineStr">
        <is>
          <t>vehicle transport cost</t>
        </is>
      </c>
      <c r="Q804" s="277" t="n">
        <v>1</v>
      </c>
      <c r="R804" s="5" t="inlineStr">
        <is>
          <t>SET.</t>
        </is>
      </c>
      <c r="S804" s="292">
        <f>RawDataGenPO[[#This Row],[Total price]]/RawDataGenPO[[#This Row],[Qty'']]</f>
        <v/>
      </c>
      <c r="T804" s="278" t="n">
        <v>10000</v>
      </c>
      <c r="U804" s="291" t="n"/>
      <c r="V804" s="7" t="inlineStr">
        <is>
          <t>V1000681 - THAI PATANAKIT TRANSFORMER COMPANY LIMITED</t>
        </is>
      </c>
      <c r="W804" s="30" t="inlineStr">
        <is>
          <t>Recive bill and GRN already</t>
        </is>
      </c>
      <c r="X804" s="5" t="inlineStr">
        <is>
          <t>GRN2526-0000746</t>
        </is>
      </c>
      <c r="Y804" s="3" t="n">
        <v>45785</v>
      </c>
      <c r="AA804" s="17">
        <f>IF(RawDataGenPO[[#This Row],[Date Gen PO]]="","",RawDataGenPO[[#This Row],[Date recive bill]]-RawDataGenPO[[#This Row],[Date Gen PO]])</f>
        <v/>
      </c>
      <c r="AB804" s="16">
        <f>IF(RawDataGenPO[[#This Row],[GRN-PO date]]&gt;RawDataGenPO[[#This Row],[Lead time delivery (day)]],"over deliverry","Ontime")</f>
        <v/>
      </c>
      <c r="AC804" s="22" t="n"/>
    </row>
    <row r="805" ht="30" customFormat="1" customHeight="1" s="125">
      <c r="A805" s="5">
        <f>ROW()-ROW(RawDataGenPO[[#Headers],[No.]])</f>
        <v/>
      </c>
      <c r="B805" s="7" t="inlineStr">
        <is>
          <t>Expent  cost</t>
        </is>
      </c>
      <c r="C805" s="301" t="n">
        <v>45640</v>
      </c>
      <c r="D805" s="276" t="n"/>
      <c r="E805" s="276" t="n"/>
      <c r="F805" s="301" t="n">
        <v>45640</v>
      </c>
      <c r="G805" s="5" t="inlineStr">
        <is>
          <t>PR2425-04900</t>
        </is>
      </c>
      <c r="H805" s="5" t="inlineStr">
        <is>
          <t>PO2425-05420</t>
        </is>
      </c>
      <c r="I805" s="290">
        <f>IF(RawDataGenPO[[#This Row],[PO No.]]="","",RawDataGenPO[[#This Row],[DMY Create PR]]+7)</f>
        <v/>
      </c>
      <c r="J805" s="290" t="n"/>
      <c r="K805" s="20" t="n">
        <v>45</v>
      </c>
      <c r="L805" s="5" t="inlineStr">
        <is>
          <t>SFST81000050</t>
        </is>
      </c>
      <c r="M805" s="7" t="inlineStr">
        <is>
          <t>Safety equipment</t>
        </is>
      </c>
      <c r="N805" s="7" t="inlineStr">
        <is>
          <t>Safety equipment</t>
        </is>
      </c>
      <c r="O805" s="11" t="n">
        <v>1</v>
      </c>
      <c r="P805" s="80" t="inlineStr">
        <is>
          <t>boots PVC headsteel white blue sole
Size: 44 = 2 pair , 45 = 2 pair</t>
        </is>
      </c>
      <c r="Q805" s="277" t="n">
        <v>4</v>
      </c>
      <c r="R805" s="5" t="inlineStr">
        <is>
          <t>PCS.</t>
        </is>
      </c>
      <c r="S805" s="292">
        <f>RawDataGenPO[[#This Row],[Total price]]/RawDataGenPO[[#This Row],[Qty'']]</f>
        <v/>
      </c>
      <c r="T805" s="278" t="n">
        <v>1440</v>
      </c>
      <c r="U805" s="291" t="n"/>
      <c r="V805" s="7" t="inlineStr">
        <is>
          <t>V1000224 - PHOL DHANYA PUBLIC CO.,LTD.</t>
        </is>
      </c>
      <c r="W805" s="30" t="inlineStr">
        <is>
          <t>Recive bill and GRN already</t>
        </is>
      </c>
      <c r="X805" s="5" t="inlineStr">
        <is>
          <t>GRN2425-0006759</t>
        </is>
      </c>
      <c r="Y805" s="3" t="n">
        <v>45685</v>
      </c>
      <c r="Z805" s="3" t="n"/>
      <c r="AA805" s="17">
        <f>IF(RawDataGenPO[[#This Row],[Date Gen PO]]="","",RawDataGenPO[[#This Row],[Date recive bill]]-RawDataGenPO[[#This Row],[Date Gen PO]])</f>
        <v/>
      </c>
      <c r="AB805" s="16">
        <f>IF(RawDataGenPO[[#This Row],[GRN-PO date]]&gt;RawDataGenPO[[#This Row],[Lead time delivery (day)]],"over deliverry","Ontime")</f>
        <v/>
      </c>
      <c r="AC805" s="22" t="n"/>
    </row>
    <row r="806" ht="30" customFormat="1" customHeight="1" s="125">
      <c r="A806" s="5">
        <f>ROW()-ROW(RawDataGenPO[[#Headers],[No.]])</f>
        <v/>
      </c>
      <c r="B806" s="7" t="inlineStr">
        <is>
          <t>Expent  cost</t>
        </is>
      </c>
      <c r="C806" s="301" t="n">
        <v>45640</v>
      </c>
      <c r="D806" s="276" t="n"/>
      <c r="E806" s="276" t="n"/>
      <c r="F806" s="301" t="n">
        <v>45640</v>
      </c>
      <c r="G806" s="5" t="inlineStr">
        <is>
          <t>PR2425-04900</t>
        </is>
      </c>
      <c r="H806" s="5" t="inlineStr">
        <is>
          <t>PO2425-05420</t>
        </is>
      </c>
      <c r="I806" s="290">
        <f>IF(RawDataGenPO[[#This Row],[PO No.]]="","",RawDataGenPO[[#This Row],[DMY Create PR]]+7)</f>
        <v/>
      </c>
      <c r="J806" s="290" t="n"/>
      <c r="K806" s="20" t="n">
        <v>45</v>
      </c>
      <c r="L806" s="5" t="inlineStr">
        <is>
          <t>SFST81000050</t>
        </is>
      </c>
      <c r="M806" s="7" t="inlineStr">
        <is>
          <t>Safety equipment</t>
        </is>
      </c>
      <c r="N806" s="7" t="inlineStr">
        <is>
          <t>Safety equipment</t>
        </is>
      </c>
      <c r="O806" s="11" t="n">
        <v>2</v>
      </c>
      <c r="P806" s="80" t="inlineStr">
        <is>
          <t>back support beltrear ERGOZO Heavy Duty
Size: M = 3 line , L = 3 line</t>
        </is>
      </c>
      <c r="Q806" s="277" t="n">
        <v>6</v>
      </c>
      <c r="R806" s="5" t="inlineStr">
        <is>
          <t>PCS.</t>
        </is>
      </c>
      <c r="S806" s="292">
        <f>RawDataGenPO[[#This Row],[Total price]]/RawDataGenPO[[#This Row],[Qty'']]</f>
        <v/>
      </c>
      <c r="T806" s="278" t="n">
        <v>1920</v>
      </c>
      <c r="U806" s="291" t="n"/>
      <c r="V806" s="7" t="inlineStr">
        <is>
          <t>V1000224 - PHOL DHANYA PUBLIC CO.,LTD.</t>
        </is>
      </c>
      <c r="W806" s="30" t="inlineStr">
        <is>
          <t>Recive bill and GRN already</t>
        </is>
      </c>
      <c r="X806" s="5" t="inlineStr">
        <is>
          <t>GRN2425-0006759</t>
        </is>
      </c>
      <c r="Y806" s="3" t="n">
        <v>45685</v>
      </c>
      <c r="Z806" s="3" t="n"/>
      <c r="AA806" s="17">
        <f>IF(RawDataGenPO[[#This Row],[Date Gen PO]]="","",RawDataGenPO[[#This Row],[Date recive bill]]-RawDataGenPO[[#This Row],[Date Gen PO]])</f>
        <v/>
      </c>
      <c r="AB806" s="16">
        <f>IF(RawDataGenPO[[#This Row],[GRN-PO date]]&gt;RawDataGenPO[[#This Row],[Lead time delivery (day)]],"over deliverry","Ontime")</f>
        <v/>
      </c>
      <c r="AC806" s="22" t="n"/>
    </row>
    <row r="807" ht="15" customHeight="1">
      <c r="A807" s="5">
        <f>ROW()-ROW(RawDataGenPO[[#Headers],[No.]])</f>
        <v/>
      </c>
      <c r="B807" s="7" t="inlineStr">
        <is>
          <t>Expent  cost</t>
        </is>
      </c>
      <c r="C807" s="301" t="n">
        <v>45642</v>
      </c>
      <c r="F807" s="301" t="n">
        <v>45642</v>
      </c>
      <c r="G807" s="5" t="inlineStr">
        <is>
          <t>PR2425-04903</t>
        </is>
      </c>
      <c r="H807" s="5" t="inlineStr">
        <is>
          <t>PO2425-05650</t>
        </is>
      </c>
      <c r="I807" s="332">
        <f>IF(RawDataGenPO[[#This Row],[PO No.]]="","",RawDataGenPO[[#This Row],[DMY Create PR]]+7)</f>
        <v/>
      </c>
      <c r="J807" s="332" t="n"/>
      <c r="K807" s="12" t="n">
        <v>180</v>
      </c>
      <c r="L807" s="5" t="inlineStr">
        <is>
          <t>SFST34000136</t>
        </is>
      </c>
      <c r="M807" s="7" t="inlineStr">
        <is>
          <t>Consumable part for MN</t>
        </is>
      </c>
      <c r="N807" s="7" t="inlineStr">
        <is>
          <t>Tool and Equipment</t>
        </is>
      </c>
      <c r="O807" s="11" t="n">
        <v>1</v>
      </c>
      <c r="P807" s="152" t="inlineStr">
        <is>
          <t xml:space="preserve"> argon gas 1.5 Q</t>
        </is>
      </c>
      <c r="Q807" s="277" t="n">
        <v>6</v>
      </c>
      <c r="R807" s="5" t="inlineStr">
        <is>
          <t>DURM.</t>
        </is>
      </c>
      <c r="S807" s="292">
        <f>RawDataGenPO[[#This Row],[Total price]]/RawDataGenPO[[#This Row],[Qty'']]</f>
        <v/>
      </c>
      <c r="T807" s="278" t="n">
        <v>2100</v>
      </c>
      <c r="U807" s="291" t="n"/>
      <c r="V807" s="7" t="inlineStr">
        <is>
          <t>V1000475 - Klong Karn Kha Trading,LTD.</t>
        </is>
      </c>
      <c r="W807" s="30" t="inlineStr">
        <is>
          <t>Recive bill and GRN already</t>
        </is>
      </c>
      <c r="X807" s="31" t="inlineStr">
        <is>
          <t>GRN2425-0007454,GRN2526-0001159,GRN2526-0001634</t>
        </is>
      </c>
      <c r="Y807" s="3" t="n">
        <v>45717</v>
      </c>
      <c r="AA807" s="4">
        <f>IF(RawDataGenPO[[#This Row],[Date Gen PO]]="","",RawDataGenPO[[#This Row],[Date recive bill]]-RawDataGenPO[[#This Row],[Date Gen PO]])</f>
        <v/>
      </c>
      <c r="AB807" s="3">
        <f>IF(RawDataGenPO[[#This Row],[GRN-PO date]]&gt;RawDataGenPO[[#This Row],[Lead time delivery (day)]],"over deliverry","Ontime")</f>
        <v/>
      </c>
      <c r="AC807" s="153" t="n"/>
    </row>
    <row r="808" ht="15" customHeight="1">
      <c r="A808" s="5">
        <f>ROW()-ROW(RawDataGenPO[[#Headers],[No.]])</f>
        <v/>
      </c>
      <c r="B808" s="7" t="inlineStr">
        <is>
          <t>Expent  cost</t>
        </is>
      </c>
      <c r="C808" s="301" t="n">
        <v>45642</v>
      </c>
      <c r="F808" s="301" t="n">
        <v>45642</v>
      </c>
      <c r="G808" s="5" t="inlineStr">
        <is>
          <t>PR2425-04903</t>
        </is>
      </c>
      <c r="H808" s="5" t="inlineStr">
        <is>
          <t>PO2425-05650</t>
        </is>
      </c>
      <c r="I808" s="290">
        <f>IF(RawDataGenPO[[#This Row],[PO No.]]="","",RawDataGenPO[[#This Row],[DMY Create PR]]+7)</f>
        <v/>
      </c>
      <c r="J808" s="290" t="n"/>
      <c r="K808" s="20" t="n">
        <v>180</v>
      </c>
      <c r="L808" s="5" t="inlineStr">
        <is>
          <t>SFST34000137</t>
        </is>
      </c>
      <c r="M808" s="7" t="inlineStr">
        <is>
          <t>Consumable part for MN</t>
        </is>
      </c>
      <c r="N808" s="7" t="inlineStr">
        <is>
          <t>Tool and Equipment</t>
        </is>
      </c>
      <c r="O808" s="11" t="n">
        <v>2</v>
      </c>
      <c r="P808" s="152" t="inlineStr">
        <is>
          <t>argon gas 6 Q</t>
        </is>
      </c>
      <c r="Q808" s="277" t="n">
        <v>2</v>
      </c>
      <c r="R808" s="5" t="inlineStr">
        <is>
          <t>DURM.</t>
        </is>
      </c>
      <c r="S808" s="292">
        <f>RawDataGenPO[[#This Row],[Total price]]/RawDataGenPO[[#This Row],[Qty'']]</f>
        <v/>
      </c>
      <c r="T808" s="278" t="n">
        <v>1800</v>
      </c>
      <c r="U808" s="291" t="n"/>
      <c r="V808" s="7" t="inlineStr">
        <is>
          <t>V1000475 - Klong Karn Kha Trading,LTD.</t>
        </is>
      </c>
      <c r="W808" s="30" t="inlineStr">
        <is>
          <t>Recive bill and GRN already</t>
        </is>
      </c>
      <c r="X808" s="31" t="inlineStr">
        <is>
          <t>GRN2526-0003378</t>
        </is>
      </c>
      <c r="Y808" s="3" t="n">
        <v>45895</v>
      </c>
      <c r="AA808" s="17">
        <f>IF(RawDataGenPO[[#This Row],[Date Gen PO]]="","",RawDataGenPO[[#This Row],[Date recive bill]]-RawDataGenPO[[#This Row],[Date Gen PO]])</f>
        <v/>
      </c>
      <c r="AB808" s="16">
        <f>IF(RawDataGenPO[[#This Row],[GRN-PO date]]&gt;RawDataGenPO[[#This Row],[Lead time delivery (day)]],"over deliverry","Ontime")</f>
        <v/>
      </c>
      <c r="AC808" s="86" t="n"/>
    </row>
    <row r="809" ht="30" customFormat="1" customHeight="1" s="125">
      <c r="A809" s="5">
        <f>ROW()-ROW(RawDataGenPO[[#Headers],[No.]])</f>
        <v/>
      </c>
      <c r="B809" s="7" t="inlineStr">
        <is>
          <t>Expent  cost</t>
        </is>
      </c>
      <c r="C809" s="301" t="n">
        <v>45646</v>
      </c>
      <c r="D809" s="276" t="n"/>
      <c r="E809" s="276" t="n"/>
      <c r="F809" s="301" t="n">
        <v>45646</v>
      </c>
      <c r="G809" s="5" t="inlineStr">
        <is>
          <t>PR2425-04959</t>
        </is>
      </c>
      <c r="H809" s="5" t="inlineStr">
        <is>
          <t>PO2425-05649</t>
        </is>
      </c>
      <c r="I809" s="290">
        <f>IF(RawDataGenPO[[#This Row],[PO No.]]="","",RawDataGenPO[[#This Row],[DMY Create PR]]+7)</f>
        <v/>
      </c>
      <c r="J809" s="290" t="n"/>
      <c r="K809" s="20" t="n">
        <v>45</v>
      </c>
      <c r="L809" s="5" t="inlineStr">
        <is>
          <t>SFST81000048</t>
        </is>
      </c>
      <c r="M809" s="7" t="inlineStr">
        <is>
          <t>PD Machine</t>
        </is>
      </c>
      <c r="N809" s="7" t="inlineStr">
        <is>
          <t>Vacuum Tumbler large No.3</t>
        </is>
      </c>
      <c r="O809" s="11" t="n">
        <v>1</v>
      </c>
      <c r="P809" s="80" t="inlineStr">
        <is>
          <t>Service chargeinletcheckmachine NOWICKI Vacuum Tumbler issue front display issue: cannot select Manual mode and Vacuum</t>
        </is>
      </c>
      <c r="Q809" s="277" t="n">
        <v>1</v>
      </c>
      <c r="R809" s="5" t="inlineStr">
        <is>
          <t>Job.</t>
        </is>
      </c>
      <c r="S809" s="292">
        <f>RawDataGenPO[[#This Row],[Total price]]/RawDataGenPO[[#This Row],[Qty'']]</f>
        <v/>
      </c>
      <c r="T809" s="278" t="n">
        <v>4400</v>
      </c>
      <c r="U809" s="291" t="n"/>
      <c r="V809" s="7" t="inlineStr">
        <is>
          <t>V1000666 - HITEC FOOD EQUIPMENT CO.,LTD.</t>
        </is>
      </c>
      <c r="W809" s="30" t="inlineStr">
        <is>
          <t>Recive bill and GRN already</t>
        </is>
      </c>
      <c r="X809" s="5" t="inlineStr">
        <is>
          <t>GRN2425-0006281</t>
        </is>
      </c>
      <c r="Y809" s="3" t="n">
        <v>45666</v>
      </c>
      <c r="Z809" s="3" t="n"/>
      <c r="AA809" s="17">
        <f>IF(RawDataGenPO[[#This Row],[Date Gen PO]]="","",RawDataGenPO[[#This Row],[Date recive bill]]-RawDataGenPO[[#This Row],[Date Gen PO]])</f>
        <v/>
      </c>
      <c r="AB809" s="16">
        <f>IF(RawDataGenPO[[#This Row],[GRN-PO date]]&gt;RawDataGenPO[[#This Row],[Lead time delivery (day)]],"over deliverry","Ontime")</f>
        <v/>
      </c>
      <c r="AC809" s="22" t="n"/>
    </row>
    <row r="810" ht="15" customFormat="1" customHeight="1" s="125">
      <c r="A810" s="5">
        <f>ROW()-ROW(RawDataGenPO[[#Headers],[No.]])</f>
        <v/>
      </c>
      <c r="B810" s="7" t="inlineStr">
        <is>
          <t>Expent  cost</t>
        </is>
      </c>
      <c r="C810" s="301" t="n">
        <v>45650</v>
      </c>
      <c r="D810" s="276" t="n"/>
      <c r="E810" s="276" t="n"/>
      <c r="F810" s="301" t="n">
        <v>45650</v>
      </c>
      <c r="G810" s="5" t="inlineStr">
        <is>
          <t>PR2425-04975</t>
        </is>
      </c>
      <c r="H810" s="5" t="inlineStr">
        <is>
          <t>PO2425-05648</t>
        </is>
      </c>
      <c r="I810" s="290">
        <f>IF(RawDataGenPO[[#This Row],[PO No.]]="","",RawDataGenPO[[#This Row],[DMY Create PR]]+7)</f>
        <v/>
      </c>
      <c r="J810" s="290" t="n"/>
      <c r="K810" s="20">
        <f>IF(RawDataGenPO[[#This Row],[PO No.]]="","",10)</f>
        <v/>
      </c>
      <c r="L810" s="5" t="inlineStr">
        <is>
          <t>SFST34000054</t>
        </is>
      </c>
      <c r="M810" s="7" t="inlineStr">
        <is>
          <t>Consumable part for MN</t>
        </is>
      </c>
      <c r="N810" s="7" t="inlineStr">
        <is>
          <t>Refrigerant</t>
        </is>
      </c>
      <c r="O810" s="11" t="n">
        <v>1</v>
      </c>
      <c r="P810" s="151" t="inlineStr">
        <is>
          <t>R507 Refrigerant,(1 Tank 11.3 kg/Tank)</t>
        </is>
      </c>
      <c r="Q810" s="293" t="n">
        <v>30</v>
      </c>
      <c r="R810" s="34" t="inlineStr">
        <is>
          <t>DURM.</t>
        </is>
      </c>
      <c r="S810" s="329">
        <f>RawDataGenPO[[#This Row],[Total price]]/RawDataGenPO[[#This Row],[Qty'']]</f>
        <v/>
      </c>
      <c r="T810" s="330" t="n">
        <v>75000</v>
      </c>
      <c r="U810" s="291" t="n"/>
      <c r="V810" s="7" t="inlineStr">
        <is>
          <t>V1000271 - 395 Shop Limited Partnership</t>
        </is>
      </c>
      <c r="W810" s="30" t="inlineStr">
        <is>
          <t>Recive bill and GRN already</t>
        </is>
      </c>
      <c r="X810" s="5" t="inlineStr">
        <is>
          <t>GRN2425-0006280</t>
        </is>
      </c>
      <c r="Y810" s="3" t="n">
        <v>45666</v>
      </c>
      <c r="Z810" s="3" t="n"/>
      <c r="AA810" s="17">
        <f>IF(RawDataGenPO[[#This Row],[Date Gen PO]]="","",RawDataGenPO[[#This Row],[Date recive bill]]-RawDataGenPO[[#This Row],[Date Gen PO]])</f>
        <v/>
      </c>
      <c r="AB810" s="16">
        <f>IF(RawDataGenPO[[#This Row],[GRN-PO date]]&gt;RawDataGenPO[[#This Row],[Lead time delivery (day)]],"over deliverry","Ontime")</f>
        <v/>
      </c>
      <c r="AC810" s="22" t="n"/>
    </row>
    <row r="811" ht="30" customFormat="1" customHeight="1" s="125">
      <c r="A811" s="5">
        <f>ROW()-ROW(RawDataGenPO[[#Headers],[No.]])</f>
        <v/>
      </c>
      <c r="B811" s="7" t="inlineStr">
        <is>
          <t>Expent  cost</t>
        </is>
      </c>
      <c r="C811" s="301" t="n">
        <v>45650</v>
      </c>
      <c r="D811" s="276" t="n"/>
      <c r="E811" s="276" t="n"/>
      <c r="F811" s="301" t="n">
        <v>45650</v>
      </c>
      <c r="G811" s="5" t="inlineStr">
        <is>
          <t>PR2425-04976</t>
        </is>
      </c>
      <c r="H811" s="5" t="inlineStr">
        <is>
          <t>PO2425-05647</t>
        </is>
      </c>
      <c r="I811" s="290">
        <f>IF(RawDataGenPO[[#This Row],[PO No.]]="","",RawDataGenPO[[#This Row],[DMY Create PR]]+7)</f>
        <v/>
      </c>
      <c r="J811" s="290" t="n"/>
      <c r="K811" s="20" t="n">
        <v>45</v>
      </c>
      <c r="L811" s="5" t="inlineStr">
        <is>
          <t>SFST81000009</t>
        </is>
      </c>
      <c r="M811" s="7" t="inlineStr">
        <is>
          <t>PD Machine</t>
        </is>
      </c>
      <c r="N811" s="7" t="inlineStr">
        <is>
          <t>Bowl Cutter (Chopper) No.1</t>
        </is>
      </c>
      <c r="O811" s="11" t="n">
        <v>1</v>
      </c>
      <c r="P811" s="80" t="inlineStr">
        <is>
          <t>O-Ring for Bowl Cutter CM120STL #SN 420/1217
Part No. 264 A 044 O-Ring for unloader screen</t>
        </is>
      </c>
      <c r="Q811" s="277" t="n">
        <v>1</v>
      </c>
      <c r="R811" s="5" t="inlineStr">
        <is>
          <t>PCS.</t>
        </is>
      </c>
      <c r="S811" s="292">
        <f>RawDataGenPO[[#This Row],[Total price]]/RawDataGenPO[[#This Row],[Qty'']]</f>
        <v/>
      </c>
      <c r="T811" s="278" t="n">
        <v>5508</v>
      </c>
      <c r="U811" s="291" t="n"/>
      <c r="V811" s="7" t="inlineStr">
        <is>
          <t>V1000189 - FPT FOOD PROCESS TECHNOLOGY CO., LTD.</t>
        </is>
      </c>
      <c r="W811" s="30" t="inlineStr">
        <is>
          <t>Recive bill and GRN already</t>
        </is>
      </c>
      <c r="X811" s="5" t="inlineStr">
        <is>
          <t>GRN2425-0006568</t>
        </is>
      </c>
      <c r="Y811" s="3" t="n">
        <v>45677</v>
      </c>
      <c r="Z811" s="3" t="n"/>
      <c r="AA811" s="17">
        <f>IF(RawDataGenPO[[#This Row],[Date Gen PO]]="","",RawDataGenPO[[#This Row],[Date recive bill]]-RawDataGenPO[[#This Row],[Date Gen PO]])</f>
        <v/>
      </c>
      <c r="AB811" s="16">
        <f>IF(RawDataGenPO[[#This Row],[GRN-PO date]]&gt;RawDataGenPO[[#This Row],[Lead time delivery (day)]],"over deliverry","Ontime")</f>
        <v/>
      </c>
      <c r="AC811" s="22" t="n"/>
    </row>
    <row r="812" ht="15" customHeight="1">
      <c r="A812" s="5">
        <f>ROW()-ROW(RawDataGenPO[[#Headers],[No.]])</f>
        <v/>
      </c>
      <c r="B812" s="7" t="inlineStr">
        <is>
          <t>Expent  cost</t>
        </is>
      </c>
      <c r="C812" s="301" t="n">
        <v>45651</v>
      </c>
      <c r="F812" s="301" t="n">
        <v>45651</v>
      </c>
      <c r="G812" s="5" t="inlineStr">
        <is>
          <t>PR2425-05013</t>
        </is>
      </c>
      <c r="H812" s="5" t="inlineStr">
        <is>
          <t>PO2425-05646</t>
        </is>
      </c>
      <c r="I812" s="290">
        <f>IF(RawDataGenPO[[#This Row],[PO No.]]="","",RawDataGenPO[[#This Row],[DMY Create PR]]+7)</f>
        <v/>
      </c>
      <c r="J812" s="290" t="n"/>
      <c r="K812" s="20" t="n">
        <v>100</v>
      </c>
      <c r="L812" s="5" t="inlineStr">
        <is>
          <t>SFST81000009</t>
        </is>
      </c>
      <c r="M812" s="7" t="inlineStr">
        <is>
          <t>Tool and Equipment PD M/C</t>
        </is>
      </c>
      <c r="N812" s="7" t="inlineStr">
        <is>
          <t>Tool and Equipment</t>
        </is>
      </c>
      <c r="O812" s="11" t="n">
        <v>1</v>
      </c>
      <c r="P812" s="80" t="inlineStr">
        <is>
          <t>Safety Valve VYC 1" (Brass) Model 095 AP PD9.2 Bar</t>
        </is>
      </c>
      <c r="Q812" s="277" t="n">
        <v>1</v>
      </c>
      <c r="R812" s="5" t="inlineStr">
        <is>
          <t>PCS.</t>
        </is>
      </c>
      <c r="S812" s="292" t="n">
        <v>27000</v>
      </c>
      <c r="T812" s="278" t="n">
        <v>27000</v>
      </c>
      <c r="U812" s="291" t="n"/>
      <c r="V812" s="7" t="inlineStr">
        <is>
          <t xml:space="preserve"> V1000690 - PAKO ENGINEERING COMPANY LIMITED</t>
        </is>
      </c>
      <c r="W812" s="30" t="inlineStr">
        <is>
          <t>Recive bill and GRN already</t>
        </is>
      </c>
      <c r="X812" s="5" t="inlineStr">
        <is>
          <t>GRN2425-0008176</t>
        </is>
      </c>
      <c r="Y812" s="3" t="n">
        <v>45747</v>
      </c>
      <c r="AA812" s="17">
        <f>IF(RawDataGenPO[[#This Row],[Date Gen PO]]="","",RawDataGenPO[[#This Row],[Date recive bill]]-RawDataGenPO[[#This Row],[Date Gen PO]])</f>
        <v/>
      </c>
      <c r="AB812" s="16">
        <f>IF(RawDataGenPO[[#This Row],[GRN-PO date]]&gt;RawDataGenPO[[#This Row],[Lead time delivery (day)]],"over deliverry","Ontime")</f>
        <v/>
      </c>
      <c r="AC812" s="22" t="n"/>
    </row>
    <row r="813" ht="180" customFormat="1" customHeight="1" s="125">
      <c r="A813" s="5">
        <f>ROW()-ROW(RawDataGenPO[[#Headers],[No.]])</f>
        <v/>
      </c>
      <c r="B813" s="7" t="inlineStr">
        <is>
          <t>Expent  cost</t>
        </is>
      </c>
      <c r="C813" s="301" t="n">
        <v>45651</v>
      </c>
      <c r="D813" s="276" t="n"/>
      <c r="E813" s="276" t="n"/>
      <c r="F813" s="301" t="n">
        <v>45651</v>
      </c>
      <c r="G813" s="5" t="inlineStr">
        <is>
          <t>PR2425-05014</t>
        </is>
      </c>
      <c r="H813" s="5" t="inlineStr">
        <is>
          <t>PO2425-05976</t>
        </is>
      </c>
      <c r="I813" s="290">
        <f>IF(RawDataGenPO[[#This Row],[PO No.]]="","",RawDataGenPO[[#This Row],[DMY Create PR]]+7)</f>
        <v/>
      </c>
      <c r="J813" s="290" t="n"/>
      <c r="K813" s="20" t="n">
        <v>45</v>
      </c>
      <c r="L813" s="5" t="inlineStr">
        <is>
          <t>SFST81000048</t>
        </is>
      </c>
      <c r="M813" s="7" t="inlineStr">
        <is>
          <t>Civill jobs (Floor-Wall-Celling-roof)</t>
        </is>
      </c>
      <c r="N813" s="7" t="inlineStr">
        <is>
          <t>Cevil jobs</t>
        </is>
      </c>
      <c r="O813" s="5" t="n">
        <v>1</v>
      </c>
      <c r="P813" s="80" t="inlineStr">
        <is>
          <t>Repair workgeneral repair monthly
work
- steel welding work
- Repair workfloorthat is damagedsizesmall andrepair cement edge
- silicone sealing work
- replace light tube
- general painting work
- other internal rectification work
- carry out work 2 times every 2 months (perform on 2 non-working days)
- materials to be prepared by contractor
- work plan details to be set and informed in advance by contractor
- claim labor cost for each work cycle</t>
        </is>
      </c>
      <c r="Q813" s="277" t="n">
        <v>1</v>
      </c>
      <c r="R813" s="5" t="inlineStr">
        <is>
          <t>Job.</t>
        </is>
      </c>
      <c r="S813" s="292">
        <f>RawDataGenPO[[#This Row],[Total price]]/RawDataGenPO[[#This Row],[Qty'']]</f>
        <v/>
      </c>
      <c r="T813" s="278" t="n">
        <v>45000</v>
      </c>
      <c r="U813" s="291" t="n"/>
      <c r="V813" s="7" t="inlineStr">
        <is>
          <t>V1000757 - GOLDEN ENGINEERING &amp; PART COMPANY LIMITED</t>
        </is>
      </c>
      <c r="W813" s="30" t="inlineStr">
        <is>
          <t>Recive bill and GRN already</t>
        </is>
      </c>
      <c r="X813" s="5" t="inlineStr">
        <is>
          <t>GRN2425-0007099</t>
        </is>
      </c>
      <c r="Y813" s="3" t="n">
        <v>45700</v>
      </c>
      <c r="Z813" s="3" t="n"/>
      <c r="AA813" s="17">
        <f>IF(RawDataGenPO[[#This Row],[Date Gen PO]]="","",RawDataGenPO[[#This Row],[Date recive bill]]-RawDataGenPO[[#This Row],[Date Gen PO]])</f>
        <v/>
      </c>
      <c r="AB813" s="16">
        <f>IF(RawDataGenPO[[#This Row],[GRN-PO date]]&gt;RawDataGenPO[[#This Row],[Lead time delivery (day)]],"over deliverry","Ontime")</f>
        <v/>
      </c>
      <c r="AC813" s="22" t="n"/>
    </row>
    <row r="814" ht="15" customFormat="1" customHeight="1" s="125">
      <c r="A814" s="5">
        <f>ROW()-ROW(RawDataGenPO[[#Headers],[No.]])</f>
        <v/>
      </c>
      <c r="B814" s="7" t="inlineStr">
        <is>
          <t>Expent  cost</t>
        </is>
      </c>
      <c r="C814" s="301" t="n">
        <v>45651</v>
      </c>
      <c r="D814" s="276" t="n"/>
      <c r="E814" s="276" t="n"/>
      <c r="F814" s="301" t="n">
        <v>45651</v>
      </c>
      <c r="G814" s="5" t="inlineStr">
        <is>
          <t xml:space="preserve">PR2425-05015 </t>
        </is>
      </c>
      <c r="H814" s="5" t="inlineStr">
        <is>
          <t>PO2425-05645</t>
        </is>
      </c>
      <c r="I814" s="290">
        <f>IF(RawDataGenPO[[#This Row],[PO No.]]="","",RawDataGenPO[[#This Row],[DMY Create PR]]+7)</f>
        <v/>
      </c>
      <c r="J814" s="290" t="n"/>
      <c r="K814" s="20" t="n">
        <v>45</v>
      </c>
      <c r="L814" s="5" t="inlineStr">
        <is>
          <t>SFST81000009</t>
        </is>
      </c>
      <c r="M814" s="7" t="inlineStr">
        <is>
          <t>Tool and Equipment  Engineering</t>
        </is>
      </c>
      <c r="N814" s="7" t="inlineStr">
        <is>
          <t>Tool and Equipment</t>
        </is>
      </c>
      <c r="O814" s="11" t="n">
        <v>1</v>
      </c>
      <c r="P814" s="80" t="inlineStr">
        <is>
          <t>PERMATEX" model P-51D pipe thread sealant 16 black</t>
        </is>
      </c>
      <c r="Q814" s="277" t="n">
        <v>2</v>
      </c>
      <c r="R814" s="5" t="inlineStr">
        <is>
          <t>PCS.</t>
        </is>
      </c>
      <c r="S814" s="292">
        <f>RawDataGenPO[[#This Row],[Total price]]/RawDataGenPO[[#This Row],[Qty'']]</f>
        <v/>
      </c>
      <c r="T814" s="278" t="n">
        <v>1780</v>
      </c>
      <c r="U814" s="291" t="n"/>
      <c r="V814" s="7" t="inlineStr">
        <is>
          <t>V1000259 - JJP SUPPLY CO., LTD</t>
        </is>
      </c>
      <c r="W814" s="30" t="inlineStr">
        <is>
          <t>Recive bill and GRN already</t>
        </is>
      </c>
      <c r="X814" s="5" t="inlineStr">
        <is>
          <t>GRN2425-0006533</t>
        </is>
      </c>
      <c r="Y814" s="3" t="n">
        <v>45674</v>
      </c>
      <c r="Z814" s="3" t="n"/>
      <c r="AA814" s="17">
        <f>IF(RawDataGenPO[[#This Row],[Date Gen PO]]="","",RawDataGenPO[[#This Row],[Date recive bill]]-RawDataGenPO[[#This Row],[Date Gen PO]])</f>
        <v/>
      </c>
      <c r="AB814" s="16">
        <f>IF(RawDataGenPO[[#This Row],[GRN-PO date]]&gt;RawDataGenPO[[#This Row],[Lead time delivery (day)]],"over deliverry","Ontime")</f>
        <v/>
      </c>
      <c r="AC814" s="22" t="n"/>
    </row>
    <row r="815" ht="15" customFormat="1" customHeight="1" s="125">
      <c r="A815" s="5">
        <f>ROW()-ROW(RawDataGenPO[[#Headers],[No.]])</f>
        <v/>
      </c>
      <c r="B815" s="7" t="inlineStr">
        <is>
          <t>Expent  cost</t>
        </is>
      </c>
      <c r="C815" s="301" t="n">
        <v>45651</v>
      </c>
      <c r="D815" s="276" t="n"/>
      <c r="E815" s="276" t="n"/>
      <c r="F815" s="301" t="n">
        <v>45651</v>
      </c>
      <c r="G815" s="5" t="inlineStr">
        <is>
          <t xml:space="preserve">PR2425-05017 </t>
        </is>
      </c>
      <c r="H815" s="5" t="inlineStr">
        <is>
          <t>PO2425-05643</t>
        </is>
      </c>
      <c r="I815" s="290" t="n">
        <v>45529</v>
      </c>
      <c r="J815" s="290" t="n"/>
      <c r="K815" s="20">
        <f>IF(RawDataGenPO[[#This Row],[PO No.]]="","",10)</f>
        <v/>
      </c>
      <c r="L815" s="5" t="inlineStr">
        <is>
          <t>SFST81000009</t>
        </is>
      </c>
      <c r="M815" s="7" t="inlineStr">
        <is>
          <t>Utility Jobs  (Boiler-Air compress-Transformer-LPG)</t>
        </is>
      </c>
      <c r="N815" s="7" t="inlineStr">
        <is>
          <t>Cooling system jobs</t>
        </is>
      </c>
      <c r="O815" s="11" t="n">
        <v>1</v>
      </c>
      <c r="P815" s="80" t="inlineStr">
        <is>
          <t>CASTEL"Globe Valve 1-5/8"</t>
        </is>
      </c>
      <c r="Q815" s="277" t="n">
        <v>1</v>
      </c>
      <c r="R815" s="5" t="inlineStr">
        <is>
          <t>PCS.</t>
        </is>
      </c>
      <c r="S815" s="292">
        <f>RawDataGenPO[[#This Row],[Total price]]/RawDataGenPO[[#This Row],[Qty'']]</f>
        <v/>
      </c>
      <c r="T815" s="278" t="n">
        <v>7000</v>
      </c>
      <c r="U815" s="291" t="n"/>
      <c r="V815" s="7" t="n"/>
      <c r="W815" s="30" t="inlineStr">
        <is>
          <t>Recive bill and GRN already</t>
        </is>
      </c>
      <c r="X815" s="5" t="inlineStr">
        <is>
          <t>GRN2425-0006319</t>
        </is>
      </c>
      <c r="Y815" s="3" t="n">
        <v>45536</v>
      </c>
      <c r="Z815" s="3" t="n"/>
      <c r="AA815" s="17">
        <f>IF(RawDataGenPO[[#This Row],[Date Gen PO]]="","",RawDataGenPO[[#This Row],[Date recive bill]]-RawDataGenPO[[#This Row],[Date Gen PO]])</f>
        <v/>
      </c>
      <c r="AB815" s="16">
        <f>IF(RawDataGenPO[[#This Row],[GRN-PO date]]&gt;RawDataGenPO[[#This Row],[Lead time delivery (day)]],"over deliverry","Ontime")</f>
        <v/>
      </c>
      <c r="AC815" s="22" t="n"/>
    </row>
    <row r="816" ht="45" customFormat="1" customHeight="1" s="125">
      <c r="A816" s="5">
        <f>ROW()-ROW(RawDataGenPO[[#Headers],[No.]])</f>
        <v/>
      </c>
      <c r="B816" s="7" t="inlineStr">
        <is>
          <t>Expent  cost</t>
        </is>
      </c>
      <c r="C816" s="301" t="n">
        <v>45651</v>
      </c>
      <c r="D816" s="276" t="n"/>
      <c r="E816" s="276" t="n"/>
      <c r="F816" s="301" t="n">
        <v>45651</v>
      </c>
      <c r="G816" s="5" t="inlineStr">
        <is>
          <t xml:space="preserve">PR2425-05017 </t>
        </is>
      </c>
      <c r="H816" s="5" t="inlineStr">
        <is>
          <t>PO2425-05643</t>
        </is>
      </c>
      <c r="I816" s="290" t="n">
        <v>45529</v>
      </c>
      <c r="J816" s="290" t="n"/>
      <c r="K816" s="20">
        <f>IF(RawDataGenPO[[#This Row],[PO No.]]="","",10)</f>
        <v/>
      </c>
      <c r="L816" s="5" t="inlineStr">
        <is>
          <t>SFST81000009</t>
        </is>
      </c>
      <c r="M816" s="7" t="inlineStr">
        <is>
          <t>Utility Jobs  (Boiler-Air compress-Transformer-LPG)</t>
        </is>
      </c>
      <c r="N816" s="7" t="inlineStr">
        <is>
          <t>Cooling system jobs</t>
        </is>
      </c>
      <c r="O816" s="11" t="n">
        <v>2</v>
      </c>
      <c r="P816" s="80" t="inlineStr">
        <is>
          <t>Service charge + travel cost
- runmachine, Vacuum
-test run</t>
        </is>
      </c>
      <c r="Q816" s="277" t="n">
        <v>1</v>
      </c>
      <c r="R816" s="5" t="inlineStr">
        <is>
          <t>PCS.</t>
        </is>
      </c>
      <c r="S816" s="292">
        <f>RawDataGenPO[[#This Row],[Total price]]/RawDataGenPO[[#This Row],[Qty'']]</f>
        <v/>
      </c>
      <c r="T816" s="278" t="n">
        <v>5000</v>
      </c>
      <c r="U816" s="291" t="n"/>
      <c r="V816" s="7" t="n"/>
      <c r="W816" s="30" t="inlineStr">
        <is>
          <t>Recive bill and GRN already</t>
        </is>
      </c>
      <c r="X816" s="5" t="inlineStr">
        <is>
          <t>GRN2425-0006319</t>
        </is>
      </c>
      <c r="Y816" s="3" t="n">
        <v>45536</v>
      </c>
      <c r="Z816" s="3" t="n"/>
      <c r="AA816" s="17">
        <f>IF(RawDataGenPO[[#This Row],[Date Gen PO]]="","",RawDataGenPO[[#This Row],[Date recive bill]]-RawDataGenPO[[#This Row],[Date Gen PO]])</f>
        <v/>
      </c>
      <c r="AB816" s="16">
        <f>IF(RawDataGenPO[[#This Row],[GRN-PO date]]&gt;RawDataGenPO[[#This Row],[Lead time delivery (day)]],"over deliverry","Ontime")</f>
        <v/>
      </c>
      <c r="AC816" s="22" t="n"/>
    </row>
    <row r="817" ht="15" customFormat="1" customHeight="1" s="125">
      <c r="A817" s="5">
        <f>ROW()-ROW(RawDataGenPO[[#Headers],[No.]])</f>
        <v/>
      </c>
      <c r="B817" s="7" t="inlineStr">
        <is>
          <t>Expent  cost</t>
        </is>
      </c>
      <c r="C817" s="301" t="n">
        <v>45651</v>
      </c>
      <c r="D817" s="276" t="n"/>
      <c r="E817" s="276" t="n"/>
      <c r="F817" s="301" t="n">
        <v>45651</v>
      </c>
      <c r="G817" s="5" t="inlineStr">
        <is>
          <t>PR2425-05041</t>
        </is>
      </c>
      <c r="H817" s="5" t="inlineStr">
        <is>
          <t>PO2425-05771</t>
        </is>
      </c>
      <c r="I817" s="290">
        <f>IF(RawDataGenPO[[#This Row],[PO No.]]="","",RawDataGenPO[[#This Row],[DMY Create PR]]+7)</f>
        <v/>
      </c>
      <c r="J817" s="290" t="n"/>
      <c r="K817" s="20" t="n">
        <v>45</v>
      </c>
      <c r="L817" s="5" t="inlineStr">
        <is>
          <t>SFST81000048</t>
        </is>
      </c>
      <c r="M817" s="7" t="inlineStr">
        <is>
          <t>PD Machine</t>
        </is>
      </c>
      <c r="N817" s="7" t="inlineStr">
        <is>
          <t>Combi oven No.3</t>
        </is>
      </c>
      <c r="O817" s="11" t="n">
        <v>1</v>
      </c>
      <c r="P817" s="80" t="inlineStr">
        <is>
          <t>Service charge</t>
        </is>
      </c>
      <c r="Q817" s="277" t="n">
        <v>1</v>
      </c>
      <c r="R817" s="5" t="inlineStr">
        <is>
          <t>JOB.</t>
        </is>
      </c>
      <c r="S817" s="292">
        <f>RawDataGenPO[[#This Row],[Total price]]/RawDataGenPO[[#This Row],[Qty'']]</f>
        <v/>
      </c>
      <c r="T817" s="278" t="n">
        <v>6700</v>
      </c>
      <c r="U817" s="291" t="n"/>
      <c r="V817" s="7" t="inlineStr">
        <is>
          <t>V1000460 - FIX EVOLUTION CO., LTD.</t>
        </is>
      </c>
      <c r="W817" s="30" t="inlineStr">
        <is>
          <t>Recive bill and GRN already</t>
        </is>
      </c>
      <c r="X817" s="5" t="inlineStr">
        <is>
          <t>GRN2425-0006418</t>
        </is>
      </c>
      <c r="Y817" s="3" t="n">
        <v>45671</v>
      </c>
      <c r="Z817" s="3" t="n"/>
      <c r="AA817" s="17">
        <f>IF(RawDataGenPO[[#This Row],[Date Gen PO]]="","",RawDataGenPO[[#This Row],[Date recive bill]]-RawDataGenPO[[#This Row],[Date Gen PO]])</f>
        <v/>
      </c>
      <c r="AB817" s="16">
        <f>IF(RawDataGenPO[[#This Row],[GRN-PO date]]&gt;RawDataGenPO[[#This Row],[Lead time delivery (day)]],"over deliverry","Ontime")</f>
        <v/>
      </c>
      <c r="AC817" s="22" t="n"/>
    </row>
    <row r="818" ht="15" customFormat="1" customHeight="1" s="125">
      <c r="A818" s="5">
        <f>ROW()-ROW(RawDataGenPO[[#Headers],[No.]])</f>
        <v/>
      </c>
      <c r="B818" s="7" t="inlineStr">
        <is>
          <t>Expent  cost</t>
        </is>
      </c>
      <c r="C818" s="301" t="n">
        <v>45653</v>
      </c>
      <c r="D818" s="276" t="n"/>
      <c r="E818" s="276" t="n"/>
      <c r="F818" s="301" t="n">
        <v>45653</v>
      </c>
      <c r="G818" s="5" t="inlineStr">
        <is>
          <t>PR2425-05041</t>
        </is>
      </c>
      <c r="H818" s="5" t="inlineStr">
        <is>
          <t>PO2425-05771</t>
        </is>
      </c>
      <c r="I818" s="290">
        <f>IF(RawDataGenPO[[#This Row],[PO No.]]="","",RawDataGenPO[[#This Row],[DMY Create PR]]+7)</f>
        <v/>
      </c>
      <c r="J818" s="290" t="n"/>
      <c r="K818" s="20" t="n">
        <v>45</v>
      </c>
      <c r="L818" s="5" t="inlineStr">
        <is>
          <t>SFST81000048</t>
        </is>
      </c>
      <c r="M818" s="7" t="inlineStr">
        <is>
          <t>PD Machine</t>
        </is>
      </c>
      <c r="N818" s="7" t="inlineStr">
        <is>
          <t>Combi oven No.3</t>
        </is>
      </c>
      <c r="O818" s="11" t="n">
        <v>2</v>
      </c>
      <c r="P818" s="80" t="inlineStr">
        <is>
          <t>87.01.297 Control transformer T1 with</t>
        </is>
      </c>
      <c r="Q818" s="277" t="n">
        <v>1</v>
      </c>
      <c r="R818" s="5" t="inlineStr">
        <is>
          <t>JOB.</t>
        </is>
      </c>
      <c r="S818" s="292">
        <f>RawDataGenPO[[#This Row],[Total price]]/RawDataGenPO[[#This Row],[Qty'']]</f>
        <v/>
      </c>
      <c r="T818" s="278" t="n">
        <v>3000</v>
      </c>
      <c r="U818" s="291" t="n"/>
      <c r="V818" s="7" t="inlineStr">
        <is>
          <t>V1000460 - FIX EVOLUTION CO., LTD.</t>
        </is>
      </c>
      <c r="W818" s="30" t="inlineStr">
        <is>
          <t>Recive bill and GRN already</t>
        </is>
      </c>
      <c r="X818" s="5" t="inlineStr">
        <is>
          <t>GRN2425-0006417</t>
        </is>
      </c>
      <c r="Y818" s="3" t="n">
        <v>45671</v>
      </c>
      <c r="Z818" s="3" t="n"/>
      <c r="AA818" s="17">
        <f>IF(RawDataGenPO[[#This Row],[Date Gen PO]]="","",RawDataGenPO[[#This Row],[Date recive bill]]-RawDataGenPO[[#This Row],[Date Gen PO]])</f>
        <v/>
      </c>
      <c r="AB818" s="16">
        <f>IF(RawDataGenPO[[#This Row],[GRN-PO date]]&gt;RawDataGenPO[[#This Row],[Lead time delivery (day)]],"over deliverry","Ontime")</f>
        <v/>
      </c>
      <c r="AC818" s="22" t="n"/>
    </row>
    <row r="819" ht="15" customFormat="1" customHeight="1" s="125">
      <c r="A819" s="5">
        <f>ROW()-ROW(RawDataGenPO[[#Headers],[No.]])</f>
        <v/>
      </c>
      <c r="B819" s="7" t="inlineStr">
        <is>
          <t>Expent  cost</t>
        </is>
      </c>
      <c r="C819" s="281" t="n">
        <v>45661</v>
      </c>
      <c r="D819" s="276" t="n"/>
      <c r="E819" s="276" t="n"/>
      <c r="F819" s="281" t="n">
        <v>45661</v>
      </c>
      <c r="G819" s="5" t="inlineStr">
        <is>
          <t>PR2425-05103</t>
        </is>
      </c>
      <c r="H819" s="5" t="inlineStr">
        <is>
          <t>PO2425-05781</t>
        </is>
      </c>
      <c r="I819" s="290">
        <f>IF(RawDataGenPO[[#This Row],[PO No.]]="","",RawDataGenPO[[#This Row],[DMY Create PR]]+7)</f>
        <v/>
      </c>
      <c r="J819" s="290" t="n"/>
      <c r="K819" s="20">
        <f>IF(RawDataGenPO[[#This Row],[PO No.]]="","",10)</f>
        <v/>
      </c>
      <c r="L819" s="5" t="inlineStr">
        <is>
          <t>SFST81000048</t>
        </is>
      </c>
      <c r="M819" s="7" t="inlineStr">
        <is>
          <t>PD Machine</t>
        </is>
      </c>
      <c r="N819" s="7" t="inlineStr">
        <is>
          <t>Combi oven No.4</t>
        </is>
      </c>
      <c r="O819" s="11" t="n">
        <v>1</v>
      </c>
      <c r="P819" s="80" t="inlineStr">
        <is>
          <t>Service charge Combi oven No.1-4</t>
        </is>
      </c>
      <c r="Q819" s="277" t="n">
        <v>1</v>
      </c>
      <c r="R819" s="5" t="inlineStr">
        <is>
          <t>JOB.</t>
        </is>
      </c>
      <c r="S819" s="292">
        <f>RawDataGenPO[[#This Row],[Total price]]/RawDataGenPO[[#This Row],[Qty'']]</f>
        <v/>
      </c>
      <c r="T819" s="278" t="n">
        <v>5000</v>
      </c>
      <c r="U819" s="291" t="n"/>
      <c r="V819" s="7" t="inlineStr">
        <is>
          <t>V1000460 - FIX EVOLUTION CO., LTD.</t>
        </is>
      </c>
      <c r="W819" s="30" t="inlineStr">
        <is>
          <t>Recive bill and GRN already</t>
        </is>
      </c>
      <c r="X819" s="5" t="inlineStr">
        <is>
          <t>GRN2425-0006419</t>
        </is>
      </c>
      <c r="Y819" s="3" t="n">
        <v>45671</v>
      </c>
      <c r="Z819" s="3" t="n"/>
      <c r="AA819" s="17">
        <f>IF(RawDataGenPO[[#This Row],[Date Gen PO]]="","",RawDataGenPO[[#This Row],[Date recive bill]]-RawDataGenPO[[#This Row],[Date Gen PO]])</f>
        <v/>
      </c>
      <c r="AB819" s="16">
        <f>IF(RawDataGenPO[[#This Row],[GRN-PO date]]&gt;RawDataGenPO[[#This Row],[Lead time delivery (day)]],"over deliverry","Ontime")</f>
        <v/>
      </c>
      <c r="AC819" s="22" t="n"/>
    </row>
    <row r="820" ht="15" customFormat="1" customHeight="1" s="125">
      <c r="A820" s="5">
        <f>ROW()-ROW(RawDataGenPO[[#Headers],[No.]])</f>
        <v/>
      </c>
      <c r="B820" s="7" t="inlineStr">
        <is>
          <t>Expent  cost</t>
        </is>
      </c>
      <c r="C820" s="281" t="n">
        <v>45663</v>
      </c>
      <c r="D820" s="276" t="n"/>
      <c r="E820" s="276" t="n"/>
      <c r="F820" s="281" t="n">
        <v>45663</v>
      </c>
      <c r="G820" s="5" t="inlineStr">
        <is>
          <t>PR2425-05110</t>
        </is>
      </c>
      <c r="H820" s="5" t="inlineStr">
        <is>
          <t>PO2425-05781</t>
        </is>
      </c>
      <c r="I820" s="290">
        <f>IF(RawDataGenPO[[#This Row],[PO No.]]="","",RawDataGenPO[[#This Row],[DMY Create PR]]+7)</f>
        <v/>
      </c>
      <c r="J820" s="290" t="n"/>
      <c r="K820" s="20">
        <f>IF(RawDataGenPO[[#This Row],[PO No.]]="","",10)</f>
        <v/>
      </c>
      <c r="L820" s="5" t="inlineStr">
        <is>
          <t>SFST81000048</t>
        </is>
      </c>
      <c r="M820" s="7" t="inlineStr">
        <is>
          <t>Utility Jobs  (Boiler-Air compress-Transformer-LPG)</t>
        </is>
      </c>
      <c r="N820" s="7" t="inlineStr">
        <is>
          <t>Utility jobs</t>
        </is>
      </c>
      <c r="O820" s="11" t="n">
        <v>1</v>
      </c>
      <c r="P820" s="80" t="inlineStr">
        <is>
          <t>Globe valve</t>
        </is>
      </c>
      <c r="Q820" s="277" t="n">
        <v>1</v>
      </c>
      <c r="R820" s="5" t="inlineStr">
        <is>
          <t>PCS.</t>
        </is>
      </c>
      <c r="S820" s="292">
        <f>RawDataGenPO[[#This Row],[Total price]]/RawDataGenPO[[#This Row],[Qty'']]</f>
        <v/>
      </c>
      <c r="T820" s="278" t="n">
        <v>5800</v>
      </c>
      <c r="U820" s="291" t="n"/>
      <c r="V820" s="7" t="inlineStr">
        <is>
          <t>V1000655 - SRM ENGINEERING 1991 CO., LTD.</t>
        </is>
      </c>
      <c r="W820" s="30" t="inlineStr">
        <is>
          <t>Recive bill and GRN already</t>
        </is>
      </c>
      <c r="X820" s="5" t="inlineStr">
        <is>
          <t>GRN2425-0006585</t>
        </is>
      </c>
      <c r="Y820" s="3" t="n">
        <v>45678</v>
      </c>
      <c r="Z820" s="3" t="n"/>
      <c r="AA820" s="17">
        <f>IF(RawDataGenPO[[#This Row],[Date Gen PO]]="","",RawDataGenPO[[#This Row],[Date recive bill]]-RawDataGenPO[[#This Row],[Date Gen PO]])</f>
        <v/>
      </c>
      <c r="AB820" s="16">
        <f>IF(RawDataGenPO[[#This Row],[GRN-PO date]]&gt;RawDataGenPO[[#This Row],[Lead time delivery (day)]],"over deliverry","Ontime")</f>
        <v/>
      </c>
      <c r="AC820" s="22" t="n"/>
    </row>
    <row r="821" ht="15" customFormat="1" customHeight="1" s="125">
      <c r="A821" s="5">
        <f>ROW()-ROW(RawDataGenPO[[#Headers],[No.]])</f>
        <v/>
      </c>
      <c r="B821" s="7" t="inlineStr">
        <is>
          <t>Expent  cost</t>
        </is>
      </c>
      <c r="C821" s="281" t="n">
        <v>45663</v>
      </c>
      <c r="D821" s="276" t="n"/>
      <c r="E821" s="276" t="n"/>
      <c r="F821" s="281" t="n">
        <v>45663</v>
      </c>
      <c r="G821" s="5" t="inlineStr">
        <is>
          <t>PR2425-05118</t>
        </is>
      </c>
      <c r="H821" s="5" t="inlineStr">
        <is>
          <t>PO2425-05783</t>
        </is>
      </c>
      <c r="I821" s="290">
        <f>IF(RawDataGenPO[[#This Row],[PO No.]]="","",RawDataGenPO[[#This Row],[DMY Create PR]]+7)</f>
        <v/>
      </c>
      <c r="J821" s="290" t="n"/>
      <c r="K821" s="20">
        <f>IF(RawDataGenPO[[#This Row],[PO No.]]="","",10)</f>
        <v/>
      </c>
      <c r="L821" s="5" t="inlineStr">
        <is>
          <t>SFST81000009</t>
        </is>
      </c>
      <c r="M821" s="7" t="inlineStr">
        <is>
          <t>Civill jobs (Floor-Wall-Celling-roof)</t>
        </is>
      </c>
      <c r="N821" s="7" t="inlineStr">
        <is>
          <t>Consumable part</t>
        </is>
      </c>
      <c r="O821" s="11" t="n">
        <v>1</v>
      </c>
      <c r="P821" s="80" t="inlineStr">
        <is>
          <t>Epoxy coating, Green (Part A / Part B)</t>
        </is>
      </c>
      <c r="Q821" s="277" t="n">
        <v>2</v>
      </c>
      <c r="R821" s="5" t="inlineStr">
        <is>
          <t>PCS.</t>
        </is>
      </c>
      <c r="S821" s="292">
        <f>RawDataGenPO[[#This Row],[Total price]]/RawDataGenPO[[#This Row],[Qty'']]</f>
        <v/>
      </c>
      <c r="T821" s="278" t="n">
        <v>7600</v>
      </c>
      <c r="U821" s="291" t="n"/>
      <c r="V821" s="7" t="inlineStr">
        <is>
          <t>V1000198 - APEX ASIA CONSTRUCTION CO.,LTD.</t>
        </is>
      </c>
      <c r="W821" s="30" t="inlineStr">
        <is>
          <t>Recive bill and GRN already</t>
        </is>
      </c>
      <c r="X821" s="5" t="inlineStr">
        <is>
          <t>GRN2425-0006498</t>
        </is>
      </c>
      <c r="Y821" s="3" t="n">
        <v>45673</v>
      </c>
      <c r="Z821" s="3" t="n"/>
      <c r="AA821" s="17">
        <f>IF(RawDataGenPO[[#This Row],[Date Gen PO]]="","",RawDataGenPO[[#This Row],[Date recive bill]]-RawDataGenPO[[#This Row],[Date Gen PO]])</f>
        <v/>
      </c>
      <c r="AB821" s="16">
        <f>IF(RawDataGenPO[[#This Row],[GRN-PO date]]&gt;RawDataGenPO[[#This Row],[Lead time delivery (day)]],"over deliverry","Ontime")</f>
        <v/>
      </c>
      <c r="AC821" s="22" t="n"/>
    </row>
    <row r="822" ht="15" customFormat="1" customHeight="1" s="125">
      <c r="A822" s="5">
        <f>ROW()-ROW(RawDataGenPO[[#Headers],[No.]])</f>
        <v/>
      </c>
      <c r="B822" s="7" t="inlineStr">
        <is>
          <t>Expent  cost</t>
        </is>
      </c>
      <c r="C822" s="281" t="n">
        <v>45663</v>
      </c>
      <c r="D822" s="276" t="n"/>
      <c r="E822" s="276" t="n"/>
      <c r="F822" s="281" t="n">
        <v>45663</v>
      </c>
      <c r="G822" s="5" t="inlineStr">
        <is>
          <t>PR2425-05118</t>
        </is>
      </c>
      <c r="H822" s="5" t="inlineStr">
        <is>
          <t>PO2425-05783</t>
        </is>
      </c>
      <c r="I822" s="290">
        <f>IF(RawDataGenPO[[#This Row],[PO No.]]="","",RawDataGenPO[[#This Row],[DMY Create PR]]+7)</f>
        <v/>
      </c>
      <c r="J822" s="290" t="n"/>
      <c r="K822" s="20">
        <f>IF(RawDataGenPO[[#This Row],[PO No.]]="","",10)</f>
        <v/>
      </c>
      <c r="L822" s="5" t="inlineStr">
        <is>
          <t>SFST81000009</t>
        </is>
      </c>
      <c r="M822" s="7" t="inlineStr">
        <is>
          <t>Civill jobs (Floor-Wall-Celling-roof)</t>
        </is>
      </c>
      <c r="N822" s="7" t="inlineStr">
        <is>
          <t>Consumable part</t>
        </is>
      </c>
      <c r="O822" s="11" t="n">
        <v>2</v>
      </c>
      <c r="P822" s="80" t="inlineStr">
        <is>
          <t>Epoxy coating, Yellow (Part A / Part B)</t>
        </is>
      </c>
      <c r="Q822" s="277" t="n">
        <v>2</v>
      </c>
      <c r="R822" s="5" t="inlineStr">
        <is>
          <t>PCS.</t>
        </is>
      </c>
      <c r="S822" s="292">
        <f>RawDataGenPO[[#This Row],[Total price]]/RawDataGenPO[[#This Row],[Qty'']]</f>
        <v/>
      </c>
      <c r="T822" s="278" t="n">
        <v>7600</v>
      </c>
      <c r="U822" s="291" t="n"/>
      <c r="V822" s="7" t="inlineStr">
        <is>
          <t>V1000198 - APEX ASIA CONSTRUCTION CO.,LTD.</t>
        </is>
      </c>
      <c r="W822" s="30" t="inlineStr">
        <is>
          <t>Recive bill and GRN already</t>
        </is>
      </c>
      <c r="X822" s="5" t="inlineStr">
        <is>
          <t>GRN2425-0006498</t>
        </is>
      </c>
      <c r="Y822" s="3" t="n">
        <v>45673</v>
      </c>
      <c r="Z822" s="3" t="n"/>
      <c r="AA822" s="17">
        <f>IF(RawDataGenPO[[#This Row],[Date Gen PO]]="","",RawDataGenPO[[#This Row],[Date recive bill]]-RawDataGenPO[[#This Row],[Date Gen PO]])</f>
        <v/>
      </c>
      <c r="AB822" s="16">
        <f>IF(RawDataGenPO[[#This Row],[GRN-PO date]]&gt;RawDataGenPO[[#This Row],[Lead time delivery (day)]],"over deliverry","Ontime")</f>
        <v/>
      </c>
      <c r="AC822" s="22" t="n"/>
    </row>
    <row r="823" ht="15" customFormat="1" customHeight="1" s="125">
      <c r="A823" s="5">
        <f>ROW()-ROW(RawDataGenPO[[#Headers],[No.]])</f>
        <v/>
      </c>
      <c r="B823" s="7" t="inlineStr">
        <is>
          <t>Expent  cost</t>
        </is>
      </c>
      <c r="C823" s="281" t="n">
        <v>45663</v>
      </c>
      <c r="D823" s="276" t="n"/>
      <c r="E823" s="276" t="n"/>
      <c r="F823" s="281" t="n">
        <v>45663</v>
      </c>
      <c r="G823" s="5" t="inlineStr">
        <is>
          <t>PR2425-05119</t>
        </is>
      </c>
      <c r="H823" s="5" t="inlineStr">
        <is>
          <t>PO2425-05780</t>
        </is>
      </c>
      <c r="I823" s="290">
        <f>IF(RawDataGenPO[[#This Row],[PO No.]]="","",RawDataGenPO[[#This Row],[DMY Create PR]]+7)</f>
        <v/>
      </c>
      <c r="J823" s="290" t="n"/>
      <c r="K823" s="20">
        <f>IF(RawDataGenPO[[#This Row],[PO No.]]="","",10)</f>
        <v/>
      </c>
      <c r="L823" s="5" t="inlineStr">
        <is>
          <t>SFST34000054</t>
        </is>
      </c>
      <c r="M823" s="7" t="inlineStr">
        <is>
          <t>Consumable part for MN</t>
        </is>
      </c>
      <c r="N823" s="7" t="inlineStr">
        <is>
          <t>Refrigerant</t>
        </is>
      </c>
      <c r="O823" s="11" t="n">
        <v>1</v>
      </c>
      <c r="P823" s="83" t="inlineStr">
        <is>
          <t>R507 Refrigerant,(1 Tank 11.3 kg/Tank)</t>
        </is>
      </c>
      <c r="Q823" s="333" t="n">
        <v>30</v>
      </c>
      <c r="R823" s="64" t="inlineStr">
        <is>
          <t>DURM.</t>
        </is>
      </c>
      <c r="S823" s="334">
        <f>RawDataGenPO[[#This Row],[Total price]]/RawDataGenPO[[#This Row],[Qty'']]</f>
        <v/>
      </c>
      <c r="T823" s="335" t="n">
        <v>75000</v>
      </c>
      <c r="U823" s="291" t="n"/>
      <c r="V823" s="7" t="inlineStr">
        <is>
          <t>V1000271 - 395 Shop Limited Partnership</t>
        </is>
      </c>
      <c r="W823" s="30" t="inlineStr">
        <is>
          <t>Recive bill and GRN already</t>
        </is>
      </c>
      <c r="X823" s="5" t="inlineStr">
        <is>
          <t>GRN2425-0006424</t>
        </is>
      </c>
      <c r="Y823" s="3" t="n">
        <v>45672</v>
      </c>
      <c r="Z823" s="3" t="n"/>
      <c r="AA823" s="17">
        <f>IF(RawDataGenPO[[#This Row],[Date Gen PO]]="","",RawDataGenPO[[#This Row],[Date recive bill]]-RawDataGenPO[[#This Row],[Date Gen PO]])</f>
        <v/>
      </c>
      <c r="AB823" s="16">
        <f>IF(RawDataGenPO[[#This Row],[GRN-PO date]]&gt;RawDataGenPO[[#This Row],[Lead time delivery (day)]],"over deliverry","Ontime")</f>
        <v/>
      </c>
      <c r="AC823" s="22" t="n"/>
    </row>
    <row r="824" ht="15" customFormat="1" customHeight="1" s="125">
      <c r="A824" s="5">
        <f>ROW()-ROW(RawDataGenPO[[#Headers],[No.]])</f>
        <v/>
      </c>
      <c r="B824" s="7" t="inlineStr">
        <is>
          <t>Expent  cost</t>
        </is>
      </c>
      <c r="C824" s="281" t="n">
        <v>45663</v>
      </c>
      <c r="D824" s="276" t="n"/>
      <c r="E824" s="276" t="n"/>
      <c r="F824" s="281" t="n">
        <v>45663</v>
      </c>
      <c r="G824" s="5" t="inlineStr">
        <is>
          <t>PR2425-05120</t>
        </is>
      </c>
      <c r="H824" s="5" t="inlineStr">
        <is>
          <t>PO2425-05848</t>
        </is>
      </c>
      <c r="I824" s="290">
        <f>IF(RawDataGenPO[[#This Row],[PO No.]]="","",RawDataGenPO[[#This Row],[DMY Create PR]]+7)</f>
        <v/>
      </c>
      <c r="J824" s="290" t="n"/>
      <c r="K824" s="20" t="n">
        <v>45</v>
      </c>
      <c r="L824" s="5" t="inlineStr">
        <is>
          <t>SFST81000009</t>
        </is>
      </c>
      <c r="M824" s="7" t="inlineStr">
        <is>
          <t>Tool and Equipment  Engineering</t>
        </is>
      </c>
      <c r="N824" s="7" t="inlineStr">
        <is>
          <t>Tool and Equipment</t>
        </is>
      </c>
      <c r="O824" s="11" t="n">
        <v>1</v>
      </c>
      <c r="P824" s="80" t="inlineStr">
        <is>
          <t>"SUMO" stainless steel weld cleaning chemical 1000 m</t>
        </is>
      </c>
      <c r="Q824" s="277" t="n">
        <v>5</v>
      </c>
      <c r="R824" s="5" t="inlineStr">
        <is>
          <t>PCS.</t>
        </is>
      </c>
      <c r="S824" s="292">
        <f>RawDataGenPO[[#This Row],[Total price]]/RawDataGenPO[[#This Row],[Qty'']]</f>
        <v/>
      </c>
      <c r="T824" s="278" t="n">
        <v>1100</v>
      </c>
      <c r="U824" s="291" t="n"/>
      <c r="V824" s="7" t="inlineStr">
        <is>
          <t>V1000259 - JJP SUPPLY CO., LTD</t>
        </is>
      </c>
      <c r="W824" s="30" t="inlineStr">
        <is>
          <t>Recive bill and GRN already</t>
        </is>
      </c>
      <c r="X824" s="5" t="inlineStr">
        <is>
          <t>GRN2425-0007142</t>
        </is>
      </c>
      <c r="Y824" s="3" t="n">
        <v>45702</v>
      </c>
      <c r="Z824" s="3" t="n"/>
      <c r="AA824" s="17">
        <f>IF(RawDataGenPO[[#This Row],[Date Gen PO]]="","",RawDataGenPO[[#This Row],[Date recive bill]]-RawDataGenPO[[#This Row],[Date Gen PO]])</f>
        <v/>
      </c>
      <c r="AB824" s="16">
        <f>IF(RawDataGenPO[[#This Row],[GRN-PO date]]&gt;RawDataGenPO[[#This Row],[Lead time delivery (day)]],"over deliverry","Ontime")</f>
        <v/>
      </c>
      <c r="AC824" s="22" t="n"/>
    </row>
    <row r="825" ht="15" customFormat="1" customHeight="1" s="125">
      <c r="A825" s="5">
        <f>ROW()-ROW(RawDataGenPO[[#Headers],[No.]])</f>
        <v/>
      </c>
      <c r="B825" s="7" t="inlineStr">
        <is>
          <t>Expent  cost</t>
        </is>
      </c>
      <c r="C825" s="281" t="n">
        <v>45663</v>
      </c>
      <c r="D825" s="276" t="n"/>
      <c r="E825" s="276" t="n"/>
      <c r="F825" s="281" t="n">
        <v>45663</v>
      </c>
      <c r="G825" s="5" t="inlineStr">
        <is>
          <t>PR2425-05120</t>
        </is>
      </c>
      <c r="H825" s="5" t="inlineStr">
        <is>
          <t>PO2425-05848</t>
        </is>
      </c>
      <c r="I825" s="290">
        <f>IF(RawDataGenPO[[#This Row],[PO No.]]="","",RawDataGenPO[[#This Row],[DMY Create PR]]+7)</f>
        <v/>
      </c>
      <c r="J825" s="290" t="n"/>
      <c r="K825" s="20" t="n">
        <v>45</v>
      </c>
      <c r="L825" s="5" t="inlineStr">
        <is>
          <t>SFST81000009</t>
        </is>
      </c>
      <c r="M825" s="7" t="inlineStr">
        <is>
          <t>Tool and Equipment  Engineering</t>
        </is>
      </c>
      <c r="N825" s="7" t="inlineStr">
        <is>
          <t>Tool and Equipment</t>
        </is>
      </c>
      <c r="O825" s="11" t="n">
        <v>2</v>
      </c>
      <c r="P825" s="80" t="inlineStr">
        <is>
          <t>"Bestchoice" air pipe leak detection liquid 500 ml.</t>
        </is>
      </c>
      <c r="Q825" s="277" t="n">
        <v>2</v>
      </c>
      <c r="R825" s="5" t="inlineStr">
        <is>
          <t>PCS.</t>
        </is>
      </c>
      <c r="S825" s="292">
        <f>RawDataGenPO[[#This Row],[Total price]]/RawDataGenPO[[#This Row],[Qty'']]</f>
        <v/>
      </c>
      <c r="T825" s="278" t="n">
        <v>2200</v>
      </c>
      <c r="U825" s="291" t="n"/>
      <c r="V825" s="7" t="inlineStr">
        <is>
          <t>V1000259 - JJP SUPPLY CO., LTD</t>
        </is>
      </c>
      <c r="W825" s="30" t="inlineStr">
        <is>
          <t>Recive bill and GRN already</t>
        </is>
      </c>
      <c r="X825" s="5" t="inlineStr">
        <is>
          <t>GRN2425-0007142</t>
        </is>
      </c>
      <c r="Y825" s="3" t="n">
        <v>45702</v>
      </c>
      <c r="Z825" s="3" t="n"/>
      <c r="AA825" s="17">
        <f>IF(RawDataGenPO[[#This Row],[Date Gen PO]]="","",RawDataGenPO[[#This Row],[Date recive bill]]-RawDataGenPO[[#This Row],[Date Gen PO]])</f>
        <v/>
      </c>
      <c r="AB825" s="16">
        <f>IF(RawDataGenPO[[#This Row],[GRN-PO date]]&gt;RawDataGenPO[[#This Row],[Lead time delivery (day)]],"over deliverry","Ontime")</f>
        <v/>
      </c>
      <c r="AC825" s="22" t="n"/>
    </row>
    <row r="826" ht="15" customFormat="1" customHeight="1" s="125">
      <c r="A826" s="5">
        <f>ROW()-ROW(RawDataGenPO[[#Headers],[No.]])</f>
        <v/>
      </c>
      <c r="B826" s="7" t="inlineStr">
        <is>
          <t>Expent  cost</t>
        </is>
      </c>
      <c r="C826" s="281" t="n">
        <v>45663</v>
      </c>
      <c r="D826" s="276" t="n"/>
      <c r="E826" s="276" t="n"/>
      <c r="F826" s="281" t="n">
        <v>45663</v>
      </c>
      <c r="G826" s="5" t="inlineStr">
        <is>
          <t>PR2425-05120</t>
        </is>
      </c>
      <c r="H826" s="5" t="inlineStr">
        <is>
          <t>PO2425-05848</t>
        </is>
      </c>
      <c r="I826" s="290">
        <f>IF(RawDataGenPO[[#This Row],[PO No.]]="","",RawDataGenPO[[#This Row],[DMY Create PR]]+7)</f>
        <v/>
      </c>
      <c r="J826" s="290" t="n"/>
      <c r="K826" s="20" t="n">
        <v>45</v>
      </c>
      <c r="L826" s="5" t="inlineStr">
        <is>
          <t>SFST81000009</t>
        </is>
      </c>
      <c r="M826" s="7" t="inlineStr">
        <is>
          <t>Tool and Equipment  Engineering</t>
        </is>
      </c>
      <c r="N826" s="7" t="inlineStr">
        <is>
          <t>Tool and Equipment</t>
        </is>
      </c>
      <c r="O826" s="11" t="n">
        <v>3</v>
      </c>
      <c r="P826" s="80" t="inlineStr">
        <is>
          <t>"Errecom" Drain Tabs disinfectant tablets for cleaning wastewater pipe</t>
        </is>
      </c>
      <c r="Q826" s="277" t="n">
        <v>2</v>
      </c>
      <c r="R826" s="5" t="inlineStr">
        <is>
          <t>PCS.</t>
        </is>
      </c>
      <c r="S826" s="292">
        <f>RawDataGenPO[[#This Row],[Total price]]/RawDataGenPO[[#This Row],[Qty'']]</f>
        <v/>
      </c>
      <c r="T826" s="278" t="n">
        <v>2400</v>
      </c>
      <c r="U826" s="291" t="n"/>
      <c r="V826" s="7" t="inlineStr">
        <is>
          <t>V1000259 - JJP SUPPLY CO., LTD</t>
        </is>
      </c>
      <c r="W826" s="30" t="inlineStr">
        <is>
          <t>Recive bill and GRN already</t>
        </is>
      </c>
      <c r="X826" s="5" t="inlineStr">
        <is>
          <t>GRN2425-0007142</t>
        </is>
      </c>
      <c r="Y826" s="3" t="n">
        <v>45702</v>
      </c>
      <c r="Z826" s="3" t="n"/>
      <c r="AA826" s="17">
        <f>IF(RawDataGenPO[[#This Row],[Date Gen PO]]="","",RawDataGenPO[[#This Row],[Date recive bill]]-RawDataGenPO[[#This Row],[Date Gen PO]])</f>
        <v/>
      </c>
      <c r="AB826" s="16">
        <f>IF(RawDataGenPO[[#This Row],[GRN-PO date]]&gt;RawDataGenPO[[#This Row],[Lead time delivery (day)]],"over deliverry","Ontime")</f>
        <v/>
      </c>
      <c r="AC826" s="22" t="n"/>
    </row>
    <row r="827" ht="15" customFormat="1" customHeight="1" s="125">
      <c r="A827" s="5">
        <f>ROW()-ROW(RawDataGenPO[[#Headers],[No.]])</f>
        <v/>
      </c>
      <c r="B827" s="7" t="inlineStr">
        <is>
          <t>Expent  cost</t>
        </is>
      </c>
      <c r="C827" s="281" t="n">
        <v>45663</v>
      </c>
      <c r="D827" s="276" t="n"/>
      <c r="E827" s="276" t="n"/>
      <c r="F827" s="281" t="n">
        <v>45663</v>
      </c>
      <c r="G827" s="5" t="inlineStr">
        <is>
          <t>PR2425-05121</t>
        </is>
      </c>
      <c r="H827" s="5" t="inlineStr">
        <is>
          <t>PO2425-05849</t>
        </is>
      </c>
      <c r="I827" s="290">
        <f>IF(RawDataGenPO[[#This Row],[PO No.]]="","",RawDataGenPO[[#This Row],[DMY Create PR]]+7)</f>
        <v/>
      </c>
      <c r="J827" s="290" t="n"/>
      <c r="K827" s="20">
        <f>IF(RawDataGenPO[[#This Row],[PO No.]]="","",10)</f>
        <v/>
      </c>
      <c r="L827" s="5" t="inlineStr">
        <is>
          <t>SFST81000050</t>
        </is>
      </c>
      <c r="M827" s="7" t="inlineStr">
        <is>
          <t>Tool and Equipment PD M/C</t>
        </is>
      </c>
      <c r="N827" s="7" t="inlineStr">
        <is>
          <t>Consumable part</t>
        </is>
      </c>
      <c r="O827" s="11" t="n">
        <v>1</v>
      </c>
      <c r="P827" s="80" t="inlineStr">
        <is>
          <t>Aluminum ladder 5 Step</t>
        </is>
      </c>
      <c r="Q827" s="277" t="n">
        <v>1</v>
      </c>
      <c r="R827" s="5" t="inlineStr">
        <is>
          <t>EA.</t>
        </is>
      </c>
      <c r="S827" s="292">
        <f>RawDataGenPO[[#This Row],[Total price]]/RawDataGenPO[[#This Row],[Qty'']]</f>
        <v/>
      </c>
      <c r="T827" s="278" t="n">
        <v>2088</v>
      </c>
      <c r="U827" s="291" t="n"/>
      <c r="V827" s="7" t="inlineStr">
        <is>
          <t>V1000065 - JENBUNJERD CO.,LTD.</t>
        </is>
      </c>
      <c r="W827" s="30" t="inlineStr">
        <is>
          <t>Recive bill and GRN already</t>
        </is>
      </c>
      <c r="X827" s="5" t="inlineStr">
        <is>
          <t>GRN2425-0006458</t>
        </is>
      </c>
      <c r="Y827" s="3" t="n">
        <v>45673</v>
      </c>
      <c r="Z827" s="3" t="n"/>
      <c r="AA827" s="17">
        <f>IF(RawDataGenPO[[#This Row],[Date Gen PO]]="","",RawDataGenPO[[#This Row],[Date recive bill]]-RawDataGenPO[[#This Row],[Date Gen PO]])</f>
        <v/>
      </c>
      <c r="AB827" s="16">
        <f>IF(RawDataGenPO[[#This Row],[GRN-PO date]]&gt;RawDataGenPO[[#This Row],[Lead time delivery (day)]],"over deliverry","Ontime")</f>
        <v/>
      </c>
      <c r="AC827" s="22" t="n"/>
    </row>
    <row r="828" ht="15" customFormat="1" customHeight="1" s="125">
      <c r="A828" s="5">
        <f>ROW()-ROW(RawDataGenPO[[#Headers],[No.]])</f>
        <v/>
      </c>
      <c r="B828" s="7" t="inlineStr">
        <is>
          <t>Expent  cost</t>
        </is>
      </c>
      <c r="C828" s="281" t="n">
        <v>45663</v>
      </c>
      <c r="D828" s="276" t="n"/>
      <c r="E828" s="276" t="n"/>
      <c r="F828" s="281" t="n">
        <v>45663</v>
      </c>
      <c r="G828" s="5" t="inlineStr">
        <is>
          <t>PR2425-05121</t>
        </is>
      </c>
      <c r="H828" s="5" t="inlineStr">
        <is>
          <t>PO2425-05849</t>
        </is>
      </c>
      <c r="I828" s="290">
        <f>IF(RawDataGenPO[[#This Row],[PO No.]]="","",RawDataGenPO[[#This Row],[DMY Create PR]]+7)</f>
        <v/>
      </c>
      <c r="J828" s="290" t="n"/>
      <c r="K828" s="20">
        <f>IF(RawDataGenPO[[#This Row],[PO No.]]="","",10)</f>
        <v/>
      </c>
      <c r="L828" s="5" t="inlineStr">
        <is>
          <t>SFST81000050</t>
        </is>
      </c>
      <c r="M828" s="7" t="inlineStr">
        <is>
          <t>Tool and Equipment PD M/C</t>
        </is>
      </c>
      <c r="N828" s="7" t="inlineStr">
        <is>
          <t>Consumable part</t>
        </is>
      </c>
      <c r="O828" s="11" t="n">
        <v>2</v>
      </c>
      <c r="P828" s="80" t="inlineStr">
        <is>
          <t>Aluminum ladder 7 Step</t>
        </is>
      </c>
      <c r="Q828" s="277" t="n">
        <v>1</v>
      </c>
      <c r="R828" s="5" t="inlineStr">
        <is>
          <t>EA.</t>
        </is>
      </c>
      <c r="S828" s="292">
        <f>RawDataGenPO[[#This Row],[Total price]]/RawDataGenPO[[#This Row],[Qty'']]</f>
        <v/>
      </c>
      <c r="T828" s="278" t="n">
        <v>2925</v>
      </c>
      <c r="U828" s="291" t="n"/>
      <c r="V828" s="7" t="inlineStr">
        <is>
          <t>V1000065 - JENBUNJERD CO.,LTD.</t>
        </is>
      </c>
      <c r="W828" s="30" t="inlineStr">
        <is>
          <t>Recive bill and GRN already</t>
        </is>
      </c>
      <c r="X828" s="5" t="inlineStr">
        <is>
          <t>GRN2425-0006458</t>
        </is>
      </c>
      <c r="Y828" s="3" t="n">
        <v>45673</v>
      </c>
      <c r="Z828" s="3" t="n"/>
      <c r="AA828" s="17">
        <f>IF(RawDataGenPO[[#This Row],[Date Gen PO]]="","",RawDataGenPO[[#This Row],[Date recive bill]]-RawDataGenPO[[#This Row],[Date Gen PO]])</f>
        <v/>
      </c>
      <c r="AB828" s="16">
        <f>IF(RawDataGenPO[[#This Row],[GRN-PO date]]&gt;RawDataGenPO[[#This Row],[Lead time delivery (day)]],"over deliverry","Ontime")</f>
        <v/>
      </c>
      <c r="AC828" s="22" t="n"/>
    </row>
    <row r="829" ht="15" customHeight="1">
      <c r="A829" s="5">
        <f>ROW()-ROW(RawDataGenPO[[#Headers],[No.]])</f>
        <v/>
      </c>
      <c r="B829" s="7" t="inlineStr">
        <is>
          <t>Expent  cost</t>
        </is>
      </c>
      <c r="C829" s="281" t="n">
        <v>45666</v>
      </c>
      <c r="F829" s="281" t="n">
        <v>45666</v>
      </c>
      <c r="G829" s="5" t="inlineStr">
        <is>
          <t>PR2425-05162</t>
        </is>
      </c>
      <c r="H829" s="5" t="inlineStr">
        <is>
          <t>PO2425-06008</t>
        </is>
      </c>
      <c r="I829" s="290">
        <f>IF(RawDataGenPO[[#This Row],[PO No.]]="","",RawDataGenPO[[#This Row],[DMY Create PR]]+7)</f>
        <v/>
      </c>
      <c r="J829" s="290" t="n"/>
      <c r="K829" s="20" t="n">
        <v>100</v>
      </c>
      <c r="L829" s="5" t="inlineStr">
        <is>
          <t>SFST81000009</t>
        </is>
      </c>
      <c r="M829" s="7" t="inlineStr">
        <is>
          <t>PD Machine</t>
        </is>
      </c>
      <c r="N829" s="7" t="inlineStr">
        <is>
          <t>Bowl Cutter (Chopper) No.1</t>
        </is>
      </c>
      <c r="O829" s="11" t="n">
        <v>1</v>
      </c>
      <c r="P829" s="80" t="inlineStr">
        <is>
          <t>DRAIN PLUG FOR BOWL INCL. O-RING</t>
        </is>
      </c>
      <c r="Q829" s="277" t="n">
        <v>1</v>
      </c>
      <c r="R829" s="5" t="inlineStr">
        <is>
          <t>PCS.</t>
        </is>
      </c>
      <c r="S829" s="292">
        <f>RawDataGenPO[[#This Row],[Total price]]/RawDataGenPO[[#This Row],[Qty'']]</f>
        <v/>
      </c>
      <c r="T829" s="278" t="n">
        <v>8181</v>
      </c>
      <c r="U829" s="291" t="n"/>
      <c r="V829" s="7" t="inlineStr">
        <is>
          <t>V1000189 - FPT FOOD PROCESS TECHNOLOGY CO., LTD.</t>
        </is>
      </c>
      <c r="W829" s="30" t="inlineStr">
        <is>
          <t>Recive bill and GRN already</t>
        </is>
      </c>
      <c r="X829" s="5" t="inlineStr">
        <is>
          <t>GRN2526-0000405</t>
        </is>
      </c>
      <c r="Y829" s="3" t="n">
        <v>45770</v>
      </c>
      <c r="AA829" s="17">
        <f>IF(RawDataGenPO[[#This Row],[Date Gen PO]]="","",RawDataGenPO[[#This Row],[Date recive bill]]-RawDataGenPO[[#This Row],[Date Gen PO]])</f>
        <v/>
      </c>
      <c r="AB829" s="16">
        <f>IF(RawDataGenPO[[#This Row],[GRN-PO date]]&gt;RawDataGenPO[[#This Row],[Lead time delivery (day)]],"over deliverry","Ontime")</f>
        <v/>
      </c>
      <c r="AC829" s="22" t="n"/>
    </row>
    <row r="830" ht="30" customFormat="1" customHeight="1" s="125">
      <c r="A830" s="5">
        <f>ROW()-ROW(RawDataGenPO[[#Headers],[No.]])</f>
        <v/>
      </c>
      <c r="B830" s="141" t="inlineStr">
        <is>
          <t>Expent  cost</t>
        </is>
      </c>
      <c r="C830" s="281" t="n">
        <v>45666</v>
      </c>
      <c r="D830" s="321" t="n"/>
      <c r="E830" s="321" t="n"/>
      <c r="F830" s="336" t="n">
        <v>45666</v>
      </c>
      <c r="G830" s="139" t="inlineStr">
        <is>
          <t>PR2425-05168</t>
        </is>
      </c>
      <c r="H830" s="139" t="inlineStr">
        <is>
          <t>PO2425-05986</t>
        </is>
      </c>
      <c r="I830" s="290">
        <f>IF(RawDataGenPO[[#This Row],[PO No.]]="","",RawDataGenPO[[#This Row],[DMY Create PR]]+7)</f>
        <v/>
      </c>
      <c r="J830" s="290" t="n"/>
      <c r="K830" s="20" t="n">
        <v>45</v>
      </c>
      <c r="L830" s="139" t="inlineStr">
        <is>
          <t>SFST81000048</t>
        </is>
      </c>
      <c r="M830" s="7" t="inlineStr">
        <is>
          <t>PD Machine</t>
        </is>
      </c>
      <c r="N830" s="141" t="inlineStr">
        <is>
          <t>Vacuum Tumbler large No.3</t>
        </is>
      </c>
      <c r="O830" s="145" t="n">
        <v>1</v>
      </c>
      <c r="P830" s="130" t="inlineStr">
        <is>
          <t>REPAIR KEYPAD METALBUD NOWICKI, S/N: S11P 0912 080
issue : buttons not working and display not showing numbers</t>
        </is>
      </c>
      <c r="Q830" s="337" t="n">
        <v>1</v>
      </c>
      <c r="R830" s="139" t="inlineStr">
        <is>
          <t>JOB</t>
        </is>
      </c>
      <c r="S830" s="338">
        <f>RawDataGenPO[[#This Row],[Total price]]/RawDataGenPO[[#This Row],[Qty'']]</f>
        <v/>
      </c>
      <c r="T830" s="339" t="n">
        <v>16150</v>
      </c>
      <c r="U830" s="291" t="n"/>
      <c r="V830" s="141" t="inlineStr">
        <is>
          <t>V1000666 - HITEC FOOD EQUIPMENT CO.,LTD.</t>
        </is>
      </c>
      <c r="W830" s="140" t="inlineStr">
        <is>
          <t>Recive bill and GRN already</t>
        </is>
      </c>
      <c r="X830" s="139" t="inlineStr">
        <is>
          <t>GRN2425-0007076</t>
        </is>
      </c>
      <c r="Y830" s="138" t="n">
        <v>45699</v>
      </c>
      <c r="Z830" s="138" t="n"/>
      <c r="AA830" s="17">
        <f>IF(RawDataGenPO[[#This Row],[Date Gen PO]]="","",RawDataGenPO[[#This Row],[Date recive bill]]-RawDataGenPO[[#This Row],[Date Gen PO]])</f>
        <v/>
      </c>
      <c r="AB830" s="16">
        <f>IF(RawDataGenPO[[#This Row],[GRN-PO date]]&gt;RawDataGenPO[[#This Row],[Lead time delivery (day)]],"over deliverry","Ontime")</f>
        <v/>
      </c>
      <c r="AC830" s="86" t="n"/>
    </row>
    <row r="831" ht="15" customFormat="1" customHeight="1" s="125">
      <c r="A831" s="5">
        <f>ROW()-ROW(RawDataGenPO[[#Headers],[No.]])</f>
        <v/>
      </c>
      <c r="B831" s="7" t="inlineStr">
        <is>
          <t>Expent  cost</t>
        </is>
      </c>
      <c r="C831" s="281" t="n">
        <v>45668</v>
      </c>
      <c r="D831" s="276" t="n"/>
      <c r="E831" s="276" t="n"/>
      <c r="F831" s="340" t="n">
        <v>45668</v>
      </c>
      <c r="G831" s="64" t="inlineStr">
        <is>
          <t>PR2425-05192</t>
        </is>
      </c>
      <c r="H831" s="64" t="inlineStr">
        <is>
          <t>PO2425-06006</t>
        </is>
      </c>
      <c r="I831" s="290">
        <f>IF(RawDataGenPO[[#This Row],[PO No.]]="","",RawDataGenPO[[#This Row],[DMY Create PR]]+7)</f>
        <v/>
      </c>
      <c r="J831" s="290" t="n"/>
      <c r="K831" s="20" t="n">
        <v>45</v>
      </c>
      <c r="L831" s="64" t="inlineStr">
        <is>
          <t>SFST81000048</t>
        </is>
      </c>
      <c r="M831" s="7" t="inlineStr">
        <is>
          <t>PD Machine</t>
        </is>
      </c>
      <c r="N831" s="127" t="inlineStr">
        <is>
          <t>Steam Bratt pan No.1</t>
        </is>
      </c>
      <c r="O831" s="133" t="n">
        <v>1</v>
      </c>
      <c r="P831" s="83" t="inlineStr">
        <is>
          <t>MALE PART WITH TUBE SS316L DN65 + workweld</t>
        </is>
      </c>
      <c r="Q831" s="333" t="n">
        <v>2</v>
      </c>
      <c r="R831" s="64" t="inlineStr">
        <is>
          <t>SET</t>
        </is>
      </c>
      <c r="S831" s="334">
        <f>RawDataGenPO[[#This Row],[Total price]]/RawDataGenPO[[#This Row],[Qty'']]</f>
        <v/>
      </c>
      <c r="T831" s="335" t="n">
        <v>5400</v>
      </c>
      <c r="U831" s="341" t="n"/>
      <c r="V831" s="127" t="inlineStr">
        <is>
          <t>V1000655 - SRM ENGINEERING 1991 CO., LTD.</t>
        </is>
      </c>
      <c r="W831" s="30" t="inlineStr">
        <is>
          <t>Recive bill and GRN already</t>
        </is>
      </c>
      <c r="X831" s="64" t="inlineStr">
        <is>
          <t>GRN2425-0007399</t>
        </is>
      </c>
      <c r="Y831" s="126" t="n">
        <v>45713</v>
      </c>
      <c r="Z831" s="126" t="n"/>
      <c r="AA831" s="17">
        <f>IF(RawDataGenPO[[#This Row],[Date Gen PO]]="","",RawDataGenPO[[#This Row],[Date recive bill]]-RawDataGenPO[[#This Row],[Date Gen PO]])</f>
        <v/>
      </c>
      <c r="AB831" s="16">
        <f>IF(RawDataGenPO[[#This Row],[GRN-PO date]]&gt;RawDataGenPO[[#This Row],[Lead time delivery (day)]],"over deliverry","Ontime")</f>
        <v/>
      </c>
      <c r="AC831" s="22" t="n"/>
    </row>
    <row r="832" ht="15" customFormat="1" customHeight="1" s="125">
      <c r="A832" s="5">
        <f>ROW()-ROW(RawDataGenPO[[#Headers],[No.]])</f>
        <v/>
      </c>
      <c r="B832" s="7" t="inlineStr">
        <is>
          <t>Expent  cost</t>
        </is>
      </c>
      <c r="C832" s="281" t="n">
        <v>45668</v>
      </c>
      <c r="D832" s="276" t="n"/>
      <c r="E832" s="276" t="n"/>
      <c r="F832" s="340" t="n">
        <v>45668</v>
      </c>
      <c r="G832" s="64" t="inlineStr">
        <is>
          <t>PR2425-05192</t>
        </is>
      </c>
      <c r="H832" s="64" t="inlineStr">
        <is>
          <t>PO2425-06006</t>
        </is>
      </c>
      <c r="I832" s="290">
        <f>IF(RawDataGenPO[[#This Row],[PO No.]]="","",RawDataGenPO[[#This Row],[DMY Create PR]]+7)</f>
        <v/>
      </c>
      <c r="J832" s="290" t="n"/>
      <c r="K832" s="20" t="n">
        <v>45</v>
      </c>
      <c r="L832" s="64" t="inlineStr">
        <is>
          <t>SFST81000048</t>
        </is>
      </c>
      <c r="M832" s="7" t="inlineStr">
        <is>
          <t>PD Machine</t>
        </is>
      </c>
      <c r="N832" s="127" t="inlineStr">
        <is>
          <t>Steam Bratt pan No.1</t>
        </is>
      </c>
      <c r="O832" s="133" t="n">
        <v>2</v>
      </c>
      <c r="P832" s="83" t="inlineStr">
        <is>
          <t>LINER &amp; NUT WITH ELBOW 90 SS316L DN65 + workweld</t>
        </is>
      </c>
      <c r="Q832" s="333" t="n">
        <v>2</v>
      </c>
      <c r="R832" s="64" t="inlineStr">
        <is>
          <t>SET</t>
        </is>
      </c>
      <c r="S832" s="334">
        <f>RawDataGenPO[[#This Row],[Total price]]/RawDataGenPO[[#This Row],[Qty'']]</f>
        <v/>
      </c>
      <c r="T832" s="335" t="n">
        <v>8400</v>
      </c>
      <c r="U832" s="341" t="n"/>
      <c r="V832" s="127" t="inlineStr">
        <is>
          <t>V1000655 - SRM ENGINEERING 1991 CO., LTD.</t>
        </is>
      </c>
      <c r="W832" s="30" t="inlineStr">
        <is>
          <t>Recive bill and GRN already</t>
        </is>
      </c>
      <c r="X832" s="64" t="inlineStr">
        <is>
          <t>GRN2425-0007399</t>
        </is>
      </c>
      <c r="Y832" s="126" t="n">
        <v>45713</v>
      </c>
      <c r="Z832" s="126" t="n"/>
      <c r="AA832" s="17">
        <f>IF(RawDataGenPO[[#This Row],[Date Gen PO]]="","",RawDataGenPO[[#This Row],[Date recive bill]]-RawDataGenPO[[#This Row],[Date Gen PO]])</f>
        <v/>
      </c>
      <c r="AB832" s="16">
        <f>IF(RawDataGenPO[[#This Row],[GRN-PO date]]&gt;RawDataGenPO[[#This Row],[Lead time delivery (day)]],"over deliverry","Ontime")</f>
        <v/>
      </c>
      <c r="AC832" s="22" t="n"/>
    </row>
    <row r="833" ht="15" customFormat="1" customHeight="1" s="125">
      <c r="A833" s="5">
        <f>ROW()-ROW(RawDataGenPO[[#Headers],[No.]])</f>
        <v/>
      </c>
      <c r="B833" s="7" t="inlineStr">
        <is>
          <t>Expent  cost</t>
        </is>
      </c>
      <c r="C833" s="281" t="n">
        <v>45668</v>
      </c>
      <c r="D833" s="276" t="n"/>
      <c r="E833" s="276" t="n"/>
      <c r="F833" s="281" t="n">
        <v>45668</v>
      </c>
      <c r="G833" s="5" t="inlineStr">
        <is>
          <t>PR2425-05193</t>
        </is>
      </c>
      <c r="H833" s="5" t="inlineStr">
        <is>
          <t>PO2425-05987</t>
        </is>
      </c>
      <c r="I833" s="290" t="n">
        <v>45311</v>
      </c>
      <c r="J833" s="290" t="n"/>
      <c r="K833" s="20">
        <f>IF(RawDataGenPO[[#This Row],[PO No.]]="","",10)</f>
        <v/>
      </c>
      <c r="L833" s="5" t="inlineStr">
        <is>
          <t>SFST34000103</t>
        </is>
      </c>
      <c r="M833" s="7" t="inlineStr">
        <is>
          <t>Consumable part for MN</t>
        </is>
      </c>
      <c r="N833" s="7" t="inlineStr">
        <is>
          <t>Tool and Equipment</t>
        </is>
      </c>
      <c r="O833" s="11" t="n">
        <v>1</v>
      </c>
      <c r="P833" s="80" t="inlineStr">
        <is>
          <t>acid-free anti-mold silicone Wessbond silicone Neutra white</t>
        </is>
      </c>
      <c r="Q833" s="277" t="n">
        <v>50</v>
      </c>
      <c r="R833" s="5" t="inlineStr">
        <is>
          <t>PCS.</t>
        </is>
      </c>
      <c r="S833" s="292">
        <f>RawDataGenPO[[#This Row],[Total price]]/RawDataGenPO[[#This Row],[Qty'']]</f>
        <v/>
      </c>
      <c r="T833" s="278" t="n">
        <v>11500</v>
      </c>
      <c r="U833" s="291" t="n"/>
      <c r="V833" s="7" t="inlineStr">
        <is>
          <t>V1000576 - Darmex Petroleum (Thailand) Corp., Ltd.</t>
        </is>
      </c>
      <c r="W833" s="30" t="inlineStr">
        <is>
          <t>Recive bill and GRN already</t>
        </is>
      </c>
      <c r="X833" s="5" t="inlineStr">
        <is>
          <t>GRN2425-0006665</t>
        </is>
      </c>
      <c r="Y833" s="3" t="n">
        <v>45315</v>
      </c>
      <c r="Z833" s="3" t="n"/>
      <c r="AA833" s="17">
        <f>IF(RawDataGenPO[[#This Row],[Date Gen PO]]="","",RawDataGenPO[[#This Row],[Date recive bill]]-RawDataGenPO[[#This Row],[Date Gen PO]])</f>
        <v/>
      </c>
      <c r="AB833" s="16">
        <f>IF(RawDataGenPO[[#This Row],[GRN-PO date]]&gt;RawDataGenPO[[#This Row],[Lead time delivery (day)]],"over deliverry","Ontime")</f>
        <v/>
      </c>
      <c r="AC833" s="22" t="n"/>
    </row>
    <row r="834" ht="15" customFormat="1" customHeight="1" s="125">
      <c r="A834" s="5">
        <f>ROW()-ROW(RawDataGenPO[[#Headers],[No.]])</f>
        <v/>
      </c>
      <c r="B834" s="7" t="inlineStr">
        <is>
          <t>Expent  cost</t>
        </is>
      </c>
      <c r="C834" s="281" t="n">
        <v>45668</v>
      </c>
      <c r="D834" s="276" t="n"/>
      <c r="E834" s="276" t="n"/>
      <c r="F834" s="281" t="n">
        <v>45668</v>
      </c>
      <c r="G834" s="5" t="inlineStr">
        <is>
          <t xml:space="preserve">PR2425-05194 </t>
        </is>
      </c>
      <c r="H834" s="5" t="inlineStr">
        <is>
          <t>PO2425-06004</t>
        </is>
      </c>
      <c r="I834" s="290">
        <f>IF(RawDataGenPO[[#This Row],[PO No.]]="","",RawDataGenPO[[#This Row],[DMY Create PR]]+7)</f>
        <v/>
      </c>
      <c r="J834" s="290" t="n"/>
      <c r="K834" s="20" t="n">
        <v>45</v>
      </c>
      <c r="L834" s="5" t="inlineStr">
        <is>
          <t>SFST34000121</t>
        </is>
      </c>
      <c r="M834" s="7" t="inlineStr">
        <is>
          <t>Consumable part for MN</t>
        </is>
      </c>
      <c r="N834" s="7" t="inlineStr">
        <is>
          <t>Tool and Equipment</t>
        </is>
      </c>
      <c r="O834" s="11" t="n">
        <v>1</v>
      </c>
      <c r="P834" s="80" t="inlineStr">
        <is>
          <t>cable tieblack 6 inch 100 line (Cable Tie black 6" 100 stra</t>
        </is>
      </c>
      <c r="Q834" s="277" t="n">
        <v>4</v>
      </c>
      <c r="R834" s="5" t="inlineStr">
        <is>
          <t>PACK.</t>
        </is>
      </c>
      <c r="S834" s="292">
        <f>RawDataGenPO[[#This Row],[Total price]]/RawDataGenPO[[#This Row],[Qty'']]</f>
        <v/>
      </c>
      <c r="T834" s="278" t="n">
        <v>160</v>
      </c>
      <c r="U834" s="291" t="n"/>
      <c r="V834" s="7" t="inlineStr">
        <is>
          <t>V1000306 - Inter Supply (1992) Co., Ltd.</t>
        </is>
      </c>
      <c r="W834" s="30" t="inlineStr">
        <is>
          <t>Recive bill and GRN already</t>
        </is>
      </c>
      <c r="X834" s="5" t="inlineStr">
        <is>
          <t>GRN2425-0006821</t>
        </is>
      </c>
      <c r="Y834" s="3" t="n">
        <v>45691</v>
      </c>
      <c r="Z834" s="3" t="n"/>
      <c r="AA834" s="17">
        <f>IF(RawDataGenPO[[#This Row],[Date Gen PO]]="","",RawDataGenPO[[#This Row],[Date recive bill]]-RawDataGenPO[[#This Row],[Date Gen PO]])</f>
        <v/>
      </c>
      <c r="AB834" s="16">
        <f>IF(RawDataGenPO[[#This Row],[GRN-PO date]]&gt;RawDataGenPO[[#This Row],[Lead time delivery (day)]],"over deliverry","Ontime")</f>
        <v/>
      </c>
      <c r="AC834" s="22" t="n"/>
    </row>
    <row r="835" ht="15" customFormat="1" customHeight="1" s="125">
      <c r="A835" s="5">
        <f>ROW()-ROW(RawDataGenPO[[#Headers],[No.]])</f>
        <v/>
      </c>
      <c r="B835" s="7" t="inlineStr">
        <is>
          <t>Expent  cost</t>
        </is>
      </c>
      <c r="C835" s="281" t="n">
        <v>45668</v>
      </c>
      <c r="D835" s="276" t="n"/>
      <c r="E835" s="276" t="n"/>
      <c r="F835" s="281" t="n">
        <v>45668</v>
      </c>
      <c r="G835" s="5" t="inlineStr">
        <is>
          <t xml:space="preserve">PR2425-05194 </t>
        </is>
      </c>
      <c r="H835" s="5" t="inlineStr">
        <is>
          <t>PO2425-06004</t>
        </is>
      </c>
      <c r="I835" s="290">
        <f>IF(RawDataGenPO[[#This Row],[PO No.]]="","",RawDataGenPO[[#This Row],[DMY Create PR]]+7)</f>
        <v/>
      </c>
      <c r="J835" s="290" t="n"/>
      <c r="K835" s="20" t="n">
        <v>45</v>
      </c>
      <c r="L835" s="5" t="inlineStr">
        <is>
          <t>SFST34000122</t>
        </is>
      </c>
      <c r="M835" s="7" t="inlineStr">
        <is>
          <t>Consumable part for MN</t>
        </is>
      </c>
      <c r="N835" s="7" t="inlineStr">
        <is>
          <t>Tool and Equipment</t>
        </is>
      </c>
      <c r="O835" s="11" t="n">
        <v>2</v>
      </c>
      <c r="P835" s="80" t="inlineStr">
        <is>
          <t>cable tieblack 8 inch 100 line (Cable Tie black 8" 100 stra</t>
        </is>
      </c>
      <c r="Q835" s="277" t="n">
        <v>4</v>
      </c>
      <c r="R835" s="5" t="inlineStr">
        <is>
          <t>PACK.</t>
        </is>
      </c>
      <c r="S835" s="292">
        <f>RawDataGenPO[[#This Row],[Total price]]/RawDataGenPO[[#This Row],[Qty'']]</f>
        <v/>
      </c>
      <c r="T835" s="278" t="n">
        <v>200</v>
      </c>
      <c r="U835" s="291" t="n"/>
      <c r="V835" s="7" t="inlineStr">
        <is>
          <t>V1000306 - Inter Supply (1992) Co., Ltd.</t>
        </is>
      </c>
      <c r="W835" s="30" t="inlineStr">
        <is>
          <t>Recive bill and GRN already</t>
        </is>
      </c>
      <c r="X835" s="5" t="inlineStr">
        <is>
          <t>GRN2425-0006821</t>
        </is>
      </c>
      <c r="Y835" s="3" t="n">
        <v>45691</v>
      </c>
      <c r="Z835" s="3" t="n"/>
      <c r="AA835" s="17">
        <f>IF(RawDataGenPO[[#This Row],[Date Gen PO]]="","",RawDataGenPO[[#This Row],[Date recive bill]]-RawDataGenPO[[#This Row],[Date Gen PO]])</f>
        <v/>
      </c>
      <c r="AB835" s="16">
        <f>IF(RawDataGenPO[[#This Row],[GRN-PO date]]&gt;RawDataGenPO[[#This Row],[Lead time delivery (day)]],"over deliverry","Ontime")</f>
        <v/>
      </c>
      <c r="AC835" s="22" t="n"/>
    </row>
    <row r="836" ht="15" customFormat="1" customHeight="1" s="125">
      <c r="A836" s="5">
        <f>ROW()-ROW(RawDataGenPO[[#Headers],[No.]])</f>
        <v/>
      </c>
      <c r="B836" s="7" t="inlineStr">
        <is>
          <t>Expent  cost</t>
        </is>
      </c>
      <c r="C836" s="281" t="n">
        <v>45668</v>
      </c>
      <c r="D836" s="276" t="n"/>
      <c r="E836" s="276" t="n"/>
      <c r="F836" s="281" t="n">
        <v>45668</v>
      </c>
      <c r="G836" s="5" t="inlineStr">
        <is>
          <t xml:space="preserve">PR2425-05194 </t>
        </is>
      </c>
      <c r="H836" s="5" t="inlineStr">
        <is>
          <t>PO2425-06004</t>
        </is>
      </c>
      <c r="I836" s="290">
        <f>IF(RawDataGenPO[[#This Row],[PO No.]]="","",RawDataGenPO[[#This Row],[DMY Create PR]]+7)</f>
        <v/>
      </c>
      <c r="J836" s="290" t="n"/>
      <c r="K836" s="20" t="n">
        <v>45</v>
      </c>
      <c r="L836" s="5" t="inlineStr">
        <is>
          <t>SFST34000123</t>
        </is>
      </c>
      <c r="M836" s="7" t="inlineStr">
        <is>
          <t>Consumable part for MN</t>
        </is>
      </c>
      <c r="N836" s="7" t="inlineStr">
        <is>
          <t>Tool and Equipment</t>
        </is>
      </c>
      <c r="O836" s="11" t="n">
        <v>3</v>
      </c>
      <c r="P836" s="80" t="inlineStr">
        <is>
          <t>cable tieblack 10 inch 100 line (Cable Tie black 10" 100 stra</t>
        </is>
      </c>
      <c r="Q836" s="277" t="n">
        <v>4</v>
      </c>
      <c r="R836" s="5" t="inlineStr">
        <is>
          <t>PACK.</t>
        </is>
      </c>
      <c r="S836" s="292">
        <f>RawDataGenPO[[#This Row],[Total price]]/RawDataGenPO[[#This Row],[Qty'']]</f>
        <v/>
      </c>
      <c r="T836" s="278" t="n">
        <v>340</v>
      </c>
      <c r="U836" s="291" t="n"/>
      <c r="V836" s="7" t="inlineStr">
        <is>
          <t>V1000306 - Inter Supply (1992) Co., Ltd.</t>
        </is>
      </c>
      <c r="W836" s="30" t="inlineStr">
        <is>
          <t>Recive bill and GRN already</t>
        </is>
      </c>
      <c r="X836" s="5" t="inlineStr">
        <is>
          <t>GRN2425-0006821</t>
        </is>
      </c>
      <c r="Y836" s="3" t="n">
        <v>45691</v>
      </c>
      <c r="Z836" s="3" t="n"/>
      <c r="AA836" s="17">
        <f>IF(RawDataGenPO[[#This Row],[Date Gen PO]]="","",RawDataGenPO[[#This Row],[Date recive bill]]-RawDataGenPO[[#This Row],[Date Gen PO]])</f>
        <v/>
      </c>
      <c r="AB836" s="16">
        <f>IF(RawDataGenPO[[#This Row],[GRN-PO date]]&gt;RawDataGenPO[[#This Row],[Lead time delivery (day)]],"over deliverry","Ontime")</f>
        <v/>
      </c>
      <c r="AC836" s="22" t="n"/>
    </row>
    <row r="837" ht="15" customFormat="1" customHeight="1" s="125">
      <c r="A837" s="5">
        <f>ROW()-ROW(RawDataGenPO[[#Headers],[No.]])</f>
        <v/>
      </c>
      <c r="B837" s="7" t="inlineStr">
        <is>
          <t>Expent  cost</t>
        </is>
      </c>
      <c r="C837" s="281" t="n">
        <v>45668</v>
      </c>
      <c r="D837" s="276" t="n"/>
      <c r="E837" s="276" t="n"/>
      <c r="F837" s="281" t="n">
        <v>45668</v>
      </c>
      <c r="G837" s="5" t="inlineStr">
        <is>
          <t xml:space="preserve">PR2425-05194 </t>
        </is>
      </c>
      <c r="H837" s="5" t="inlineStr">
        <is>
          <t>PO2425-06004</t>
        </is>
      </c>
      <c r="I837" s="290">
        <f>IF(RawDataGenPO[[#This Row],[PO No.]]="","",RawDataGenPO[[#This Row],[DMY Create PR]]+7)</f>
        <v/>
      </c>
      <c r="J837" s="290" t="n"/>
      <c r="K837" s="20" t="n">
        <v>45</v>
      </c>
      <c r="L837" s="5" t="inlineStr">
        <is>
          <t>SFST34000124</t>
        </is>
      </c>
      <c r="M837" s="7" t="inlineStr">
        <is>
          <t>Consumable part for MN</t>
        </is>
      </c>
      <c r="N837" s="7" t="inlineStr">
        <is>
          <t>Tool and Equipment</t>
        </is>
      </c>
      <c r="O837" s="11" t="n">
        <v>4</v>
      </c>
      <c r="P837" s="80" t="inlineStr">
        <is>
          <t>cable tieblack 12 inch 100 line (Cable Tie black 12" 100 stra</t>
        </is>
      </c>
      <c r="Q837" s="277" t="n">
        <v>4</v>
      </c>
      <c r="R837" s="5" t="inlineStr">
        <is>
          <t>PACK.</t>
        </is>
      </c>
      <c r="S837" s="292">
        <f>RawDataGenPO[[#This Row],[Total price]]/RawDataGenPO[[#This Row],[Qty'']]</f>
        <v/>
      </c>
      <c r="T837" s="278" t="n">
        <v>360</v>
      </c>
      <c r="U837" s="291" t="n"/>
      <c r="V837" s="7" t="inlineStr">
        <is>
          <t>V1000306 - Inter Supply (1992) Co., Ltd.</t>
        </is>
      </c>
      <c r="W837" s="30" t="inlineStr">
        <is>
          <t>Recive bill and GRN already</t>
        </is>
      </c>
      <c r="X837" s="5" t="inlineStr">
        <is>
          <t>GRN2425-0006821</t>
        </is>
      </c>
      <c r="Y837" s="3" t="n">
        <v>45691</v>
      </c>
      <c r="Z837" s="3" t="n"/>
      <c r="AA837" s="17">
        <f>IF(RawDataGenPO[[#This Row],[Date Gen PO]]="","",RawDataGenPO[[#This Row],[Date recive bill]]-RawDataGenPO[[#This Row],[Date Gen PO]])</f>
        <v/>
      </c>
      <c r="AB837" s="16">
        <f>IF(RawDataGenPO[[#This Row],[GRN-PO date]]&gt;RawDataGenPO[[#This Row],[Lead time delivery (day)]],"over deliverry","Ontime")</f>
        <v/>
      </c>
      <c r="AC837" s="22" t="n"/>
    </row>
    <row r="838" ht="30" customFormat="1" customHeight="1" s="125">
      <c r="A838" s="5">
        <f>ROW()-ROW(RawDataGenPO[[#Headers],[No.]])</f>
        <v/>
      </c>
      <c r="B838" s="7" t="inlineStr">
        <is>
          <t>Expent  cost</t>
        </is>
      </c>
      <c r="C838" s="281" t="n">
        <v>45668</v>
      </c>
      <c r="D838" s="276" t="n"/>
      <c r="E838" s="276" t="n"/>
      <c r="F838" s="281" t="n">
        <v>45668</v>
      </c>
      <c r="G838" s="5" t="inlineStr">
        <is>
          <t xml:space="preserve">PR2425-05195 </t>
        </is>
      </c>
      <c r="H838" s="5" t="inlineStr">
        <is>
          <t>PO2425-06010</t>
        </is>
      </c>
      <c r="I838" s="290">
        <f>IF(RawDataGenPO[[#This Row],[PO No.]]="","",RawDataGenPO[[#This Row],[DMY Create PR]]+7)</f>
        <v/>
      </c>
      <c r="J838" s="290" t="n"/>
      <c r="K838" s="20">
        <f>IF(RawDataGenPO[[#This Row],[PO No.]]="","",10)</f>
        <v/>
      </c>
      <c r="L838" s="5" t="inlineStr">
        <is>
          <t>SFST81000050</t>
        </is>
      </c>
      <c r="M838" s="7" t="inlineStr">
        <is>
          <t>Safety equipment</t>
        </is>
      </c>
      <c r="N838" s="7" t="inlineStr">
        <is>
          <t>Safety equipment</t>
        </is>
      </c>
      <c r="O838" s="11" t="n">
        <v>1</v>
      </c>
      <c r="P838" s="80" t="inlineStr">
        <is>
          <t>glovesstainless steel type 5 inchhand cable
Size: M=1, L=1</t>
        </is>
      </c>
      <c r="Q838" s="277" t="n">
        <v>2</v>
      </c>
      <c r="R838" s="5" t="inlineStr">
        <is>
          <t>PCS.</t>
        </is>
      </c>
      <c r="S838" s="292">
        <f>RawDataGenPO[[#This Row],[Total price]]/RawDataGenPO[[#This Row],[Qty'']]</f>
        <v/>
      </c>
      <c r="T838" s="278" t="n">
        <v>3600</v>
      </c>
      <c r="U838" s="291" t="n"/>
      <c r="V838" s="7" t="inlineStr">
        <is>
          <t>V1000729 - BN SUPPLY 1991 CO., LTD.</t>
        </is>
      </c>
      <c r="W838" s="30" t="inlineStr">
        <is>
          <t>Recive bill and GRN already</t>
        </is>
      </c>
      <c r="X838" s="5" t="inlineStr">
        <is>
          <t>GRN2425-0006758</t>
        </is>
      </c>
      <c r="Y838" s="3" t="n">
        <v>45685</v>
      </c>
      <c r="Z838" s="3" t="n"/>
      <c r="AA838" s="17">
        <f>IF(RawDataGenPO[[#This Row],[Date Gen PO]]="","",RawDataGenPO[[#This Row],[Date recive bill]]-RawDataGenPO[[#This Row],[Date Gen PO]])</f>
        <v/>
      </c>
      <c r="AB838" s="16">
        <f>IF(RawDataGenPO[[#This Row],[GRN-PO date]]&gt;RawDataGenPO[[#This Row],[Lead time delivery (day)]],"over deliverry","Ontime")</f>
        <v/>
      </c>
      <c r="AC838" s="22" t="n"/>
    </row>
    <row r="839" ht="15" customFormat="1" customHeight="1" s="125">
      <c r="A839" s="5">
        <f>ROW()-ROW(RawDataGenPO[[#Headers],[No.]])</f>
        <v/>
      </c>
      <c r="B839" s="7" t="inlineStr">
        <is>
          <t>Expent  cost</t>
        </is>
      </c>
      <c r="C839" s="281" t="n">
        <v>45668</v>
      </c>
      <c r="D839" s="276" t="n"/>
      <c r="E839" s="276" t="n"/>
      <c r="F839" s="281" t="n">
        <v>45668</v>
      </c>
      <c r="G839" s="5" t="inlineStr">
        <is>
          <t xml:space="preserve">PR2425-05195 </t>
        </is>
      </c>
      <c r="H839" s="5" t="inlineStr">
        <is>
          <t>PO2425-06010</t>
        </is>
      </c>
      <c r="I839" s="290">
        <f>IF(RawDataGenPO[[#This Row],[PO No.]]="","",RawDataGenPO[[#This Row],[DMY Create PR]]+7)</f>
        <v/>
      </c>
      <c r="J839" s="290" t="n"/>
      <c r="K839" s="20">
        <f>IF(RawDataGenPO[[#This Row],[PO No.]]="","",10)</f>
        <v/>
      </c>
      <c r="L839" s="5" t="inlineStr">
        <is>
          <t>SFST81000050</t>
        </is>
      </c>
      <c r="M839" s="7" t="inlineStr">
        <is>
          <t>Safety equipment</t>
        </is>
      </c>
      <c r="N839" s="7" t="inlineStr">
        <is>
          <t>Safety equipment</t>
        </is>
      </c>
      <c r="O839" s="11" t="n">
        <v>2</v>
      </c>
      <c r="P839" s="80" t="inlineStr">
        <is>
          <t>leather welding gloves, heat resistant 300C length 16 inch</t>
        </is>
      </c>
      <c r="Q839" s="277" t="n">
        <v>3</v>
      </c>
      <c r="R839" s="5" t="inlineStr">
        <is>
          <t>PCS.</t>
        </is>
      </c>
      <c r="S839" s="292">
        <f>RawDataGenPO[[#This Row],[Total price]]/RawDataGenPO[[#This Row],[Qty'']]</f>
        <v/>
      </c>
      <c r="T839" s="278" t="n">
        <v>570</v>
      </c>
      <c r="U839" s="291" t="n"/>
      <c r="V839" s="7" t="inlineStr">
        <is>
          <t>V1000729 - BN SUPPLY 1991 CO., LTD.</t>
        </is>
      </c>
      <c r="W839" s="30" t="inlineStr">
        <is>
          <t>Recive bill and GRN already</t>
        </is>
      </c>
      <c r="X839" s="5" t="inlineStr">
        <is>
          <t>GRN2425-0006758</t>
        </is>
      </c>
      <c r="Y839" s="3" t="n">
        <v>45685</v>
      </c>
      <c r="Z839" s="3" t="n"/>
      <c r="AA839" s="17">
        <f>IF(RawDataGenPO[[#This Row],[Date Gen PO]]="","",RawDataGenPO[[#This Row],[Date recive bill]]-RawDataGenPO[[#This Row],[Date Gen PO]])</f>
        <v/>
      </c>
      <c r="AB839" s="16">
        <f>IF(RawDataGenPO[[#This Row],[GRN-PO date]]&gt;RawDataGenPO[[#This Row],[Lead time delivery (day)]],"over deliverry","Ontime")</f>
        <v/>
      </c>
      <c r="AC839" s="22" t="n"/>
    </row>
    <row r="840" ht="15" customFormat="1" customHeight="1" s="125">
      <c r="A840" s="5">
        <f>ROW()-ROW(RawDataGenPO[[#Headers],[No.]])</f>
        <v/>
      </c>
      <c r="B840" s="7" t="inlineStr">
        <is>
          <t>Expent  cost</t>
        </is>
      </c>
      <c r="C840" s="281" t="n">
        <v>45668</v>
      </c>
      <c r="D840" s="276" t="n"/>
      <c r="E840" s="276" t="n"/>
      <c r="F840" s="281" t="n">
        <v>45668</v>
      </c>
      <c r="G840" s="5" t="inlineStr">
        <is>
          <t xml:space="preserve">PR2425-05195 </t>
        </is>
      </c>
      <c r="H840" s="5" t="inlineStr">
        <is>
          <t>PO2425-06012</t>
        </is>
      </c>
      <c r="I840" s="290">
        <f>IF(RawDataGenPO[[#This Row],[PO No.]]="","",RawDataGenPO[[#This Row],[DMY Create PR]]+7)</f>
        <v/>
      </c>
      <c r="J840" s="290" t="n"/>
      <c r="K840" s="20" t="n">
        <v>45</v>
      </c>
      <c r="L840" s="5" t="inlineStr">
        <is>
          <t>SFST81000050</t>
        </is>
      </c>
      <c r="M840" s="7" t="inlineStr">
        <is>
          <t>Safety equipment</t>
        </is>
      </c>
      <c r="N840" s="7" t="inlineStr">
        <is>
          <t>Safety equipment</t>
        </is>
      </c>
      <c r="O840" s="11" t="n">
        <v>3</v>
      </c>
      <c r="P840" s="80" t="inlineStr">
        <is>
          <t>rubber bumper D-Type: size 100x10x10 cm.</t>
        </is>
      </c>
      <c r="Q840" s="277" t="n">
        <v>2</v>
      </c>
      <c r="R840" s="5" t="inlineStr">
        <is>
          <t>PCS.</t>
        </is>
      </c>
      <c r="S840" s="292">
        <f>RawDataGenPO[[#This Row],[Total price]]/RawDataGenPO[[#This Row],[Qty'']]</f>
        <v/>
      </c>
      <c r="T840" s="278" t="n">
        <v>3900</v>
      </c>
      <c r="U840" s="291" t="n"/>
      <c r="V840" s="7" t="inlineStr">
        <is>
          <t>V1000259 - JJP SUPPLY CO., LTD</t>
        </is>
      </c>
      <c r="W840" s="30" t="inlineStr">
        <is>
          <t>Recive bill and GRN already</t>
        </is>
      </c>
      <c r="X840" s="5" t="inlineStr">
        <is>
          <t>GRN2425-0007143</t>
        </is>
      </c>
      <c r="Y840" s="3" t="n">
        <v>45702</v>
      </c>
      <c r="Z840" s="3" t="n"/>
      <c r="AA840" s="17">
        <f>IF(RawDataGenPO[[#This Row],[Date Gen PO]]="","",RawDataGenPO[[#This Row],[Date recive bill]]-RawDataGenPO[[#This Row],[Date Gen PO]])</f>
        <v/>
      </c>
      <c r="AB840" s="16">
        <f>IF(RawDataGenPO[[#This Row],[GRN-PO date]]&gt;RawDataGenPO[[#This Row],[Lead time delivery (day)]],"over deliverry","Ontime")</f>
        <v/>
      </c>
      <c r="AC840" s="22" t="n"/>
    </row>
    <row r="841" ht="15" customFormat="1" customHeight="1" s="125">
      <c r="A841" s="5">
        <f>ROW()-ROW(RawDataGenPO[[#Headers],[No.]])</f>
        <v/>
      </c>
      <c r="B841" s="7" t="inlineStr">
        <is>
          <t>Expent  cost</t>
        </is>
      </c>
      <c r="C841" s="281" t="n">
        <v>45668</v>
      </c>
      <c r="D841" s="276" t="n"/>
      <c r="E841" s="276" t="n"/>
      <c r="F841" s="281" t="n">
        <v>45668</v>
      </c>
      <c r="G841" s="5" t="inlineStr">
        <is>
          <t xml:space="preserve">PR2425-05195 </t>
        </is>
      </c>
      <c r="H841" s="5" t="inlineStr">
        <is>
          <t>PO2425-06012</t>
        </is>
      </c>
      <c r="I841" s="290">
        <f>IF(RawDataGenPO[[#This Row],[PO No.]]="","",RawDataGenPO[[#This Row],[DMY Create PR]]+7)</f>
        <v/>
      </c>
      <c r="J841" s="290" t="n"/>
      <c r="K841" s="20" t="n">
        <v>45</v>
      </c>
      <c r="L841" s="5" t="inlineStr">
        <is>
          <t>SFST81000050</t>
        </is>
      </c>
      <c r="M841" s="7" t="inlineStr">
        <is>
          <t>Safety equipment</t>
        </is>
      </c>
      <c r="N841" s="7" t="inlineStr">
        <is>
          <t>Safety equipment</t>
        </is>
      </c>
      <c r="O841" s="11" t="n">
        <v>4</v>
      </c>
      <c r="P841" s="80" t="inlineStr">
        <is>
          <t>"ELECTON" EN1-M31530 cable reel 4 slot 3500m 30 m</t>
        </is>
      </c>
      <c r="Q841" s="277" t="n">
        <v>2</v>
      </c>
      <c r="R841" s="5" t="inlineStr">
        <is>
          <t>PCS.</t>
        </is>
      </c>
      <c r="S841" s="292">
        <f>RawDataGenPO[[#This Row],[Total price]]/RawDataGenPO[[#This Row],[Qty'']]</f>
        <v/>
      </c>
      <c r="T841" s="278" t="n">
        <v>4800</v>
      </c>
      <c r="U841" s="291" t="n"/>
      <c r="V841" s="7" t="inlineStr">
        <is>
          <t>V1000259 - JJP SUPPLY CO., LTD</t>
        </is>
      </c>
      <c r="W841" s="30" t="inlineStr">
        <is>
          <t>Recive bill and GRN already</t>
        </is>
      </c>
      <c r="X841" s="5" t="inlineStr">
        <is>
          <t>GRN2425-0007143</t>
        </is>
      </c>
      <c r="Y841" s="3" t="n">
        <v>45702</v>
      </c>
      <c r="Z841" s="3" t="n"/>
      <c r="AA841" s="17">
        <f>IF(RawDataGenPO[[#This Row],[Date Gen PO]]="","",RawDataGenPO[[#This Row],[Date recive bill]]-RawDataGenPO[[#This Row],[Date Gen PO]])</f>
        <v/>
      </c>
      <c r="AB841" s="16">
        <f>IF(RawDataGenPO[[#This Row],[GRN-PO date]]&gt;RawDataGenPO[[#This Row],[Lead time delivery (day)]],"over deliverry","Ontime")</f>
        <v/>
      </c>
      <c r="AC841" s="22" t="n"/>
    </row>
    <row r="842" ht="90" customHeight="1">
      <c r="A842" s="5">
        <f>ROW()-ROW(RawDataGenPO[[#Headers],[No.]])</f>
        <v/>
      </c>
      <c r="B842" s="7" t="inlineStr">
        <is>
          <t>Expent  cost</t>
        </is>
      </c>
      <c r="C842" s="281" t="n">
        <v>45668</v>
      </c>
      <c r="F842" s="281" t="n">
        <v>45668</v>
      </c>
      <c r="G842" s="5" t="inlineStr">
        <is>
          <t>PR2425-05196</t>
        </is>
      </c>
      <c r="H842" s="5" t="inlineStr">
        <is>
          <t>PO2425-06133</t>
        </is>
      </c>
      <c r="I842" s="290">
        <f>IF(RawDataGenPO[[#This Row],[PO No.]]="","",RawDataGenPO[[#This Row],[DMY Create PR]]+7)</f>
        <v/>
      </c>
      <c r="J842" s="290" t="n"/>
      <c r="K842" s="20" t="n">
        <v>60</v>
      </c>
      <c r="L842" s="5" t="inlineStr">
        <is>
          <t>SFST81000051</t>
        </is>
      </c>
      <c r="M842" s="7" t="inlineStr">
        <is>
          <t>Water plant</t>
        </is>
      </c>
      <c r="N842" s="7" t="inlineStr">
        <is>
          <t>Water system jobs</t>
        </is>
      </c>
      <c r="O842" s="5" t="n">
        <v>1</v>
      </c>
      <c r="P842" s="80" t="inlineStr">
        <is>
          <t>PROMINENT DIAPHAGM PUMP
TYPE: CNPB1003PVT209A010
CAPACITY: 3.0 1/HR.AT 10 BAR
POWER: IpH.100-230V.50/60Hz.11W.
LIQUID END: PVDF, SEAL: PTFE
CONNECTION: 6 Χ 4 ΜΜ.</t>
        </is>
      </c>
      <c r="Q842" s="277" t="n">
        <v>1</v>
      </c>
      <c r="R842" s="5" t="inlineStr">
        <is>
          <t>Unit</t>
        </is>
      </c>
      <c r="S842" s="292">
        <f>RawDataGenPO[[#This Row],[Total price]]/RawDataGenPO[[#This Row],[Qty'']]</f>
        <v/>
      </c>
      <c r="T842" s="278" t="n">
        <v>7300</v>
      </c>
      <c r="U842" s="291" t="n"/>
      <c r="V842" s="33" t="inlineStr">
        <is>
          <t>V1000758 - DIVINE TECHNOLOGY SOLUTIONS COMPANY LIMITED</t>
        </is>
      </c>
      <c r="W842" s="30" t="inlineStr">
        <is>
          <t>Recive bill and GRN already</t>
        </is>
      </c>
      <c r="X842" s="5" t="inlineStr">
        <is>
          <t>GRN2425-0007882</t>
        </is>
      </c>
      <c r="Y842" s="3" t="n">
        <v>45734</v>
      </c>
      <c r="AA842" s="17">
        <f>IF(RawDataGenPO[[#This Row],[Date Gen PO]]="","",RawDataGenPO[[#This Row],[Date recive bill]]-RawDataGenPO[[#This Row],[Date Gen PO]])</f>
        <v/>
      </c>
      <c r="AB842" s="16">
        <f>IF(RawDataGenPO[[#This Row],[GRN-PO date]]&gt;RawDataGenPO[[#This Row],[Lead time delivery (day)]],"over deliverry","Ontime")</f>
        <v/>
      </c>
      <c r="AC842" s="22" t="n"/>
    </row>
    <row r="843" ht="15" customFormat="1" customHeight="1" s="125">
      <c r="A843" s="5">
        <f>ROW()-ROW(RawDataGenPO[[#Headers],[No.]])</f>
        <v/>
      </c>
      <c r="B843" s="7" t="inlineStr">
        <is>
          <t>Expent  cost</t>
        </is>
      </c>
      <c r="C843" s="281" t="n">
        <v>45668</v>
      </c>
      <c r="D843" s="276" t="n"/>
      <c r="E843" s="276" t="n"/>
      <c r="F843" s="281" t="n">
        <v>45668</v>
      </c>
      <c r="G843" s="5" t="inlineStr">
        <is>
          <t xml:space="preserve">PR2425-05197 </t>
        </is>
      </c>
      <c r="H843" s="5" t="inlineStr">
        <is>
          <t>PO2425-05988</t>
        </is>
      </c>
      <c r="I843" s="290">
        <f>IF(RawDataGenPO[[#This Row],[PO No.]]="","",RawDataGenPO[[#This Row],[DMY Create PR]]+7)</f>
        <v/>
      </c>
      <c r="J843" s="290" t="n"/>
      <c r="K843" s="20" t="n">
        <v>45</v>
      </c>
      <c r="L843" s="5" t="inlineStr">
        <is>
          <t>SFST81000009</t>
        </is>
      </c>
      <c r="M843" s="7" t="inlineStr">
        <is>
          <t>Electrical system in PD area</t>
        </is>
      </c>
      <c r="N843" s="7" t="inlineStr">
        <is>
          <t>Electrical jobs</t>
        </is>
      </c>
      <c r="O843" s="11" t="n">
        <v>1</v>
      </c>
      <c r="P843" s="80" t="inlineStr">
        <is>
          <t>bolt M10x30 mm. pan head stainless steel 304</t>
        </is>
      </c>
      <c r="Q843" s="277" t="n">
        <v>30</v>
      </c>
      <c r="R843" s="5" t="inlineStr">
        <is>
          <t>PCS.</t>
        </is>
      </c>
      <c r="S843" s="292">
        <f>RawDataGenPO[[#This Row],[Total price]]/RawDataGenPO[[#This Row],[Qty'']]</f>
        <v/>
      </c>
      <c r="T843" s="278" t="n">
        <v>600</v>
      </c>
      <c r="U843" s="291" t="n"/>
      <c r="V843" s="7" t="inlineStr">
        <is>
          <t>V1000259 - JJP SUPPLY CO., LTD</t>
        </is>
      </c>
      <c r="W843" s="30" t="inlineStr">
        <is>
          <t>Recive bill and GRN already</t>
        </is>
      </c>
      <c r="X843" s="5" t="inlineStr">
        <is>
          <t>GRN2425-0007140</t>
        </is>
      </c>
      <c r="Y843" s="3" t="n">
        <v>45702</v>
      </c>
      <c r="Z843" s="3" t="n"/>
      <c r="AA843" s="17">
        <f>IF(RawDataGenPO[[#This Row],[Date Gen PO]]="","",RawDataGenPO[[#This Row],[Date recive bill]]-RawDataGenPO[[#This Row],[Date Gen PO]])</f>
        <v/>
      </c>
      <c r="AB843" s="16">
        <f>IF(RawDataGenPO[[#This Row],[GRN-PO date]]&gt;RawDataGenPO[[#This Row],[Lead time delivery (day)]],"over deliverry","Ontime")</f>
        <v/>
      </c>
      <c r="AC843" s="22" t="n"/>
    </row>
    <row r="844" ht="15" customFormat="1" customHeight="1" s="125">
      <c r="A844" s="5">
        <f>ROW()-ROW(RawDataGenPO[[#Headers],[No.]])</f>
        <v/>
      </c>
      <c r="B844" s="7" t="inlineStr">
        <is>
          <t>Expent  cost</t>
        </is>
      </c>
      <c r="C844" s="281" t="n">
        <v>45668</v>
      </c>
      <c r="D844" s="276" t="n"/>
      <c r="E844" s="276" t="n"/>
      <c r="F844" s="281" t="n">
        <v>45668</v>
      </c>
      <c r="G844" s="5" t="inlineStr">
        <is>
          <t xml:space="preserve">PR2425-05197 </t>
        </is>
      </c>
      <c r="H844" s="5" t="inlineStr">
        <is>
          <t>PO2425-05988</t>
        </is>
      </c>
      <c r="I844" s="290">
        <f>IF(RawDataGenPO[[#This Row],[PO No.]]="","",RawDataGenPO[[#This Row],[DMY Create PR]]+7)</f>
        <v/>
      </c>
      <c r="J844" s="290" t="n"/>
      <c r="K844" s="20" t="n">
        <v>45</v>
      </c>
      <c r="L844" s="5" t="inlineStr">
        <is>
          <t>SFST81000009</t>
        </is>
      </c>
      <c r="M844" s="7" t="inlineStr">
        <is>
          <t>Electrical system in PD area</t>
        </is>
      </c>
      <c r="N844" s="7" t="inlineStr">
        <is>
          <t>Electrical jobs</t>
        </is>
      </c>
      <c r="O844" s="11" t="n">
        <v>2</v>
      </c>
      <c r="P844" s="80" t="inlineStr">
        <is>
          <t>fittingstraight couplingwith threaded two-side air line connection 6 mm</t>
        </is>
      </c>
      <c r="Q844" s="277" t="n">
        <v>10</v>
      </c>
      <c r="R844" s="5" t="inlineStr">
        <is>
          <t>PCS.</t>
        </is>
      </c>
      <c r="S844" s="292">
        <f>RawDataGenPO[[#This Row],[Total price]]/RawDataGenPO[[#This Row],[Qty'']]</f>
        <v/>
      </c>
      <c r="T844" s="278" t="n">
        <v>350</v>
      </c>
      <c r="U844" s="291" t="n"/>
      <c r="V844" s="7" t="inlineStr">
        <is>
          <t>V1000259 - JJP SUPPLY CO., LTD</t>
        </is>
      </c>
      <c r="W844" s="30" t="inlineStr">
        <is>
          <t>Recive bill and GRN already</t>
        </is>
      </c>
      <c r="X844" s="5" t="inlineStr">
        <is>
          <t>GRN2425-0007140</t>
        </is>
      </c>
      <c r="Y844" s="3" t="n">
        <v>45702</v>
      </c>
      <c r="Z844" s="3" t="n"/>
      <c r="AA844" s="17">
        <f>IF(RawDataGenPO[[#This Row],[Date Gen PO]]="","",RawDataGenPO[[#This Row],[Date recive bill]]-RawDataGenPO[[#This Row],[Date Gen PO]])</f>
        <v/>
      </c>
      <c r="AB844" s="16">
        <f>IF(RawDataGenPO[[#This Row],[GRN-PO date]]&gt;RawDataGenPO[[#This Row],[Lead time delivery (day)]],"over deliverry","Ontime")</f>
        <v/>
      </c>
      <c r="AC844" s="22" t="n"/>
    </row>
    <row r="845" ht="15" customFormat="1" customHeight="1" s="125">
      <c r="A845" s="5">
        <f>ROW()-ROW(RawDataGenPO[[#Headers],[No.]])</f>
        <v/>
      </c>
      <c r="B845" s="7" t="inlineStr">
        <is>
          <t>Expent  cost</t>
        </is>
      </c>
      <c r="C845" s="281" t="n">
        <v>45668</v>
      </c>
      <c r="D845" s="276" t="n"/>
      <c r="E845" s="276" t="n"/>
      <c r="F845" s="281" t="n">
        <v>45668</v>
      </c>
      <c r="G845" s="5" t="inlineStr">
        <is>
          <t xml:space="preserve">PR2425-05197 </t>
        </is>
      </c>
      <c r="H845" s="5" t="inlineStr">
        <is>
          <t>PO2425-05988</t>
        </is>
      </c>
      <c r="I845" s="290">
        <f>IF(RawDataGenPO[[#This Row],[PO No.]]="","",RawDataGenPO[[#This Row],[DMY Create PR]]+7)</f>
        <v/>
      </c>
      <c r="J845" s="290" t="n"/>
      <c r="K845" s="20" t="n">
        <v>45</v>
      </c>
      <c r="L845" s="5" t="inlineStr">
        <is>
          <t>SFST81000009</t>
        </is>
      </c>
      <c r="M845" s="7" t="inlineStr">
        <is>
          <t>Electrical system in PD area</t>
        </is>
      </c>
      <c r="N845" s="7" t="inlineStr">
        <is>
          <t>Electrical jobs</t>
        </is>
      </c>
      <c r="O845" s="11" t="n">
        <v>3</v>
      </c>
      <c r="P845" s="80" t="inlineStr">
        <is>
          <t>fittingstraight couplingwith threaded two-side air line connection 8 mm</t>
        </is>
      </c>
      <c r="Q845" s="277" t="n">
        <v>10</v>
      </c>
      <c r="R845" s="5" t="inlineStr">
        <is>
          <t>PCS.</t>
        </is>
      </c>
      <c r="S845" s="292">
        <f>RawDataGenPO[[#This Row],[Total price]]/RawDataGenPO[[#This Row],[Qty'']]</f>
        <v/>
      </c>
      <c r="T845" s="278" t="n">
        <v>350</v>
      </c>
      <c r="U845" s="291" t="n"/>
      <c r="V845" s="7" t="inlineStr">
        <is>
          <t>V1000259 - JJP SUPPLY CO., LTD</t>
        </is>
      </c>
      <c r="W845" s="30" t="inlineStr">
        <is>
          <t>Recive bill and GRN already</t>
        </is>
      </c>
      <c r="X845" s="5" t="inlineStr">
        <is>
          <t>GRN2425-0007140</t>
        </is>
      </c>
      <c r="Y845" s="3" t="n">
        <v>45702</v>
      </c>
      <c r="Z845" s="3" t="n"/>
      <c r="AA845" s="17">
        <f>IF(RawDataGenPO[[#This Row],[Date Gen PO]]="","",RawDataGenPO[[#This Row],[Date recive bill]]-RawDataGenPO[[#This Row],[Date Gen PO]])</f>
        <v/>
      </c>
      <c r="AB845" s="16">
        <f>IF(RawDataGenPO[[#This Row],[GRN-PO date]]&gt;RawDataGenPO[[#This Row],[Lead time delivery (day)]],"over deliverry","Ontime")</f>
        <v/>
      </c>
      <c r="AC845" s="22" t="n"/>
    </row>
    <row r="846" ht="15" customFormat="1" customHeight="1" s="125">
      <c r="A846" s="5">
        <f>ROW()-ROW(RawDataGenPO[[#Headers],[No.]])</f>
        <v/>
      </c>
      <c r="B846" s="7" t="inlineStr">
        <is>
          <t>Expent  cost</t>
        </is>
      </c>
      <c r="C846" s="281" t="n">
        <v>45668</v>
      </c>
      <c r="D846" s="276" t="n"/>
      <c r="E846" s="276" t="n"/>
      <c r="F846" s="281" t="n">
        <v>45668</v>
      </c>
      <c r="G846" s="5" t="inlineStr">
        <is>
          <t xml:space="preserve">PR2425-05197 </t>
        </is>
      </c>
      <c r="H846" s="5" t="inlineStr">
        <is>
          <t>PO2425-05988</t>
        </is>
      </c>
      <c r="I846" s="290">
        <f>IF(RawDataGenPO[[#This Row],[PO No.]]="","",RawDataGenPO[[#This Row],[DMY Create PR]]+7)</f>
        <v/>
      </c>
      <c r="J846" s="290" t="n"/>
      <c r="K846" s="20" t="n">
        <v>45</v>
      </c>
      <c r="L846" s="5" t="inlineStr">
        <is>
          <t>SFST81000009</t>
        </is>
      </c>
      <c r="M846" s="7" t="inlineStr">
        <is>
          <t>Electrical system in PD area</t>
        </is>
      </c>
      <c r="N846" s="7" t="inlineStr">
        <is>
          <t>Electrical jobs</t>
        </is>
      </c>
      <c r="O846" s="11" t="n">
        <v>4</v>
      </c>
      <c r="P846" s="80" t="inlineStr">
        <is>
          <t>FUSE ceramic size 10A 500V 6x30 mm.</t>
        </is>
      </c>
      <c r="Q846" s="277" t="n">
        <v>10</v>
      </c>
      <c r="R846" s="5" t="inlineStr">
        <is>
          <t>PCS.</t>
        </is>
      </c>
      <c r="S846" s="292">
        <f>RawDataGenPO[[#This Row],[Total price]]/RawDataGenPO[[#This Row],[Qty'']]</f>
        <v/>
      </c>
      <c r="T846" s="278" t="n">
        <v>1550</v>
      </c>
      <c r="U846" s="291" t="n"/>
      <c r="V846" s="7" t="inlineStr">
        <is>
          <t>V1000259 - JJP SUPPLY CO., LTD</t>
        </is>
      </c>
      <c r="W846" s="30" t="inlineStr">
        <is>
          <t>Recive bill and GRN already</t>
        </is>
      </c>
      <c r="X846" s="5" t="inlineStr">
        <is>
          <t>GRN2425-0007140</t>
        </is>
      </c>
      <c r="Y846" s="3" t="n">
        <v>45702</v>
      </c>
      <c r="Z846" s="3" t="n"/>
      <c r="AA846" s="17">
        <f>IF(RawDataGenPO[[#This Row],[Date Gen PO]]="","",RawDataGenPO[[#This Row],[Date recive bill]]-RawDataGenPO[[#This Row],[Date Gen PO]])</f>
        <v/>
      </c>
      <c r="AB846" s="16">
        <f>IF(RawDataGenPO[[#This Row],[GRN-PO date]]&gt;RawDataGenPO[[#This Row],[Lead time delivery (day)]],"over deliverry","Ontime")</f>
        <v/>
      </c>
      <c r="AC846" s="22" t="n"/>
    </row>
    <row r="847" ht="15" customFormat="1" customHeight="1" s="125">
      <c r="A847" s="5">
        <f>ROW()-ROW(RawDataGenPO[[#Headers],[No.]])</f>
        <v/>
      </c>
      <c r="B847" s="7" t="inlineStr">
        <is>
          <t>Expent  cost</t>
        </is>
      </c>
      <c r="C847" s="281" t="n">
        <v>45668</v>
      </c>
      <c r="D847" s="276" t="n"/>
      <c r="E847" s="276" t="n"/>
      <c r="F847" s="281" t="n">
        <v>45668</v>
      </c>
      <c r="G847" s="5" t="inlineStr">
        <is>
          <t xml:space="preserve">PR2425-05197 </t>
        </is>
      </c>
      <c r="H847" s="5" t="inlineStr">
        <is>
          <t>PO2425-05988</t>
        </is>
      </c>
      <c r="I847" s="290">
        <f>IF(RawDataGenPO[[#This Row],[PO No.]]="","",RawDataGenPO[[#This Row],[DMY Create PR]]+7)</f>
        <v/>
      </c>
      <c r="J847" s="290" t="n"/>
      <c r="K847" s="20" t="n">
        <v>45</v>
      </c>
      <c r="L847" s="5" t="inlineStr">
        <is>
          <t>SFST81000009</t>
        </is>
      </c>
      <c r="M847" s="7" t="inlineStr">
        <is>
          <t>Electrical system in PD area</t>
        </is>
      </c>
      <c r="N847" s="7" t="inlineStr">
        <is>
          <t>Electrical jobs</t>
        </is>
      </c>
      <c r="O847" s="11" t="n">
        <v>5</v>
      </c>
      <c r="P847" s="80" t="inlineStr">
        <is>
          <t>Flexible waterproof greysize 1 1/4" 5 m</t>
        </is>
      </c>
      <c r="Q847" s="277" t="n">
        <v>5</v>
      </c>
      <c r="R847" s="5" t="inlineStr">
        <is>
          <t>PCS.</t>
        </is>
      </c>
      <c r="S847" s="292">
        <f>RawDataGenPO[[#This Row],[Total price]]/RawDataGenPO[[#This Row],[Qty'']]</f>
        <v/>
      </c>
      <c r="T847" s="278" t="n">
        <v>1360</v>
      </c>
      <c r="U847" s="291" t="n"/>
      <c r="V847" s="7" t="inlineStr">
        <is>
          <t>V1000259 - JJP SUPPLY CO., LTD</t>
        </is>
      </c>
      <c r="W847" s="30" t="inlineStr">
        <is>
          <t>Recive bill and GRN already</t>
        </is>
      </c>
      <c r="X847" s="5" t="inlineStr">
        <is>
          <t>GRN2425-0007140</t>
        </is>
      </c>
      <c r="Y847" s="3" t="n">
        <v>45702</v>
      </c>
      <c r="Z847" s="3" t="n"/>
      <c r="AA847" s="17">
        <f>IF(RawDataGenPO[[#This Row],[Date Gen PO]]="","",RawDataGenPO[[#This Row],[Date recive bill]]-RawDataGenPO[[#This Row],[Date Gen PO]])</f>
        <v/>
      </c>
      <c r="AB847" s="16">
        <f>IF(RawDataGenPO[[#This Row],[GRN-PO date]]&gt;RawDataGenPO[[#This Row],[Lead time delivery (day)]],"over deliverry","Ontime")</f>
        <v/>
      </c>
      <c r="AC847" s="22" t="n"/>
    </row>
    <row r="848" ht="15" customFormat="1" customHeight="1" s="125">
      <c r="A848" s="5">
        <f>ROW()-ROW(RawDataGenPO[[#Headers],[No.]])</f>
        <v/>
      </c>
      <c r="B848" s="7" t="inlineStr">
        <is>
          <t>Expent  cost</t>
        </is>
      </c>
      <c r="C848" s="281" t="n">
        <v>45668</v>
      </c>
      <c r="D848" s="276" t="n"/>
      <c r="E848" s="276" t="n"/>
      <c r="F848" s="281" t="n">
        <v>45668</v>
      </c>
      <c r="G848" s="5" t="inlineStr">
        <is>
          <t xml:space="preserve">PR2425-05197 </t>
        </is>
      </c>
      <c r="H848" s="5" t="inlineStr">
        <is>
          <t>PO2425-05988</t>
        </is>
      </c>
      <c r="I848" s="290">
        <f>IF(RawDataGenPO[[#This Row],[PO No.]]="","",RawDataGenPO[[#This Row],[DMY Create PR]]+7)</f>
        <v/>
      </c>
      <c r="J848" s="290" t="n"/>
      <c r="K848" s="20" t="n">
        <v>45</v>
      </c>
      <c r="L848" s="5" t="inlineStr">
        <is>
          <t>SFST81000009</t>
        </is>
      </c>
      <c r="M848" s="7" t="inlineStr">
        <is>
          <t>Electrical system in PD area</t>
        </is>
      </c>
      <c r="N848" s="7" t="inlineStr">
        <is>
          <t>Electrical jobs</t>
        </is>
      </c>
      <c r="O848" s="11" t="n">
        <v>6</v>
      </c>
      <c r="P848" s="80" t="inlineStr">
        <is>
          <t>Connector Flexible waterproof 1 1/4"</t>
        </is>
      </c>
      <c r="Q848" s="277" t="n">
        <v>6</v>
      </c>
      <c r="R848" s="5" t="inlineStr">
        <is>
          <t>PCS.</t>
        </is>
      </c>
      <c r="S848" s="292">
        <f>RawDataGenPO[[#This Row],[Total price]]/RawDataGenPO[[#This Row],[Qty'']]</f>
        <v/>
      </c>
      <c r="T848" s="278" t="n">
        <v>540</v>
      </c>
      <c r="U848" s="291" t="n"/>
      <c r="V848" s="7" t="inlineStr">
        <is>
          <t>V1000259 - JJP SUPPLY CO., LTD</t>
        </is>
      </c>
      <c r="W848" s="30" t="inlineStr">
        <is>
          <t>Recive bill and GRN already</t>
        </is>
      </c>
      <c r="X848" s="5" t="inlineStr">
        <is>
          <t>GRN2425-0007140</t>
        </is>
      </c>
      <c r="Y848" s="3" t="n">
        <v>45702</v>
      </c>
      <c r="Z848" s="3" t="n"/>
      <c r="AA848" s="17">
        <f>IF(RawDataGenPO[[#This Row],[Date Gen PO]]="","",RawDataGenPO[[#This Row],[Date recive bill]]-RawDataGenPO[[#This Row],[Date Gen PO]])</f>
        <v/>
      </c>
      <c r="AB848" s="16">
        <f>IF(RawDataGenPO[[#This Row],[GRN-PO date]]&gt;RawDataGenPO[[#This Row],[Lead time delivery (day)]],"over deliverry","Ontime")</f>
        <v/>
      </c>
      <c r="AC848" s="22" t="n"/>
    </row>
    <row r="849" ht="15" customFormat="1" customHeight="1" s="125">
      <c r="A849" s="5">
        <f>ROW()-ROW(RawDataGenPO[[#Headers],[No.]])</f>
        <v/>
      </c>
      <c r="B849" s="7" t="inlineStr">
        <is>
          <t>Expent  cost</t>
        </is>
      </c>
      <c r="C849" s="281" t="n">
        <v>45668</v>
      </c>
      <c r="D849" s="276" t="n"/>
      <c r="E849" s="276" t="n"/>
      <c r="F849" s="281" t="n">
        <v>45668</v>
      </c>
      <c r="G849" s="5" t="inlineStr">
        <is>
          <t xml:space="preserve">PR2425-05197 </t>
        </is>
      </c>
      <c r="H849" s="5" t="inlineStr">
        <is>
          <t>PO2425-05988</t>
        </is>
      </c>
      <c r="I849" s="290">
        <f>IF(RawDataGenPO[[#This Row],[PO No.]]="","",RawDataGenPO[[#This Row],[DMY Create PR]]+7)</f>
        <v/>
      </c>
      <c r="J849" s="290" t="n"/>
      <c r="K849" s="20" t="n">
        <v>45</v>
      </c>
      <c r="L849" s="5" t="inlineStr">
        <is>
          <t>SFST81000009</t>
        </is>
      </c>
      <c r="M849" s="7" t="inlineStr">
        <is>
          <t>Electrical system in PD area</t>
        </is>
      </c>
      <c r="N849" s="7" t="inlineStr">
        <is>
          <t>Electrical jobs</t>
        </is>
      </c>
      <c r="O849" s="11" t="n">
        <v>7</v>
      </c>
      <c r="P849" s="80" t="inlineStr">
        <is>
          <t>germicidal tube "PHILIPS" UV-C TUV T8 15W/G15</t>
        </is>
      </c>
      <c r="Q849" s="277" t="n">
        <v>8</v>
      </c>
      <c r="R849" s="5" t="inlineStr">
        <is>
          <t>PCS.</t>
        </is>
      </c>
      <c r="S849" s="292">
        <f>RawDataGenPO[[#This Row],[Total price]]/RawDataGenPO[[#This Row],[Qty'']]</f>
        <v/>
      </c>
      <c r="T849" s="278" t="n">
        <v>4480</v>
      </c>
      <c r="U849" s="291" t="n"/>
      <c r="V849" s="7" t="inlineStr">
        <is>
          <t>V1000259 - JJP SUPPLY CO., LTD</t>
        </is>
      </c>
      <c r="W849" s="30" t="inlineStr">
        <is>
          <t>Recive bill and GRN already</t>
        </is>
      </c>
      <c r="X849" s="5" t="inlineStr">
        <is>
          <t>GRN2425-0007140</t>
        </is>
      </c>
      <c r="Y849" s="3" t="n">
        <v>45702</v>
      </c>
      <c r="Z849" s="3" t="n"/>
      <c r="AA849" s="17">
        <f>IF(RawDataGenPO[[#This Row],[Date Gen PO]]="","",RawDataGenPO[[#This Row],[Date recive bill]]-RawDataGenPO[[#This Row],[Date Gen PO]])</f>
        <v/>
      </c>
      <c r="AB849" s="16">
        <f>IF(RawDataGenPO[[#This Row],[GRN-PO date]]&gt;RawDataGenPO[[#This Row],[Lead time delivery (day)]],"over deliverry","Ontime")</f>
        <v/>
      </c>
      <c r="AC849" s="22" t="n"/>
    </row>
    <row r="850" ht="32.25" customHeight="1">
      <c r="A850" s="5">
        <f>ROW()-ROW(RawDataGenPO[[#Headers],[No.]])</f>
        <v/>
      </c>
      <c r="B850" s="7" t="inlineStr">
        <is>
          <t>CAPEX  (Unbudget)</t>
        </is>
      </c>
      <c r="C850" s="281" t="n">
        <v>45674</v>
      </c>
      <c r="F850" s="281" t="n">
        <v>45674</v>
      </c>
      <c r="G850" s="5" t="inlineStr">
        <is>
          <t>PR2425-05231</t>
        </is>
      </c>
      <c r="H850" s="5" t="inlineStr">
        <is>
          <t>PO2425-05985</t>
        </is>
      </c>
      <c r="I850" s="290">
        <f>IF(RawDataGenPO[[#This Row],[PO No.]]="","",RawDataGenPO[[#This Row],[DMY Create PR]]+7)</f>
        <v/>
      </c>
      <c r="J850" s="290">
        <f>IF(RawDataGenPO[[#This Row],[PO No.]]="","",RawDataGenPO[[#This Row],[DMY Create PR]]+7)</f>
        <v/>
      </c>
      <c r="K850" s="20" t="n">
        <v>240</v>
      </c>
      <c r="L850" s="5" t="inlineStr">
        <is>
          <t>SFST82000016</t>
        </is>
      </c>
      <c r="M850" s="7" t="inlineStr">
        <is>
          <t>Utility Jobs  (Boiler-Air compress-Transformer-LPG)</t>
        </is>
      </c>
      <c r="N850" s="7" t="inlineStr">
        <is>
          <t>Cooling system jobs</t>
        </is>
      </c>
      <c r="O850" s="11" t="n">
        <v>1</v>
      </c>
      <c r="P850" s="130" t="inlineStr">
        <is>
          <t>workinstallcooling system Cold room No.8</t>
        </is>
      </c>
      <c r="Q850" s="277" t="n">
        <v>1</v>
      </c>
      <c r="R850" s="5" t="inlineStr">
        <is>
          <t>JOB.</t>
        </is>
      </c>
      <c r="S850" s="284">
        <f>RawDataGenPO[[#This Row],[Total price]]/RawDataGenPO[[#This Row],[Qty'']]</f>
        <v/>
      </c>
      <c r="T850" s="278" t="n">
        <v>1498000</v>
      </c>
      <c r="U850" s="291" t="n"/>
      <c r="V850" s="7" t="inlineStr">
        <is>
          <t>V1000748 - CARRIER COMMERCIAL REFRIGERATION(THAILAND) COMPANY LIMITED</t>
        </is>
      </c>
      <c r="W850" s="134" t="inlineStr">
        <is>
          <t>Recive bill and GRN already</t>
        </is>
      </c>
      <c r="X850" s="5" t="inlineStr">
        <is>
          <t>GRN2526-0003532</t>
        </is>
      </c>
      <c r="Y850" s="3" t="n">
        <v>45902</v>
      </c>
      <c r="AA850" s="17">
        <f>IF(RawDataGenPO[[#This Row],[Date Gen PO]]="","",RawDataGenPO[[#This Row],[Date recive bill]]-RawDataGenPO[[#This Row],[Date Gen PO]])</f>
        <v/>
      </c>
      <c r="AB850" s="16">
        <f>IF(RawDataGenPO[[#This Row],[GRN-PO date]]&gt;RawDataGenPO[[#This Row],[Lead time delivery (day)]],"over deliverry","Ontime")</f>
        <v/>
      </c>
      <c r="AC850" s="22" t="n"/>
    </row>
    <row r="851" ht="15" customFormat="1" customHeight="1" s="125">
      <c r="A851" s="5">
        <f>ROW()-ROW(RawDataGenPO[[#Headers],[No.]])</f>
        <v/>
      </c>
      <c r="B851" s="7" t="inlineStr">
        <is>
          <t>Expent  cost</t>
        </is>
      </c>
      <c r="C851" s="281" t="n">
        <v>45674</v>
      </c>
      <c r="D851" s="276" t="n"/>
      <c r="E851" s="276" t="n"/>
      <c r="F851" s="281" t="n">
        <v>45674</v>
      </c>
      <c r="G851" s="5" t="inlineStr">
        <is>
          <t>PR2425-05292</t>
        </is>
      </c>
      <c r="H851" s="5" t="inlineStr">
        <is>
          <t>PO2425-6137</t>
        </is>
      </c>
      <c r="I851" s="290">
        <f>IF(RawDataGenPO[[#This Row],[PO No.]]="","",RawDataGenPO[[#This Row],[DMY Create PR]]+7)</f>
        <v/>
      </c>
      <c r="J851" s="290" t="n"/>
      <c r="K851" s="20">
        <f>IF(RawDataGenPO[[#This Row],[PO No.]]="","",10)</f>
        <v/>
      </c>
      <c r="L851" s="5" t="inlineStr">
        <is>
          <t>SFST81000009</t>
        </is>
      </c>
      <c r="M851" s="7" t="inlineStr">
        <is>
          <t>Tool and Equipment  Engineering</t>
        </is>
      </c>
      <c r="N851" s="7" t="inlineStr">
        <is>
          <t>Tool and Equipment</t>
        </is>
      </c>
      <c r="O851" s="11" t="n">
        <v>1</v>
      </c>
      <c r="P851" s="80" t="inlineStr">
        <is>
          <t>pipe repair clamp HDPE repair clamp 3 inch (90mm.)</t>
        </is>
      </c>
      <c r="Q851" s="277" t="n">
        <v>10</v>
      </c>
      <c r="R851" s="5" t="inlineStr">
        <is>
          <t>PCS.</t>
        </is>
      </c>
      <c r="S851" s="292">
        <f>RawDataGenPO[[#This Row],[Total price]]/RawDataGenPO[[#This Row],[Qty'']]</f>
        <v/>
      </c>
      <c r="T851" s="278" t="n">
        <v>5300</v>
      </c>
      <c r="U851" s="291" t="n"/>
      <c r="V851" s="7" t="inlineStr">
        <is>
          <t>V1000529 - 168 Supply</t>
        </is>
      </c>
      <c r="W851" s="30" t="inlineStr">
        <is>
          <t>Recive bill and GRN already</t>
        </is>
      </c>
      <c r="X851" s="5" t="inlineStr">
        <is>
          <t>GRN2425-0006818</t>
        </is>
      </c>
      <c r="Y851" s="3" t="n">
        <v>45691</v>
      </c>
      <c r="Z851" s="3" t="n"/>
      <c r="AA851" s="17">
        <f>IF(RawDataGenPO[[#This Row],[Date Gen PO]]="","",RawDataGenPO[[#This Row],[Date recive bill]]-RawDataGenPO[[#This Row],[Date Gen PO]])</f>
        <v/>
      </c>
      <c r="AB851" s="16">
        <f>IF(RawDataGenPO[[#This Row],[GRN-PO date]]&gt;RawDataGenPO[[#This Row],[Lead time delivery (day)]],"over deliverry","Ontime")</f>
        <v/>
      </c>
      <c r="AC851" s="22" t="n"/>
    </row>
    <row r="852" ht="15" customFormat="1" customHeight="1" s="125">
      <c r="A852" s="5">
        <f>ROW()-ROW(RawDataGenPO[[#Headers],[No.]])</f>
        <v/>
      </c>
      <c r="B852" s="7" t="inlineStr">
        <is>
          <t>Expent  cost</t>
        </is>
      </c>
      <c r="C852" s="281" t="n">
        <v>45674</v>
      </c>
      <c r="D852" s="276" t="n"/>
      <c r="E852" s="276" t="n"/>
      <c r="F852" s="281" t="n">
        <v>45674</v>
      </c>
      <c r="G852" s="5" t="inlineStr">
        <is>
          <t>PR2425-05292</t>
        </is>
      </c>
      <c r="H852" s="5" t="inlineStr">
        <is>
          <t>PO2425-6137</t>
        </is>
      </c>
      <c r="I852" s="290">
        <f>IF(RawDataGenPO[[#This Row],[PO No.]]="","",RawDataGenPO[[#This Row],[DMY Create PR]]+7)</f>
        <v/>
      </c>
      <c r="J852" s="290" t="n"/>
      <c r="K852" s="20">
        <f>IF(RawDataGenPO[[#This Row],[PO No.]]="","",10)</f>
        <v/>
      </c>
      <c r="L852" s="5" t="inlineStr">
        <is>
          <t>SFST81000009</t>
        </is>
      </c>
      <c r="M852" s="7" t="inlineStr">
        <is>
          <t>Tool and Equipment  Engineering</t>
        </is>
      </c>
      <c r="N852" s="7" t="inlineStr">
        <is>
          <t>Tool and Equipment</t>
        </is>
      </c>
      <c r="O852" s="11" t="n">
        <v>2</v>
      </c>
      <c r="P852" s="80" t="inlineStr">
        <is>
          <t>pipe repair clamp HDPE repair clamp 2-1/2 inch (75mm.)</t>
        </is>
      </c>
      <c r="Q852" s="277" t="n">
        <v>2</v>
      </c>
      <c r="R852" s="5" t="inlineStr">
        <is>
          <t>PCS.</t>
        </is>
      </c>
      <c r="S852" s="292">
        <f>RawDataGenPO[[#This Row],[Total price]]/RawDataGenPO[[#This Row],[Qty'']]</f>
        <v/>
      </c>
      <c r="T852" s="278" t="n">
        <v>920</v>
      </c>
      <c r="U852" s="291" t="n"/>
      <c r="V852" s="7" t="inlineStr">
        <is>
          <t>V1000529 - 168 Supply</t>
        </is>
      </c>
      <c r="W852" s="30" t="inlineStr">
        <is>
          <t>Recive bill and GRN already</t>
        </is>
      </c>
      <c r="X852" s="5" t="inlineStr">
        <is>
          <t>GRN2425-0006818</t>
        </is>
      </c>
      <c r="Y852" s="3" t="n">
        <v>45691</v>
      </c>
      <c r="Z852" s="3" t="n"/>
      <c r="AA852" s="17">
        <f>IF(RawDataGenPO[[#This Row],[Date Gen PO]]="","",RawDataGenPO[[#This Row],[Date recive bill]]-RawDataGenPO[[#This Row],[Date Gen PO]])</f>
        <v/>
      </c>
      <c r="AB852" s="16">
        <f>IF(RawDataGenPO[[#This Row],[GRN-PO date]]&gt;RawDataGenPO[[#This Row],[Lead time delivery (day)]],"over deliverry","Ontime")</f>
        <v/>
      </c>
      <c r="AC852" s="22" t="n"/>
    </row>
    <row r="853" ht="15" customFormat="1" customHeight="1" s="125">
      <c r="A853" s="5">
        <f>ROW()-ROW(RawDataGenPO[[#Headers],[No.]])</f>
        <v/>
      </c>
      <c r="B853" s="7" t="inlineStr">
        <is>
          <t>Expent  cost</t>
        </is>
      </c>
      <c r="C853" s="281" t="n">
        <v>45674</v>
      </c>
      <c r="D853" s="276" t="n"/>
      <c r="E853" s="276" t="n"/>
      <c r="F853" s="281" t="n">
        <v>45674</v>
      </c>
      <c r="G853" s="5" t="inlineStr">
        <is>
          <t>PR2425-05292</t>
        </is>
      </c>
      <c r="H853" s="5" t="inlineStr">
        <is>
          <t>PO2425-6137</t>
        </is>
      </c>
      <c r="I853" s="290">
        <f>IF(RawDataGenPO[[#This Row],[PO No.]]="","",RawDataGenPO[[#This Row],[DMY Create PR]]+7)</f>
        <v/>
      </c>
      <c r="J853" s="290" t="n"/>
      <c r="K853" s="20">
        <f>IF(RawDataGenPO[[#This Row],[PO No.]]="","",10)</f>
        <v/>
      </c>
      <c r="L853" s="5" t="inlineStr">
        <is>
          <t>SFST81000009</t>
        </is>
      </c>
      <c r="M853" s="7" t="inlineStr">
        <is>
          <t>Tool and Equipment  Engineering</t>
        </is>
      </c>
      <c r="N853" s="7" t="inlineStr">
        <is>
          <t>Tool and Equipment</t>
        </is>
      </c>
      <c r="O853" s="11" t="n">
        <v>3</v>
      </c>
      <c r="P853" s="80" t="inlineStr">
        <is>
          <t>pipe repair clamp HDPE repair clamp 4 inch (110mm.)</t>
        </is>
      </c>
      <c r="Q853" s="277" t="n">
        <v>2</v>
      </c>
      <c r="R853" s="5" t="inlineStr">
        <is>
          <t>PCS.</t>
        </is>
      </c>
      <c r="S853" s="292">
        <f>RawDataGenPO[[#This Row],[Total price]]/RawDataGenPO[[#This Row],[Qty'']]</f>
        <v/>
      </c>
      <c r="T853" s="278" t="n">
        <v>1440</v>
      </c>
      <c r="U853" s="291" t="n"/>
      <c r="V853" s="7" t="inlineStr">
        <is>
          <t>V1000529 - 168 Supply</t>
        </is>
      </c>
      <c r="W853" s="30" t="inlineStr">
        <is>
          <t>Recive bill and GRN already</t>
        </is>
      </c>
      <c r="X853" s="5" t="inlineStr">
        <is>
          <t>GRN2425-0006818</t>
        </is>
      </c>
      <c r="Y853" s="3" t="n">
        <v>45691</v>
      </c>
      <c r="Z853" s="3" t="n"/>
      <c r="AA853" s="17">
        <f>IF(RawDataGenPO[[#This Row],[Date Gen PO]]="","",RawDataGenPO[[#This Row],[Date recive bill]]-RawDataGenPO[[#This Row],[Date Gen PO]])</f>
        <v/>
      </c>
      <c r="AB853" s="16">
        <f>IF(RawDataGenPO[[#This Row],[GRN-PO date]]&gt;RawDataGenPO[[#This Row],[Lead time delivery (day)]],"over deliverry","Ontime")</f>
        <v/>
      </c>
      <c r="AC853" s="22" t="n"/>
    </row>
    <row r="854" ht="30" customHeight="1">
      <c r="A854" s="5">
        <f>ROW()-ROW(RawDataGenPO[[#Headers],[No.]])</f>
        <v/>
      </c>
      <c r="B854" s="7" t="inlineStr">
        <is>
          <t>Expent  cost</t>
        </is>
      </c>
      <c r="C854" s="281" t="n">
        <v>45674</v>
      </c>
      <c r="F854" s="281" t="n">
        <v>45674</v>
      </c>
      <c r="G854" s="5" t="inlineStr">
        <is>
          <t xml:space="preserve">PR2425-05293 </t>
        </is>
      </c>
      <c r="H854" s="5" t="inlineStr">
        <is>
          <t>PO2425-06235</t>
        </is>
      </c>
      <c r="I854" s="290">
        <f>IF(RawDataGenPO[[#This Row],[PO No.]]="","",RawDataGenPO[[#This Row],[DMY Create PR]]+7)</f>
        <v/>
      </c>
      <c r="J854" s="290" t="n"/>
      <c r="K854" s="20" t="n">
        <v>45</v>
      </c>
      <c r="L854" s="5" t="inlineStr">
        <is>
          <t>SFST81000009</t>
        </is>
      </c>
      <c r="M854" s="7" t="inlineStr">
        <is>
          <t>Tool and Equipment PD M/C</t>
        </is>
      </c>
      <c r="N854" s="7" t="inlineStr">
        <is>
          <t>Tool and Equipment</t>
        </is>
      </c>
      <c r="O854" s="11" t="n">
        <v>1</v>
      </c>
      <c r="P854" s="80" t="inlineStr">
        <is>
          <t>valvereducingpressure "Yoshitake" GP-1000 Pressure Reducing Valve 3/4inch Prees 0.5-9 bar Flangde JIS10K</t>
        </is>
      </c>
      <c r="Q854" s="277" t="n">
        <v>1</v>
      </c>
      <c r="R854" s="5" t="inlineStr">
        <is>
          <t>EA.</t>
        </is>
      </c>
      <c r="S854" s="292">
        <f>RawDataGenPO[[#This Row],[Total price]]/RawDataGenPO[[#This Row],[Qty'']]</f>
        <v/>
      </c>
      <c r="T854" s="278" t="n">
        <v>9800</v>
      </c>
      <c r="U854" s="291" t="n"/>
      <c r="V854" s="7" t="inlineStr">
        <is>
          <t>V1000763 - North Power Co., Ltd.</t>
        </is>
      </c>
      <c r="W854" s="30" t="inlineStr">
        <is>
          <t>Recive bill and GRN already</t>
        </is>
      </c>
      <c r="X854" s="5" t="inlineStr">
        <is>
          <t>GRN2425-0007482</t>
        </is>
      </c>
      <c r="Y854" s="3" t="n">
        <v>45719</v>
      </c>
      <c r="AA854" s="17">
        <f>IF(RawDataGenPO[[#This Row],[Date Gen PO]]="","",RawDataGenPO[[#This Row],[Date recive bill]]-RawDataGenPO[[#This Row],[Date Gen PO]])</f>
        <v/>
      </c>
      <c r="AB854" s="16">
        <f>IF(RawDataGenPO[[#This Row],[GRN-PO date]]&gt;RawDataGenPO[[#This Row],[Lead time delivery (day)]],"over deliverry","Ontime")</f>
        <v/>
      </c>
      <c r="AC854" s="22" t="n"/>
    </row>
    <row r="855" ht="30" customHeight="1">
      <c r="A855" s="5">
        <f>ROW()-ROW(RawDataGenPO[[#Headers],[No.]])</f>
        <v/>
      </c>
      <c r="B855" s="7" t="inlineStr">
        <is>
          <t>Expent  cost</t>
        </is>
      </c>
      <c r="C855" s="281" t="n">
        <v>45674</v>
      </c>
      <c r="F855" s="281" t="n">
        <v>45674</v>
      </c>
      <c r="G855" s="5" t="inlineStr">
        <is>
          <t xml:space="preserve">PR2425-05293 </t>
        </is>
      </c>
      <c r="H855" s="5" t="inlineStr">
        <is>
          <t>PO2425-06235</t>
        </is>
      </c>
      <c r="I855" s="290">
        <f>IF(RawDataGenPO[[#This Row],[PO No.]]="","",RawDataGenPO[[#This Row],[DMY Create PR]]+7)</f>
        <v/>
      </c>
      <c r="J855" s="290" t="n"/>
      <c r="K855" s="20" t="n">
        <v>45</v>
      </c>
      <c r="L855" s="5" t="inlineStr">
        <is>
          <t>SFST81000009</t>
        </is>
      </c>
      <c r="M855" s="7" t="inlineStr">
        <is>
          <t>Tool and Equipment PD M/C</t>
        </is>
      </c>
      <c r="N855" s="7" t="inlineStr">
        <is>
          <t>Tool and Equipment</t>
        </is>
      </c>
      <c r="O855" s="11" t="n">
        <v>2</v>
      </c>
      <c r="P855" s="80" t="inlineStr">
        <is>
          <t>valvereducingpressure "Yoshitake" GP-1000 Pressure Reducing Valve
1inch Prees 0.5-9 bar Flangde JIS10K</t>
        </is>
      </c>
      <c r="Q855" s="277" t="n">
        <v>1</v>
      </c>
      <c r="R855" s="5" t="inlineStr">
        <is>
          <t>EA.</t>
        </is>
      </c>
      <c r="S855" s="292">
        <f>RawDataGenPO[[#This Row],[Total price]]/RawDataGenPO[[#This Row],[Qty'']]</f>
        <v/>
      </c>
      <c r="T855" s="278" t="n">
        <v>10700</v>
      </c>
      <c r="U855" s="291" t="n"/>
      <c r="V855" s="7" t="inlineStr">
        <is>
          <t>V1000763 - North Power Co., Ltd.</t>
        </is>
      </c>
      <c r="W855" s="30" t="inlineStr">
        <is>
          <t>Recive bill and GRN already</t>
        </is>
      </c>
      <c r="X855" s="5" t="inlineStr">
        <is>
          <t>GRN2425-0007482</t>
        </is>
      </c>
      <c r="Y855" s="3" t="n">
        <v>45719</v>
      </c>
      <c r="AA855" s="17">
        <f>IF(RawDataGenPO[[#This Row],[Date Gen PO]]="","",RawDataGenPO[[#This Row],[Date recive bill]]-RawDataGenPO[[#This Row],[Date Gen PO]])</f>
        <v/>
      </c>
      <c r="AB855" s="16">
        <f>IF(RawDataGenPO[[#This Row],[GRN-PO date]]&gt;RawDataGenPO[[#This Row],[Lead time delivery (day)]],"over deliverry","Ontime")</f>
        <v/>
      </c>
      <c r="AC855" s="22" t="n"/>
    </row>
    <row r="856" ht="15" customHeight="1">
      <c r="A856" s="5">
        <f>ROW()-ROW(RawDataGenPO[[#Headers],[No.]])</f>
        <v/>
      </c>
      <c r="B856" s="7" t="inlineStr">
        <is>
          <t>Expent  cost</t>
        </is>
      </c>
      <c r="C856" s="281" t="n">
        <v>45674</v>
      </c>
      <c r="F856" s="281" t="n">
        <v>45674</v>
      </c>
      <c r="G856" s="5" t="inlineStr">
        <is>
          <t>PR2425-05294</t>
        </is>
      </c>
      <c r="H856" s="5" t="inlineStr">
        <is>
          <t>PO2425-06165</t>
        </is>
      </c>
      <c r="I856" s="290">
        <f>IF(RawDataGenPO[[#This Row],[PO No.]]="","",RawDataGenPO[[#This Row],[DMY Create PR]]+7)</f>
        <v/>
      </c>
      <c r="J856" s="290" t="n"/>
      <c r="K856" s="20" t="n">
        <v>100</v>
      </c>
      <c r="L856" s="5" t="inlineStr">
        <is>
          <t>SFST34000132</t>
        </is>
      </c>
      <c r="M856" s="7" t="inlineStr">
        <is>
          <t>Consumable part for MN</t>
        </is>
      </c>
      <c r="N856" s="7" t="inlineStr">
        <is>
          <t>Tool and Equipment</t>
        </is>
      </c>
      <c r="O856" s="11" t="n">
        <v>1</v>
      </c>
      <c r="P856" s="80" t="inlineStr">
        <is>
          <t>setscrew bolt hex stainless steel 304 M M8x25</t>
        </is>
      </c>
      <c r="Q856" s="277" t="n">
        <v>40</v>
      </c>
      <c r="R856" s="5" t="inlineStr">
        <is>
          <t>SET.</t>
        </is>
      </c>
      <c r="S856" s="292">
        <f>RawDataGenPO[[#This Row],[Total price]]/RawDataGenPO[[#This Row],[Qty'']]</f>
        <v/>
      </c>
      <c r="T856" s="278" t="n">
        <v>480</v>
      </c>
      <c r="U856" s="291" t="n"/>
      <c r="V856" s="7" t="inlineStr">
        <is>
          <t>V1000259 - JJP SUPPLY CO., LTD</t>
        </is>
      </c>
      <c r="W856" s="30" t="inlineStr">
        <is>
          <t>Recive bill and GRN already</t>
        </is>
      </c>
      <c r="X856" s="5" t="inlineStr">
        <is>
          <t>GRN2526-0000109</t>
        </is>
      </c>
      <c r="Y856" s="3" t="n">
        <v>45752</v>
      </c>
      <c r="AA856" s="17">
        <f>IF(RawDataGenPO[[#This Row],[Date Gen PO]]="","",RawDataGenPO[[#This Row],[Date recive bill]]-RawDataGenPO[[#This Row],[Date Gen PO]])</f>
        <v/>
      </c>
      <c r="AB856" s="16">
        <f>IF(RawDataGenPO[[#This Row],[GRN-PO date]]&gt;RawDataGenPO[[#This Row],[Lead time delivery (day)]],"over deliverry","Ontime")</f>
        <v/>
      </c>
      <c r="AC856" s="22" t="n"/>
    </row>
    <row r="857" ht="15" customHeight="1">
      <c r="A857" s="5">
        <f>ROW()-ROW(RawDataGenPO[[#Headers],[No.]])</f>
        <v/>
      </c>
      <c r="B857" s="7" t="inlineStr">
        <is>
          <t>Expent  cost</t>
        </is>
      </c>
      <c r="C857" s="281" t="n">
        <v>45674</v>
      </c>
      <c r="F857" s="281" t="n">
        <v>45674</v>
      </c>
      <c r="G857" s="5" t="inlineStr">
        <is>
          <t>PR2425-05294</t>
        </is>
      </c>
      <c r="H857" s="5" t="inlineStr">
        <is>
          <t>PO2425-06165</t>
        </is>
      </c>
      <c r="I857" s="290">
        <f>IF(RawDataGenPO[[#This Row],[PO No.]]="","",RawDataGenPO[[#This Row],[DMY Create PR]]+7)</f>
        <v/>
      </c>
      <c r="J857" s="290" t="n"/>
      <c r="K857" s="20" t="n">
        <v>100</v>
      </c>
      <c r="L857" s="5" t="inlineStr">
        <is>
          <t>SFST34000132</t>
        </is>
      </c>
      <c r="M857" s="7" t="inlineStr">
        <is>
          <t>Consumable part for MN</t>
        </is>
      </c>
      <c r="N857" s="7" t="inlineStr">
        <is>
          <t>Tool and Equipment</t>
        </is>
      </c>
      <c r="O857" s="11" t="n">
        <v>2</v>
      </c>
      <c r="P857" s="80" t="inlineStr">
        <is>
          <t>setscrew bolt hex stainless steel 304 M M8x35</t>
        </is>
      </c>
      <c r="Q857" s="277" t="n">
        <v>40</v>
      </c>
      <c r="R857" s="5" t="inlineStr">
        <is>
          <t>SET.</t>
        </is>
      </c>
      <c r="S857" s="292">
        <f>RawDataGenPO[[#This Row],[Total price]]/RawDataGenPO[[#This Row],[Qty'']]</f>
        <v/>
      </c>
      <c r="T857" s="278" t="n">
        <v>520</v>
      </c>
      <c r="U857" s="291" t="n"/>
      <c r="V857" s="7" t="inlineStr">
        <is>
          <t>V1000259 - JJP SUPPLY CO., LTD</t>
        </is>
      </c>
      <c r="W857" s="30" t="inlineStr">
        <is>
          <t>Recive bill and GRN already</t>
        </is>
      </c>
      <c r="X857" s="5" t="inlineStr">
        <is>
          <t>GRN2526-0000109</t>
        </is>
      </c>
      <c r="Y857" s="3" t="n">
        <v>45752</v>
      </c>
      <c r="AA857" s="17">
        <f>IF(RawDataGenPO[[#This Row],[Date Gen PO]]="","",RawDataGenPO[[#This Row],[Date recive bill]]-RawDataGenPO[[#This Row],[Date Gen PO]])</f>
        <v/>
      </c>
      <c r="AB857" s="16">
        <f>IF(RawDataGenPO[[#This Row],[GRN-PO date]]&gt;RawDataGenPO[[#This Row],[Lead time delivery (day)]],"over deliverry","Ontime")</f>
        <v/>
      </c>
      <c r="AC857" s="22" t="n"/>
    </row>
    <row r="858" ht="15" customFormat="1" customHeight="1" s="125">
      <c r="A858" s="5">
        <f>ROW()-ROW(RawDataGenPO[[#Headers],[No.]])</f>
        <v/>
      </c>
      <c r="B858" s="7" t="inlineStr">
        <is>
          <t>Expent  cost</t>
        </is>
      </c>
      <c r="C858" s="281" t="n">
        <v>45674</v>
      </c>
      <c r="D858" s="276" t="n"/>
      <c r="E858" s="276" t="n"/>
      <c r="F858" s="281" t="n">
        <v>45674</v>
      </c>
      <c r="G858" s="5" t="inlineStr">
        <is>
          <t>PR2425-05295</t>
        </is>
      </c>
      <c r="H858" s="5" t="inlineStr">
        <is>
          <t>PO2425-06166</t>
        </is>
      </c>
      <c r="I858" s="290">
        <f>IF(RawDataGenPO[[#This Row],[PO No.]]="","",RawDataGenPO[[#This Row],[DMY Create PR]]+7)</f>
        <v/>
      </c>
      <c r="J858" s="290" t="n"/>
      <c r="K858" s="20" t="n">
        <v>45</v>
      </c>
      <c r="L858" s="5" t="inlineStr">
        <is>
          <t>SFST34000063</t>
        </is>
      </c>
      <c r="M858" s="7" t="inlineStr">
        <is>
          <t>Consumable part for MN</t>
        </is>
      </c>
      <c r="N858" s="7" t="inlineStr">
        <is>
          <t>Consumable part</t>
        </is>
      </c>
      <c r="O858" s="11" t="n">
        <v>1</v>
      </c>
      <c r="P858" s="80" t="inlineStr">
        <is>
          <t>"Ruamthong", RT465-3/4HP,380V ,50Hz, 3PH , Motor fan</t>
        </is>
      </c>
      <c r="Q858" s="277" t="n">
        <v>4</v>
      </c>
      <c r="R858" s="5" t="inlineStr">
        <is>
          <t>EA.</t>
        </is>
      </c>
      <c r="S858" s="292">
        <f>RawDataGenPO[[#This Row],[Total price]]/RawDataGenPO[[#This Row],[Qty'']]</f>
        <v/>
      </c>
      <c r="T858" s="278" t="n">
        <v>15700.92</v>
      </c>
      <c r="U858" s="291" t="n"/>
      <c r="V858" s="135" t="inlineStr">
        <is>
          <t>V1000308 - PLUG'N GO (THAILAND) CO., LTD.</t>
        </is>
      </c>
      <c r="W858" s="30" t="inlineStr">
        <is>
          <t>Recive bill and GRN already</t>
        </is>
      </c>
      <c r="X858" s="5" t="inlineStr">
        <is>
          <t>GRN2425-0006877</t>
        </is>
      </c>
      <c r="Y858" s="3" t="n">
        <v>45692</v>
      </c>
      <c r="Z858" s="3" t="n"/>
      <c r="AA858" s="17">
        <f>IF(RawDataGenPO[[#This Row],[Date Gen PO]]="","",RawDataGenPO[[#This Row],[Date recive bill]]-RawDataGenPO[[#This Row],[Date Gen PO]])</f>
        <v/>
      </c>
      <c r="AB858" s="16">
        <f>IF(RawDataGenPO[[#This Row],[GRN-PO date]]&gt;RawDataGenPO[[#This Row],[Lead time delivery (day)]],"over deliverry","Ontime")</f>
        <v/>
      </c>
      <c r="AC858" s="22" t="n"/>
    </row>
    <row r="859" ht="15" customFormat="1" customHeight="1" s="125">
      <c r="A859" s="5">
        <f>ROW()-ROW(RawDataGenPO[[#Headers],[No.]])</f>
        <v/>
      </c>
      <c r="B859" s="7" t="inlineStr">
        <is>
          <t>Expent  cost</t>
        </is>
      </c>
      <c r="C859" s="281" t="n">
        <v>45674</v>
      </c>
      <c r="D859" s="276" t="n"/>
      <c r="E859" s="276" t="n"/>
      <c r="F859" s="281" t="n">
        <v>45674</v>
      </c>
      <c r="G859" s="5" t="inlineStr">
        <is>
          <t>PR2425-05296</t>
        </is>
      </c>
      <c r="H859" s="5" t="inlineStr">
        <is>
          <t>PO2425-06172</t>
        </is>
      </c>
      <c r="I859" s="290">
        <f>IF(RawDataGenPO[[#This Row],[PO No.]]="","",RawDataGenPO[[#This Row],[DMY Create PR]]+7)</f>
        <v/>
      </c>
      <c r="J859" s="290" t="n"/>
      <c r="K859" s="20" t="n">
        <v>45</v>
      </c>
      <c r="L859" s="5" t="inlineStr">
        <is>
          <t>SFST81000050</t>
        </is>
      </c>
      <c r="M859" s="7" t="inlineStr">
        <is>
          <t>Safety equipment</t>
        </is>
      </c>
      <c r="N859" s="7" t="inlineStr">
        <is>
          <t>Safety equipment</t>
        </is>
      </c>
      <c r="O859" s="11" t="n">
        <v>1</v>
      </c>
      <c r="P859" s="80" t="inlineStr">
        <is>
          <t>MAX BRIGHT" EXB 111-10ED Emergency Exit Sign Light</t>
        </is>
      </c>
      <c r="Q859" s="277" t="n">
        <v>2</v>
      </c>
      <c r="R859" s="5" t="inlineStr">
        <is>
          <t>PCS.</t>
        </is>
      </c>
      <c r="S859" s="292">
        <f>RawDataGenPO[[#This Row],[Total price]]/RawDataGenPO[[#This Row],[Qty'']]</f>
        <v/>
      </c>
      <c r="T859" s="278" t="n">
        <v>3160</v>
      </c>
      <c r="U859" s="291" t="n"/>
      <c r="V859" s="7" t="inlineStr">
        <is>
          <t>V1000040 - Company Fire Focus Sales and Service Ltd.</t>
        </is>
      </c>
      <c r="W859" s="30" t="inlineStr">
        <is>
          <t>Recive bill and GRN already</t>
        </is>
      </c>
      <c r="X859" s="5" t="inlineStr">
        <is>
          <t>GRN2425-0006884</t>
        </is>
      </c>
      <c r="Y859" s="3" t="n">
        <v>45692</v>
      </c>
      <c r="Z859" s="3" t="n"/>
      <c r="AA859" s="17">
        <f>IF(RawDataGenPO[[#This Row],[Date Gen PO]]="","",RawDataGenPO[[#This Row],[Date recive bill]]-RawDataGenPO[[#This Row],[Date Gen PO]])</f>
        <v/>
      </c>
      <c r="AB859" s="16">
        <f>IF(RawDataGenPO[[#This Row],[GRN-PO date]]&gt;RawDataGenPO[[#This Row],[Lead time delivery (day)]],"over deliverry","Ontime")</f>
        <v/>
      </c>
      <c r="AC859" s="22" t="n"/>
    </row>
    <row r="860" ht="15" customFormat="1" customHeight="1" s="125">
      <c r="A860" s="5">
        <f>ROW()-ROW(RawDataGenPO[[#Headers],[No.]])</f>
        <v/>
      </c>
      <c r="B860" s="7" t="inlineStr">
        <is>
          <t>Expent  cost</t>
        </is>
      </c>
      <c r="C860" s="281" t="n">
        <v>45674</v>
      </c>
      <c r="D860" s="276" t="n"/>
      <c r="E860" s="276" t="n"/>
      <c r="F860" s="281" t="n">
        <v>45674</v>
      </c>
      <c r="G860" s="5" t="inlineStr">
        <is>
          <t>PR2425-05296</t>
        </is>
      </c>
      <c r="H860" s="5" t="inlineStr">
        <is>
          <t>PO2425-06172</t>
        </is>
      </c>
      <c r="I860" s="290">
        <f>IF(RawDataGenPO[[#This Row],[PO No.]]="","",RawDataGenPO[[#This Row],[DMY Create PR]]+7)</f>
        <v/>
      </c>
      <c r="J860" s="290" t="n"/>
      <c r="K860" s="20" t="n">
        <v>45</v>
      </c>
      <c r="L860" s="5" t="inlineStr">
        <is>
          <t>SFST81000050</t>
        </is>
      </c>
      <c r="M860" s="7" t="inlineStr">
        <is>
          <t>Safety equipment</t>
        </is>
      </c>
      <c r="N860" s="7" t="inlineStr">
        <is>
          <t>Safety equipment</t>
        </is>
      </c>
      <c r="O860" s="11" t="n">
        <v>2</v>
      </c>
      <c r="P860" s="80" t="inlineStr">
        <is>
          <t>MAX BRIGHT" EXB 111-10ED Emergency Exit Sign Light</t>
        </is>
      </c>
      <c r="Q860" s="277" t="n">
        <v>1</v>
      </c>
      <c r="R860" s="5" t="inlineStr">
        <is>
          <t>PCS.</t>
        </is>
      </c>
      <c r="S860" s="292">
        <f>RawDataGenPO[[#This Row],[Total price]]/RawDataGenPO[[#This Row],[Qty'']]</f>
        <v/>
      </c>
      <c r="T860" s="278" t="n">
        <v>1580</v>
      </c>
      <c r="U860" s="291" t="n"/>
      <c r="V860" s="7" t="inlineStr">
        <is>
          <t>V1000040 - Company Fire Focus Sales and Service Ltd.</t>
        </is>
      </c>
      <c r="W860" s="30" t="inlineStr">
        <is>
          <t>Recive bill and GRN already</t>
        </is>
      </c>
      <c r="X860" s="5" t="inlineStr">
        <is>
          <t>GRN2425-0006884</t>
        </is>
      </c>
      <c r="Y860" s="3" t="n">
        <v>45692</v>
      </c>
      <c r="Z860" s="3" t="n"/>
      <c r="AA860" s="17">
        <f>IF(RawDataGenPO[[#This Row],[Date Gen PO]]="","",RawDataGenPO[[#This Row],[Date recive bill]]-RawDataGenPO[[#This Row],[Date Gen PO]])</f>
        <v/>
      </c>
      <c r="AB860" s="16">
        <f>IF(RawDataGenPO[[#This Row],[GRN-PO date]]&gt;RawDataGenPO[[#This Row],[Lead time delivery (day)]],"over deliverry","Ontime")</f>
        <v/>
      </c>
      <c r="AC860" s="22" t="n"/>
    </row>
    <row r="861" ht="15" customFormat="1" customHeight="1" s="125">
      <c r="A861" s="5">
        <f>ROW()-ROW(RawDataGenPO[[#Headers],[No.]])</f>
        <v/>
      </c>
      <c r="B861" s="7" t="inlineStr">
        <is>
          <t>Expent  cost</t>
        </is>
      </c>
      <c r="C861" s="281" t="n">
        <v>45679</v>
      </c>
      <c r="D861" s="276" t="n"/>
      <c r="E861" s="276" t="n"/>
      <c r="F861" s="281" t="n">
        <v>45674</v>
      </c>
      <c r="G861" s="5" t="inlineStr">
        <is>
          <t>PR2425-05296</t>
        </is>
      </c>
      <c r="H861" s="5" t="inlineStr">
        <is>
          <t>PO2425-06172</t>
        </is>
      </c>
      <c r="I861" s="290">
        <f>IF(RawDataGenPO[[#This Row],[PO No.]]="","",RawDataGenPO[[#This Row],[DMY Create PR]]+7)</f>
        <v/>
      </c>
      <c r="J861" s="290" t="n"/>
      <c r="K861" s="20" t="n">
        <v>45</v>
      </c>
      <c r="L861" s="5" t="inlineStr">
        <is>
          <t>SFST81000050</t>
        </is>
      </c>
      <c r="M861" s="7" t="inlineStr">
        <is>
          <t>Safety equipment</t>
        </is>
      </c>
      <c r="N861" s="7" t="inlineStr">
        <is>
          <t>Safety equipment</t>
        </is>
      </c>
      <c r="O861" s="11" t="n">
        <v>3</v>
      </c>
      <c r="P861" s="80" t="inlineStr">
        <is>
          <t>MAX BRIGHT" EXB 111-10ED Emergency Exit Sign Light</t>
        </is>
      </c>
      <c r="Q861" s="277" t="n">
        <v>1</v>
      </c>
      <c r="R861" s="5" t="inlineStr">
        <is>
          <t>PCS.</t>
        </is>
      </c>
      <c r="S861" s="292">
        <f>RawDataGenPO[[#This Row],[Total price]]/RawDataGenPO[[#This Row],[Qty'']]</f>
        <v/>
      </c>
      <c r="T861" s="278" t="n">
        <v>1580</v>
      </c>
      <c r="U861" s="291" t="n"/>
      <c r="V861" s="7" t="inlineStr">
        <is>
          <t>V1000040 - Company Fire Focus Sales and Service Ltd.</t>
        </is>
      </c>
      <c r="W861" s="30" t="inlineStr">
        <is>
          <t>Recive bill and GRN already</t>
        </is>
      </c>
      <c r="X861" s="5" t="inlineStr">
        <is>
          <t>GRN2425-0006884</t>
        </is>
      </c>
      <c r="Y861" s="3" t="n">
        <v>45692</v>
      </c>
      <c r="Z861" s="3" t="n"/>
      <c r="AA861" s="17">
        <f>IF(RawDataGenPO[[#This Row],[Date Gen PO]]="","",RawDataGenPO[[#This Row],[Date recive bill]]-RawDataGenPO[[#This Row],[Date Gen PO]])</f>
        <v/>
      </c>
      <c r="AB861" s="16">
        <f>IF(RawDataGenPO[[#This Row],[GRN-PO date]]&gt;RawDataGenPO[[#This Row],[Lead time delivery (day)]],"over deliverry","Ontime")</f>
        <v/>
      </c>
      <c r="AC861" s="22" t="n"/>
    </row>
    <row r="862" ht="15" customFormat="1" customHeight="1" s="125">
      <c r="A862" s="5">
        <f>ROW()-ROW(RawDataGenPO[[#Headers],[No.]])</f>
        <v/>
      </c>
      <c r="B862" s="7" t="inlineStr">
        <is>
          <t>Expent  cost</t>
        </is>
      </c>
      <c r="C862" s="281" t="n">
        <v>45679</v>
      </c>
      <c r="D862" s="276" t="n"/>
      <c r="E862" s="276" t="n"/>
      <c r="F862" s="281" t="n">
        <v>45679</v>
      </c>
      <c r="G862" s="5" t="inlineStr">
        <is>
          <t>PR2425-05352</t>
        </is>
      </c>
      <c r="H862" s="5" t="inlineStr">
        <is>
          <t>PO425-06171</t>
        </is>
      </c>
      <c r="I862" s="290">
        <f>IF(RawDataGenPO[[#This Row],[PO No.]]="","",RawDataGenPO[[#This Row],[DMY Create PR]]+7)</f>
        <v/>
      </c>
      <c r="J862" s="290" t="n"/>
      <c r="K862" s="20" t="n">
        <v>45</v>
      </c>
      <c r="L862" s="5" t="inlineStr">
        <is>
          <t>SFST81000009</t>
        </is>
      </c>
      <c r="M862" s="7" t="inlineStr">
        <is>
          <t>Electrical system in PD area</t>
        </is>
      </c>
      <c r="N862" s="7" t="inlineStr">
        <is>
          <t>Tool and Equipment</t>
        </is>
      </c>
      <c r="O862" s="11" t="n">
        <v>1</v>
      </c>
      <c r="P862" s="80" t="inlineStr">
        <is>
          <t>Box Power Plus 16 A : SUS304 : 3P+N+E</t>
        </is>
      </c>
      <c r="Q862" s="277" t="n">
        <v>1</v>
      </c>
      <c r="R862" s="5" t="inlineStr">
        <is>
          <t>PCS.</t>
        </is>
      </c>
      <c r="S862" s="292">
        <f>RawDataGenPO[[#This Row],[Total price]]/RawDataGenPO[[#This Row],[Qty'']]</f>
        <v/>
      </c>
      <c r="T862" s="278" t="n">
        <v>1100</v>
      </c>
      <c r="U862" s="291" t="n"/>
      <c r="V862" s="7" t="inlineStr">
        <is>
          <t>V1000760 - S.K.N PRECITION LIMITED PARTNERSHIP</t>
        </is>
      </c>
      <c r="W862" s="30" t="inlineStr">
        <is>
          <t>Recive bill and GRN already</t>
        </is>
      </c>
      <c r="X862" s="5" t="inlineStr">
        <is>
          <t>GRN2425-0007077</t>
        </is>
      </c>
      <c r="Y862" s="3" t="n">
        <v>45699</v>
      </c>
      <c r="Z862" s="3" t="n"/>
      <c r="AA862" s="17">
        <f>IF(RawDataGenPO[[#This Row],[Date Gen PO]]="","",RawDataGenPO[[#This Row],[Date recive bill]]-RawDataGenPO[[#This Row],[Date Gen PO]])</f>
        <v/>
      </c>
      <c r="AB862" s="16">
        <f>IF(RawDataGenPO[[#This Row],[GRN-PO date]]&gt;RawDataGenPO[[#This Row],[Lead time delivery (day)]],"over deliverry","Ontime")</f>
        <v/>
      </c>
      <c r="AC862" s="22" t="n"/>
    </row>
    <row r="863" ht="30" customFormat="1" customHeight="1" s="125">
      <c r="A863" s="5">
        <f>ROW()-ROW(RawDataGenPO[[#Headers],[No.]])</f>
        <v/>
      </c>
      <c r="B863" s="7" t="inlineStr">
        <is>
          <t>Expent  cost</t>
        </is>
      </c>
      <c r="C863" s="281" t="n">
        <v>45679</v>
      </c>
      <c r="D863" s="276" t="n"/>
      <c r="E863" s="276" t="n"/>
      <c r="F863" s="281" t="n">
        <v>45679</v>
      </c>
      <c r="G863" s="5" t="inlineStr">
        <is>
          <t>PR2425-05353</t>
        </is>
      </c>
      <c r="H863" s="5" t="inlineStr">
        <is>
          <t>PO2425-06167</t>
        </is>
      </c>
      <c r="I863" s="290">
        <f>IF(RawDataGenPO[[#This Row],[PO No.]]="","",RawDataGenPO[[#This Row],[DMY Create PR]]+7)</f>
        <v/>
      </c>
      <c r="J863" s="290" t="n"/>
      <c r="K863" s="20" t="n">
        <v>30</v>
      </c>
      <c r="L863" s="5" t="inlineStr">
        <is>
          <t>SFST81000009</t>
        </is>
      </c>
      <c r="M863" s="7" t="inlineStr">
        <is>
          <t>Tool and Equipment PD M/C</t>
        </is>
      </c>
      <c r="N863" s="7" t="inlineStr">
        <is>
          <t>Tool and Equipment</t>
        </is>
      </c>
      <c r="O863" s="11" t="n">
        <v>1</v>
      </c>
      <c r="P863" s="80" t="inlineStr">
        <is>
          <t>gasketflange Non Asbestos PN16 VALQUA 6500G
size 1/2 inch (16 mm) type FF thick 3 mm</t>
        </is>
      </c>
      <c r="Q863" s="277" t="n">
        <v>12</v>
      </c>
      <c r="R863" s="5" t="inlineStr">
        <is>
          <t>PCS.</t>
        </is>
      </c>
      <c r="S863" s="292">
        <f>RawDataGenPO[[#This Row],[Total price]]/RawDataGenPO[[#This Row],[Qty'']]</f>
        <v/>
      </c>
      <c r="T863" s="278" t="n">
        <v>1560</v>
      </c>
      <c r="U863" s="291" t="n"/>
      <c r="V863" s="7" t="inlineStr">
        <is>
          <t>V1000259 - JJP SUPPLY CO., LTD</t>
        </is>
      </c>
      <c r="W863" s="30" t="inlineStr">
        <is>
          <t>Recive bill and GRN already</t>
        </is>
      </c>
      <c r="X863" s="5" t="inlineStr">
        <is>
          <t>GRN2425-0007141</t>
        </is>
      </c>
      <c r="Y863" s="3" t="n">
        <v>45702</v>
      </c>
      <c r="Z863" s="3" t="n"/>
      <c r="AA863" s="17">
        <f>IF(RawDataGenPO[[#This Row],[Date Gen PO]]="","",RawDataGenPO[[#This Row],[Date recive bill]]-RawDataGenPO[[#This Row],[Date Gen PO]])</f>
        <v/>
      </c>
      <c r="AB863" s="16">
        <f>IF(RawDataGenPO[[#This Row],[GRN-PO date]]&gt;RawDataGenPO[[#This Row],[Lead time delivery (day)]],"over deliverry","Ontime")</f>
        <v/>
      </c>
      <c r="AC863" s="22" t="n"/>
    </row>
    <row r="864" ht="30" customFormat="1" customHeight="1" s="125">
      <c r="A864" s="5">
        <f>ROW()-ROW(RawDataGenPO[[#Headers],[No.]])</f>
        <v/>
      </c>
      <c r="B864" s="7" t="inlineStr">
        <is>
          <t>Expent  cost</t>
        </is>
      </c>
      <c r="C864" s="281" t="n">
        <v>45679</v>
      </c>
      <c r="D864" s="276" t="n"/>
      <c r="E864" s="276" t="n"/>
      <c r="F864" s="281" t="n">
        <v>45679</v>
      </c>
      <c r="G864" s="5" t="inlineStr">
        <is>
          <t>PR2425-05353</t>
        </is>
      </c>
      <c r="H864" s="5" t="inlineStr">
        <is>
          <t>PO2425-06167</t>
        </is>
      </c>
      <c r="I864" s="290">
        <f>IF(RawDataGenPO[[#This Row],[PO No.]]="","",RawDataGenPO[[#This Row],[DMY Create PR]]+7)</f>
        <v/>
      </c>
      <c r="J864" s="290" t="n"/>
      <c r="K864" s="20" t="n">
        <v>30</v>
      </c>
      <c r="L864" s="5" t="inlineStr">
        <is>
          <t>SFST81000009</t>
        </is>
      </c>
      <c r="M864" s="7" t="inlineStr">
        <is>
          <t>Tool and Equipment PD M/C</t>
        </is>
      </c>
      <c r="N864" s="7" t="inlineStr">
        <is>
          <t>Tool and Equipment</t>
        </is>
      </c>
      <c r="O864" s="11" t="n">
        <v>2</v>
      </c>
      <c r="P864" s="80" t="inlineStr">
        <is>
          <t>gasketflange Non Asbestos PN16 VALQUA 6500G
size 3/4 inch (20 mm) type FF thick 3 mm</t>
        </is>
      </c>
      <c r="Q864" s="277" t="n">
        <v>12</v>
      </c>
      <c r="R864" s="5" t="inlineStr">
        <is>
          <t>PCS.</t>
        </is>
      </c>
      <c r="S864" s="292">
        <f>RawDataGenPO[[#This Row],[Total price]]/RawDataGenPO[[#This Row],[Qty'']]</f>
        <v/>
      </c>
      <c r="T864" s="278" t="n">
        <v>1800</v>
      </c>
      <c r="U864" s="291" t="n"/>
      <c r="V864" s="7" t="inlineStr">
        <is>
          <t>V1000259 - JJP SUPPLY CO., LTD</t>
        </is>
      </c>
      <c r="W864" s="30" t="inlineStr">
        <is>
          <t>Recive bill and GRN already</t>
        </is>
      </c>
      <c r="X864" s="5" t="inlineStr">
        <is>
          <t>GRN2425-0007141</t>
        </is>
      </c>
      <c r="Y864" s="3" t="n">
        <v>45702</v>
      </c>
      <c r="Z864" s="3" t="n"/>
      <c r="AA864" s="17">
        <f>IF(RawDataGenPO[[#This Row],[Date Gen PO]]="","",RawDataGenPO[[#This Row],[Date recive bill]]-RawDataGenPO[[#This Row],[Date Gen PO]])</f>
        <v/>
      </c>
      <c r="AB864" s="16">
        <f>IF(RawDataGenPO[[#This Row],[GRN-PO date]]&gt;RawDataGenPO[[#This Row],[Lead time delivery (day)]],"over deliverry","Ontime")</f>
        <v/>
      </c>
      <c r="AC864" s="22" t="n"/>
    </row>
    <row r="865" ht="30" customFormat="1" customHeight="1" s="125">
      <c r="A865" s="5">
        <f>ROW()-ROW(RawDataGenPO[[#Headers],[No.]])</f>
        <v/>
      </c>
      <c r="B865" s="7" t="inlineStr">
        <is>
          <t>Expent  cost</t>
        </is>
      </c>
      <c r="C865" s="281" t="n">
        <v>45679</v>
      </c>
      <c r="D865" s="276" t="n"/>
      <c r="E865" s="276" t="n"/>
      <c r="F865" s="281" t="n">
        <v>45679</v>
      </c>
      <c r="G865" s="5" t="inlineStr">
        <is>
          <t>PR2425-05353</t>
        </is>
      </c>
      <c r="H865" s="5" t="inlineStr">
        <is>
          <t>PO2425-06167</t>
        </is>
      </c>
      <c r="I865" s="290">
        <f>IF(RawDataGenPO[[#This Row],[PO No.]]="","",RawDataGenPO[[#This Row],[DMY Create PR]]+7)</f>
        <v/>
      </c>
      <c r="J865" s="290" t="n"/>
      <c r="K865" s="20" t="n">
        <v>30</v>
      </c>
      <c r="L865" s="5" t="inlineStr">
        <is>
          <t>SFST81000009</t>
        </is>
      </c>
      <c r="M865" s="7" t="inlineStr">
        <is>
          <t>Tool and Equipment PD M/C</t>
        </is>
      </c>
      <c r="N865" s="7" t="inlineStr">
        <is>
          <t>Tool and Equipment</t>
        </is>
      </c>
      <c r="O865" s="11" t="n">
        <v>3</v>
      </c>
      <c r="P865" s="80" t="inlineStr">
        <is>
          <t>gasketflange Non Asbestos PN16 VALQUA 6500G
size 1 inch (25 mm) type FF thick 3 mm</t>
        </is>
      </c>
      <c r="Q865" s="277" t="n">
        <v>12</v>
      </c>
      <c r="R865" s="5" t="inlineStr">
        <is>
          <t>PCS.</t>
        </is>
      </c>
      <c r="S865" s="292">
        <f>RawDataGenPO[[#This Row],[Total price]]/RawDataGenPO[[#This Row],[Qty'']]</f>
        <v/>
      </c>
      <c r="T865" s="278" t="n">
        <v>2160</v>
      </c>
      <c r="U865" s="291" t="n"/>
      <c r="V865" s="7" t="inlineStr">
        <is>
          <t>V1000259 - JJP SUPPLY CO., LTD</t>
        </is>
      </c>
      <c r="W865" s="30" t="inlineStr">
        <is>
          <t>Recive bill and GRN already</t>
        </is>
      </c>
      <c r="X865" s="5" t="inlineStr">
        <is>
          <t>GRN2425-0007141</t>
        </is>
      </c>
      <c r="Y865" s="3" t="n">
        <v>45702</v>
      </c>
      <c r="Z865" s="3" t="n"/>
      <c r="AA865" s="17">
        <f>IF(RawDataGenPO[[#This Row],[Date Gen PO]]="","",RawDataGenPO[[#This Row],[Date recive bill]]-RawDataGenPO[[#This Row],[Date Gen PO]])</f>
        <v/>
      </c>
      <c r="AB865" s="16">
        <f>IF(RawDataGenPO[[#This Row],[GRN-PO date]]&gt;RawDataGenPO[[#This Row],[Lead time delivery (day)]],"over deliverry","Ontime")</f>
        <v/>
      </c>
      <c r="AC865" s="22" t="n"/>
    </row>
    <row r="866" ht="30" customFormat="1" customHeight="1" s="125">
      <c r="A866" s="5">
        <f>ROW()-ROW(RawDataGenPO[[#Headers],[No.]])</f>
        <v/>
      </c>
      <c r="B866" s="7" t="inlineStr">
        <is>
          <t>Expent  cost</t>
        </is>
      </c>
      <c r="C866" s="281" t="n">
        <v>45679</v>
      </c>
      <c r="D866" s="276" t="n"/>
      <c r="E866" s="276" t="n"/>
      <c r="F866" s="281" t="n">
        <v>45679</v>
      </c>
      <c r="G866" s="5" t="inlineStr">
        <is>
          <t>PR2425-05353</t>
        </is>
      </c>
      <c r="H866" s="5" t="inlineStr">
        <is>
          <t>PO2425-06167</t>
        </is>
      </c>
      <c r="I866" s="290">
        <f>IF(RawDataGenPO[[#This Row],[PO No.]]="","",RawDataGenPO[[#This Row],[DMY Create PR]]+7)</f>
        <v/>
      </c>
      <c r="J866" s="290" t="n"/>
      <c r="K866" s="20" t="n">
        <v>30</v>
      </c>
      <c r="L866" s="5" t="inlineStr">
        <is>
          <t>SFST81000009</t>
        </is>
      </c>
      <c r="M866" s="7" t="inlineStr">
        <is>
          <t>Tool and Equipment PD M/C</t>
        </is>
      </c>
      <c r="N866" s="7" t="inlineStr">
        <is>
          <t>Tool and Equipment</t>
        </is>
      </c>
      <c r="O866" s="11" t="n">
        <v>4</v>
      </c>
      <c r="P866" s="80" t="inlineStr">
        <is>
          <t>gasketflange Non Asbestos PN16 VALQUA 6500G
size 1-1/2 inch (40mm) type FF thick 3 mm</t>
        </is>
      </c>
      <c r="Q866" s="277" t="n">
        <v>12</v>
      </c>
      <c r="R866" s="5" t="inlineStr">
        <is>
          <t>PCS.</t>
        </is>
      </c>
      <c r="S866" s="292">
        <f>RawDataGenPO[[#This Row],[Total price]]/RawDataGenPO[[#This Row],[Qty'']]</f>
        <v/>
      </c>
      <c r="T866" s="278" t="n">
        <v>3480</v>
      </c>
      <c r="U866" s="291" t="n"/>
      <c r="V866" s="7" t="inlineStr">
        <is>
          <t>V1000259 - JJP SUPPLY CO., LTD</t>
        </is>
      </c>
      <c r="W866" s="30" t="inlineStr">
        <is>
          <t>Recive bill and GRN already</t>
        </is>
      </c>
      <c r="X866" s="5" t="inlineStr">
        <is>
          <t>GRN2425-0007141</t>
        </is>
      </c>
      <c r="Y866" s="3" t="n">
        <v>45702</v>
      </c>
      <c r="Z866" s="3" t="n"/>
      <c r="AA866" s="17">
        <f>IF(RawDataGenPO[[#This Row],[Date Gen PO]]="","",RawDataGenPO[[#This Row],[Date recive bill]]-RawDataGenPO[[#This Row],[Date Gen PO]])</f>
        <v/>
      </c>
      <c r="AB866" s="16">
        <f>IF(RawDataGenPO[[#This Row],[GRN-PO date]]&gt;RawDataGenPO[[#This Row],[Lead time delivery (day)]],"over deliverry","Ontime")</f>
        <v/>
      </c>
      <c r="AC866" s="22" t="n"/>
    </row>
    <row r="867" ht="15" customHeight="1">
      <c r="A867" s="5">
        <f>ROW()-ROW(RawDataGenPO[[#Headers],[No.]])</f>
        <v/>
      </c>
      <c r="B867" s="7" t="inlineStr">
        <is>
          <t>Expent  cost</t>
        </is>
      </c>
      <c r="C867" s="281" t="n">
        <v>45679</v>
      </c>
      <c r="F867" s="281" t="n">
        <v>45679</v>
      </c>
      <c r="G867" s="5" t="inlineStr">
        <is>
          <t>PR2425-05354</t>
        </is>
      </c>
      <c r="H867" s="5" t="inlineStr">
        <is>
          <t>PO2425-06168</t>
        </is>
      </c>
      <c r="I867" s="290">
        <f>IF(RawDataGenPO[[#This Row],[PO No.]]="","",RawDataGenPO[[#This Row],[DMY Create PR]]+7)</f>
        <v/>
      </c>
      <c r="J867" s="290" t="n"/>
      <c r="K867" s="20" t="n">
        <v>45</v>
      </c>
      <c r="L867" s="5" t="inlineStr">
        <is>
          <t>SFST81000009</t>
        </is>
      </c>
      <c r="M867" s="7" t="inlineStr">
        <is>
          <t>Tool and Equipment PD M/C</t>
        </is>
      </c>
      <c r="N867" s="7" t="inlineStr">
        <is>
          <t>Eletrical part</t>
        </is>
      </c>
      <c r="O867" s="11" t="n">
        <v>1</v>
      </c>
      <c r="P867" s="80" t="inlineStr">
        <is>
          <t>SIEMENS OVER LOAD RELAY 3US5000-1G 4-6.3A</t>
        </is>
      </c>
      <c r="Q867" s="277" t="n">
        <v>5</v>
      </c>
      <c r="R867" s="5" t="inlineStr">
        <is>
          <t>PCS.</t>
        </is>
      </c>
      <c r="S867" s="292">
        <f>RawDataGenPO[[#This Row],[Total price]]/RawDataGenPO[[#This Row],[Qty'']]</f>
        <v/>
      </c>
      <c r="T867" s="278" t="n">
        <v>1040</v>
      </c>
      <c r="U867" s="291" t="n"/>
      <c r="V867" s="7" t="inlineStr">
        <is>
          <t>V1000481 - Company JW Tech Ltd.</t>
        </is>
      </c>
      <c r="W867" s="30" t="inlineStr">
        <is>
          <t>Recive bill and GRN already</t>
        </is>
      </c>
      <c r="X867" s="5" t="inlineStr">
        <is>
          <t>GRN2425-0007814</t>
        </is>
      </c>
      <c r="Y867" s="3" t="n">
        <v>45730</v>
      </c>
      <c r="AA867" s="17">
        <f>IF(RawDataGenPO[[#This Row],[Date Gen PO]]="","",RawDataGenPO[[#This Row],[Date recive bill]]-RawDataGenPO[[#This Row],[Date Gen PO]])</f>
        <v/>
      </c>
      <c r="AB867" s="16">
        <f>IF(RawDataGenPO[[#This Row],[GRN-PO date]]&gt;RawDataGenPO[[#This Row],[Lead time delivery (day)]],"over deliverry","Ontime")</f>
        <v/>
      </c>
      <c r="AC867" s="22" t="n"/>
    </row>
    <row r="868" ht="75" customFormat="1" customHeight="1" s="125">
      <c r="A868" s="5">
        <f>ROW()-ROW(RawDataGenPO[[#Headers],[No.]])</f>
        <v/>
      </c>
      <c r="B868" s="7" t="inlineStr">
        <is>
          <t>Expent  cost</t>
        </is>
      </c>
      <c r="C868" s="281" t="n">
        <v>45679</v>
      </c>
      <c r="D868" s="276" t="n"/>
      <c r="E868" s="276" t="n"/>
      <c r="F868" s="281" t="n">
        <v>45679</v>
      </c>
      <c r="G868" s="5" t="inlineStr">
        <is>
          <t>PR2425-05355</t>
        </is>
      </c>
      <c r="H868" s="5" t="inlineStr">
        <is>
          <t>PO2425-06169</t>
        </is>
      </c>
      <c r="I868" s="290">
        <f>IF(RawDataGenPO[[#This Row],[PO No.]]="","",RawDataGenPO[[#This Row],[DMY Create PR]]+7)</f>
        <v/>
      </c>
      <c r="J868" s="290" t="n"/>
      <c r="K868" s="20">
        <f>IF(RawDataGenPO[[#This Row],[PO No.]]="","",10)</f>
        <v/>
      </c>
      <c r="L868" s="5" t="inlineStr">
        <is>
          <t>SFST81000009</t>
        </is>
      </c>
      <c r="M868" s="7" t="inlineStr">
        <is>
          <t>Civill jobs (Floor-Wall-Celling-roof)</t>
        </is>
      </c>
      <c r="N868" s="7" t="inlineStr">
        <is>
          <t>Cevil jobs</t>
        </is>
      </c>
      <c r="O868" s="5" t="n">
        <v>1</v>
      </c>
      <c r="P868" s="80" t="inlineStr">
        <is>
          <t>installation work wall Sandwich panal 40 mm.
- insulation sheet Sandwich panel (EPS) fire-retardant grade (E-Grade)
- thick (1/b/f3) thick 40 mmsteel skin PPGI ZM120
- RMP (Food Grade) -Off White (BMT 0.35 mm.) both sides
workdouble wall 3 side (65.5 sq.m)</t>
        </is>
      </c>
      <c r="Q868" s="277" t="n">
        <v>1</v>
      </c>
      <c r="R868" s="5" t="inlineStr">
        <is>
          <t>JOB.</t>
        </is>
      </c>
      <c r="S868" s="292">
        <f>RawDataGenPO[[#This Row],[Total price]]/RawDataGenPO[[#This Row],[Qty'']]</f>
        <v/>
      </c>
      <c r="T868" s="278" t="n">
        <v>100000</v>
      </c>
      <c r="U868" s="291" t="n"/>
      <c r="V868" s="7" t="n"/>
      <c r="W868" s="30" t="inlineStr">
        <is>
          <t>Recive bill and GRN already</t>
        </is>
      </c>
      <c r="X868" s="5" t="inlineStr">
        <is>
          <t>GRN2425-0006879</t>
        </is>
      </c>
      <c r="Y868" s="3" t="n">
        <v>45692</v>
      </c>
      <c r="Z868" s="3" t="n"/>
      <c r="AA868" s="17">
        <f>IF(RawDataGenPO[[#This Row],[Date Gen PO]]="","",RawDataGenPO[[#This Row],[Date recive bill]]-RawDataGenPO[[#This Row],[Date Gen PO]])</f>
        <v/>
      </c>
      <c r="AB868" s="16">
        <f>IF(RawDataGenPO[[#This Row],[GRN-PO date]]&gt;RawDataGenPO[[#This Row],[Lead time delivery (day)]],"over deliverry","Ontime")</f>
        <v/>
      </c>
      <c r="AC868" s="22" t="n"/>
    </row>
    <row r="869" ht="15" customFormat="1" customHeight="1" s="125">
      <c r="A869" s="5">
        <f>ROW()-ROW(RawDataGenPO[[#Headers],[No.]])</f>
        <v/>
      </c>
      <c r="B869" s="7" t="inlineStr">
        <is>
          <t>Expent  cost</t>
        </is>
      </c>
      <c r="C869" s="281" t="n">
        <v>45679</v>
      </c>
      <c r="D869" s="276" t="n"/>
      <c r="E869" s="276" t="n"/>
      <c r="F869" s="281" t="n">
        <v>45679</v>
      </c>
      <c r="G869" s="5" t="inlineStr">
        <is>
          <t>PR2425-05355</t>
        </is>
      </c>
      <c r="H869" s="5" t="inlineStr">
        <is>
          <t>PO2425-06169</t>
        </is>
      </c>
      <c r="I869" s="290">
        <f>IF(RawDataGenPO[[#This Row],[PO No.]]="","",RawDataGenPO[[#This Row],[DMY Create PR]]+7)</f>
        <v/>
      </c>
      <c r="J869" s="290" t="n"/>
      <c r="K869" s="20">
        <f>IF(RawDataGenPO[[#This Row],[PO No.]]="","",10)</f>
        <v/>
      </c>
      <c r="L869" s="5" t="inlineStr">
        <is>
          <t>SFST81000009</t>
        </is>
      </c>
      <c r="M869" s="7" t="inlineStr">
        <is>
          <t>Civill jobs (Floor-Wall-Celling-roof)</t>
        </is>
      </c>
      <c r="N869" s="7" t="inlineStr">
        <is>
          <t>Cevil jobs</t>
        </is>
      </c>
      <c r="O869" s="11" t="n">
        <v>2</v>
      </c>
      <c r="P869" s="80" t="inlineStr">
        <is>
          <t>Service charge</t>
        </is>
      </c>
      <c r="Q869" s="277" t="n">
        <v>1</v>
      </c>
      <c r="R869" s="5" t="inlineStr">
        <is>
          <t>JOB.</t>
        </is>
      </c>
      <c r="S869" s="292">
        <f>RawDataGenPO[[#This Row],[Total price]]/RawDataGenPO[[#This Row],[Qty'']]</f>
        <v/>
      </c>
      <c r="T869" s="278" t="n">
        <v>5000</v>
      </c>
      <c r="U869" s="291" t="n"/>
      <c r="V869" s="7" t="n"/>
      <c r="W869" s="30" t="inlineStr">
        <is>
          <t>Recive bill and GRN already</t>
        </is>
      </c>
      <c r="X869" s="5" t="inlineStr">
        <is>
          <t>GRN2425-0006879</t>
        </is>
      </c>
      <c r="Y869" s="3" t="n">
        <v>45692</v>
      </c>
      <c r="Z869" s="3" t="n"/>
      <c r="AA869" s="17">
        <f>IF(RawDataGenPO[[#This Row],[Date Gen PO]]="","",RawDataGenPO[[#This Row],[Date recive bill]]-RawDataGenPO[[#This Row],[Date Gen PO]])</f>
        <v/>
      </c>
      <c r="AB869" s="16">
        <f>IF(RawDataGenPO[[#This Row],[GRN-PO date]]&gt;RawDataGenPO[[#This Row],[Lead time delivery (day)]],"over deliverry","Ontime")</f>
        <v/>
      </c>
      <c r="AC869" s="22" t="n"/>
    </row>
    <row r="870" ht="15" customFormat="1" customHeight="1" s="125">
      <c r="A870" s="5">
        <f>ROW()-ROW(RawDataGenPO[[#Headers],[No.]])</f>
        <v/>
      </c>
      <c r="B870" s="7" t="inlineStr">
        <is>
          <t>Expent  cost</t>
        </is>
      </c>
      <c r="C870" s="281" t="n">
        <v>45679</v>
      </c>
      <c r="D870" s="276" t="n"/>
      <c r="E870" s="276" t="n"/>
      <c r="F870" s="281" t="n">
        <v>45679</v>
      </c>
      <c r="G870" s="5" t="inlineStr">
        <is>
          <t>PR2425-05355</t>
        </is>
      </c>
      <c r="H870" s="5" t="inlineStr">
        <is>
          <t>PO2425-06169</t>
        </is>
      </c>
      <c r="I870" s="290">
        <f>IF(RawDataGenPO[[#This Row],[PO No.]]="","",RawDataGenPO[[#This Row],[DMY Create PR]]+7)</f>
        <v/>
      </c>
      <c r="J870" s="290" t="n"/>
      <c r="K870" s="20">
        <f>IF(RawDataGenPO[[#This Row],[PO No.]]="","",10)</f>
        <v/>
      </c>
      <c r="L870" s="5" t="inlineStr">
        <is>
          <t>SFST81000085</t>
        </is>
      </c>
      <c r="M870" s="7" t="inlineStr">
        <is>
          <t>Civill jobs (Floor-Wall-Celling-roof)</t>
        </is>
      </c>
      <c r="N870" s="7" t="inlineStr">
        <is>
          <t>Cevil jobs</t>
        </is>
      </c>
      <c r="O870" s="11" t="n">
        <v>3</v>
      </c>
      <c r="P870" s="80" t="inlineStr">
        <is>
          <t>transport cost</t>
        </is>
      </c>
      <c r="Q870" s="277" t="n">
        <v>1</v>
      </c>
      <c r="R870" s="5" t="inlineStr">
        <is>
          <t>JOB.</t>
        </is>
      </c>
      <c r="S870" s="292">
        <f>RawDataGenPO[[#This Row],[Total price]]/RawDataGenPO[[#This Row],[Qty'']]</f>
        <v/>
      </c>
      <c r="T870" s="278" t="n">
        <v>5000</v>
      </c>
      <c r="U870" s="291" t="n"/>
      <c r="V870" s="7" t="n"/>
      <c r="W870" s="30" t="inlineStr">
        <is>
          <t>Recive bill and GRN already</t>
        </is>
      </c>
      <c r="X870" s="5" t="inlineStr">
        <is>
          <t>GRN2425-0006879</t>
        </is>
      </c>
      <c r="Y870" s="3" t="n">
        <v>45692</v>
      </c>
      <c r="Z870" s="3" t="n"/>
      <c r="AA870" s="17">
        <f>IF(RawDataGenPO[[#This Row],[Date Gen PO]]="","",RawDataGenPO[[#This Row],[Date recive bill]]-RawDataGenPO[[#This Row],[Date Gen PO]])</f>
        <v/>
      </c>
      <c r="AB870" s="16">
        <f>IF(RawDataGenPO[[#This Row],[GRN-PO date]]&gt;RawDataGenPO[[#This Row],[Lead time delivery (day)]],"over deliverry","Ontime")</f>
        <v/>
      </c>
      <c r="AC870" s="22" t="n"/>
    </row>
    <row r="871" ht="45" customFormat="1" customHeight="1" s="125">
      <c r="A871" s="5">
        <f>ROW()-ROW(RawDataGenPO[[#Headers],[No.]])</f>
        <v/>
      </c>
      <c r="B871" s="7" t="inlineStr">
        <is>
          <t>Expent  cost</t>
        </is>
      </c>
      <c r="C871" s="281" t="n">
        <v>45679</v>
      </c>
      <c r="D871" s="276" t="n"/>
      <c r="E871" s="276" t="n"/>
      <c r="F871" s="281" t="n">
        <v>45679</v>
      </c>
      <c r="G871" s="5" t="inlineStr">
        <is>
          <t>PR2425-05356</t>
        </is>
      </c>
      <c r="H871" s="5" t="inlineStr">
        <is>
          <t>PO2425-06170</t>
        </is>
      </c>
      <c r="I871" s="290">
        <f>IF(RawDataGenPO[[#This Row],[PO No.]]="","",RawDataGenPO[[#This Row],[DMY Create PR]]+7)</f>
        <v/>
      </c>
      <c r="J871" s="290">
        <f>IF(RawDataGenPO[[#This Row],[PO No.]]="","",RawDataGenPO[[#This Row],[DMY Create PR]]+7)</f>
        <v/>
      </c>
      <c r="K871" s="20">
        <f>IF(RawDataGenPO[[#This Row],[PO No.]]="","",10)</f>
        <v/>
      </c>
      <c r="L871" s="5" t="inlineStr">
        <is>
          <t>SFST81000009</t>
        </is>
      </c>
      <c r="M871" s="7" t="inlineStr">
        <is>
          <t>Civill jobs (Floor-Wall-Celling-roof)</t>
        </is>
      </c>
      <c r="N871" s="7" t="inlineStr">
        <is>
          <t>Cevil jobs</t>
        </is>
      </c>
      <c r="O871" s="11" t="n">
        <v>1</v>
      </c>
      <c r="P871" s="80" t="inlineStr">
        <is>
          <t>PU coating work - wet zone
- Cooking room, Preparation Room, Cold room, washing room Fish Allersem wash up</t>
        </is>
      </c>
      <c r="Q871" s="277" t="n">
        <v>1</v>
      </c>
      <c r="R871" s="5" t="inlineStr">
        <is>
          <t>JOB.</t>
        </is>
      </c>
      <c r="S871" s="292">
        <f>RawDataGenPO[[#This Row],[Total price]]/RawDataGenPO[[#This Row],[Qty'']]</f>
        <v/>
      </c>
      <c r="T871" s="278" t="n">
        <v>108000</v>
      </c>
      <c r="U871" s="291" t="n"/>
      <c r="V871" s="7" t="inlineStr">
        <is>
          <t>V1000731 - PHUTEWA DEVELOPMENT CO., LTD.</t>
        </is>
      </c>
      <c r="W871" s="30" t="inlineStr">
        <is>
          <t>Recive bill and GRN already</t>
        </is>
      </c>
      <c r="X871" s="5" t="inlineStr">
        <is>
          <t>GRN2425-0006878</t>
        </is>
      </c>
      <c r="Y871" s="3" t="n">
        <v>45692</v>
      </c>
      <c r="Z871" s="3" t="n"/>
      <c r="AA871" s="17">
        <f>IF(RawDataGenPO[[#This Row],[Date Gen PO]]="","",RawDataGenPO[[#This Row],[Date recive bill]]-RawDataGenPO[[#This Row],[Date Gen PO]])</f>
        <v/>
      </c>
      <c r="AB871" s="16">
        <f>IF(RawDataGenPO[[#This Row],[GRN-PO date]]&gt;RawDataGenPO[[#This Row],[Lead time delivery (day)]],"over deliverry","Ontime")</f>
        <v/>
      </c>
      <c r="AC871" s="22" t="n"/>
    </row>
    <row r="872" ht="30" customFormat="1" customHeight="1" s="125">
      <c r="A872" s="5">
        <f>ROW()-ROW(RawDataGenPO[[#Headers],[No.]])</f>
        <v/>
      </c>
      <c r="B872" s="7" t="inlineStr">
        <is>
          <t>Expent  cost</t>
        </is>
      </c>
      <c r="C872" s="281" t="n">
        <v>45679</v>
      </c>
      <c r="D872" s="276" t="n"/>
      <c r="E872" s="276" t="n"/>
      <c r="F872" s="281" t="n">
        <v>45679</v>
      </c>
      <c r="G872" s="5" t="inlineStr">
        <is>
          <t>PR2425-05356</t>
        </is>
      </c>
      <c r="H872" s="5" t="inlineStr">
        <is>
          <t>PO2425-06170</t>
        </is>
      </c>
      <c r="I872" s="290">
        <f>IF(RawDataGenPO[[#This Row],[PO No.]]="","",RawDataGenPO[[#This Row],[DMY Create PR]]+7)</f>
        <v/>
      </c>
      <c r="J872" s="290" t="n"/>
      <c r="K872" s="20">
        <f>IF(RawDataGenPO[[#This Row],[PO No.]]="","",10)</f>
        <v/>
      </c>
      <c r="L872" s="5" t="inlineStr">
        <is>
          <t>SFST81000009</t>
        </is>
      </c>
      <c r="M872" s="7" t="inlineStr">
        <is>
          <t>Civill jobs (Floor-Wall-Celling-roof)</t>
        </is>
      </c>
      <c r="N872" s="7" t="inlineStr">
        <is>
          <t>Cevil jobs</t>
        </is>
      </c>
      <c r="O872" s="11" t="n">
        <v>2</v>
      </c>
      <c r="P872" s="80" t="inlineStr">
        <is>
          <t>work PU
- floor, runinlet, UC Room 11.2</t>
        </is>
      </c>
      <c r="Q872" s="277" t="n">
        <v>1</v>
      </c>
      <c r="R872" s="5" t="inlineStr">
        <is>
          <t>JOB.</t>
        </is>
      </c>
      <c r="S872" s="292">
        <f>RawDataGenPO[[#This Row],[Total price]]/RawDataGenPO[[#This Row],[Qty'']]</f>
        <v/>
      </c>
      <c r="T872" s="278" t="n">
        <v>72000</v>
      </c>
      <c r="U872" s="291" t="n"/>
      <c r="V872" s="7" t="inlineStr">
        <is>
          <t>V1000731 - PHUTEWA DEVELOPMENT CO., LTD.</t>
        </is>
      </c>
      <c r="W872" s="30" t="inlineStr">
        <is>
          <t>Recive bill and GRN already</t>
        </is>
      </c>
      <c r="X872" s="5" t="inlineStr">
        <is>
          <t>GRN2425-0006878</t>
        </is>
      </c>
      <c r="Y872" s="3" t="n">
        <v>45692</v>
      </c>
      <c r="Z872" s="3" t="n"/>
      <c r="AA872" s="17">
        <f>IF(RawDataGenPO[[#This Row],[Date Gen PO]]="","",RawDataGenPO[[#This Row],[Date recive bill]]-RawDataGenPO[[#This Row],[Date Gen PO]])</f>
        <v/>
      </c>
      <c r="AB872" s="16">
        <f>IF(RawDataGenPO[[#This Row],[GRN-PO date]]&gt;RawDataGenPO[[#This Row],[Lead time delivery (day)]],"over deliverry","Ontime")</f>
        <v/>
      </c>
      <c r="AC872" s="22" t="n"/>
    </row>
    <row r="873" ht="45" customFormat="1" customHeight="1" s="136">
      <c r="A873" s="5">
        <f>ROW()-ROW(RawDataGenPO[[#Headers],[No.]])</f>
        <v/>
      </c>
      <c r="B873" s="7" t="inlineStr">
        <is>
          <t>Expent  cost</t>
        </is>
      </c>
      <c r="C873" s="281" t="n">
        <v>45679</v>
      </c>
      <c r="D873" s="276" t="n"/>
      <c r="E873" s="276" t="n"/>
      <c r="F873" s="281" t="n">
        <v>45679</v>
      </c>
      <c r="G873" s="5" t="inlineStr">
        <is>
          <t>PR2425-05363</t>
        </is>
      </c>
      <c r="H873" s="5" t="inlineStr">
        <is>
          <t>PO2425-06152</t>
        </is>
      </c>
      <c r="I873" s="290">
        <f>IF(RawDataGenPO[[#This Row],[PO No.]]="","",RawDataGenPO[[#This Row],[DMY Create PR]]+7)</f>
        <v/>
      </c>
      <c r="J873" s="290" t="n"/>
      <c r="K873" s="20" t="n">
        <v>45</v>
      </c>
      <c r="L873" s="5" t="inlineStr">
        <is>
          <t>SFST34000187</t>
        </is>
      </c>
      <c r="M873" s="7" t="inlineStr">
        <is>
          <t>Consumable part for MN</t>
        </is>
      </c>
      <c r="N873" s="7" t="inlineStr">
        <is>
          <t>Electrical jobs</t>
        </is>
      </c>
      <c r="O873" s="11" t="n">
        <v>1</v>
      </c>
      <c r="P873" s="80" t="inlineStr">
        <is>
          <t>LED EVE T8 SIMPLE FIT DE 22 W. DAYLIGHT G13 (1Box/25PC.)</t>
        </is>
      </c>
      <c r="Q873" s="277" t="n">
        <v>50</v>
      </c>
      <c r="R873" s="5" t="inlineStr">
        <is>
          <t>PCS.</t>
        </is>
      </c>
      <c r="S873" s="292">
        <f>RawDataGenPO[[#This Row],[Total price]]/RawDataGenPO[[#This Row],[Qty'']]</f>
        <v/>
      </c>
      <c r="T873" s="278" t="n">
        <v>25000</v>
      </c>
      <c r="U873" s="291" t="n"/>
      <c r="V873" s="7" t="inlineStr">
        <is>
          <t>V1000276 - SN. ELECTRIC AND SUPPLY CO., LTD.</t>
        </is>
      </c>
      <c r="W873" s="30" t="inlineStr">
        <is>
          <t>Recive bill and GRN already</t>
        </is>
      </c>
      <c r="X873" s="6" t="inlineStr">
        <is>
          <t>GRN2425-0007044/GRN2425-0007450</t>
        </is>
      </c>
      <c r="Y873" s="3" t="n">
        <v>45698</v>
      </c>
      <c r="Z873" s="3" t="n"/>
      <c r="AA873" s="17">
        <f>IF(RawDataGenPO[[#This Row],[Date Gen PO]]="","",RawDataGenPO[[#This Row],[Date recive bill]]-RawDataGenPO[[#This Row],[Date Gen PO]])</f>
        <v/>
      </c>
      <c r="AB873" s="16">
        <f>IF(RawDataGenPO[[#This Row],[GRN-PO date]]&gt;RawDataGenPO[[#This Row],[Lead time delivery (day)]],"over deliverry","Ontime")</f>
        <v/>
      </c>
      <c r="AC873" s="22" t="n"/>
    </row>
    <row r="874" ht="15" customFormat="1" customHeight="1" s="125">
      <c r="A874" s="5">
        <f>ROW()-ROW(RawDataGenPO[[#Headers],[No.]])</f>
        <v/>
      </c>
      <c r="B874" s="7" t="inlineStr">
        <is>
          <t>Expent  cost</t>
        </is>
      </c>
      <c r="C874" s="301" t="n">
        <v>45693</v>
      </c>
      <c r="D874" s="276" t="n"/>
      <c r="E874" s="276" t="n"/>
      <c r="F874" s="281" t="n">
        <v>45679</v>
      </c>
      <c r="G874" s="5" t="inlineStr">
        <is>
          <t>PR2425-05363</t>
        </is>
      </c>
      <c r="H874" s="5" t="inlineStr">
        <is>
          <t>PO2425-06152</t>
        </is>
      </c>
      <c r="I874" s="290">
        <f>IF(RawDataGenPO[[#This Row],[PO No.]]="","",RawDataGenPO[[#This Row],[DMY Create PR]]+7)</f>
        <v/>
      </c>
      <c r="J874" s="290" t="n"/>
      <c r="K874" s="20" t="n">
        <v>45</v>
      </c>
      <c r="L874" s="5" t="inlineStr">
        <is>
          <t>SFST34000091</t>
        </is>
      </c>
      <c r="M874" s="7" t="inlineStr">
        <is>
          <t>Consumable part for MN</t>
        </is>
      </c>
      <c r="N874" s="7" t="inlineStr">
        <is>
          <t>Electrical jobs</t>
        </is>
      </c>
      <c r="O874" s="11" t="n">
        <v>2</v>
      </c>
      <c r="P874" s="80" t="inlineStr">
        <is>
          <t>3M tapeelectrical cable model Temflex Plus size 3/4inch - black</t>
        </is>
      </c>
      <c r="Q874" s="277" t="n">
        <v>40</v>
      </c>
      <c r="R874" s="5" t="inlineStr">
        <is>
          <t>PCS.</t>
        </is>
      </c>
      <c r="S874" s="292">
        <f>RawDataGenPO[[#This Row],[Total price]]/RawDataGenPO[[#This Row],[Qty'']]</f>
        <v/>
      </c>
      <c r="T874" s="278" t="n">
        <v>5000</v>
      </c>
      <c r="U874" s="291" t="n"/>
      <c r="V874" s="7" t="inlineStr">
        <is>
          <t>V1000276 - SN. ELECTRIC AND SUPPLY CO., LTD.</t>
        </is>
      </c>
      <c r="W874" s="30" t="inlineStr">
        <is>
          <t>Recive bill and GRN already</t>
        </is>
      </c>
      <c r="X874" s="5" t="inlineStr">
        <is>
          <t>GRN2425-0007044</t>
        </is>
      </c>
      <c r="Y874" s="3" t="n">
        <v>45698</v>
      </c>
      <c r="Z874" s="3" t="n"/>
      <c r="AA874" s="17">
        <f>IF(RawDataGenPO[[#This Row],[Date Gen PO]]="","",RawDataGenPO[[#This Row],[Date recive bill]]-RawDataGenPO[[#This Row],[Date Gen PO]])</f>
        <v/>
      </c>
      <c r="AB874" s="16">
        <f>IF(RawDataGenPO[[#This Row],[GRN-PO date]]&gt;RawDataGenPO[[#This Row],[Lead time delivery (day)]],"over deliverry","Ontime")</f>
        <v/>
      </c>
      <c r="AC874" s="22" t="n"/>
    </row>
    <row r="875" ht="15" customHeight="1">
      <c r="A875" s="5">
        <f>ROW()-ROW(RawDataGenPO[[#Headers],[No.]])</f>
        <v/>
      </c>
      <c r="B875" s="7" t="inlineStr">
        <is>
          <t>Expent  cost</t>
        </is>
      </c>
      <c r="C875" s="301" t="n">
        <v>45693</v>
      </c>
      <c r="F875" s="301" t="n">
        <v>45693</v>
      </c>
      <c r="G875" s="5" t="inlineStr">
        <is>
          <t>PR2425-05538</t>
        </is>
      </c>
      <c r="H875" s="5" t="inlineStr">
        <is>
          <t>PO2425-06463</t>
        </is>
      </c>
      <c r="I875" s="290">
        <f>IF(RawDataGenPO[[#This Row],[PO No.]]="","",RawDataGenPO[[#This Row],[DMY Create PR]]+7)</f>
        <v/>
      </c>
      <c r="J875" s="290" t="n"/>
      <c r="K875" s="20">
        <f>IF(RawDataGenPO[[#This Row],[PO No.]]="","",10)</f>
        <v/>
      </c>
      <c r="L875" s="5" t="inlineStr">
        <is>
          <t>SFST81000009</t>
        </is>
      </c>
      <c r="M875" s="7" t="inlineStr">
        <is>
          <t>Tool and Equipment PD M/C</t>
        </is>
      </c>
      <c r="N875" s="7" t="inlineStr">
        <is>
          <t>Machanical jobs</t>
        </is>
      </c>
      <c r="O875" s="11" t="n">
        <v>1</v>
      </c>
      <c r="P875" s="80" t="inlineStr">
        <is>
          <t>Motor Dock Leveler</t>
        </is>
      </c>
      <c r="Q875" s="277" t="n">
        <v>1</v>
      </c>
      <c r="R875" s="5" t="inlineStr">
        <is>
          <t>PCS.</t>
        </is>
      </c>
      <c r="S875" s="292">
        <f>RawDataGenPO[[#This Row],[Total price]]/RawDataGenPO[[#This Row],[Qty'']]</f>
        <v/>
      </c>
      <c r="T875" s="278" t="n">
        <v>1000</v>
      </c>
      <c r="U875" s="291" t="n"/>
      <c r="V875" s="7" t="inlineStr">
        <is>
          <t>V1000744 - Goldvest Trading (Thailand) Co., Ltd.</t>
        </is>
      </c>
      <c r="W875" s="30" t="inlineStr">
        <is>
          <t>Recive bill and GRN already</t>
        </is>
      </c>
      <c r="X875" s="5" t="inlineStr">
        <is>
          <t>GRN2425-0007331</t>
        </is>
      </c>
      <c r="Y875" s="3" t="n">
        <v>45709</v>
      </c>
      <c r="AA875" s="17">
        <f>IF(RawDataGenPO[[#This Row],[Date Gen PO]]="","",RawDataGenPO[[#This Row],[Date recive bill]]-RawDataGenPO[[#This Row],[Date Gen PO]])</f>
        <v/>
      </c>
      <c r="AB875" s="16">
        <f>IF(RawDataGenPO[[#This Row],[GRN-PO date]]&gt;RawDataGenPO[[#This Row],[Lead time delivery (day)]],"over deliverry","Ontime")</f>
        <v/>
      </c>
      <c r="AC875" s="22" t="n"/>
    </row>
    <row r="876" ht="15" customHeight="1">
      <c r="A876" s="5">
        <f>ROW()-ROW(RawDataGenPO[[#Headers],[No.]])</f>
        <v/>
      </c>
      <c r="B876" s="7" t="inlineStr">
        <is>
          <t>Expent  cost</t>
        </is>
      </c>
      <c r="C876" s="301" t="n">
        <v>45693</v>
      </c>
      <c r="F876" s="301" t="n">
        <v>45693</v>
      </c>
      <c r="G876" s="5" t="inlineStr">
        <is>
          <t>PR2425-05538</t>
        </is>
      </c>
      <c r="H876" s="5" t="inlineStr">
        <is>
          <t>PO2425-06463</t>
        </is>
      </c>
      <c r="I876" s="290">
        <f>IF(RawDataGenPO[[#This Row],[PO No.]]="","",RawDataGenPO[[#This Row],[DMY Create PR]]+7)</f>
        <v/>
      </c>
      <c r="J876" s="290" t="n"/>
      <c r="K876" s="20">
        <f>IF(RawDataGenPO[[#This Row],[PO No.]]="","",10)</f>
        <v/>
      </c>
      <c r="L876" s="5" t="inlineStr">
        <is>
          <t>SFST81000009</t>
        </is>
      </c>
      <c r="M876" s="7" t="inlineStr">
        <is>
          <t>Tool and Equipment PD M/C</t>
        </is>
      </c>
      <c r="N876" s="7" t="inlineStr">
        <is>
          <t>Machanical jobs</t>
        </is>
      </c>
      <c r="O876" s="11" t="n">
        <v>2</v>
      </c>
      <c r="P876" s="80" t="inlineStr">
        <is>
          <t>cable Hydraulic 2.10 М.</t>
        </is>
      </c>
      <c r="Q876" s="277" t="n">
        <v>2</v>
      </c>
      <c r="R876" s="5" t="inlineStr">
        <is>
          <t>PCS.</t>
        </is>
      </c>
      <c r="S876" s="292">
        <f>RawDataGenPO[[#This Row],[Total price]]/RawDataGenPO[[#This Row],[Qty'']]</f>
        <v/>
      </c>
      <c r="T876" s="278" t="n">
        <v>5000</v>
      </c>
      <c r="U876" s="291" t="n"/>
      <c r="V876" s="7" t="inlineStr">
        <is>
          <t>V1000744 - Goldvest Trading (Thailand) Co., Ltd.</t>
        </is>
      </c>
      <c r="W876" s="30" t="inlineStr">
        <is>
          <t>Recive bill and GRN already</t>
        </is>
      </c>
      <c r="X876" s="5" t="inlineStr">
        <is>
          <t>GRN2425-0007331</t>
        </is>
      </c>
      <c r="Y876" s="3" t="n">
        <v>45709</v>
      </c>
      <c r="AA876" s="17">
        <f>IF(RawDataGenPO[[#This Row],[Date Gen PO]]="","",RawDataGenPO[[#This Row],[Date recive bill]]-RawDataGenPO[[#This Row],[Date Gen PO]])</f>
        <v/>
      </c>
      <c r="AB876" s="16">
        <f>IF(RawDataGenPO[[#This Row],[GRN-PO date]]&gt;RawDataGenPO[[#This Row],[Lead time delivery (day)]],"over deliverry","Ontime")</f>
        <v/>
      </c>
      <c r="AC876" s="22" t="n"/>
    </row>
    <row r="877" ht="15" customHeight="1">
      <c r="A877" s="5">
        <f>ROW()-ROW(RawDataGenPO[[#Headers],[No.]])</f>
        <v/>
      </c>
      <c r="B877" s="7" t="inlineStr">
        <is>
          <t>Expent  cost</t>
        </is>
      </c>
      <c r="C877" s="301" t="n">
        <v>45693</v>
      </c>
      <c r="F877" s="301" t="n">
        <v>45693</v>
      </c>
      <c r="G877" s="5" t="inlineStr">
        <is>
          <t>PR2425-05538</t>
        </is>
      </c>
      <c r="H877" s="5" t="inlineStr">
        <is>
          <t>PO2425-06463</t>
        </is>
      </c>
      <c r="I877" s="290">
        <f>IF(RawDataGenPO[[#This Row],[PO No.]]="","",RawDataGenPO[[#This Row],[DMY Create PR]]+7)</f>
        <v/>
      </c>
      <c r="J877" s="290" t="n"/>
      <c r="K877" s="20">
        <f>IF(RawDataGenPO[[#This Row],[PO No.]]="","",10)</f>
        <v/>
      </c>
      <c r="L877" s="5" t="inlineStr">
        <is>
          <t>SFST81000009</t>
        </is>
      </c>
      <c r="M877" s="7" t="inlineStr">
        <is>
          <t>Tool and Equipment PD M/C</t>
        </is>
      </c>
      <c r="N877" s="7" t="inlineStr">
        <is>
          <t>Machanical jobs</t>
        </is>
      </c>
      <c r="O877" s="11" t="n">
        <v>3</v>
      </c>
      <c r="P877" s="80" t="inlineStr">
        <is>
          <t>cablechemical Hydraulic</t>
        </is>
      </c>
      <c r="Q877" s="277" t="n">
        <v>1</v>
      </c>
      <c r="R877" s="5" t="inlineStr">
        <is>
          <t>PCS.</t>
        </is>
      </c>
      <c r="S877" s="292">
        <f>RawDataGenPO[[#This Row],[Total price]]/RawDataGenPO[[#This Row],[Qty'']]</f>
        <v/>
      </c>
      <c r="T877" s="278" t="n">
        <v>45000</v>
      </c>
      <c r="U877" s="291" t="n"/>
      <c r="V877" s="7" t="inlineStr">
        <is>
          <t>V1000744 - Goldvest Trading (Thailand) Co., Ltd.</t>
        </is>
      </c>
      <c r="W877" s="30" t="inlineStr">
        <is>
          <t>Recive bill and GRN already</t>
        </is>
      </c>
      <c r="X877" s="5" t="inlineStr">
        <is>
          <t>GRN2425-0007331</t>
        </is>
      </c>
      <c r="Y877" s="3" t="n">
        <v>45709</v>
      </c>
      <c r="AA877" s="17">
        <f>IF(RawDataGenPO[[#This Row],[Date Gen PO]]="","",RawDataGenPO[[#This Row],[Date recive bill]]-RawDataGenPO[[#This Row],[Date Gen PO]])</f>
        <v/>
      </c>
      <c r="AB877" s="16">
        <f>IF(RawDataGenPO[[#This Row],[GRN-PO date]]&gt;RawDataGenPO[[#This Row],[Lead time delivery (day)]],"over deliverry","Ontime")</f>
        <v/>
      </c>
      <c r="AC877" s="22" t="n"/>
    </row>
    <row r="878" ht="15" customHeight="1">
      <c r="A878" s="5">
        <f>ROW()-ROW(RawDataGenPO[[#Headers],[No.]])</f>
        <v/>
      </c>
      <c r="B878" s="7" t="inlineStr">
        <is>
          <t>Expent  cost</t>
        </is>
      </c>
      <c r="C878" s="301" t="n">
        <v>45693</v>
      </c>
      <c r="F878" s="301" t="n">
        <v>45693</v>
      </c>
      <c r="G878" s="5" t="inlineStr">
        <is>
          <t>PR2425-05538</t>
        </is>
      </c>
      <c r="H878" s="5" t="inlineStr">
        <is>
          <t>PO2425-06463</t>
        </is>
      </c>
      <c r="I878" s="290">
        <f>IF(RawDataGenPO[[#This Row],[PO No.]]="","",RawDataGenPO[[#This Row],[DMY Create PR]]+7)</f>
        <v/>
      </c>
      <c r="J878" s="290" t="n"/>
      <c r="K878" s="20">
        <f>IF(RawDataGenPO[[#This Row],[PO No.]]="","",10)</f>
        <v/>
      </c>
      <c r="L878" s="5" t="inlineStr">
        <is>
          <t>SFST81000009</t>
        </is>
      </c>
      <c r="M878" s="7" t="inlineStr">
        <is>
          <t>Tool and Equipment PD M/C</t>
        </is>
      </c>
      <c r="N878" s="7" t="inlineStr">
        <is>
          <t>Machanical jobs</t>
        </is>
      </c>
      <c r="O878" s="11" t="n">
        <v>4</v>
      </c>
      <c r="P878" s="80" t="inlineStr">
        <is>
          <t>Service (Monday - Friday)</t>
        </is>
      </c>
      <c r="Q878" s="277" t="n">
        <v>1</v>
      </c>
      <c r="R878" s="5" t="inlineStr">
        <is>
          <t>PCS.</t>
        </is>
      </c>
      <c r="S878" s="292">
        <f>RawDataGenPO[[#This Row],[Total price]]/RawDataGenPO[[#This Row],[Qty'']]</f>
        <v/>
      </c>
      <c r="T878" s="278" t="n">
        <v>5000</v>
      </c>
      <c r="U878" s="291" t="n"/>
      <c r="V878" s="7" t="inlineStr">
        <is>
          <t>V1000744 - Goldvest Trading (Thailand) Co., Ltd.</t>
        </is>
      </c>
      <c r="W878" s="30" t="inlineStr">
        <is>
          <t>Recive bill and GRN already</t>
        </is>
      </c>
      <c r="X878" s="5" t="inlineStr">
        <is>
          <t>GRN2425-0007331</t>
        </is>
      </c>
      <c r="Y878" s="3" t="n">
        <v>45709</v>
      </c>
      <c r="AA878" s="17">
        <f>IF(RawDataGenPO[[#This Row],[Date Gen PO]]="","",RawDataGenPO[[#This Row],[Date recive bill]]-RawDataGenPO[[#This Row],[Date Gen PO]])</f>
        <v/>
      </c>
      <c r="AB878" s="16">
        <f>IF(RawDataGenPO[[#This Row],[GRN-PO date]]&gt;RawDataGenPO[[#This Row],[Lead time delivery (day)]],"over deliverry","Ontime")</f>
        <v/>
      </c>
      <c r="AC878" s="22" t="n"/>
    </row>
    <row r="879" ht="15" customHeight="1">
      <c r="A879" s="5">
        <f>ROW()-ROW(RawDataGenPO[[#Headers],[No.]])</f>
        <v/>
      </c>
      <c r="B879" s="7" t="inlineStr">
        <is>
          <t>Expent  cost</t>
        </is>
      </c>
      <c r="C879" s="301" t="n">
        <v>45693</v>
      </c>
      <c r="F879" s="301" t="n">
        <v>45693</v>
      </c>
      <c r="G879" s="5" t="inlineStr">
        <is>
          <t>PR2425-05539</t>
        </is>
      </c>
      <c r="H879" s="5" t="inlineStr">
        <is>
          <t>PO2425-06464</t>
        </is>
      </c>
      <c r="I879" s="290">
        <f>IF(RawDataGenPO[[#This Row],[PO No.]]="","",RawDataGenPO[[#This Row],[DMY Create PR]]+7)</f>
        <v/>
      </c>
      <c r="J879" s="290" t="n"/>
      <c r="K879" s="20" t="n">
        <v>100</v>
      </c>
      <c r="L879" s="5" t="inlineStr">
        <is>
          <t>SFST81000048</t>
        </is>
      </c>
      <c r="M879" s="7" t="inlineStr">
        <is>
          <t>PD Machine</t>
        </is>
      </c>
      <c r="N879" s="7" t="inlineStr">
        <is>
          <t>Hood No.1</t>
        </is>
      </c>
      <c r="O879" s="11" t="n">
        <v>1</v>
      </c>
      <c r="P879" s="80" t="inlineStr">
        <is>
          <t>labor costworkday</t>
        </is>
      </c>
      <c r="Q879" s="277" t="n">
        <v>1</v>
      </c>
      <c r="R879" s="5" t="inlineStr">
        <is>
          <t>JOB.</t>
        </is>
      </c>
      <c r="S879" s="292">
        <f>RawDataGenPO[[#This Row],[Total price]]/RawDataGenPO[[#This Row],[Qty'']]</f>
        <v/>
      </c>
      <c r="T879" s="278" t="n">
        <v>32500</v>
      </c>
      <c r="U879" s="291" t="n"/>
      <c r="V879" s="7" t="inlineStr">
        <is>
          <t>V1000687 - UM.TECH COMPANY LIMITED</t>
        </is>
      </c>
      <c r="W879" s="30" t="inlineStr">
        <is>
          <t>Recive bill and GRN already</t>
        </is>
      </c>
      <c r="X879" s="31" t="inlineStr">
        <is>
          <t>GRN2526-0000400</t>
        </is>
      </c>
      <c r="Y879" s="3" t="n">
        <v>45770</v>
      </c>
      <c r="AA879" s="17">
        <f>IF(RawDataGenPO[[#This Row],[Date Gen PO]]="","",RawDataGenPO[[#This Row],[Date recive bill]]-RawDataGenPO[[#This Row],[Date Gen PO]])</f>
        <v/>
      </c>
      <c r="AB879" s="16">
        <f>IF(RawDataGenPO[[#This Row],[GRN-PO date]]&gt;RawDataGenPO[[#This Row],[Lead time delivery (day)]],"over deliverry","Ontime")</f>
        <v/>
      </c>
      <c r="AC879" s="22" t="n"/>
    </row>
    <row r="880" ht="15" customHeight="1">
      <c r="A880" s="5">
        <f>ROW()-ROW(RawDataGenPO[[#Headers],[No.]])</f>
        <v/>
      </c>
      <c r="B880" s="7" t="inlineStr">
        <is>
          <t>Expent  cost</t>
        </is>
      </c>
      <c r="C880" s="301" t="n">
        <v>45693</v>
      </c>
      <c r="F880" s="301" t="n">
        <v>45693</v>
      </c>
      <c r="G880" s="5" t="inlineStr">
        <is>
          <t>PR2425-05539</t>
        </is>
      </c>
      <c r="H880" s="5" t="inlineStr">
        <is>
          <t>PO2425-06464</t>
        </is>
      </c>
      <c r="I880" s="290">
        <f>IF(RawDataGenPO[[#This Row],[PO No.]]="","",RawDataGenPO[[#This Row],[DMY Create PR]]+7)</f>
        <v/>
      </c>
      <c r="J880" s="290" t="n"/>
      <c r="K880" s="20" t="n">
        <v>100</v>
      </c>
      <c r="L880" s="5" t="inlineStr">
        <is>
          <t>SFST81000048</t>
        </is>
      </c>
      <c r="M880" s="7" t="inlineStr">
        <is>
          <t>PD Machine</t>
        </is>
      </c>
      <c r="N880" s="7" t="inlineStr">
        <is>
          <t>Hood No.1</t>
        </is>
      </c>
      <c r="O880" s="11" t="n">
        <v>2</v>
      </c>
      <c r="P880" s="80" t="inlineStr">
        <is>
          <t>protection work</t>
        </is>
      </c>
      <c r="Q880" s="277" t="n">
        <v>1</v>
      </c>
      <c r="R880" s="5" t="inlineStr">
        <is>
          <t>JOB.</t>
        </is>
      </c>
      <c r="S880" s="292">
        <f>RawDataGenPO[[#This Row],[Total price]]/RawDataGenPO[[#This Row],[Qty'']]</f>
        <v/>
      </c>
      <c r="T880" s="278" t="n">
        <v>30000</v>
      </c>
      <c r="U880" s="291" t="n"/>
      <c r="V880" s="7" t="inlineStr">
        <is>
          <t>V1000687 - UM.TECH COMPANY LIMITED</t>
        </is>
      </c>
      <c r="W880" s="30" t="inlineStr">
        <is>
          <t>Recive bill and GRN already</t>
        </is>
      </c>
      <c r="X880" s="31" t="inlineStr">
        <is>
          <t>GRN2526-0000400</t>
        </is>
      </c>
      <c r="Y880" s="3" t="n">
        <v>45770</v>
      </c>
      <c r="AA880" s="17">
        <f>IF(RawDataGenPO[[#This Row],[Date Gen PO]]="","",RawDataGenPO[[#This Row],[Date recive bill]]-RawDataGenPO[[#This Row],[Date Gen PO]])</f>
        <v/>
      </c>
      <c r="AB880" s="16">
        <f>IF(RawDataGenPO[[#This Row],[GRN-PO date]]&gt;RawDataGenPO[[#This Row],[Lead time delivery (day)]],"over deliverry","Ontime")</f>
        <v/>
      </c>
      <c r="AC880" s="22" t="n"/>
    </row>
    <row r="881" ht="30" customHeight="1">
      <c r="A881" s="5">
        <f>ROW()-ROW(RawDataGenPO[[#Headers],[No.]])</f>
        <v/>
      </c>
      <c r="B881" s="7" t="inlineStr">
        <is>
          <t>Expent  cost</t>
        </is>
      </c>
      <c r="C881" s="301" t="n">
        <v>45693</v>
      </c>
      <c r="F881" s="301" t="n">
        <v>45693</v>
      </c>
      <c r="G881" s="5" t="inlineStr">
        <is>
          <t>PR2425-05539</t>
        </is>
      </c>
      <c r="H881" s="5" t="inlineStr">
        <is>
          <t>PO2425-06464</t>
        </is>
      </c>
      <c r="I881" s="290">
        <f>IF(RawDataGenPO[[#This Row],[PO No.]]="","",RawDataGenPO[[#This Row],[DMY Create PR]]+7)</f>
        <v/>
      </c>
      <c r="J881" s="290" t="n"/>
      <c r="K881" s="20" t="n">
        <v>100</v>
      </c>
      <c r="L881" s="5" t="inlineStr">
        <is>
          <t>SFST81000048</t>
        </is>
      </c>
      <c r="M881" s="7" t="inlineStr">
        <is>
          <t>PD Machine</t>
        </is>
      </c>
      <c r="N881" s="7" t="inlineStr">
        <is>
          <t>Hood No.1</t>
        </is>
      </c>
      <c r="O881" s="11" t="n">
        <v>3</v>
      </c>
      <c r="P881" s="80" t="inlineStr">
        <is>
          <t>workmtyperemoveoutlet
- material</t>
        </is>
      </c>
      <c r="Q881" s="277" t="n">
        <v>1</v>
      </c>
      <c r="R881" s="5" t="inlineStr">
        <is>
          <t>JOB.</t>
        </is>
      </c>
      <c r="S881" s="292">
        <f>RawDataGenPO[[#This Row],[Total price]]/RawDataGenPO[[#This Row],[Qty'']]</f>
        <v/>
      </c>
      <c r="T881" s="278" t="n">
        <v>7500</v>
      </c>
      <c r="U881" s="291" t="n"/>
      <c r="V881" s="7" t="inlineStr">
        <is>
          <t>V1000687 - UM.TECH COMPANY LIMITED</t>
        </is>
      </c>
      <c r="W881" s="30" t="inlineStr">
        <is>
          <t>Recive bill and GRN already</t>
        </is>
      </c>
      <c r="X881" s="31" t="inlineStr">
        <is>
          <t>GRN2526-0000400</t>
        </is>
      </c>
      <c r="Y881" s="3" t="n">
        <v>45770</v>
      </c>
      <c r="AA881" s="17">
        <f>IF(RawDataGenPO[[#This Row],[Date Gen PO]]="","",RawDataGenPO[[#This Row],[Date recive bill]]-RawDataGenPO[[#This Row],[Date Gen PO]])</f>
        <v/>
      </c>
      <c r="AB881" s="16">
        <f>IF(RawDataGenPO[[#This Row],[GRN-PO date]]&gt;RawDataGenPO[[#This Row],[Lead time delivery (day)]],"over deliverry","Ontime")</f>
        <v/>
      </c>
      <c r="AC881" s="22" t="n"/>
    </row>
    <row r="882" ht="30" customHeight="1">
      <c r="A882" s="5">
        <f>ROW()-ROW(RawDataGenPO[[#Headers],[No.]])</f>
        <v/>
      </c>
      <c r="B882" s="7" t="inlineStr">
        <is>
          <t>Expent  cost</t>
        </is>
      </c>
      <c r="C882" s="301" t="n">
        <v>45693</v>
      </c>
      <c r="F882" s="301" t="n">
        <v>45693</v>
      </c>
      <c r="G882" s="5" t="inlineStr">
        <is>
          <t>PR2425-05539</t>
        </is>
      </c>
      <c r="H882" s="5" t="inlineStr">
        <is>
          <t>PO2425-06464</t>
        </is>
      </c>
      <c r="I882" s="290">
        <f>IF(RawDataGenPO[[#This Row],[PO No.]]="","",RawDataGenPO[[#This Row],[DMY Create PR]]+7)</f>
        <v/>
      </c>
      <c r="J882" s="290" t="n"/>
      <c r="K882" s="20" t="n">
        <v>100</v>
      </c>
      <c r="L882" s="5" t="inlineStr">
        <is>
          <t>SFST81000048</t>
        </is>
      </c>
      <c r="M882" s="7" t="inlineStr">
        <is>
          <t>PD Machine</t>
        </is>
      </c>
      <c r="N882" s="7" t="inlineStr">
        <is>
          <t>Hood No.1</t>
        </is>
      </c>
      <c r="O882" s="11" t="n">
        <v>4</v>
      </c>
      <c r="P882" s="80" t="inlineStr">
        <is>
          <t>workmtyperemoveoutlet
- labor cost</t>
        </is>
      </c>
      <c r="Q882" s="277" t="n">
        <v>1</v>
      </c>
      <c r="R882" s="5" t="inlineStr">
        <is>
          <t>JOB.</t>
        </is>
      </c>
      <c r="S882" s="292">
        <f>RawDataGenPO[[#This Row],[Total price]]/RawDataGenPO[[#This Row],[Qty'']]</f>
        <v/>
      </c>
      <c r="T882" s="278" t="n">
        <v>3000</v>
      </c>
      <c r="U882" s="291" t="n"/>
      <c r="V882" s="7" t="inlineStr">
        <is>
          <t>V1000687 - UM.TECH COMPANY LIMITED</t>
        </is>
      </c>
      <c r="W882" s="30" t="inlineStr">
        <is>
          <t>Recive bill and GRN already</t>
        </is>
      </c>
      <c r="X882" s="31" t="inlineStr">
        <is>
          <t>GRN2526-0000400</t>
        </is>
      </c>
      <c r="Y882" s="3" t="n">
        <v>45770</v>
      </c>
      <c r="AA882" s="17">
        <f>IF(RawDataGenPO[[#This Row],[Date Gen PO]]="","",RawDataGenPO[[#This Row],[Date recive bill]]-RawDataGenPO[[#This Row],[Date Gen PO]])</f>
        <v/>
      </c>
      <c r="AB882" s="16">
        <f>IF(RawDataGenPO[[#This Row],[GRN-PO date]]&gt;RawDataGenPO[[#This Row],[Lead time delivery (day)]],"over deliverry","Ontime")</f>
        <v/>
      </c>
      <c r="AC882" s="22" t="n"/>
    </row>
    <row r="883" ht="15" customHeight="1">
      <c r="A883" s="5">
        <f>ROW()-ROW(RawDataGenPO[[#Headers],[No.]])</f>
        <v/>
      </c>
      <c r="B883" s="7" t="inlineStr">
        <is>
          <t>Expent  cost</t>
        </is>
      </c>
      <c r="C883" s="301" t="n">
        <v>45693</v>
      </c>
      <c r="F883" s="301" t="n">
        <v>45693</v>
      </c>
      <c r="G883" s="5" t="inlineStr">
        <is>
          <t>PR2425-05539</t>
        </is>
      </c>
      <c r="H883" s="5" t="inlineStr">
        <is>
          <t>PO2425-06464</t>
        </is>
      </c>
      <c r="I883" s="290">
        <f>IF(RawDataGenPO[[#This Row],[PO No.]]="","",RawDataGenPO[[#This Row],[DMY Create PR]]+7)</f>
        <v/>
      </c>
      <c r="J883" s="290" t="n"/>
      <c r="K883" s="20" t="n">
        <v>100</v>
      </c>
      <c r="L883" s="5" t="inlineStr">
        <is>
          <t>SFST81000048</t>
        </is>
      </c>
      <c r="M883" s="7" t="inlineStr">
        <is>
          <t>PD Machine</t>
        </is>
      </c>
      <c r="N883" s="7" t="inlineStr">
        <is>
          <t>Hood No.1</t>
        </is>
      </c>
      <c r="O883" s="11" t="n">
        <v>5</v>
      </c>
      <c r="P883" s="80" t="inlineStr">
        <is>
          <t>travel cost</t>
        </is>
      </c>
      <c r="Q883" s="277" t="n">
        <v>1</v>
      </c>
      <c r="R883" s="5" t="inlineStr">
        <is>
          <t>JOB.</t>
        </is>
      </c>
      <c r="S883" s="292">
        <f>RawDataGenPO[[#This Row],[Total price]]/RawDataGenPO[[#This Row],[Qty'']]</f>
        <v/>
      </c>
      <c r="T883" s="278" t="n">
        <v>3000</v>
      </c>
      <c r="U883" s="291" t="n"/>
      <c r="V883" s="7" t="inlineStr">
        <is>
          <t>V1000687 - UM.TECH COMPANY LIMITED</t>
        </is>
      </c>
      <c r="W883" s="30" t="inlineStr">
        <is>
          <t>Recive bill and GRN already</t>
        </is>
      </c>
      <c r="X883" s="31" t="inlineStr">
        <is>
          <t>GRN2526-0000400</t>
        </is>
      </c>
      <c r="Y883" s="3" t="n">
        <v>45770</v>
      </c>
      <c r="AA883" s="17">
        <f>IF(RawDataGenPO[[#This Row],[Date Gen PO]]="","",RawDataGenPO[[#This Row],[Date recive bill]]-RawDataGenPO[[#This Row],[Date Gen PO]])</f>
        <v/>
      </c>
      <c r="AB883" s="16">
        <f>IF(RawDataGenPO[[#This Row],[GRN-PO date]]&gt;RawDataGenPO[[#This Row],[Lead time delivery (day)]],"over deliverry","Ontime")</f>
        <v/>
      </c>
      <c r="AC883" s="22" t="n"/>
    </row>
    <row r="884" ht="15" customHeight="1">
      <c r="A884" s="5">
        <f>ROW()-ROW(RawDataGenPO[[#Headers],[No.]])</f>
        <v/>
      </c>
      <c r="B884" s="7" t="inlineStr">
        <is>
          <t>Expent  cost</t>
        </is>
      </c>
      <c r="C884" s="301" t="n">
        <v>45693</v>
      </c>
      <c r="F884" s="301" t="n">
        <v>45693</v>
      </c>
      <c r="G884" s="5" t="inlineStr">
        <is>
          <t>PR2425-05539</t>
        </is>
      </c>
      <c r="H884" s="5" t="inlineStr">
        <is>
          <t>PO2425-06464</t>
        </is>
      </c>
      <c r="I884" s="290">
        <f>IF(RawDataGenPO[[#This Row],[PO No.]]="","",RawDataGenPO[[#This Row],[DMY Create PR]]+7)</f>
        <v/>
      </c>
      <c r="J884" s="290" t="n"/>
      <c r="K884" s="20" t="n">
        <v>100</v>
      </c>
      <c r="L884" s="5" t="inlineStr">
        <is>
          <t>SFST81000048</t>
        </is>
      </c>
      <c r="M884" s="7" t="inlineStr">
        <is>
          <t>PD Machine</t>
        </is>
      </c>
      <c r="N884" s="7" t="inlineStr">
        <is>
          <t>Hood No.1</t>
        </is>
      </c>
      <c r="O884" s="11" t="n">
        <v>6</v>
      </c>
      <c r="P884" s="80" t="inlineStr">
        <is>
          <t>Service charge</t>
        </is>
      </c>
      <c r="Q884" s="277" t="n">
        <v>1</v>
      </c>
      <c r="R884" s="5" t="inlineStr">
        <is>
          <t>JOB.</t>
        </is>
      </c>
      <c r="S884" s="292">
        <f>RawDataGenPO[[#This Row],[Total price]]/RawDataGenPO[[#This Row],[Qty'']]</f>
        <v/>
      </c>
      <c r="T884" s="278" t="n">
        <v>7500</v>
      </c>
      <c r="U884" s="291" t="n"/>
      <c r="V884" s="7" t="inlineStr">
        <is>
          <t>V1000687 - UM.TECH COMPANY LIMITED</t>
        </is>
      </c>
      <c r="W884" s="30" t="inlineStr">
        <is>
          <t>Recive bill and GRN already</t>
        </is>
      </c>
      <c r="X884" s="31" t="inlineStr">
        <is>
          <t>GRN2526-0000400</t>
        </is>
      </c>
      <c r="Y884" s="3" t="n">
        <v>45770</v>
      </c>
      <c r="AA884" s="17">
        <f>IF(RawDataGenPO[[#This Row],[Date Gen PO]]="","",RawDataGenPO[[#This Row],[Date recive bill]]-RawDataGenPO[[#This Row],[Date Gen PO]])</f>
        <v/>
      </c>
      <c r="AB884" s="16">
        <f>IF(RawDataGenPO[[#This Row],[GRN-PO date]]&gt;RawDataGenPO[[#This Row],[Lead time delivery (day)]],"over deliverry","Ontime")</f>
        <v/>
      </c>
      <c r="AC884" s="22" t="n"/>
    </row>
    <row r="885" ht="75" customFormat="1" customHeight="1" s="125">
      <c r="A885" s="5">
        <f>ROW()-ROW(RawDataGenPO[[#Headers],[No.]])</f>
        <v/>
      </c>
      <c r="B885" s="7" t="inlineStr">
        <is>
          <t>Expent  cost</t>
        </is>
      </c>
      <c r="C885" s="301" t="n">
        <v>45693</v>
      </c>
      <c r="D885" s="276" t="n"/>
      <c r="E885" s="276" t="n"/>
      <c r="F885" s="301" t="n">
        <v>45693</v>
      </c>
      <c r="G885" s="5" t="inlineStr">
        <is>
          <t>PR2425-05540</t>
        </is>
      </c>
      <c r="H885" s="5" t="inlineStr">
        <is>
          <t>PO2425-06540</t>
        </is>
      </c>
      <c r="I885" s="290">
        <f>IF(RawDataGenPO[[#This Row],[PO No.]]="","",RawDataGenPO[[#This Row],[DMY Create PR]]+7)</f>
        <v/>
      </c>
      <c r="J885" s="290" t="n"/>
      <c r="K885" s="20" t="n">
        <v>45</v>
      </c>
      <c r="L885" s="5" t="inlineStr">
        <is>
          <t>SFST81000050</t>
        </is>
      </c>
      <c r="M885" s="7" t="inlineStr">
        <is>
          <t>Tool and Equipment PD M/C</t>
        </is>
      </c>
      <c r="N885" s="7" t="inlineStr">
        <is>
          <t>Tool and Equipment</t>
        </is>
      </c>
      <c r="O885" s="5" t="n">
        <v>1</v>
      </c>
      <c r="P885" s="80" t="inlineStr">
        <is>
          <t>Safety Valve VYC 1" (Brass) Model 095 AP PD9.2 Bar
- Mat.Body: Brass
- Spring: 9.5 Bar
- BSPT (025) 1"
- Set Pressure: 9.2 Bar</t>
        </is>
      </c>
      <c r="Q885" s="277" t="n">
        <v>1</v>
      </c>
      <c r="R885" s="5" t="inlineStr">
        <is>
          <t>EA.</t>
        </is>
      </c>
      <c r="S885" s="292">
        <f>RawDataGenPO[[#This Row],[Total price]]/RawDataGenPO[[#This Row],[Qty'']]</f>
        <v/>
      </c>
      <c r="T885" s="278" t="n">
        <v>27000</v>
      </c>
      <c r="U885" s="291" t="n"/>
      <c r="V885" s="7" t="inlineStr">
        <is>
          <t>V1000189 - FPT FOOD PROCESS TECHNOLOGY CO., LTD.</t>
        </is>
      </c>
      <c r="W885" s="30" t="inlineStr">
        <is>
          <t>Recive bill and GRN already</t>
        </is>
      </c>
      <c r="X885" s="5" t="inlineStr">
        <is>
          <t>GRN2425-0007402</t>
        </is>
      </c>
      <c r="Y885" s="3" t="n">
        <v>45713</v>
      </c>
      <c r="Z885" s="3" t="n"/>
      <c r="AA885" s="17">
        <f>IF(RawDataGenPO[[#This Row],[Date Gen PO]]="","",RawDataGenPO[[#This Row],[Date recive bill]]-RawDataGenPO[[#This Row],[Date Gen PO]])</f>
        <v/>
      </c>
      <c r="AB885" s="16">
        <f>IF(RawDataGenPO[[#This Row],[GRN-PO date]]&gt;RawDataGenPO[[#This Row],[Lead time delivery (day)]],"over deliverry","Ontime")</f>
        <v/>
      </c>
      <c r="AC885" s="22" t="n"/>
    </row>
    <row r="886" ht="30" customHeight="1">
      <c r="A886" s="5">
        <f>ROW()-ROW(RawDataGenPO[[#Headers],[No.]])</f>
        <v/>
      </c>
      <c r="B886" s="7" t="inlineStr">
        <is>
          <t>Expent  cost</t>
        </is>
      </c>
      <c r="C886" s="301" t="n">
        <v>45693</v>
      </c>
      <c r="F886" s="301" t="n">
        <v>45693</v>
      </c>
      <c r="G886" s="5" t="inlineStr">
        <is>
          <t>PR2425-05541</t>
        </is>
      </c>
      <c r="H886" s="5" t="inlineStr">
        <is>
          <t>PO2425-06467</t>
        </is>
      </c>
      <c r="I886" s="290">
        <f>IF(RawDataGenPO[[#This Row],[PO No.]]="","",RawDataGenPO[[#This Row],[DMY Create PR]]+7)</f>
        <v/>
      </c>
      <c r="J886" s="290" t="n"/>
      <c r="K886" s="20" t="n">
        <v>45</v>
      </c>
      <c r="L886" s="5" t="inlineStr">
        <is>
          <t>SFST81000050</t>
        </is>
      </c>
      <c r="M886" s="7" t="inlineStr">
        <is>
          <t>Tool and Equipment PD M/C</t>
        </is>
      </c>
      <c r="N886" s="7" t="inlineStr">
        <is>
          <t>Tool and Equipment</t>
        </is>
      </c>
      <c r="O886" s="11" t="n">
        <v>1</v>
      </c>
      <c r="P886" s="80" t="inlineStr">
        <is>
          <t>"SDPC" AC4000-03 Series setfilterm 3
filter + regulator + lubricator thread 3/8"</t>
        </is>
      </c>
      <c r="Q886" s="277" t="n">
        <v>1</v>
      </c>
      <c r="R886" s="5" t="inlineStr">
        <is>
          <t>EA.</t>
        </is>
      </c>
      <c r="S886" s="292">
        <f>RawDataGenPO[[#This Row],[Total price]]/RawDataGenPO[[#This Row],[Qty'']]</f>
        <v/>
      </c>
      <c r="T886" s="278" t="n">
        <v>1320</v>
      </c>
      <c r="U886" s="291" t="n"/>
      <c r="W886" s="30" t="inlineStr">
        <is>
          <t>Recive bill and GRN already</t>
        </is>
      </c>
      <c r="X886" s="5" t="inlineStr">
        <is>
          <t>GRN2425-0007965</t>
        </is>
      </c>
      <c r="Y886" s="3" t="n">
        <v>45737</v>
      </c>
      <c r="AA886" s="17">
        <f>IF(RawDataGenPO[[#This Row],[Date Gen PO]]="","",RawDataGenPO[[#This Row],[Date recive bill]]-RawDataGenPO[[#This Row],[Date Gen PO]])</f>
        <v/>
      </c>
      <c r="AB886" s="16">
        <f>IF(RawDataGenPO[[#This Row],[GRN-PO date]]&gt;RawDataGenPO[[#This Row],[Lead time delivery (day)]],"over deliverry","Ontime")</f>
        <v/>
      </c>
      <c r="AC886" s="22" t="n"/>
    </row>
    <row r="887" ht="105" customHeight="1">
      <c r="A887" s="5">
        <f>ROW()-ROW(RawDataGenPO[[#Headers],[No.]])</f>
        <v/>
      </c>
      <c r="B887" s="7" t="inlineStr">
        <is>
          <t>Expent  cost</t>
        </is>
      </c>
      <c r="C887" s="301" t="n">
        <v>45693</v>
      </c>
      <c r="F887" s="301" t="n">
        <v>45693</v>
      </c>
      <c r="G887" s="5" t="inlineStr">
        <is>
          <t>PR2425-05547</t>
        </is>
      </c>
      <c r="H887" s="5" t="inlineStr">
        <is>
          <t>PO2425-06465</t>
        </is>
      </c>
      <c r="I887" s="290">
        <f>IF(RawDataGenPO[[#This Row],[PO No.]]="","",RawDataGenPO[[#This Row],[DMY Create PR]]+7)</f>
        <v/>
      </c>
      <c r="J887" s="290" t="n"/>
      <c r="K887" s="20">
        <f>IF(RawDataGenPO[[#This Row],[PO No.]]="","",10)</f>
        <v/>
      </c>
      <c r="L887" s="5" t="inlineStr">
        <is>
          <t>SFST81000009</t>
        </is>
      </c>
      <c r="M887" s="7" t="inlineStr">
        <is>
          <t>Tool and Equipment PD M/C</t>
        </is>
      </c>
      <c r="N887" s="7" t="inlineStr">
        <is>
          <t>Machanical jobs</t>
        </is>
      </c>
      <c r="O887" s="11" t="n">
        <v>1</v>
      </c>
      <c r="P887" s="80" t="inlineStr">
        <is>
          <t>Industrial Sectional Overhead Door " GVT" HL Manual Version
Door clear opening size: (W) 2000 mm. x (H) 2350 mm
*Part Galvanize
- 1 row vision windows
- anty-drop system should be spring
- torsion spring balancing system
- single handle</t>
        </is>
      </c>
      <c r="Q887" s="277" t="n">
        <v>1</v>
      </c>
      <c r="R887" s="5" t="inlineStr">
        <is>
          <t>SET.</t>
        </is>
      </c>
      <c r="S887" s="292">
        <f>RawDataGenPO[[#This Row],[Total price]]/RawDataGenPO[[#This Row],[Qty'']]</f>
        <v/>
      </c>
      <c r="T887" s="278" t="n">
        <v>66500</v>
      </c>
      <c r="U887" s="291" t="n"/>
      <c r="V887" s="7" t="inlineStr">
        <is>
          <t>V1000744 - Goldvest Trading (Thailand) Co., Ltd.</t>
        </is>
      </c>
      <c r="W887" s="30" t="inlineStr">
        <is>
          <t>Recive bill and GRN already</t>
        </is>
      </c>
      <c r="X887" s="5" t="inlineStr">
        <is>
          <t>GRN2425-0007332</t>
        </is>
      </c>
      <c r="Y887" s="3" t="n">
        <v>45709</v>
      </c>
      <c r="AA887" s="17">
        <f>IF(RawDataGenPO[[#This Row],[Date Gen PO]]="","",RawDataGenPO[[#This Row],[Date recive bill]]-RawDataGenPO[[#This Row],[Date Gen PO]])</f>
        <v/>
      </c>
      <c r="AB887" s="16">
        <f>IF(RawDataGenPO[[#This Row],[GRN-PO date]]&gt;RawDataGenPO[[#This Row],[Lead time delivery (day)]],"over deliverry","Ontime")</f>
        <v/>
      </c>
      <c r="AC887" s="22" t="n"/>
    </row>
    <row r="888" ht="15" customHeight="1">
      <c r="A888" s="5">
        <f>ROW()-ROW(RawDataGenPO[[#Headers],[No.]])</f>
        <v/>
      </c>
      <c r="B888" s="7" t="inlineStr">
        <is>
          <t>Expent  cost</t>
        </is>
      </c>
      <c r="C888" s="301" t="n">
        <v>45693</v>
      </c>
      <c r="F888" s="301" t="n">
        <v>45693</v>
      </c>
      <c r="G888" s="5" t="inlineStr">
        <is>
          <t>PR2425-05547</t>
        </is>
      </c>
      <c r="H888" s="5" t="inlineStr">
        <is>
          <t>PO2425-06465</t>
        </is>
      </c>
      <c r="I888" s="290">
        <f>IF(RawDataGenPO[[#This Row],[PO No.]]="","",RawDataGenPO[[#This Row],[DMY Create PR]]+7)</f>
        <v/>
      </c>
      <c r="J888" s="290" t="n"/>
      <c r="K888" s="20">
        <f>IF(RawDataGenPO[[#This Row],[PO No.]]="","",10)</f>
        <v/>
      </c>
      <c r="L888" s="5" t="inlineStr">
        <is>
          <t>SFST81000009</t>
        </is>
      </c>
      <c r="M888" s="7" t="inlineStr">
        <is>
          <t>Tool and Equipment PD M/C</t>
        </is>
      </c>
      <c r="N888" s="7" t="inlineStr">
        <is>
          <t>Machanical jobs</t>
        </is>
      </c>
      <c r="O888" s="11" t="n">
        <v>2</v>
      </c>
      <c r="P888" s="80" t="inlineStr">
        <is>
          <t>INSTALLAITON&amp;DEMOLITION</t>
        </is>
      </c>
      <c r="Q888" s="277" t="n">
        <v>2</v>
      </c>
      <c r="R888" s="5" t="inlineStr">
        <is>
          <t>JOB.</t>
        </is>
      </c>
      <c r="S888" s="292">
        <f>RawDataGenPO[[#This Row],[Total price]]/RawDataGenPO[[#This Row],[Qty'']]</f>
        <v/>
      </c>
      <c r="T888" s="278" t="n">
        <v>8000</v>
      </c>
      <c r="U888" s="291" t="n"/>
      <c r="V888" s="7" t="inlineStr">
        <is>
          <t>V1000744 - Goldvest Trading (Thailand) Co., Ltd.</t>
        </is>
      </c>
      <c r="W888" s="30" t="inlineStr">
        <is>
          <t>Recive bill and GRN already</t>
        </is>
      </c>
      <c r="X888" s="5" t="inlineStr">
        <is>
          <t>GRN2425-0007332</t>
        </is>
      </c>
      <c r="Y888" s="3" t="n">
        <v>45709</v>
      </c>
      <c r="AA888" s="17">
        <f>IF(RawDataGenPO[[#This Row],[Date Gen PO]]="","",RawDataGenPO[[#This Row],[Date recive bill]]-RawDataGenPO[[#This Row],[Date Gen PO]])</f>
        <v/>
      </c>
      <c r="AB888" s="16">
        <f>IF(RawDataGenPO[[#This Row],[GRN-PO date]]&gt;RawDataGenPO[[#This Row],[Lead time delivery (day)]],"over deliverry","Ontime")</f>
        <v/>
      </c>
      <c r="AC888" s="22" t="n"/>
    </row>
    <row r="889" ht="15" customHeight="1">
      <c r="A889" s="5">
        <f>ROW()-ROW(RawDataGenPO[[#Headers],[No.]])</f>
        <v/>
      </c>
      <c r="B889" s="7" t="inlineStr">
        <is>
          <t>Expent  cost</t>
        </is>
      </c>
      <c r="C889" s="301" t="n">
        <v>45693</v>
      </c>
      <c r="F889" s="301" t="n">
        <v>45693</v>
      </c>
      <c r="G889" s="5" t="inlineStr">
        <is>
          <t>PR2425-05547</t>
        </is>
      </c>
      <c r="H889" s="5" t="inlineStr">
        <is>
          <t>PO2425-06465</t>
        </is>
      </c>
      <c r="I889" s="290">
        <f>IF(RawDataGenPO[[#This Row],[PO No.]]="","",RawDataGenPO[[#This Row],[DMY Create PR]]+7)</f>
        <v/>
      </c>
      <c r="J889" s="290" t="n"/>
      <c r="K889" s="20">
        <f>IF(RawDataGenPO[[#This Row],[PO No.]]="","",10)</f>
        <v/>
      </c>
      <c r="L889" s="5" t="inlineStr">
        <is>
          <t>SFST81000009</t>
        </is>
      </c>
      <c r="M889" s="7" t="inlineStr">
        <is>
          <t>Tool and Equipment PD M/C</t>
        </is>
      </c>
      <c r="N889" s="7" t="inlineStr">
        <is>
          <t>Machanical jobs</t>
        </is>
      </c>
      <c r="O889" s="11" t="n">
        <v>3</v>
      </c>
      <c r="P889" s="80" t="inlineStr">
        <is>
          <t>Labor cost for working on Sunday</t>
        </is>
      </c>
      <c r="Q889" s="277" t="n">
        <v>3</v>
      </c>
      <c r="R889" s="5" t="inlineStr">
        <is>
          <t>JOB.</t>
        </is>
      </c>
      <c r="S889" s="292">
        <f>RawDataGenPO[[#This Row],[Total price]]/RawDataGenPO[[#This Row],[Qty'']]</f>
        <v/>
      </c>
      <c r="T889" s="278" t="n">
        <v>5000</v>
      </c>
      <c r="U889" s="291" t="n"/>
      <c r="V889" s="7" t="inlineStr">
        <is>
          <t>V1000744 - Goldvest Trading (Thailand) Co., Ltd.</t>
        </is>
      </c>
      <c r="W889" s="30" t="inlineStr">
        <is>
          <t>Recive bill and GRN already</t>
        </is>
      </c>
      <c r="X889" s="5" t="inlineStr">
        <is>
          <t>GRN2425-0007332</t>
        </is>
      </c>
      <c r="Y889" s="3" t="n">
        <v>45709</v>
      </c>
      <c r="AA889" s="17">
        <f>IF(RawDataGenPO[[#This Row],[Date Gen PO]]="","",RawDataGenPO[[#This Row],[Date recive bill]]-RawDataGenPO[[#This Row],[Date Gen PO]])</f>
        <v/>
      </c>
      <c r="AB889" s="16">
        <f>IF(RawDataGenPO[[#This Row],[GRN-PO date]]&gt;RawDataGenPO[[#This Row],[Lead time delivery (day)]],"over deliverry","Ontime")</f>
        <v/>
      </c>
      <c r="AC889" s="22" t="n"/>
    </row>
    <row r="890" ht="75" customHeight="1">
      <c r="A890" s="5">
        <f>ROW()-ROW(RawDataGenPO[[#Headers],[No.]])</f>
        <v/>
      </c>
      <c r="B890" s="7" t="inlineStr">
        <is>
          <t>Expent  cost</t>
        </is>
      </c>
      <c r="C890" s="301" t="n">
        <v>45693</v>
      </c>
      <c r="F890" s="301" t="n">
        <v>45693</v>
      </c>
      <c r="G890" s="5" t="inlineStr">
        <is>
          <t>PR2425-05550</t>
        </is>
      </c>
      <c r="H890" s="5" t="inlineStr">
        <is>
          <t>PO2425-06466</t>
        </is>
      </c>
      <c r="I890" s="290">
        <f>IF(RawDataGenPO[[#This Row],[PO No.]]="","",RawDataGenPO[[#This Row],[DMY Create PR]]+7)</f>
        <v/>
      </c>
      <c r="J890" s="290" t="n"/>
      <c r="K890" s="20" t="n">
        <v>100</v>
      </c>
      <c r="L890" s="5" t="inlineStr">
        <is>
          <t>SFST81000078</t>
        </is>
      </c>
      <c r="M890" s="7" t="inlineStr">
        <is>
          <t>Civill jobs (Floor-Wall-Celling-roof)</t>
        </is>
      </c>
      <c r="N890" s="7" t="inlineStr">
        <is>
          <t>Cevil jobs</t>
        </is>
      </c>
      <c r="O890" s="5" t="n">
        <v>1</v>
      </c>
      <c r="P890" s="80" t="inlineStr">
        <is>
          <t>workWwith Epoxy Mortar + Sand + with PU LF
Whigh 10 cm width 5 cm length 30 m
- labor cost
- travel cost
- service charge</t>
        </is>
      </c>
      <c r="Q890" s="277" t="n">
        <v>1</v>
      </c>
      <c r="R890" s="5" t="inlineStr">
        <is>
          <t>JOB.</t>
        </is>
      </c>
      <c r="S890" s="292">
        <f>RawDataGenPO[[#This Row],[Total price]]/RawDataGenPO[[#This Row],[Qty'']]</f>
        <v/>
      </c>
      <c r="T890" s="278" t="n">
        <v>20000</v>
      </c>
      <c r="U890" s="291" t="n"/>
      <c r="V890" s="7" t="inlineStr">
        <is>
          <t>V1000731 - PHUTEWA DEVELOPMENT CO., LTD.</t>
        </is>
      </c>
      <c r="W890" s="30" t="inlineStr">
        <is>
          <t>Recive bill and GRN already</t>
        </is>
      </c>
      <c r="X890" s="5" t="inlineStr">
        <is>
          <t>GRN2526-0000431</t>
        </is>
      </c>
      <c r="Y890" s="3" t="n">
        <v>45770</v>
      </c>
      <c r="AA890" s="17">
        <f>IF(RawDataGenPO[[#This Row],[Date Gen PO]]="","",RawDataGenPO[[#This Row],[Date recive bill]]-RawDataGenPO[[#This Row],[Date Gen PO]])</f>
        <v/>
      </c>
      <c r="AB890" s="16">
        <f>IF(RawDataGenPO[[#This Row],[GRN-PO date]]&gt;RawDataGenPO[[#This Row],[Lead time delivery (day)]],"over deliverry","Ontime")</f>
        <v/>
      </c>
      <c r="AC890" s="22" t="n"/>
    </row>
    <row r="891" ht="45" customHeight="1">
      <c r="A891" s="5">
        <f>ROW()-ROW(RawDataGenPO[[#Headers],[No.]])</f>
        <v/>
      </c>
      <c r="B891" s="7" t="inlineStr">
        <is>
          <t>Expent  cost</t>
        </is>
      </c>
      <c r="C891" s="301" t="n">
        <v>45693</v>
      </c>
      <c r="F891" s="301" t="n">
        <v>45693</v>
      </c>
      <c r="G891" s="5" t="inlineStr">
        <is>
          <t xml:space="preserve">PR2425-05554 </t>
        </is>
      </c>
      <c r="H891" s="3" t="inlineStr">
        <is>
          <t>PO2425-06468</t>
        </is>
      </c>
      <c r="I891" s="290">
        <f>IF(RawDataGenPO[[#This Row],[PO No.]]="","",RawDataGenPO[[#This Row],[DMY Create PR]]+7)</f>
        <v/>
      </c>
      <c r="J891" s="290" t="n"/>
      <c r="K891" s="20" t="n">
        <v>100</v>
      </c>
      <c r="L891" s="5" t="inlineStr">
        <is>
          <t>SFST81000009</t>
        </is>
      </c>
      <c r="M891" s="7" t="inlineStr">
        <is>
          <t>Cooling machine for PD line</t>
        </is>
      </c>
      <c r="N891" s="7" t="inlineStr">
        <is>
          <t>Cooling  part</t>
        </is>
      </c>
      <c r="O891" s="11" t="n">
        <v>1</v>
      </c>
      <c r="P891" s="80" t="inlineStr">
        <is>
          <t>RTD PT-100 Ohm 3 wire (Single Element)
- Tube SUS316L Dia 6 mm. Length 150 mm. (m)
- Sleeve Dia 9.5 mm. Length 50 mm. + Spring</t>
        </is>
      </c>
      <c r="Q891" s="277" t="n">
        <v>6</v>
      </c>
      <c r="R891" s="5" t="inlineStr">
        <is>
          <t>PCS.</t>
        </is>
      </c>
      <c r="S891" s="292">
        <f>RawDataGenPO[[#This Row],[Total price]]/RawDataGenPO[[#This Row],[Qty'']]</f>
        <v/>
      </c>
      <c r="T891" s="278" t="n">
        <v>5700</v>
      </c>
      <c r="U891" s="291" t="n"/>
      <c r="V891" s="7" t="inlineStr">
        <is>
          <t>V1000589 - KC AUTOMATION LIMITED PARTNERSHIP</t>
        </is>
      </c>
      <c r="W891" s="30" t="inlineStr">
        <is>
          <t>Recive bill and GRN already</t>
        </is>
      </c>
      <c r="X891" s="5" t="inlineStr">
        <is>
          <t>RN2425-0007661</t>
        </is>
      </c>
      <c r="Y891" s="3" t="n">
        <v>45726</v>
      </c>
      <c r="AA891" s="17">
        <f>IF(RawDataGenPO[[#This Row],[Date Gen PO]]="","",RawDataGenPO[[#This Row],[Date recive bill]]-RawDataGenPO[[#This Row],[Date Gen PO]])</f>
        <v/>
      </c>
      <c r="AB891" s="16">
        <f>IF(RawDataGenPO[[#This Row],[GRN-PO date]]&gt;RawDataGenPO[[#This Row],[Lead time delivery (day)]],"over deliverry","Ontime")</f>
        <v/>
      </c>
      <c r="AC891" s="22" t="n"/>
    </row>
    <row r="892" ht="45" customHeight="1">
      <c r="A892" s="5">
        <f>ROW()-ROW(RawDataGenPO[[#Headers],[No.]])</f>
        <v/>
      </c>
      <c r="B892" s="7" t="inlineStr">
        <is>
          <t>Expent  cost</t>
        </is>
      </c>
      <c r="C892" s="301" t="n">
        <v>45693</v>
      </c>
      <c r="F892" s="301" t="n">
        <v>45693</v>
      </c>
      <c r="G892" s="5" t="inlineStr">
        <is>
          <t xml:space="preserve">PR2425-05554 </t>
        </is>
      </c>
      <c r="H892" s="3" t="inlineStr">
        <is>
          <t>PO2425-06468</t>
        </is>
      </c>
      <c r="I892" s="290">
        <f>IF(RawDataGenPO[[#This Row],[PO No.]]="","",RawDataGenPO[[#This Row],[DMY Create PR]]+7)</f>
        <v/>
      </c>
      <c r="J892" s="290" t="n"/>
      <c r="K892" s="20" t="n">
        <v>100</v>
      </c>
      <c r="L892" s="5" t="inlineStr">
        <is>
          <t>SFST81000009</t>
        </is>
      </c>
      <c r="M892" s="7" t="inlineStr">
        <is>
          <t>Cooling machine for PD line</t>
        </is>
      </c>
      <c r="N892" s="7" t="inlineStr">
        <is>
          <t>Cooling  part</t>
        </is>
      </c>
      <c r="O892" s="11" t="n">
        <v>2</v>
      </c>
      <c r="P892" s="80" t="inlineStr">
        <is>
          <t>RTD PT-100 Ohm 3 wire (Single Element)
- Tube SUS316L Dia 6 mm. Length 70 mm.
- Sleeve Dia 10x50 mm. With Connection M8x12 mm. + Spring</t>
        </is>
      </c>
      <c r="Q892" s="277" t="n">
        <v>6</v>
      </c>
      <c r="R892" s="5" t="inlineStr">
        <is>
          <t>PCS.</t>
        </is>
      </c>
      <c r="S892" s="292">
        <f>RawDataGenPO[[#This Row],[Total price]]/RawDataGenPO[[#This Row],[Qty'']]</f>
        <v/>
      </c>
      <c r="T892" s="278" t="n">
        <v>7600</v>
      </c>
      <c r="U892" s="291" t="n"/>
      <c r="V892" s="7" t="inlineStr">
        <is>
          <t>V1000589 - KC AUTOMATION LIMITED PARTNERSHIP</t>
        </is>
      </c>
      <c r="W892" s="30" t="inlineStr">
        <is>
          <t>Recive bill and GRN already</t>
        </is>
      </c>
      <c r="X892" s="5" t="inlineStr">
        <is>
          <t>RN2425-0007661</t>
        </is>
      </c>
      <c r="Y892" s="3" t="n">
        <v>45726</v>
      </c>
      <c r="AA892" s="17">
        <f>IF(RawDataGenPO[[#This Row],[Date Gen PO]]="","",RawDataGenPO[[#This Row],[Date recive bill]]-RawDataGenPO[[#This Row],[Date Gen PO]])</f>
        <v/>
      </c>
      <c r="AB892" s="16">
        <f>IF(RawDataGenPO[[#This Row],[GRN-PO date]]&gt;RawDataGenPO[[#This Row],[Lead time delivery (day)]],"over deliverry","Ontime")</f>
        <v/>
      </c>
      <c r="AC892" s="22" t="n"/>
    </row>
    <row r="893" ht="15" customHeight="1">
      <c r="A893" s="5">
        <f>ROW()-ROW(RawDataGenPO[[#Headers],[No.]])</f>
        <v/>
      </c>
      <c r="B893" s="7" t="inlineStr">
        <is>
          <t>Expent  cost</t>
        </is>
      </c>
      <c r="C893" s="301" t="n">
        <v>45693</v>
      </c>
      <c r="F893" s="301" t="n">
        <v>45693</v>
      </c>
      <c r="G893" s="5" t="inlineStr">
        <is>
          <t xml:space="preserve">PR2425-05555 </t>
        </is>
      </c>
      <c r="H893" s="5" t="inlineStr">
        <is>
          <t>PO2425-06469</t>
        </is>
      </c>
      <c r="I893" s="290">
        <f>IF(RawDataGenPO[[#This Row],[PO No.]]="","",RawDataGenPO[[#This Row],[DMY Create PR]]+7)</f>
        <v/>
      </c>
      <c r="J893" s="290" t="n"/>
      <c r="K893" s="20" t="n">
        <v>30</v>
      </c>
      <c r="L893" s="5" t="inlineStr">
        <is>
          <t>SFST81000009</t>
        </is>
      </c>
      <c r="M893" s="7" t="inlineStr">
        <is>
          <t>Tool and Equipment  Engineering</t>
        </is>
      </c>
      <c r="N893" s="7" t="inlineStr">
        <is>
          <t>Consumable part</t>
        </is>
      </c>
      <c r="O893" s="11" t="n">
        <v>1</v>
      </c>
      <c r="P893" s="80" t="inlineStr">
        <is>
          <t>SUMO piecepolished 4 " (typem)</t>
        </is>
      </c>
      <c r="Q893" s="277" t="n">
        <v>20</v>
      </c>
      <c r="R893" s="5" t="inlineStr">
        <is>
          <t>PCS.</t>
        </is>
      </c>
      <c r="S893" s="292">
        <f>RawDataGenPO[[#This Row],[Total price]]/RawDataGenPO[[#This Row],[Qty'']]</f>
        <v/>
      </c>
      <c r="T893" s="278" t="n">
        <v>900</v>
      </c>
      <c r="U893" s="291" t="n"/>
      <c r="V893" s="7" t="inlineStr">
        <is>
          <t>V1000259 - JJP SUPPLY CO., LTD</t>
        </is>
      </c>
      <c r="W893" s="30" t="inlineStr">
        <is>
          <t>Recive bill and GRN already</t>
        </is>
      </c>
      <c r="X893" s="5" t="inlineStr">
        <is>
          <t>GRN2425-0007838</t>
        </is>
      </c>
      <c r="Y893" s="3" t="n">
        <v>45730</v>
      </c>
      <c r="AA893" s="17">
        <f>IF(RawDataGenPO[[#This Row],[Date Gen PO]]="","",RawDataGenPO[[#This Row],[Date recive bill]]-RawDataGenPO[[#This Row],[Date Gen PO]])</f>
        <v/>
      </c>
      <c r="AB893" s="16">
        <f>IF(RawDataGenPO[[#This Row],[GRN-PO date]]&gt;RawDataGenPO[[#This Row],[Lead time delivery (day)]],"over deliverry","Ontime")</f>
        <v/>
      </c>
      <c r="AC893" s="22" t="n"/>
    </row>
    <row r="894" ht="15" customHeight="1">
      <c r="A894" s="5">
        <f>ROW()-ROW(RawDataGenPO[[#Headers],[No.]])</f>
        <v/>
      </c>
      <c r="B894" s="7" t="inlineStr">
        <is>
          <t>Expent  cost</t>
        </is>
      </c>
      <c r="C894" s="301" t="n">
        <v>45693</v>
      </c>
      <c r="F894" s="301" t="n">
        <v>45693</v>
      </c>
      <c r="G894" s="5" t="inlineStr">
        <is>
          <t xml:space="preserve">PR2425-05555 </t>
        </is>
      </c>
      <c r="H894" s="5" t="inlineStr">
        <is>
          <t>PO2425-06469</t>
        </is>
      </c>
      <c r="I894" s="290">
        <f>IF(RawDataGenPO[[#This Row],[PO No.]]="","",RawDataGenPO[[#This Row],[DMY Create PR]]+7)</f>
        <v/>
      </c>
      <c r="J894" s="290" t="n"/>
      <c r="K894" s="20" t="n">
        <v>30</v>
      </c>
      <c r="L894" s="5" t="inlineStr">
        <is>
          <t>SFST81000009</t>
        </is>
      </c>
      <c r="M894" s="7" t="inlineStr">
        <is>
          <t>Tool and Equipment  Engineering</t>
        </is>
      </c>
      <c r="N894" s="7" t="inlineStr">
        <is>
          <t>Consumable part</t>
        </is>
      </c>
      <c r="O894" s="11" t="n">
        <v>2</v>
      </c>
      <c r="P894" s="80" t="inlineStr">
        <is>
          <t>"SUMO" waterchemicalmstainless steel size 200 ml.</t>
        </is>
      </c>
      <c r="Q894" s="277" t="n">
        <v>10</v>
      </c>
      <c r="R894" s="5" t="inlineStr">
        <is>
          <t>PCS.</t>
        </is>
      </c>
      <c r="S894" s="292">
        <f>RawDataGenPO[[#This Row],[Total price]]/RawDataGenPO[[#This Row],[Qty'']]</f>
        <v/>
      </c>
      <c r="T894" s="278" t="n">
        <v>1200</v>
      </c>
      <c r="U894" s="291" t="n"/>
      <c r="V894" s="7" t="inlineStr">
        <is>
          <t>V1000259 - JJP SUPPLY CO., LTD</t>
        </is>
      </c>
      <c r="W894" s="30" t="inlineStr">
        <is>
          <t>Recive bill and GRN already</t>
        </is>
      </c>
      <c r="X894" s="5" t="inlineStr">
        <is>
          <t>GRN2425-0007838</t>
        </is>
      </c>
      <c r="Y894" s="3" t="n">
        <v>45730</v>
      </c>
      <c r="AA894" s="17">
        <f>IF(RawDataGenPO[[#This Row],[Date Gen PO]]="","",RawDataGenPO[[#This Row],[Date recive bill]]-RawDataGenPO[[#This Row],[Date Gen PO]])</f>
        <v/>
      </c>
      <c r="AB894" s="16">
        <f>IF(RawDataGenPO[[#This Row],[GRN-PO date]]&gt;RawDataGenPO[[#This Row],[Lead time delivery (day)]],"over deliverry","Ontime")</f>
        <v/>
      </c>
      <c r="AC894" s="22" t="n"/>
    </row>
    <row r="895" ht="15" customHeight="1">
      <c r="A895" s="5">
        <f>ROW()-ROW(RawDataGenPO[[#Headers],[No.]])</f>
        <v/>
      </c>
      <c r="B895" s="7" t="inlineStr">
        <is>
          <t>Expent  cost</t>
        </is>
      </c>
      <c r="C895" s="301" t="n">
        <v>45693</v>
      </c>
      <c r="F895" s="301" t="n">
        <v>45693</v>
      </c>
      <c r="G895" s="5" t="inlineStr">
        <is>
          <t xml:space="preserve">PR2425-05555 </t>
        </is>
      </c>
      <c r="H895" s="5" t="inlineStr">
        <is>
          <t>PO2425-06469</t>
        </is>
      </c>
      <c r="I895" s="290">
        <f>IF(RawDataGenPO[[#This Row],[PO No.]]="","",RawDataGenPO[[#This Row],[DMY Create PR]]+7)</f>
        <v/>
      </c>
      <c r="J895" s="290" t="n"/>
      <c r="K895" s="20" t="n">
        <v>30</v>
      </c>
      <c r="L895" s="5" t="inlineStr">
        <is>
          <t>SFST81000009</t>
        </is>
      </c>
      <c r="M895" s="7" t="inlineStr">
        <is>
          <t>Tool and Equipment  Engineering</t>
        </is>
      </c>
      <c r="N895" s="7" t="inlineStr">
        <is>
          <t>Consumable part</t>
        </is>
      </c>
      <c r="O895" s="11" t="n">
        <v>3</v>
      </c>
      <c r="P895" s="80" t="inlineStr">
        <is>
          <t>"SUMO" andpolishedstainless steel size 600 ml.</t>
        </is>
      </c>
      <c r="Q895" s="277" t="n">
        <v>10</v>
      </c>
      <c r="R895" s="5" t="inlineStr">
        <is>
          <t>PCS.</t>
        </is>
      </c>
      <c r="S895" s="292">
        <f>RawDataGenPO[[#This Row],[Total price]]/RawDataGenPO[[#This Row],[Qty'']]</f>
        <v/>
      </c>
      <c r="T895" s="278" t="n">
        <v>1350</v>
      </c>
      <c r="U895" s="291" t="n"/>
      <c r="V895" s="7" t="inlineStr">
        <is>
          <t>V1000259 - JJP SUPPLY CO., LTD</t>
        </is>
      </c>
      <c r="W895" s="30" t="inlineStr">
        <is>
          <t>Recive bill and GRN already</t>
        </is>
      </c>
      <c r="X895" s="5" t="inlineStr">
        <is>
          <t>GRN2425-0007838</t>
        </is>
      </c>
      <c r="Y895" s="3" t="n">
        <v>45730</v>
      </c>
      <c r="AA895" s="17">
        <f>IF(RawDataGenPO[[#This Row],[Date Gen PO]]="","",RawDataGenPO[[#This Row],[Date recive bill]]-RawDataGenPO[[#This Row],[Date Gen PO]])</f>
        <v/>
      </c>
      <c r="AB895" s="16">
        <f>IF(RawDataGenPO[[#This Row],[GRN-PO date]]&gt;RawDataGenPO[[#This Row],[Lead time delivery (day)]],"over deliverry","Ontime")</f>
        <v/>
      </c>
      <c r="AC895" s="22" t="n"/>
    </row>
    <row r="896" ht="15" customHeight="1">
      <c r="A896" s="5">
        <f>ROW()-ROW(RawDataGenPO[[#Headers],[No.]])</f>
        <v/>
      </c>
      <c r="B896" s="7" t="inlineStr">
        <is>
          <t>Expent  cost</t>
        </is>
      </c>
      <c r="C896" s="301" t="n">
        <v>45693</v>
      </c>
      <c r="F896" s="301" t="n">
        <v>45693</v>
      </c>
      <c r="G896" s="5" t="inlineStr">
        <is>
          <t>PR2425-05556</t>
        </is>
      </c>
      <c r="H896" s="5" t="inlineStr">
        <is>
          <t>PO2425-06459</t>
        </is>
      </c>
      <c r="I896" s="290">
        <f>IF(RawDataGenPO[[#This Row],[PO No.]]="","",RawDataGenPO[[#This Row],[DMY Create PR]]+7)</f>
        <v/>
      </c>
      <c r="J896" s="290" t="n"/>
      <c r="K896" s="20" t="n">
        <v>90</v>
      </c>
      <c r="L896" s="5" t="inlineStr">
        <is>
          <t>SFST81000009</t>
        </is>
      </c>
      <c r="M896" s="7" t="inlineStr">
        <is>
          <t>PD Machine</t>
        </is>
      </c>
      <c r="N896" s="7" t="inlineStr">
        <is>
          <t>Heat Seal horizontal belt machine No.1</t>
        </is>
      </c>
      <c r="O896" s="11" t="n">
        <v>1</v>
      </c>
      <c r="P896" s="80" t="inlineStr">
        <is>
          <t>Temperature Controller "SHINKO" Model: BCS25000</t>
        </is>
      </c>
      <c r="Q896" s="277" t="n">
        <v>1</v>
      </c>
      <c r="R896" s="5" t="inlineStr">
        <is>
          <t>PCS.</t>
        </is>
      </c>
      <c r="S896" s="292">
        <f>RawDataGenPO[[#This Row],[Total price]]/RawDataGenPO[[#This Row],[Qty'']]</f>
        <v/>
      </c>
      <c r="T896" s="278" t="n">
        <v>5500</v>
      </c>
      <c r="W896" s="30" t="inlineStr">
        <is>
          <t>Recive bill and GRN already</t>
        </is>
      </c>
      <c r="X896" s="5" t="inlineStr">
        <is>
          <t>GRN2526-0000406</t>
        </is>
      </c>
      <c r="Y896" s="3" t="n">
        <v>45770</v>
      </c>
      <c r="AA896" s="17">
        <f>IF(RawDataGenPO[[#This Row],[Date Gen PO]]="","",RawDataGenPO[[#This Row],[Date recive bill]]-RawDataGenPO[[#This Row],[Date Gen PO]])</f>
        <v/>
      </c>
      <c r="AB896" s="16">
        <f>IF(RawDataGenPO[[#This Row],[GRN-PO date]]&gt;RawDataGenPO[[#This Row],[Lead time delivery (day)]],"over deliverry","Ontime")</f>
        <v/>
      </c>
      <c r="AC896" s="22" t="n"/>
    </row>
    <row r="897" ht="15" customHeight="1">
      <c r="A897" s="5">
        <f>ROW()-ROW(RawDataGenPO[[#Headers],[No.]])</f>
        <v/>
      </c>
      <c r="B897" s="7" t="inlineStr">
        <is>
          <t>Expent  cost</t>
        </is>
      </c>
      <c r="C897" s="301" t="n">
        <v>45693</v>
      </c>
      <c r="F897" s="301" t="n">
        <v>45693</v>
      </c>
      <c r="G897" s="5" t="inlineStr">
        <is>
          <t>PR2425-05556</t>
        </is>
      </c>
      <c r="H897" s="5" t="inlineStr">
        <is>
          <t>PO2425-06459</t>
        </is>
      </c>
      <c r="I897" s="290">
        <f>IF(RawDataGenPO[[#This Row],[PO No.]]="","",RawDataGenPO[[#This Row],[DMY Create PR]]+7)</f>
        <v/>
      </c>
      <c r="J897" s="290" t="n"/>
      <c r="K897" s="20" t="n">
        <v>90</v>
      </c>
      <c r="L897" s="5" t="inlineStr">
        <is>
          <t>SFST81000009</t>
        </is>
      </c>
      <c r="M897" s="7" t="inlineStr">
        <is>
          <t>PD Machine</t>
        </is>
      </c>
      <c r="N897" s="7" t="inlineStr">
        <is>
          <t>Heat Seal horizontal belt machine No.1</t>
        </is>
      </c>
      <c r="O897" s="11" t="n">
        <v>2</v>
      </c>
      <c r="P897" s="80" t="inlineStr">
        <is>
          <t>BS-1-007 Jont for guide roller</t>
        </is>
      </c>
      <c r="Q897" s="277" t="n">
        <v>2</v>
      </c>
      <c r="R897" s="5" t="inlineStr">
        <is>
          <t>PCS.</t>
        </is>
      </c>
      <c r="S897" s="292">
        <f>RawDataGenPO[[#This Row],[Total price]]/RawDataGenPO[[#This Row],[Qty'']]</f>
        <v/>
      </c>
      <c r="T897" s="278" t="n">
        <v>700</v>
      </c>
      <c r="U897" s="291" t="n"/>
      <c r="W897" s="30" t="inlineStr">
        <is>
          <t>Recive bill and GRN already</t>
        </is>
      </c>
      <c r="X897" s="5" t="inlineStr">
        <is>
          <t>GRN2526-0000406</t>
        </is>
      </c>
      <c r="Y897" s="3" t="n">
        <v>45770</v>
      </c>
      <c r="AA897" s="17">
        <f>IF(RawDataGenPO[[#This Row],[Date Gen PO]]="","",RawDataGenPO[[#This Row],[Date recive bill]]-RawDataGenPO[[#This Row],[Date Gen PO]])</f>
        <v/>
      </c>
      <c r="AB897" s="16">
        <f>IF(RawDataGenPO[[#This Row],[GRN-PO date]]&gt;RawDataGenPO[[#This Row],[Lead time delivery (day)]],"over deliverry","Ontime")</f>
        <v/>
      </c>
      <c r="AC897" s="22" t="n"/>
    </row>
    <row r="898" ht="15" customHeight="1">
      <c r="A898" s="5">
        <f>ROW()-ROW(RawDataGenPO[[#Headers],[No.]])</f>
        <v/>
      </c>
      <c r="B898" s="7" t="inlineStr">
        <is>
          <t>Expent  cost</t>
        </is>
      </c>
      <c r="C898" s="301" t="n">
        <v>45693</v>
      </c>
      <c r="F898" s="301" t="n">
        <v>45693</v>
      </c>
      <c r="G898" s="5" t="inlineStr">
        <is>
          <t>PR2425-05556</t>
        </is>
      </c>
      <c r="H898" s="5" t="inlineStr">
        <is>
          <t>PO2425-06459</t>
        </is>
      </c>
      <c r="I898" s="290">
        <f>IF(RawDataGenPO[[#This Row],[PO No.]]="","",RawDataGenPO[[#This Row],[DMY Create PR]]+7)</f>
        <v/>
      </c>
      <c r="J898" s="290" t="n"/>
      <c r="K898" s="20" t="n">
        <v>90</v>
      </c>
      <c r="L898" s="5" t="inlineStr">
        <is>
          <t>SFST81000009</t>
        </is>
      </c>
      <c r="M898" s="7" t="inlineStr">
        <is>
          <t>PD Machine</t>
        </is>
      </c>
      <c r="N898" s="7" t="inlineStr">
        <is>
          <t>Heat Seal horizontal belt machine No.1</t>
        </is>
      </c>
      <c r="O898" s="11" t="n">
        <v>3</v>
      </c>
      <c r="P898" s="80" t="inlineStr">
        <is>
          <t>Bearing 608-2RS</t>
        </is>
      </c>
      <c r="Q898" s="277" t="n">
        <v>2</v>
      </c>
      <c r="R898" s="5" t="inlineStr">
        <is>
          <t>PCS.</t>
        </is>
      </c>
      <c r="S898" s="292">
        <f>RawDataGenPO[[#This Row],[Total price]]/RawDataGenPO[[#This Row],[Qty'']]</f>
        <v/>
      </c>
      <c r="T898" s="278" t="n">
        <v>660</v>
      </c>
      <c r="U898" s="291" t="n"/>
      <c r="W898" s="30" t="inlineStr">
        <is>
          <t>Recive bill and GRN already</t>
        </is>
      </c>
      <c r="X898" s="5" t="inlineStr">
        <is>
          <t>GRN2526-0000406</t>
        </is>
      </c>
      <c r="Y898" s="3" t="n">
        <v>45770</v>
      </c>
      <c r="AA898" s="17">
        <f>IF(RawDataGenPO[[#This Row],[Date Gen PO]]="","",RawDataGenPO[[#This Row],[Date recive bill]]-RawDataGenPO[[#This Row],[Date Gen PO]])</f>
        <v/>
      </c>
      <c r="AB898" s="16">
        <f>IF(RawDataGenPO[[#This Row],[GRN-PO date]]&gt;RawDataGenPO[[#This Row],[Lead time delivery (day)]],"over deliverry","Ontime")</f>
        <v/>
      </c>
      <c r="AC898" s="22" t="n"/>
    </row>
    <row r="899" ht="15" customHeight="1">
      <c r="A899" s="5">
        <f>ROW()-ROW(RawDataGenPO[[#Headers],[No.]])</f>
        <v/>
      </c>
      <c r="B899" s="7" t="inlineStr">
        <is>
          <t>Expent  cost</t>
        </is>
      </c>
      <c r="C899" s="301" t="n">
        <v>45693</v>
      </c>
      <c r="F899" s="301" t="n">
        <v>45693</v>
      </c>
      <c r="G899" s="5" t="inlineStr">
        <is>
          <t>PR2425-05556</t>
        </is>
      </c>
      <c r="H899" s="5" t="inlineStr">
        <is>
          <t>PO2425-06460</t>
        </is>
      </c>
      <c r="I899" s="290">
        <f>IF(RawDataGenPO[[#This Row],[PO No.]]="","",RawDataGenPO[[#This Row],[DMY Create PR]]+7)</f>
        <v/>
      </c>
      <c r="J899" s="290" t="n"/>
      <c r="K899" s="20" t="n">
        <v>30</v>
      </c>
      <c r="L899" s="5" t="inlineStr">
        <is>
          <t>SFST81000009</t>
        </is>
      </c>
      <c r="M899" s="7" t="inlineStr">
        <is>
          <t>PD Machine</t>
        </is>
      </c>
      <c r="N899" s="7" t="inlineStr">
        <is>
          <t>Heat Seal horizontal belt machine No.1</t>
        </is>
      </c>
      <c r="O899" s="11" t="n">
        <v>4</v>
      </c>
      <c r="P899" s="80" t="inlineStr">
        <is>
          <t>"Tend" Tower Light Model: TPWL5L-22RG (tube LED)</t>
        </is>
      </c>
      <c r="Q899" s="277" t="n">
        <v>1</v>
      </c>
      <c r="R899" s="5" t="inlineStr">
        <is>
          <t>PCS.</t>
        </is>
      </c>
      <c r="S899" s="292">
        <f>RawDataGenPO[[#This Row],[Total price]]/RawDataGenPO[[#This Row],[Qty'']]</f>
        <v/>
      </c>
      <c r="T899" s="278" t="n">
        <v>1490</v>
      </c>
      <c r="U899" s="291" t="n"/>
      <c r="V899" s="7" t="inlineStr">
        <is>
          <t>V1000481 - Company JW Tech Ltd.</t>
        </is>
      </c>
      <c r="W899" s="30" t="inlineStr">
        <is>
          <t>Recive bill and GRN already</t>
        </is>
      </c>
      <c r="X899" s="5" t="inlineStr">
        <is>
          <t>GRN2425-0007398</t>
        </is>
      </c>
      <c r="Y899" s="3" t="n">
        <v>45713</v>
      </c>
      <c r="AA899" s="17">
        <f>IF(RawDataGenPO[[#This Row],[Date Gen PO]]="","",RawDataGenPO[[#This Row],[Date recive bill]]-RawDataGenPO[[#This Row],[Date Gen PO]])</f>
        <v/>
      </c>
      <c r="AB899" s="16">
        <f>IF(RawDataGenPO[[#This Row],[GRN-PO date]]&gt;RawDataGenPO[[#This Row],[Lead time delivery (day)]],"over deliverry","Ontime")</f>
        <v/>
      </c>
      <c r="AC899" s="22" t="n"/>
    </row>
    <row r="900" ht="45" customFormat="1" customHeight="1" s="125">
      <c r="A900" s="5">
        <f>ROW()-ROW(RawDataGenPO[[#Headers],[No.]])</f>
        <v/>
      </c>
      <c r="B900" s="7" t="inlineStr">
        <is>
          <t>Expent  cost</t>
        </is>
      </c>
      <c r="C900" s="301" t="n">
        <v>45693</v>
      </c>
      <c r="D900" s="276" t="n"/>
      <c r="E900" s="276" t="n"/>
      <c r="F900" s="301" t="n">
        <v>45693</v>
      </c>
      <c r="G900" s="5" t="inlineStr">
        <is>
          <t>PR2425-05558</t>
        </is>
      </c>
      <c r="H900" s="5" t="inlineStr">
        <is>
          <t>PO2425-06461</t>
        </is>
      </c>
      <c r="I900" s="290">
        <f>IF(RawDataGenPO[[#This Row],[PO No.]]="","",RawDataGenPO[[#This Row],[DMY Create PR]]+7)</f>
        <v/>
      </c>
      <c r="J900" s="290" t="n"/>
      <c r="K900" s="20">
        <f>IF(RawDataGenPO[[#This Row],[PO No.]]="","",10)</f>
        <v/>
      </c>
      <c r="L900" s="5" t="inlineStr">
        <is>
          <t>SFST81000050</t>
        </is>
      </c>
      <c r="M900" s="7" t="inlineStr">
        <is>
          <t>Cooling machine for PD line</t>
        </is>
      </c>
      <c r="N900" s="7" t="inlineStr">
        <is>
          <t>Cooling  part</t>
        </is>
      </c>
      <c r="O900" s="5" t="n">
        <v>1</v>
      </c>
      <c r="P900" s="80" t="inlineStr">
        <is>
          <t>"GUNTNER" FH065-VDP.6N.V7, 400Vac., 50Hz, 1.63/0.68Kw.,
2Hp, 4.3/2.5A., 1340/1000rpm. CosY 0.74, THCL155,
IP54 [VT0177], Evapperator fan</t>
        </is>
      </c>
      <c r="Q900" s="277" t="n">
        <v>1</v>
      </c>
      <c r="R900" s="5" t="inlineStr">
        <is>
          <t>EA.</t>
        </is>
      </c>
      <c r="S900" s="292">
        <f>RawDataGenPO[[#This Row],[Total price]]/RawDataGenPO[[#This Row],[Qty'']]</f>
        <v/>
      </c>
      <c r="T900" s="278" t="n">
        <v>53200</v>
      </c>
      <c r="U900" s="291" t="n"/>
      <c r="V900" s="7" t="inlineStr">
        <is>
          <t>V1000655 - SRM ENGINEERING 1991 CO., LTD.</t>
        </is>
      </c>
      <c r="W900" s="30" t="inlineStr">
        <is>
          <t>Recive bill and GRN already</t>
        </is>
      </c>
      <c r="X900" s="5" t="inlineStr">
        <is>
          <t>GRN2425-0007263</t>
        </is>
      </c>
      <c r="Y900" s="3" t="n">
        <v>45707</v>
      </c>
      <c r="Z900" s="3" t="n"/>
      <c r="AA900" s="17">
        <f>IF(RawDataGenPO[[#This Row],[Date Gen PO]]="","",RawDataGenPO[[#This Row],[Date recive bill]]-RawDataGenPO[[#This Row],[Date Gen PO]])</f>
        <v/>
      </c>
      <c r="AB900" s="16">
        <f>IF(RawDataGenPO[[#This Row],[GRN-PO date]]&gt;RawDataGenPO[[#This Row],[Lead time delivery (day)]],"over deliverry","Ontime")</f>
        <v/>
      </c>
      <c r="AC900" s="22" t="n"/>
    </row>
    <row r="901" ht="15" customHeight="1">
      <c r="A901" s="5">
        <f>ROW()-ROW(RawDataGenPO[[#Headers],[No.]])</f>
        <v/>
      </c>
      <c r="B901" s="7" t="inlineStr">
        <is>
          <t>Expent  cost</t>
        </is>
      </c>
      <c r="C901" s="301" t="n">
        <v>45693</v>
      </c>
      <c r="F901" s="301" t="n">
        <v>45693</v>
      </c>
      <c r="G901" s="5" t="inlineStr">
        <is>
          <t>PR2425-05560</t>
        </is>
      </c>
      <c r="H901" s="5" t="inlineStr">
        <is>
          <t>PO2425-06471</t>
        </is>
      </c>
      <c r="I901" s="290">
        <f>IF(RawDataGenPO[[#This Row],[PO No.]]="","",RawDataGenPO[[#This Row],[DMY Create PR]]+7)</f>
        <v/>
      </c>
      <c r="J901" s="290" t="n"/>
      <c r="K901" s="20" t="n">
        <v>30</v>
      </c>
      <c r="L901" s="5" t="inlineStr">
        <is>
          <t>SFST81000009</t>
        </is>
      </c>
      <c r="M901" s="7" t="inlineStr">
        <is>
          <t>Tool and Equipment  Engineering</t>
        </is>
      </c>
      <c r="N901" s="7" t="inlineStr">
        <is>
          <t>Consumable part</t>
        </is>
      </c>
      <c r="O901" s="11" t="n">
        <v>1</v>
      </c>
      <c r="P901" s="80" t="inlineStr">
        <is>
          <t>"SCG" Wpipetypedark 125 m</t>
        </is>
      </c>
      <c r="Q901" s="277" t="n">
        <v>12</v>
      </c>
      <c r="R901" s="5" t="inlineStr">
        <is>
          <t>PCS.</t>
        </is>
      </c>
      <c r="S901" s="292">
        <f>RawDataGenPO[[#This Row],[Total price]]/RawDataGenPO[[#This Row],[Qty'']]</f>
        <v/>
      </c>
      <c r="T901" s="278" t="n">
        <v>2040</v>
      </c>
      <c r="U901" s="291" t="n"/>
      <c r="V901" s="7" t="inlineStr">
        <is>
          <t>V1000259 - JJP SUPPLY CO., LTD</t>
        </is>
      </c>
      <c r="W901" s="30" t="inlineStr">
        <is>
          <t>Recive bill and GRN already</t>
        </is>
      </c>
      <c r="X901" s="5" t="inlineStr">
        <is>
          <t>GRN2425-0007843</t>
        </is>
      </c>
      <c r="Y901" s="3" t="n">
        <v>45730</v>
      </c>
      <c r="AA901" s="17">
        <f>IF(RawDataGenPO[[#This Row],[Date Gen PO]]="","",RawDataGenPO[[#This Row],[Date recive bill]]-RawDataGenPO[[#This Row],[Date Gen PO]])</f>
        <v/>
      </c>
      <c r="AB901" s="16">
        <f>IF(RawDataGenPO[[#This Row],[GRN-PO date]]&gt;RawDataGenPO[[#This Row],[Lead time delivery (day)]],"over deliverry","Ontime")</f>
        <v/>
      </c>
      <c r="AC901" s="22" t="n"/>
    </row>
    <row r="902" ht="165" customHeight="1">
      <c r="A902" s="5">
        <f>ROW()-ROW(RawDataGenPO[[#Headers],[No.]])</f>
        <v/>
      </c>
      <c r="B902" s="7" t="inlineStr">
        <is>
          <t>Expent  cost</t>
        </is>
      </c>
      <c r="C902" s="301" t="n">
        <v>45693</v>
      </c>
      <c r="F902" s="301" t="n">
        <v>45693</v>
      </c>
      <c r="G902" s="5" t="inlineStr">
        <is>
          <t>PR2425-05561</t>
        </is>
      </c>
      <c r="H902" s="5" t="inlineStr">
        <is>
          <t>PO2425-06457</t>
        </is>
      </c>
      <c r="I902" s="290">
        <f>IF(RawDataGenPO[[#This Row],[PO No.]]="","",RawDataGenPO[[#This Row],[DMY Create PR]]+7)</f>
        <v/>
      </c>
      <c r="J902" s="290" t="n"/>
      <c r="K902" s="20" t="n">
        <v>30</v>
      </c>
      <c r="L902" s="5" t="inlineStr">
        <is>
          <t>SFST81000048</t>
        </is>
      </c>
      <c r="M902" s="7" t="inlineStr">
        <is>
          <t>Civill jobs (Floor-Wall-Celling-roof)</t>
        </is>
      </c>
      <c r="N902" s="7" t="inlineStr">
        <is>
          <t>Cevil jobs</t>
        </is>
      </c>
      <c r="O902" s="11" t="n">
        <v>1</v>
      </c>
      <c r="P902" s="80" t="inlineStr">
        <is>
          <t>workW Scope of work repairmsystempipe
pieceworkair andW
equipmentandmachinehand operationworkinternalair
outlettypeand Scope of work
- pieceW 5
- m/W/plug/Wmeasuringair
- set PPE
- piece CER workm (4 male)
- typeslotpipe
- labor cost</t>
        </is>
      </c>
      <c r="Q902" s="277" t="n">
        <v>1</v>
      </c>
      <c r="R902" s="5" t="inlineStr">
        <is>
          <t>JOB.</t>
        </is>
      </c>
      <c r="S902" s="292">
        <f>RawDataGenPO[[#This Row],[Total price]]/RawDataGenPO[[#This Row],[Qty'']]</f>
        <v/>
      </c>
      <c r="T902" s="278" t="n">
        <v>35000</v>
      </c>
      <c r="U902" s="291" t="n"/>
      <c r="V902" s="7" t="inlineStr">
        <is>
          <t>V1000771 - Envire Operation Co., Ltd</t>
        </is>
      </c>
      <c r="W902" s="30" t="inlineStr">
        <is>
          <t>Recive bill and GRN already</t>
        </is>
      </c>
      <c r="X902" s="5" t="inlineStr">
        <is>
          <t>GRN2425-0007697</t>
        </is>
      </c>
      <c r="Y902" s="3" t="n">
        <v>45727</v>
      </c>
      <c r="AA902" s="17">
        <f>IF(RawDataGenPO[[#This Row],[Date Gen PO]]="","",RawDataGenPO[[#This Row],[Date recive bill]]-RawDataGenPO[[#This Row],[Date Gen PO]])</f>
        <v/>
      </c>
      <c r="AB902" s="16">
        <f>IF(RawDataGenPO[[#This Row],[GRN-PO date]]&gt;RawDataGenPO[[#This Row],[Lead time delivery (day)]],"over deliverry","Ontime")</f>
        <v/>
      </c>
      <c r="AC902" s="22" t="n"/>
    </row>
    <row r="903" ht="15" customHeight="1">
      <c r="A903" s="5">
        <f>ROW()-ROW(RawDataGenPO[[#Headers],[No.]])</f>
        <v/>
      </c>
      <c r="B903" s="7" t="inlineStr">
        <is>
          <t>Expent  cost</t>
        </is>
      </c>
      <c r="C903" s="301" t="n">
        <v>45693</v>
      </c>
      <c r="F903" s="301" t="n">
        <v>45693</v>
      </c>
      <c r="G903" s="5" t="inlineStr">
        <is>
          <t>PR2425-05562</t>
        </is>
      </c>
      <c r="H903" s="5" t="inlineStr">
        <is>
          <t>PO2425-06462</t>
        </is>
      </c>
      <c r="I903" s="290">
        <f>IF(RawDataGenPO[[#This Row],[PO No.]]="","",RawDataGenPO[[#This Row],[DMY Create PR]]+7)</f>
        <v/>
      </c>
      <c r="J903" s="290" t="n"/>
      <c r="K903" s="20" t="n">
        <v>30</v>
      </c>
      <c r="L903" s="5" t="inlineStr">
        <is>
          <t>SFST81000009</t>
        </is>
      </c>
      <c r="M903" s="7" t="inlineStr">
        <is>
          <t>Tool and Equipment PD M/C</t>
        </is>
      </c>
      <c r="N903" s="7" t="inlineStr">
        <is>
          <t>Tool and Equipment</t>
        </is>
      </c>
      <c r="O903" s="11" t="n">
        <v>1</v>
      </c>
      <c r="P903" s="80" t="inlineStr">
        <is>
          <t>Meterial tube bergin, blue</t>
        </is>
      </c>
      <c r="Q903" s="277" t="n">
        <v>100</v>
      </c>
      <c r="R903" s="5" t="inlineStr">
        <is>
          <t>M.</t>
        </is>
      </c>
      <c r="S903" s="292">
        <f>RawDataGenPO[[#This Row],[Total price]]/RawDataGenPO[[#This Row],[Qty'']]</f>
        <v/>
      </c>
      <c r="T903" s="278" t="n">
        <v>60000</v>
      </c>
      <c r="U903" s="291" t="n"/>
      <c r="V903" s="7" t="inlineStr">
        <is>
          <t>V1000021 - CALVATIS-ASIA PACIFIC CO.,LTD.</t>
        </is>
      </c>
      <c r="W903" s="30" t="inlineStr">
        <is>
          <t>Recive bill and GRN already</t>
        </is>
      </c>
      <c r="X903" s="5" t="inlineStr">
        <is>
          <t>GRN2425-0007447</t>
        </is>
      </c>
      <c r="Y903" s="3" t="n">
        <v>45717</v>
      </c>
      <c r="AA903" s="17">
        <f>IF(RawDataGenPO[[#This Row],[Date Gen PO]]="","",RawDataGenPO[[#This Row],[Date recive bill]]-RawDataGenPO[[#This Row],[Date Gen PO]])</f>
        <v/>
      </c>
      <c r="AB903" s="16">
        <f>IF(RawDataGenPO[[#This Row],[GRN-PO date]]&gt;RawDataGenPO[[#This Row],[Lead time delivery (day)]],"over deliverry","Ontime")</f>
        <v/>
      </c>
      <c r="AC903" s="22" t="n"/>
    </row>
    <row r="904" ht="15" customHeight="1">
      <c r="A904" s="5">
        <f>ROW()-ROW(RawDataGenPO[[#Headers],[No.]])</f>
        <v/>
      </c>
      <c r="B904" s="7" t="inlineStr">
        <is>
          <t>Expent  cost</t>
        </is>
      </c>
      <c r="C904" s="301" t="n">
        <v>45693</v>
      </c>
      <c r="F904" s="301" t="n">
        <v>45693</v>
      </c>
      <c r="G904" s="5" t="inlineStr">
        <is>
          <t>PR2425-05562</t>
        </is>
      </c>
      <c r="H904" s="5" t="inlineStr">
        <is>
          <t>PO2425-06462</t>
        </is>
      </c>
      <c r="I904" s="290">
        <f>IF(RawDataGenPO[[#This Row],[PO No.]]="","",RawDataGenPO[[#This Row],[DMY Create PR]]+7)</f>
        <v/>
      </c>
      <c r="J904" s="290" t="n"/>
      <c r="K904" s="20" t="n">
        <v>30</v>
      </c>
      <c r="L904" s="5" t="inlineStr">
        <is>
          <t>SFST81000009</t>
        </is>
      </c>
      <c r="M904" s="7" t="inlineStr">
        <is>
          <t>Tool and Equipment PD M/C</t>
        </is>
      </c>
      <c r="N904" s="7" t="inlineStr">
        <is>
          <t>Tool and Equipment</t>
        </is>
      </c>
      <c r="O904" s="11" t="n">
        <v>2</v>
      </c>
      <c r="P904" s="80" t="inlineStr">
        <is>
          <t>HYDROLIC</t>
        </is>
      </c>
      <c r="Q904" s="277" t="n">
        <v>8</v>
      </c>
      <c r="R904" s="5" t="inlineStr">
        <is>
          <t>PCS.</t>
        </is>
      </c>
      <c r="S904" s="292">
        <f>RawDataGenPO[[#This Row],[Total price]]/RawDataGenPO[[#This Row],[Qty'']]</f>
        <v/>
      </c>
      <c r="T904" s="278" t="n">
        <v>3200</v>
      </c>
      <c r="U904" s="291" t="n"/>
      <c r="V904" s="7" t="inlineStr">
        <is>
          <t>V1000021 - CALVATIS-ASIA PACIFIC CO.,LTD.</t>
        </is>
      </c>
      <c r="W904" s="30" t="inlineStr">
        <is>
          <t>Recive bill and GRN already</t>
        </is>
      </c>
      <c r="X904" s="5" t="inlineStr">
        <is>
          <t>GRN2425-0007447</t>
        </is>
      </c>
      <c r="Y904" s="3" t="n">
        <v>45717</v>
      </c>
      <c r="AA904" s="17">
        <f>IF(RawDataGenPO[[#This Row],[Date Gen PO]]="","",RawDataGenPO[[#This Row],[Date recive bill]]-RawDataGenPO[[#This Row],[Date Gen PO]])</f>
        <v/>
      </c>
      <c r="AB904" s="16">
        <f>IF(RawDataGenPO[[#This Row],[GRN-PO date]]&gt;RawDataGenPO[[#This Row],[Lead time delivery (day)]],"over deliverry","Ontime")</f>
        <v/>
      </c>
      <c r="AC904" s="22" t="n"/>
    </row>
    <row r="905" ht="15" customHeight="1">
      <c r="A905" s="5">
        <f>ROW()-ROW(RawDataGenPO[[#Headers],[No.]])</f>
        <v/>
      </c>
      <c r="B905" s="7" t="inlineStr">
        <is>
          <t>Expent  cost</t>
        </is>
      </c>
      <c r="C905" s="301" t="n">
        <v>45693</v>
      </c>
      <c r="F905" s="301" t="n">
        <v>45693</v>
      </c>
      <c r="G905" s="5" t="inlineStr">
        <is>
          <t>PR2425-05562</t>
        </is>
      </c>
      <c r="H905" s="5" t="inlineStr">
        <is>
          <t>PO2425-06462</t>
        </is>
      </c>
      <c r="I905" s="290">
        <f>IF(RawDataGenPO[[#This Row],[PO No.]]="","",RawDataGenPO[[#This Row],[DMY Create PR]]+7)</f>
        <v/>
      </c>
      <c r="J905" s="290" t="n"/>
      <c r="K905" s="20" t="n">
        <v>30</v>
      </c>
      <c r="L905" s="5" t="inlineStr">
        <is>
          <t>SFST81000009</t>
        </is>
      </c>
      <c r="M905" s="7" t="inlineStr">
        <is>
          <t>Tool and Equipment PD M/C</t>
        </is>
      </c>
      <c r="N905" s="7" t="inlineStr">
        <is>
          <t>Tool and Equipment</t>
        </is>
      </c>
      <c r="O905" s="11" t="n">
        <v>3</v>
      </c>
      <c r="P905" s="80" t="inlineStr">
        <is>
          <t>headm 1/2"</t>
        </is>
      </c>
      <c r="Q905" s="277" t="n">
        <v>4</v>
      </c>
      <c r="R905" s="5" t="inlineStr">
        <is>
          <t>PCS.</t>
        </is>
      </c>
      <c r="S905" s="292">
        <f>RawDataGenPO[[#This Row],[Total price]]/RawDataGenPO[[#This Row],[Qty'']]</f>
        <v/>
      </c>
      <c r="T905" s="278" t="n">
        <v>4400</v>
      </c>
      <c r="U905" s="291" t="n"/>
      <c r="V905" s="7" t="inlineStr">
        <is>
          <t>V1000021 - CALVATIS-ASIA PACIFIC CO.,LTD.</t>
        </is>
      </c>
      <c r="W905" s="30" t="inlineStr">
        <is>
          <t>Recive bill and GRN already</t>
        </is>
      </c>
      <c r="X905" s="5" t="inlineStr">
        <is>
          <t>GRN2425-0007447</t>
        </is>
      </c>
      <c r="Y905" s="3" t="n">
        <v>45717</v>
      </c>
      <c r="AA905" s="17">
        <f>IF(RawDataGenPO[[#This Row],[Date Gen PO]]="","",RawDataGenPO[[#This Row],[Date recive bill]]-RawDataGenPO[[#This Row],[Date Gen PO]])</f>
        <v/>
      </c>
      <c r="AB905" s="16">
        <f>IF(RawDataGenPO[[#This Row],[GRN-PO date]]&gt;RawDataGenPO[[#This Row],[Lead time delivery (day)]],"over deliverry","Ontime")</f>
        <v/>
      </c>
      <c r="AC905" s="22" t="n"/>
    </row>
    <row r="906" ht="15" customHeight="1">
      <c r="A906" s="5">
        <f>ROW()-ROW(RawDataGenPO[[#Headers],[No.]])</f>
        <v/>
      </c>
      <c r="B906" s="7" t="inlineStr">
        <is>
          <t>Expent  cost</t>
        </is>
      </c>
      <c r="C906" s="301" t="n">
        <v>45693</v>
      </c>
      <c r="F906" s="301" t="n">
        <v>45693</v>
      </c>
      <c r="G906" s="5" t="inlineStr">
        <is>
          <t>PR2425-05562</t>
        </is>
      </c>
      <c r="H906" s="5" t="inlineStr">
        <is>
          <t>PO2425-06462</t>
        </is>
      </c>
      <c r="I906" s="290">
        <f>IF(RawDataGenPO[[#This Row],[PO No.]]="","",RawDataGenPO[[#This Row],[DMY Create PR]]+7)</f>
        <v/>
      </c>
      <c r="J906" s="290" t="n"/>
      <c r="K906" s="20" t="n">
        <v>30</v>
      </c>
      <c r="L906" s="5" t="inlineStr">
        <is>
          <t>SFST81000009</t>
        </is>
      </c>
      <c r="M906" s="7" t="inlineStr">
        <is>
          <t>Tool and Equipment PD M/C</t>
        </is>
      </c>
      <c r="N906" s="7" t="inlineStr">
        <is>
          <t>Tool and Equipment</t>
        </is>
      </c>
      <c r="O906" s="11" t="n">
        <v>4</v>
      </c>
      <c r="P906" s="80" t="inlineStr">
        <is>
          <t>GBMT0808 (ceiling) 4 buhn male thread 4 buhn</t>
        </is>
      </c>
      <c r="Q906" s="277" t="n">
        <v>4</v>
      </c>
      <c r="R906" s="5" t="inlineStr">
        <is>
          <t>PCS.</t>
        </is>
      </c>
      <c r="S906" s="292">
        <f>RawDataGenPO[[#This Row],[Total price]]/RawDataGenPO[[#This Row],[Qty'']]</f>
        <v/>
      </c>
      <c r="T906" s="278" t="n">
        <v>1600</v>
      </c>
      <c r="U906" s="291" t="n"/>
      <c r="V906" s="7" t="inlineStr">
        <is>
          <t>V1000021 - CALVATIS-ASIA PACIFIC CO.,LTD.</t>
        </is>
      </c>
      <c r="W906" s="30" t="inlineStr">
        <is>
          <t>Recive bill and GRN already</t>
        </is>
      </c>
      <c r="X906" s="5" t="inlineStr">
        <is>
          <t>GRN2425-0007447</t>
        </is>
      </c>
      <c r="Y906" s="3" t="n">
        <v>45717</v>
      </c>
      <c r="AA906" s="17">
        <f>IF(RawDataGenPO[[#This Row],[Date Gen PO]]="","",RawDataGenPO[[#This Row],[Date recive bill]]-RawDataGenPO[[#This Row],[Date Gen PO]])</f>
        <v/>
      </c>
      <c r="AB906" s="16">
        <f>IF(RawDataGenPO[[#This Row],[GRN-PO date]]&gt;RawDataGenPO[[#This Row],[Lead time delivery (day)]],"over deliverry","Ontime")</f>
        <v/>
      </c>
      <c r="AC906" s="22" t="n"/>
    </row>
    <row r="907" ht="15" customHeight="1">
      <c r="A907" s="5">
        <f>ROW()-ROW(RawDataGenPO[[#Headers],[No.]])</f>
        <v/>
      </c>
      <c r="B907" s="7" t="inlineStr">
        <is>
          <t>Expent  cost</t>
        </is>
      </c>
      <c r="C907" s="301" t="n">
        <v>45693</v>
      </c>
      <c r="F907" s="301" t="n">
        <v>45693</v>
      </c>
      <c r="G907" s="5" t="inlineStr">
        <is>
          <t>PR2425-05562</t>
        </is>
      </c>
      <c r="H907" s="5" t="inlineStr">
        <is>
          <t>PO2425-06462</t>
        </is>
      </c>
      <c r="I907" s="290">
        <f>IF(RawDataGenPO[[#This Row],[PO No.]]="","",RawDataGenPO[[#This Row],[DMY Create PR]]+7)</f>
        <v/>
      </c>
      <c r="J907" s="290" t="n"/>
      <c r="K907" s="20" t="n">
        <v>30</v>
      </c>
      <c r="L907" s="5" t="inlineStr">
        <is>
          <t>SFST81000009</t>
        </is>
      </c>
      <c r="M907" s="7" t="inlineStr">
        <is>
          <t>Tool and Equipment PD M/C</t>
        </is>
      </c>
      <c r="N907" s="7" t="inlineStr">
        <is>
          <t>Tool and Equipment</t>
        </is>
      </c>
      <c r="O907" s="11" t="n">
        <v>5</v>
      </c>
      <c r="P907" s="80" t="inlineStr">
        <is>
          <t>GBMT0806 (crimp sleeve) 4 buhn male thread 3 buhn</t>
        </is>
      </c>
      <c r="Q907" s="277" t="n">
        <v>4</v>
      </c>
      <c r="R907" s="5" t="inlineStr">
        <is>
          <t>PCS.</t>
        </is>
      </c>
      <c r="S907" s="292">
        <f>RawDataGenPO[[#This Row],[Total price]]/RawDataGenPO[[#This Row],[Qty'']]</f>
        <v/>
      </c>
      <c r="T907" s="278" t="n">
        <v>1600</v>
      </c>
      <c r="U907" s="291" t="n"/>
      <c r="V907" s="7" t="inlineStr">
        <is>
          <t>V1000021 - CALVATIS-ASIA PACIFIC CO.,LTD.</t>
        </is>
      </c>
      <c r="W907" s="30" t="inlineStr">
        <is>
          <t>Recive bill and GRN already</t>
        </is>
      </c>
      <c r="X907" s="5" t="inlineStr">
        <is>
          <t>GRN2425-0007447</t>
        </is>
      </c>
      <c r="Y907" s="3" t="n">
        <v>45717</v>
      </c>
      <c r="AA907" s="17">
        <f>IF(RawDataGenPO[[#This Row],[Date Gen PO]]="","",RawDataGenPO[[#This Row],[Date recive bill]]-RawDataGenPO[[#This Row],[Date Gen PO]])</f>
        <v/>
      </c>
      <c r="AB907" s="16">
        <f>IF(RawDataGenPO[[#This Row],[GRN-PO date]]&gt;RawDataGenPO[[#This Row],[Lead time delivery (day)]],"over deliverry","Ontime")</f>
        <v/>
      </c>
      <c r="AC907" s="22" t="n"/>
    </row>
    <row r="908" ht="15" customHeight="1">
      <c r="A908" s="5">
        <f>ROW()-ROW(RawDataGenPO[[#Headers],[No.]])</f>
        <v/>
      </c>
      <c r="B908" s="7" t="inlineStr">
        <is>
          <t>Expent  cost</t>
        </is>
      </c>
      <c r="C908" s="301" t="n">
        <v>45693</v>
      </c>
      <c r="F908" s="301" t="n">
        <v>45693</v>
      </c>
      <c r="G908" s="5" t="inlineStr">
        <is>
          <t>PR2425-05562</t>
        </is>
      </c>
      <c r="H908" s="5" t="inlineStr">
        <is>
          <t>PO2425-06462</t>
        </is>
      </c>
      <c r="I908" s="290">
        <f>IF(RawDataGenPO[[#This Row],[PO No.]]="","",RawDataGenPO[[#This Row],[DMY Create PR]]+7)</f>
        <v/>
      </c>
      <c r="J908" s="290" t="n"/>
      <c r="K908" s="20" t="n">
        <v>30</v>
      </c>
      <c r="L908" s="5" t="inlineStr">
        <is>
          <t>SFST81000009</t>
        </is>
      </c>
      <c r="M908" s="7" t="inlineStr">
        <is>
          <t>Tool and Equipment PD M/C</t>
        </is>
      </c>
      <c r="N908" s="7" t="inlineStr">
        <is>
          <t>Tool and Equipment</t>
        </is>
      </c>
      <c r="O908" s="11" t="n">
        <v>6</v>
      </c>
      <c r="P908" s="80" t="inlineStr">
        <is>
          <t>ball valve stainless steel-316 KITZ-600UTKM 1/2"</t>
        </is>
      </c>
      <c r="Q908" s="277" t="n">
        <v>4</v>
      </c>
      <c r="R908" s="5" t="inlineStr">
        <is>
          <t>PCS.</t>
        </is>
      </c>
      <c r="S908" s="292">
        <f>RawDataGenPO[[#This Row],[Total price]]/RawDataGenPO[[#This Row],[Qty'']]</f>
        <v/>
      </c>
      <c r="T908" s="278" t="n">
        <v>3600</v>
      </c>
      <c r="U908" s="291" t="n"/>
      <c r="V908" s="7" t="inlineStr">
        <is>
          <t>V1000021 - CALVATIS-ASIA PACIFIC CO.,LTD.</t>
        </is>
      </c>
      <c r="W908" s="30" t="inlineStr">
        <is>
          <t>Recive bill and GRN already</t>
        </is>
      </c>
      <c r="X908" s="5" t="inlineStr">
        <is>
          <t>GRN2425-0007447</t>
        </is>
      </c>
      <c r="Y908" s="3" t="n">
        <v>45717</v>
      </c>
      <c r="AA908" s="17">
        <f>IF(RawDataGenPO[[#This Row],[Date Gen PO]]="","",RawDataGenPO[[#This Row],[Date recive bill]]-RawDataGenPO[[#This Row],[Date Gen PO]])</f>
        <v/>
      </c>
      <c r="AB908" s="16">
        <f>IF(RawDataGenPO[[#This Row],[GRN-PO date]]&gt;RawDataGenPO[[#This Row],[Lead time delivery (day)]],"over deliverry","Ontime")</f>
        <v/>
      </c>
      <c r="AC908" s="22" t="n"/>
    </row>
    <row r="909" ht="15" customHeight="1">
      <c r="A909" s="5">
        <f>ROW()-ROW(RawDataGenPO[[#Headers],[No.]])</f>
        <v/>
      </c>
      <c r="B909" s="7" t="inlineStr">
        <is>
          <t>Expent  cost</t>
        </is>
      </c>
      <c r="C909" s="301" t="n">
        <v>45693</v>
      </c>
      <c r="F909" s="301" t="n">
        <v>45693</v>
      </c>
      <c r="G909" s="5" t="inlineStr">
        <is>
          <t>PR2425-05562</t>
        </is>
      </c>
      <c r="H909" s="5" t="inlineStr">
        <is>
          <t>PO2425-06462</t>
        </is>
      </c>
      <c r="I909" s="290">
        <f>IF(RawDataGenPO[[#This Row],[PO No.]]="","",RawDataGenPO[[#This Row],[DMY Create PR]]+7)</f>
        <v/>
      </c>
      <c r="J909" s="290" t="n"/>
      <c r="K909" s="20" t="n">
        <v>30</v>
      </c>
      <c r="L909" s="5" t="inlineStr">
        <is>
          <t>SFST81000009</t>
        </is>
      </c>
      <c r="M909" s="7" t="inlineStr">
        <is>
          <t>Tool and Equipment PD M/C</t>
        </is>
      </c>
      <c r="N909" s="7" t="inlineStr">
        <is>
          <t>Tool and Equipment</t>
        </is>
      </c>
      <c r="O909" s="11" t="n">
        <v>7</v>
      </c>
      <c r="P909" s="80" t="inlineStr">
        <is>
          <t>NITTO SP-V COPLA 3P-V SUS CR 3/8"</t>
        </is>
      </c>
      <c r="Q909" s="277" t="n">
        <v>4</v>
      </c>
      <c r="R909" s="5" t="inlineStr">
        <is>
          <t>PCS.</t>
        </is>
      </c>
      <c r="S909" s="292">
        <f>RawDataGenPO[[#This Row],[Total price]]/RawDataGenPO[[#This Row],[Qty'']]</f>
        <v/>
      </c>
      <c r="T909" s="278" t="n">
        <v>6000</v>
      </c>
      <c r="U909" s="291" t="n"/>
      <c r="V909" s="7" t="inlineStr">
        <is>
          <t>V1000021 - CALVATIS-ASIA PACIFIC CO.,LTD.</t>
        </is>
      </c>
      <c r="W909" s="30" t="inlineStr">
        <is>
          <t>Recive bill and GRN already</t>
        </is>
      </c>
      <c r="X909" s="5" t="inlineStr">
        <is>
          <t>GRN2425-0007447</t>
        </is>
      </c>
      <c r="Y909" s="3" t="n">
        <v>45717</v>
      </c>
      <c r="AA909" s="17">
        <f>IF(RawDataGenPO[[#This Row],[Date Gen PO]]="","",RawDataGenPO[[#This Row],[Date recive bill]]-RawDataGenPO[[#This Row],[Date Gen PO]])</f>
        <v/>
      </c>
      <c r="AB909" s="16">
        <f>IF(RawDataGenPO[[#This Row],[GRN-PO date]]&gt;RawDataGenPO[[#This Row],[Lead time delivery (day)]],"over deliverry","Ontime")</f>
        <v/>
      </c>
      <c r="AC909" s="22" t="n"/>
    </row>
    <row r="910" ht="15" customHeight="1">
      <c r="A910" s="5">
        <f>ROW()-ROW(RawDataGenPO[[#Headers],[No.]])</f>
        <v/>
      </c>
      <c r="B910" s="7" t="inlineStr">
        <is>
          <t>Expent  cost</t>
        </is>
      </c>
      <c r="C910" s="301" t="n">
        <v>45693</v>
      </c>
      <c r="F910" s="301" t="n">
        <v>45693</v>
      </c>
      <c r="G910" s="5" t="inlineStr">
        <is>
          <t>PR2425-05564</t>
        </is>
      </c>
      <c r="H910" s="5" t="inlineStr">
        <is>
          <t xml:space="preserve">PO2425-06545 </t>
        </is>
      </c>
      <c r="I910" s="290">
        <f>IF(RawDataGenPO[[#This Row],[PO No.]]="","",RawDataGenPO[[#This Row],[DMY Create PR]]+7)</f>
        <v/>
      </c>
      <c r="J910" s="290" t="n"/>
      <c r="K910" s="20" t="n">
        <v>90</v>
      </c>
      <c r="L910" s="5" t="inlineStr">
        <is>
          <t>SFST82000007</t>
        </is>
      </c>
      <c r="M910" s="7" t="inlineStr">
        <is>
          <t>Tool and Equipment  Engineering</t>
        </is>
      </c>
      <c r="N910" s="7" t="inlineStr">
        <is>
          <t>Tool and Equipment</t>
        </is>
      </c>
      <c r="O910" s="11" t="n">
        <v>1</v>
      </c>
      <c r="P910" s="80" t="inlineStr">
        <is>
          <t>Walkie Talkie ICOM-86 FX</t>
        </is>
      </c>
      <c r="Q910" s="277" t="n">
        <v>6</v>
      </c>
      <c r="R910" s="5" t="inlineStr">
        <is>
          <t>SET.</t>
        </is>
      </c>
      <c r="S910" s="292">
        <f>RawDataGenPO[[#This Row],[Total price]]/RawDataGenPO[[#This Row],[Qty'']]</f>
        <v/>
      </c>
      <c r="T910" s="278" t="n">
        <v>26100</v>
      </c>
      <c r="U910" s="291" t="n"/>
      <c r="V910" s="7" t="inlineStr">
        <is>
          <t>V1000060 - TRIO MASS CO., LTD.</t>
        </is>
      </c>
      <c r="W910" s="30" t="inlineStr">
        <is>
          <t>Recive bill and GRN already</t>
        </is>
      </c>
      <c r="X910" s="5" t="inlineStr">
        <is>
          <t>GRN2425-0007402</t>
        </is>
      </c>
      <c r="Y910" s="3" t="n">
        <v>45713</v>
      </c>
      <c r="AA910" s="17">
        <f>IF(RawDataGenPO[[#This Row],[Date Gen PO]]="","",RawDataGenPO[[#This Row],[Date recive bill]]-RawDataGenPO[[#This Row],[Date Gen PO]])</f>
        <v/>
      </c>
      <c r="AB910" s="16">
        <f>IF(RawDataGenPO[[#This Row],[GRN-PO date]]&gt;RawDataGenPO[[#This Row],[Lead time delivery (day)]],"over deliverry","Ontime")</f>
        <v/>
      </c>
      <c r="AC910" s="22" t="n"/>
    </row>
    <row r="911" ht="15" customHeight="1">
      <c r="A911" s="5">
        <f>ROW()-ROW(RawDataGenPO[[#Headers],[No.]])</f>
        <v/>
      </c>
      <c r="B911" s="7" t="inlineStr">
        <is>
          <t>Expent  cost</t>
        </is>
      </c>
      <c r="C911" s="301" t="n">
        <v>45693</v>
      </c>
      <c r="F911" s="301" t="n">
        <v>45693</v>
      </c>
      <c r="G911" s="5" t="inlineStr">
        <is>
          <t>PR2425-05564</t>
        </is>
      </c>
      <c r="H911" s="5" t="inlineStr">
        <is>
          <t>PO2425-06546</t>
        </is>
      </c>
      <c r="I911" s="290">
        <f>IF(RawDataGenPO[[#This Row],[PO No.]]="","",RawDataGenPO[[#This Row],[DMY Create PR]]+7)</f>
        <v/>
      </c>
      <c r="J911" s="290" t="n"/>
      <c r="K911" s="20" t="n">
        <v>130</v>
      </c>
      <c r="L911" s="5" t="inlineStr">
        <is>
          <t>SFST82000007</t>
        </is>
      </c>
      <c r="M911" s="7" t="inlineStr">
        <is>
          <t>Tool and Equipment  Engineering</t>
        </is>
      </c>
      <c r="N911" s="7" t="inlineStr">
        <is>
          <t>Tool and Equipment</t>
        </is>
      </c>
      <c r="O911" s="11" t="n">
        <v>2</v>
      </c>
      <c r="P911" s="80" t="inlineStr">
        <is>
          <t>License</t>
        </is>
      </c>
      <c r="Q911" s="277" t="n">
        <v>6</v>
      </c>
      <c r="R911" s="5" t="inlineStr">
        <is>
          <t>EA.</t>
        </is>
      </c>
      <c r="S911" s="292">
        <f>RawDataGenPO[[#This Row],[Total price]]/RawDataGenPO[[#This Row],[Qty'']]</f>
        <v/>
      </c>
      <c r="T911" s="278" t="n">
        <v>3000</v>
      </c>
      <c r="U911" s="291" t="n"/>
      <c r="V911" s="7" t="inlineStr">
        <is>
          <t>V1000166 - Office Of The National Broadcasting and Telecommunications Commission</t>
        </is>
      </c>
      <c r="W911" s="30" t="inlineStr">
        <is>
          <t>Recive bill and GRN already</t>
        </is>
      </c>
      <c r="X911" s="5" t="inlineStr">
        <is>
          <t>GRN2526-0001815</t>
        </is>
      </c>
      <c r="Y911" s="3" t="n">
        <v>45826</v>
      </c>
      <c r="AA911" s="17">
        <f>IF(RawDataGenPO[[#This Row],[Date Gen PO]]="","",RawDataGenPO[[#This Row],[Date recive bill]]-RawDataGenPO[[#This Row],[Date Gen PO]])</f>
        <v/>
      </c>
      <c r="AB911" s="16">
        <f>IF(RawDataGenPO[[#This Row],[GRN-PO date]]&gt;RawDataGenPO[[#This Row],[Lead time delivery (day)]],"over deliverry","Ontime")</f>
        <v/>
      </c>
      <c r="AC911" s="22" t="n"/>
    </row>
    <row r="912" ht="15" customFormat="1" customHeight="1" s="125">
      <c r="A912" s="5">
        <f>ROW()-ROW(RawDataGenPO[[#Headers],[No.]])</f>
        <v/>
      </c>
      <c r="B912" s="7" t="inlineStr">
        <is>
          <t>Expent  cost</t>
        </is>
      </c>
      <c r="C912" s="301" t="n">
        <v>45698</v>
      </c>
      <c r="D912" s="276" t="n"/>
      <c r="E912" s="276" t="n"/>
      <c r="F912" s="301" t="n">
        <v>45693</v>
      </c>
      <c r="G912" s="5" t="inlineStr">
        <is>
          <t>PR2425-05565</t>
        </is>
      </c>
      <c r="H912" s="5" t="inlineStr">
        <is>
          <t>PO2425-06470</t>
        </is>
      </c>
      <c r="I912" s="290">
        <f>IF(RawDataGenPO[[#This Row],[PO No.]]="","",RawDataGenPO[[#This Row],[DMY Create PR]]+7)</f>
        <v/>
      </c>
      <c r="J912" s="290" t="n"/>
      <c r="K912" s="20">
        <f>IF(RawDataGenPO[[#This Row],[PO No.]]="","",10)</f>
        <v/>
      </c>
      <c r="L912" s="5" t="inlineStr">
        <is>
          <t>SFST34000065</t>
        </is>
      </c>
      <c r="M912" s="7" t="inlineStr">
        <is>
          <t>Consumable part for MN</t>
        </is>
      </c>
      <c r="N912" s="7" t="inlineStr">
        <is>
          <t>Cooling  part</t>
        </is>
      </c>
      <c r="O912" s="11" t="n">
        <v>1</v>
      </c>
      <c r="P912" s="80" t="inlineStr">
        <is>
          <t>"WEIGUANG",Axial Fan, 4E-315-V-S</t>
        </is>
      </c>
      <c r="Q912" s="277" t="n">
        <v>10</v>
      </c>
      <c r="R912" s="5" t="inlineStr">
        <is>
          <t>EA.</t>
        </is>
      </c>
      <c r="S912" s="292">
        <f>RawDataGenPO[[#This Row],[Total price]]/RawDataGenPO[[#This Row],[Qty'']]</f>
        <v/>
      </c>
      <c r="T912" s="278" t="n">
        <v>34000</v>
      </c>
      <c r="U912" s="291" t="n"/>
      <c r="V912" s="135" t="inlineStr">
        <is>
          <t xml:space="preserve"> V1000310 - BOONBAWORN ENGINEERING CO., LTD</t>
        </is>
      </c>
      <c r="W912" s="30" t="inlineStr">
        <is>
          <t>Recive bill and GRN already</t>
        </is>
      </c>
      <c r="X912" s="32" t="inlineStr">
        <is>
          <t>GRN2425-0007233</t>
        </is>
      </c>
      <c r="Y912" s="3" t="n">
        <v>45706</v>
      </c>
      <c r="Z912" s="3" t="n"/>
      <c r="AA912" s="17">
        <f>IF(RawDataGenPO[[#This Row],[Date Gen PO]]="","",RawDataGenPO[[#This Row],[Date recive bill]]-RawDataGenPO[[#This Row],[Date Gen PO]])</f>
        <v/>
      </c>
      <c r="AB912" s="16">
        <f>IF(RawDataGenPO[[#This Row],[GRN-PO date]]&gt;RawDataGenPO[[#This Row],[Lead time delivery (day)]],"over deliverry","Ontime")</f>
        <v/>
      </c>
      <c r="AC912" s="22" t="n"/>
    </row>
    <row r="913" ht="30" customFormat="1" customHeight="1" s="125">
      <c r="A913" s="5">
        <f>ROW()-ROW(RawDataGenPO[[#Headers],[No.]])</f>
        <v/>
      </c>
      <c r="B913" s="7" t="inlineStr">
        <is>
          <t>Expent  cost</t>
        </is>
      </c>
      <c r="C913" s="301" t="n">
        <v>45698</v>
      </c>
      <c r="D913" s="276" t="n"/>
      <c r="E913" s="276" t="n"/>
      <c r="F913" s="301" t="n">
        <v>45698</v>
      </c>
      <c r="G913" s="5" t="inlineStr">
        <is>
          <t xml:space="preserve">PR2425-05599 </t>
        </is>
      </c>
      <c r="H913" s="5" t="inlineStr">
        <is>
          <t>PO2425-06541</t>
        </is>
      </c>
      <c r="I913" s="290">
        <f>IF(RawDataGenPO[[#This Row],[PO No.]]="","",RawDataGenPO[[#This Row],[DMY Create PR]]+7)</f>
        <v/>
      </c>
      <c r="J913" s="290" t="n"/>
      <c r="K913" s="20">
        <f>IF(RawDataGenPO[[#This Row],[PO No.]]="","",10)</f>
        <v/>
      </c>
      <c r="L913" s="5" t="inlineStr">
        <is>
          <t>SFST81000048</t>
        </is>
      </c>
      <c r="M913" s="7" t="inlineStr">
        <is>
          <t>Utility Jobs  (Boiler-Air compress-Transformer-LPG)</t>
        </is>
      </c>
      <c r="N913" s="7" t="inlineStr">
        <is>
          <t>Cooling system jobs</t>
        </is>
      </c>
      <c r="O913" s="11" t="n">
        <v>1</v>
      </c>
      <c r="P913" s="80" t="inlineStr">
        <is>
          <t>labor costwork inspectioncooling systemroom Air Blast Freezer No.2
- problem: cannot run Compressor No.1, No.2</t>
        </is>
      </c>
      <c r="Q913" s="277" t="n">
        <v>1</v>
      </c>
      <c r="R913" s="5" t="inlineStr">
        <is>
          <t>JOB.</t>
        </is>
      </c>
      <c r="S913" s="292">
        <f>RawDataGenPO[[#This Row],[Total price]]/RawDataGenPO[[#This Row],[Qty'']]</f>
        <v/>
      </c>
      <c r="T913" s="278" t="n">
        <v>9500</v>
      </c>
      <c r="U913" s="291" t="n"/>
      <c r="V913" s="135" t="inlineStr">
        <is>
          <t>V1000762 - PORNNARIN P N SERVICE LIMITED PARTNERSHIP</t>
        </is>
      </c>
      <c r="W913" s="134" t="inlineStr">
        <is>
          <t>Recive bill and GRN already</t>
        </is>
      </c>
      <c r="X913" s="5" t="inlineStr">
        <is>
          <t>GRN2425-0007277</t>
        </is>
      </c>
      <c r="Y913" s="3" t="n">
        <v>45707</v>
      </c>
      <c r="Z913" s="3" t="n"/>
      <c r="AA913" s="17">
        <f>IF(RawDataGenPO[[#This Row],[Date Gen PO]]="","",RawDataGenPO[[#This Row],[Date recive bill]]-RawDataGenPO[[#This Row],[Date Gen PO]])</f>
        <v/>
      </c>
      <c r="AB913" s="16">
        <f>IF(RawDataGenPO[[#This Row],[GRN-PO date]]&gt;RawDataGenPO[[#This Row],[Lead time delivery (day)]],"over deliverry","Ontime")</f>
        <v/>
      </c>
      <c r="AC913" s="22" t="n"/>
    </row>
    <row r="914" ht="90" customHeight="1">
      <c r="A914" s="5">
        <f>ROW()-ROW(RawDataGenPO[[#Headers],[No.]])</f>
        <v/>
      </c>
      <c r="B914" s="7" t="inlineStr">
        <is>
          <t>Expent  cost</t>
        </is>
      </c>
      <c r="C914" s="301" t="n">
        <v>45698</v>
      </c>
      <c r="F914" s="301" t="n">
        <v>45698</v>
      </c>
      <c r="G914" s="5" t="inlineStr">
        <is>
          <t>PR2425-05600</t>
        </is>
      </c>
      <c r="H914" s="5" t="inlineStr">
        <is>
          <t>PO2425-06540</t>
        </is>
      </c>
      <c r="I914" s="290">
        <f>IF(RawDataGenPO[[#This Row],[PO No.]]="","",RawDataGenPO[[#This Row],[DMY Create PR]]+7)</f>
        <v/>
      </c>
      <c r="J914" s="290" t="n"/>
      <c r="K914" s="20">
        <f>IF(RawDataGenPO[[#This Row],[PO No.]]="","",10)</f>
        <v/>
      </c>
      <c r="L914" s="5" t="inlineStr">
        <is>
          <t>SFST81000048</t>
        </is>
      </c>
      <c r="M914" s="7" t="inlineStr">
        <is>
          <t>PD Machine</t>
        </is>
      </c>
      <c r="N914" s="7" t="inlineStr">
        <is>
          <t>X-Ray machine No.1</t>
        </is>
      </c>
      <c r="O914" s="11" t="n">
        <v>1</v>
      </c>
      <c r="P914" s="80" t="inlineStr">
        <is>
          <t>Service charge
Error:
-Detector 1 lost connection
-Detector 1 has unknown error 31
- Detector 1 has unknown error 15
Service date: 10-Feb-2025</t>
        </is>
      </c>
      <c r="Q914" s="277" t="n">
        <v>1</v>
      </c>
      <c r="R914" s="5" t="inlineStr">
        <is>
          <t>JOB.</t>
        </is>
      </c>
      <c r="S914" s="292">
        <f>RawDataGenPO[[#This Row],[Total price]]/RawDataGenPO[[#This Row],[Qty'']]</f>
        <v/>
      </c>
      <c r="T914" s="278" t="n">
        <v>6900</v>
      </c>
      <c r="U914" s="291" t="n"/>
      <c r="V914" s="7" t="inlineStr">
        <is>
          <t>V1000189 - FPT FOOD PROCESS TECHNOLOGY CO., LTD.</t>
        </is>
      </c>
      <c r="W914" s="30" t="inlineStr">
        <is>
          <t>Recive bill and GRN already</t>
        </is>
      </c>
      <c r="X914" s="5" t="inlineStr">
        <is>
          <t>GRN2425-0007402</t>
        </is>
      </c>
      <c r="Y914" s="3" t="n">
        <v>45713</v>
      </c>
      <c r="AA914" s="17">
        <f>IF(RawDataGenPO[[#This Row],[Date Gen PO]]="","",RawDataGenPO[[#This Row],[Date recive bill]]-RawDataGenPO[[#This Row],[Date Gen PO]])</f>
        <v/>
      </c>
      <c r="AB914" s="16">
        <f>IF(RawDataGenPO[[#This Row],[GRN-PO date]]&gt;RawDataGenPO[[#This Row],[Lead time delivery (day)]],"over deliverry","Ontime")</f>
        <v/>
      </c>
      <c r="AC914" s="22" t="n"/>
    </row>
    <row r="915" ht="15" customHeight="1">
      <c r="A915" s="5">
        <f>ROW()-ROW(RawDataGenPO[[#Headers],[No.]])</f>
        <v/>
      </c>
      <c r="B915" s="7" t="inlineStr">
        <is>
          <t>Expent  cost</t>
        </is>
      </c>
      <c r="C915" s="301" t="n">
        <v>45698</v>
      </c>
      <c r="F915" s="301" t="n">
        <v>45698</v>
      </c>
      <c r="G915" s="5" t="inlineStr">
        <is>
          <t>PR2425-05601</t>
        </is>
      </c>
      <c r="H915" s="5" t="inlineStr">
        <is>
          <t>PO2425-06542</t>
        </is>
      </c>
      <c r="I915" s="290">
        <f>IF(RawDataGenPO[[#This Row],[PO No.]]="","",RawDataGenPO[[#This Row],[DMY Create PR]]+7)</f>
        <v/>
      </c>
      <c r="J915" s="290" t="n"/>
      <c r="K915" s="20" t="n">
        <v>90</v>
      </c>
      <c r="L915" s="5" t="inlineStr">
        <is>
          <t>SFST81000009</t>
        </is>
      </c>
      <c r="M915" s="7" t="inlineStr">
        <is>
          <t>Tool and Equipment  Engineering</t>
        </is>
      </c>
      <c r="N915" s="7" t="inlineStr">
        <is>
          <t>Tool and Equipment</t>
        </is>
      </c>
      <c r="O915" s="11" t="n">
        <v>1</v>
      </c>
      <c r="P915" s="80" t="inlineStr">
        <is>
          <t>"TOTAL" TABLI200181 machinecordless blower 20V (battery 1 pc + charger)</t>
        </is>
      </c>
      <c r="Q915" s="277" t="n">
        <v>2</v>
      </c>
      <c r="R915" s="5" t="inlineStr">
        <is>
          <t>EA.</t>
        </is>
      </c>
      <c r="S915" s="292">
        <f>RawDataGenPO[[#This Row],[Total price]]/RawDataGenPO[[#This Row],[Qty'']]</f>
        <v/>
      </c>
      <c r="T915" s="278" t="n">
        <v>2780.38</v>
      </c>
      <c r="U915" s="291" t="n"/>
      <c r="V915" s="7" t="inlineStr">
        <is>
          <t>V1000567 - KRUEANG MUE RUNG REUNG CO., LTD.</t>
        </is>
      </c>
      <c r="W915" s="30" t="inlineStr">
        <is>
          <t>Recive bill and GRN already</t>
        </is>
      </c>
      <c r="X915" s="5" t="inlineStr">
        <is>
          <t>GRN2425-0007662</t>
        </is>
      </c>
      <c r="Y915" s="3" t="n">
        <v>45726</v>
      </c>
      <c r="AA915" s="17">
        <f>IF(RawDataGenPO[[#This Row],[Date Gen PO]]="","",RawDataGenPO[[#This Row],[Date recive bill]]-RawDataGenPO[[#This Row],[Date Gen PO]])</f>
        <v/>
      </c>
      <c r="AB915" s="16">
        <f>IF(RawDataGenPO[[#This Row],[GRN-PO date]]&gt;RawDataGenPO[[#This Row],[Lead time delivery (day)]],"over deliverry","Ontime")</f>
        <v/>
      </c>
      <c r="AC915" s="22" t="n"/>
    </row>
    <row r="916" ht="15" customHeight="1">
      <c r="A916" s="5">
        <f>ROW()-ROW(RawDataGenPO[[#Headers],[No.]])</f>
        <v/>
      </c>
      <c r="B916" s="7" t="inlineStr">
        <is>
          <t>Expent  cost</t>
        </is>
      </c>
      <c r="C916" s="301" t="n">
        <v>45698</v>
      </c>
      <c r="F916" s="301" t="n">
        <v>45698</v>
      </c>
      <c r="G916" s="5" t="inlineStr">
        <is>
          <t>PR2425-05601</t>
        </is>
      </c>
      <c r="H916" s="5" t="inlineStr">
        <is>
          <t>PO2425-06542</t>
        </is>
      </c>
      <c r="I916" s="290">
        <f>IF(RawDataGenPO[[#This Row],[PO No.]]="","",RawDataGenPO[[#This Row],[DMY Create PR]]+7)</f>
        <v/>
      </c>
      <c r="J916" s="290" t="n"/>
      <c r="K916" s="20" t="n">
        <v>90</v>
      </c>
      <c r="L916" s="5" t="inlineStr">
        <is>
          <t>SFST81000009</t>
        </is>
      </c>
      <c r="M916" s="7" t="inlineStr">
        <is>
          <t>Tool and Equipment  Engineering</t>
        </is>
      </c>
      <c r="N916" s="7" t="inlineStr">
        <is>
          <t>Tool and Equipment</t>
        </is>
      </c>
      <c r="O916" s="11" t="n">
        <v>2</v>
      </c>
      <c r="P916" s="80" t="inlineStr">
        <is>
          <t>"TOTAL" TAGLI201008 grinder 4 inch (pcsbare tool)</t>
        </is>
      </c>
      <c r="Q916" s="277" t="n">
        <v>1</v>
      </c>
      <c r="R916" s="5" t="inlineStr">
        <is>
          <t>EA.</t>
        </is>
      </c>
      <c r="S916" s="292">
        <f>RawDataGenPO[[#This Row],[Total price]]/RawDataGenPO[[#This Row],[Qty'']]</f>
        <v/>
      </c>
      <c r="T916" s="278" t="n">
        <v>1549.08</v>
      </c>
      <c r="U916" s="291" t="n"/>
      <c r="V916" s="7" t="inlineStr">
        <is>
          <t>V1000567 - KRUEANG MUE RUNG REUNG CO., LTD.</t>
        </is>
      </c>
      <c r="W916" s="30" t="inlineStr">
        <is>
          <t>Recive bill and GRN already</t>
        </is>
      </c>
      <c r="X916" s="5" t="inlineStr">
        <is>
          <t>GRN2425-0007662</t>
        </is>
      </c>
      <c r="Y916" s="3" t="n">
        <v>45726</v>
      </c>
      <c r="AA916" s="17">
        <f>IF(RawDataGenPO[[#This Row],[Date Gen PO]]="","",RawDataGenPO[[#This Row],[Date recive bill]]-RawDataGenPO[[#This Row],[Date Gen PO]])</f>
        <v/>
      </c>
      <c r="AB916" s="16">
        <f>IF(RawDataGenPO[[#This Row],[GRN-PO date]]&gt;RawDataGenPO[[#This Row],[Lead time delivery (day)]],"over deliverry","Ontime")</f>
        <v/>
      </c>
      <c r="AC916" s="22" t="n"/>
    </row>
    <row r="917" ht="15" customHeight="1">
      <c r="A917" s="5">
        <f>ROW()-ROW(RawDataGenPO[[#Headers],[No.]])</f>
        <v/>
      </c>
      <c r="B917" s="7" t="inlineStr">
        <is>
          <t>Expent  cost</t>
        </is>
      </c>
      <c r="C917" s="301" t="n">
        <v>45698</v>
      </c>
      <c r="F917" s="301" t="n">
        <v>45698</v>
      </c>
      <c r="G917" s="5" t="inlineStr">
        <is>
          <t>PR2425-05601</t>
        </is>
      </c>
      <c r="H917" s="5" t="inlineStr">
        <is>
          <t>PO2425-06542</t>
        </is>
      </c>
      <c r="I917" s="290">
        <f>IF(RawDataGenPO[[#This Row],[PO No.]]="","",RawDataGenPO[[#This Row],[DMY Create PR]]+7)</f>
        <v/>
      </c>
      <c r="J917" s="290" t="n"/>
      <c r="K917" s="20" t="n">
        <v>90</v>
      </c>
      <c r="L917" s="5" t="inlineStr">
        <is>
          <t>SFST81000009</t>
        </is>
      </c>
      <c r="M917" s="7" t="inlineStr">
        <is>
          <t>Tool and Equipment  Engineering</t>
        </is>
      </c>
      <c r="N917" s="7" t="inlineStr">
        <is>
          <t>Tool and Equipment</t>
        </is>
      </c>
      <c r="O917" s="11" t="n">
        <v>3</v>
      </c>
      <c r="P917" s="80" t="inlineStr">
        <is>
          <t>"TOTAL" TFBLI20011 battery 20V 2.0Ah.</t>
        </is>
      </c>
      <c r="Q917" s="277" t="n">
        <v>4</v>
      </c>
      <c r="R917" s="5" t="inlineStr">
        <is>
          <t>EA.</t>
        </is>
      </c>
      <c r="S917" s="292">
        <f>RawDataGenPO[[#This Row],[Total price]]/RawDataGenPO[[#This Row],[Qty'']]</f>
        <v/>
      </c>
      <c r="T917" s="278" t="n">
        <v>2383.16</v>
      </c>
      <c r="U917" s="291" t="n"/>
      <c r="V917" s="7" t="inlineStr">
        <is>
          <t>V1000567 - KRUEANG MUE RUNG REUNG CO., LTD.</t>
        </is>
      </c>
      <c r="W917" s="30" t="inlineStr">
        <is>
          <t>Recive bill and GRN already</t>
        </is>
      </c>
      <c r="X917" s="5" t="inlineStr">
        <is>
          <t>GRN2425-0007662</t>
        </is>
      </c>
      <c r="Y917" s="3" t="n">
        <v>45726</v>
      </c>
      <c r="AA917" s="17">
        <f>IF(RawDataGenPO[[#This Row],[Date Gen PO]]="","",RawDataGenPO[[#This Row],[Date recive bill]]-RawDataGenPO[[#This Row],[Date Gen PO]])</f>
        <v/>
      </c>
      <c r="AB917" s="16">
        <f>IF(RawDataGenPO[[#This Row],[GRN-PO date]]&gt;RawDataGenPO[[#This Row],[Lead time delivery (day)]],"over deliverry","Ontime")</f>
        <v/>
      </c>
      <c r="AC917" s="22" t="n"/>
    </row>
    <row r="918" ht="15" customHeight="1">
      <c r="A918" s="5">
        <f>ROW()-ROW(RawDataGenPO[[#Headers],[No.]])</f>
        <v/>
      </c>
      <c r="B918" s="7" t="inlineStr">
        <is>
          <t>Expent  cost</t>
        </is>
      </c>
      <c r="C918" s="301" t="n">
        <v>45698</v>
      </c>
      <c r="F918" s="301" t="n">
        <v>45698</v>
      </c>
      <c r="G918" s="5" t="inlineStr">
        <is>
          <t>PR2425-05601</t>
        </is>
      </c>
      <c r="H918" s="5" t="inlineStr">
        <is>
          <t>PO2425-06542</t>
        </is>
      </c>
      <c r="I918" s="290">
        <f>IF(RawDataGenPO[[#This Row],[PO No.]]="","",RawDataGenPO[[#This Row],[DMY Create PR]]+7)</f>
        <v/>
      </c>
      <c r="J918" s="290" t="n"/>
      <c r="K918" s="20" t="n">
        <v>90</v>
      </c>
      <c r="L918" s="5" t="inlineStr">
        <is>
          <t>SFST81000009</t>
        </is>
      </c>
      <c r="M918" s="7" t="inlineStr">
        <is>
          <t>Tool and Equipment  Engineering</t>
        </is>
      </c>
      <c r="N918" s="7" t="inlineStr">
        <is>
          <t>Tool and Equipment</t>
        </is>
      </c>
      <c r="O918" s="11" t="n">
        <v>4</v>
      </c>
      <c r="P918" s="80" t="inlineStr">
        <is>
          <t>"TOTAL" TFCLI2001 chargerbattery 20V.</t>
        </is>
      </c>
      <c r="Q918" s="277" t="n">
        <v>1</v>
      </c>
      <c r="R918" s="5" t="inlineStr">
        <is>
          <t>EA.</t>
        </is>
      </c>
      <c r="S918" s="292">
        <f>RawDataGenPO[[#This Row],[Total price]]/RawDataGenPO[[#This Row],[Qty'']]</f>
        <v/>
      </c>
      <c r="T918" s="278" t="n">
        <v>333.64</v>
      </c>
      <c r="U918" s="291" t="n"/>
      <c r="V918" s="7" t="inlineStr">
        <is>
          <t>V1000567 - KRUEANG MUE RUNG REUNG CO., LTD.</t>
        </is>
      </c>
      <c r="W918" s="30" t="inlineStr">
        <is>
          <t>Recive bill and GRN already</t>
        </is>
      </c>
      <c r="X918" s="5" t="inlineStr">
        <is>
          <t>GRN2425-0007662</t>
        </is>
      </c>
      <c r="Y918" s="3" t="n">
        <v>45726</v>
      </c>
      <c r="AA918" s="17">
        <f>IF(RawDataGenPO[[#This Row],[Date Gen PO]]="","",RawDataGenPO[[#This Row],[Date recive bill]]-RawDataGenPO[[#This Row],[Date Gen PO]])</f>
        <v/>
      </c>
      <c r="AB918" s="16">
        <f>IF(RawDataGenPO[[#This Row],[GRN-PO date]]&gt;RawDataGenPO[[#This Row],[Lead time delivery (day)]],"over deliverry","Ontime")</f>
        <v/>
      </c>
      <c r="AC918" s="22" t="n"/>
    </row>
    <row r="919" ht="30" customHeight="1">
      <c r="A919" s="5">
        <f>ROW()-ROW(RawDataGenPO[[#Headers],[No.]])</f>
        <v/>
      </c>
      <c r="B919" s="7" t="inlineStr">
        <is>
          <t>Expent  cost</t>
        </is>
      </c>
      <c r="C919" s="301" t="n">
        <v>45698</v>
      </c>
      <c r="F919" s="301" t="n">
        <v>45698</v>
      </c>
      <c r="G919" s="5" t="inlineStr">
        <is>
          <t>PR2425-05601</t>
        </is>
      </c>
      <c r="H919" s="5" t="inlineStr">
        <is>
          <t>PO2425-06542</t>
        </is>
      </c>
      <c r="I919" s="290">
        <f>IF(RawDataGenPO[[#This Row],[PO No.]]="","",RawDataGenPO[[#This Row],[DMY Create PR]]+7)</f>
        <v/>
      </c>
      <c r="J919" s="290" t="n"/>
      <c r="K919" s="20" t="n">
        <v>90</v>
      </c>
      <c r="L919" s="5" t="inlineStr">
        <is>
          <t>SFST81000009</t>
        </is>
      </c>
      <c r="M919" s="7" t="inlineStr">
        <is>
          <t>Tool and Equipment  Engineering</t>
        </is>
      </c>
      <c r="N919" s="7" t="inlineStr">
        <is>
          <t>Tool and Equipment</t>
        </is>
      </c>
      <c r="O919" s="11" t="n">
        <v>5</v>
      </c>
      <c r="P919" s="80" t="inlineStr">
        <is>
          <t>"TOTAL" THT321085 rivet crimping pliers 10.5 inch
(for shooting aluminium rivets)</t>
        </is>
      </c>
      <c r="Q919" s="277" t="n">
        <v>2</v>
      </c>
      <c r="R919" s="5" t="inlineStr">
        <is>
          <t>EA.</t>
        </is>
      </c>
      <c r="S919" s="292">
        <f>RawDataGenPO[[#This Row],[Total price]]/RawDataGenPO[[#This Row],[Qty'']]</f>
        <v/>
      </c>
      <c r="T919" s="278" t="n">
        <v>206.54</v>
      </c>
      <c r="U919" s="291" t="n"/>
      <c r="V919" s="7" t="inlineStr">
        <is>
          <t>V1000567 - KRUEANG MUE RUNG REUNG CO., LTD.</t>
        </is>
      </c>
      <c r="W919" s="30" t="inlineStr">
        <is>
          <t>Recive bill and GRN already</t>
        </is>
      </c>
      <c r="X919" s="5" t="inlineStr">
        <is>
          <t>GRN2425-0007662</t>
        </is>
      </c>
      <c r="Y919" s="3" t="n">
        <v>45726</v>
      </c>
      <c r="AA919" s="17">
        <f>IF(RawDataGenPO[[#This Row],[Date Gen PO]]="","",RawDataGenPO[[#This Row],[Date recive bill]]-RawDataGenPO[[#This Row],[Date Gen PO]])</f>
        <v/>
      </c>
      <c r="AB919" s="16">
        <f>IF(RawDataGenPO[[#This Row],[GRN-PO date]]&gt;RawDataGenPO[[#This Row],[Lead time delivery (day)]],"over deliverry","Ontime")</f>
        <v/>
      </c>
      <c r="AC919" s="22" t="n"/>
    </row>
    <row r="920" ht="15" customHeight="1">
      <c r="A920" s="5">
        <f>ROW()-ROW(RawDataGenPO[[#Headers],[No.]])</f>
        <v/>
      </c>
      <c r="B920" s="7" t="inlineStr">
        <is>
          <t>Expent  cost</t>
        </is>
      </c>
      <c r="C920" s="301" t="n">
        <v>45698</v>
      </c>
      <c r="F920" s="301" t="n">
        <v>45698</v>
      </c>
      <c r="G920" s="5" t="inlineStr">
        <is>
          <t>PR2425-05601</t>
        </is>
      </c>
      <c r="H920" s="5" t="inlineStr">
        <is>
          <t>PO2425-06543</t>
        </is>
      </c>
      <c r="I920" s="290">
        <f>IF(RawDataGenPO[[#This Row],[PO No.]]="","",RawDataGenPO[[#This Row],[DMY Create PR]]+7)</f>
        <v/>
      </c>
      <c r="J920" s="290" t="n"/>
      <c r="K920" s="20">
        <f>IF(RawDataGenPO[[#This Row],[PO No.]]="","",10)</f>
        <v/>
      </c>
      <c r="L920" s="5" t="inlineStr">
        <is>
          <t>SFST81000050</t>
        </is>
      </c>
      <c r="M920" s="7" t="inlineStr">
        <is>
          <t>Tool and Equipment  Engineering</t>
        </is>
      </c>
      <c r="N920" s="7" t="inlineStr">
        <is>
          <t>Tool and Equipment</t>
        </is>
      </c>
      <c r="O920" s="11" t="n">
        <v>6</v>
      </c>
      <c r="P920" s="80" t="inlineStr">
        <is>
          <t>"Solar" GW-5D pcsgasket cutting wheel 500mm.</t>
        </is>
      </c>
      <c r="Q920" s="277" t="n">
        <v>1</v>
      </c>
      <c r="R920" s="5" t="inlineStr">
        <is>
          <t>EA.</t>
        </is>
      </c>
      <c r="S920" s="292">
        <f>RawDataGenPO[[#This Row],[Total price]]/RawDataGenPO[[#This Row],[Qty'']]</f>
        <v/>
      </c>
      <c r="T920" s="278" t="n">
        <v>4436</v>
      </c>
      <c r="U920" s="291" t="n"/>
      <c r="V920" s="7" t="inlineStr">
        <is>
          <t>V1000729 - BN SUPPLY 1991 CO., LTD.</t>
        </is>
      </c>
      <c r="W920" s="30" t="inlineStr">
        <is>
          <t>Recive bill and GRN already</t>
        </is>
      </c>
      <c r="X920" s="5" t="inlineStr">
        <is>
          <t>GRN2425-0007335</t>
        </is>
      </c>
      <c r="Y920" s="3" t="n">
        <v>45709</v>
      </c>
      <c r="AA920" s="17">
        <f>IF(RawDataGenPO[[#This Row],[Date Gen PO]]="","",RawDataGenPO[[#This Row],[Date recive bill]]-RawDataGenPO[[#This Row],[Date Gen PO]])</f>
        <v/>
      </c>
      <c r="AB920" s="16">
        <f>IF(RawDataGenPO[[#This Row],[GRN-PO date]]&gt;RawDataGenPO[[#This Row],[Lead time delivery (day)]],"over deliverry","Ontime")</f>
        <v/>
      </c>
      <c r="AC920" s="22" t="n"/>
    </row>
    <row r="921" ht="15" customFormat="1" customHeight="1" s="125">
      <c r="A921" s="5">
        <f>ROW()-ROW(RawDataGenPO[[#Headers],[No.]])</f>
        <v/>
      </c>
      <c r="B921" s="7" t="inlineStr">
        <is>
          <t>Expent  cost</t>
        </is>
      </c>
      <c r="C921" s="301" t="n">
        <v>45698</v>
      </c>
      <c r="D921" s="276" t="n"/>
      <c r="E921" s="276" t="n"/>
      <c r="F921" s="342" t="n">
        <v>45698</v>
      </c>
      <c r="G921" s="64" t="inlineStr">
        <is>
          <t>PR2425-05602</t>
        </is>
      </c>
      <c r="H921" s="64" t="inlineStr">
        <is>
          <t>PO2425-06547</t>
        </is>
      </c>
      <c r="I921" s="290">
        <f>IF(RawDataGenPO[[#This Row],[PO No.]]="","",RawDataGenPO[[#This Row],[DMY Create PR]]+7)</f>
        <v/>
      </c>
      <c r="J921" s="290" t="n"/>
      <c r="K921" s="20">
        <f>IF(RawDataGenPO[[#This Row],[PO No.]]="","",10)</f>
        <v/>
      </c>
      <c r="L921" s="64" t="inlineStr">
        <is>
          <t>SFST81000050</t>
        </is>
      </c>
      <c r="M921" s="127" t="inlineStr">
        <is>
          <t>Civill jobs (Floor-Wall-Celling-roof)</t>
        </is>
      </c>
      <c r="N921" s="127" t="inlineStr">
        <is>
          <t>Cevil quipment  &amp; Part</t>
        </is>
      </c>
      <c r="O921" s="133" t="n">
        <v>1</v>
      </c>
      <c r="P921" s="83" t="inlineStr">
        <is>
          <t>Suea brand mixed cement for masonry, plastering and pouring 50 kg</t>
        </is>
      </c>
      <c r="Q921" s="333" t="n">
        <v>2</v>
      </c>
      <c r="R921" s="64" t="inlineStr">
        <is>
          <t>Sack.</t>
        </is>
      </c>
      <c r="S921" s="334">
        <f>RawDataGenPO[[#This Row],[Total price]]/RawDataGenPO[[#This Row],[Qty'']]</f>
        <v/>
      </c>
      <c r="T921" s="335" t="n">
        <v>700</v>
      </c>
      <c r="U921" s="341" t="n"/>
      <c r="V921" s="127" t="inlineStr">
        <is>
          <t>V1000529 - 168 Supply</t>
        </is>
      </c>
      <c r="W921" s="30" t="inlineStr">
        <is>
          <t>Recive bill and GRN already</t>
        </is>
      </c>
      <c r="X921" s="64" t="inlineStr">
        <is>
          <t>GRN2425-0007397</t>
        </is>
      </c>
      <c r="Y921" s="126" t="n">
        <v>45713</v>
      </c>
      <c r="Z921" s="126" t="n"/>
      <c r="AA921" s="17">
        <f>IF(RawDataGenPO[[#This Row],[Date Gen PO]]="","",RawDataGenPO[[#This Row],[Date recive bill]]-RawDataGenPO[[#This Row],[Date Gen PO]])</f>
        <v/>
      </c>
      <c r="AB921" s="16">
        <f>IF(RawDataGenPO[[#This Row],[GRN-PO date]]&gt;RawDataGenPO[[#This Row],[Lead time delivery (day)]],"over deliverry","Ontime")</f>
        <v/>
      </c>
      <c r="AC921" s="22" t="n"/>
    </row>
    <row r="922" ht="15" customHeight="1">
      <c r="A922" s="5">
        <f>ROW()-ROW(RawDataGenPO[[#Headers],[No.]])</f>
        <v/>
      </c>
      <c r="B922" s="7" t="inlineStr">
        <is>
          <t>Expent  cost</t>
        </is>
      </c>
      <c r="C922" s="301" t="n">
        <v>45698</v>
      </c>
      <c r="F922" s="301" t="n">
        <v>45698</v>
      </c>
      <c r="G922" s="5" t="inlineStr">
        <is>
          <t>PR2425-05603</t>
        </is>
      </c>
      <c r="H922" s="5" t="inlineStr">
        <is>
          <t>PO2425-06544</t>
        </is>
      </c>
      <c r="I922" s="290">
        <f>IF(RawDataGenPO[[#This Row],[PO No.]]="","",RawDataGenPO[[#This Row],[DMY Create PR]]+7)</f>
        <v/>
      </c>
      <c r="J922" s="290" t="n"/>
      <c r="K922" s="20" t="n">
        <v>30</v>
      </c>
      <c r="L922" s="5" t="inlineStr">
        <is>
          <t>SFST81000009</t>
        </is>
      </c>
      <c r="M922" s="7" t="inlineStr">
        <is>
          <t>Civill jobs (Floor-Wall-Celling-roof)</t>
        </is>
      </c>
      <c r="N922" s="7" t="inlineStr">
        <is>
          <t>Cevil quipment  &amp; Part</t>
        </is>
      </c>
      <c r="O922" s="11" t="n">
        <v>1</v>
      </c>
      <c r="P922" s="80" t="inlineStr">
        <is>
          <t>Pigment (pigment powder) greendark</t>
        </is>
      </c>
      <c r="Q922" s="277" t="n">
        <v>10</v>
      </c>
      <c r="R922" s="5" t="inlineStr">
        <is>
          <t>Bag.</t>
        </is>
      </c>
      <c r="S922" s="292">
        <f>RawDataGenPO[[#This Row],[Total price]]/RawDataGenPO[[#This Row],[Qty'']]</f>
        <v/>
      </c>
      <c r="T922" s="278" t="n">
        <v>5300</v>
      </c>
      <c r="U922" s="291" t="n"/>
      <c r="V922" s="7" t="inlineStr">
        <is>
          <t>APEX ASIA CONSTRUCTION CO.,LTD.</t>
        </is>
      </c>
      <c r="W922" s="30" t="inlineStr">
        <is>
          <t>Recive bill and GRN already</t>
        </is>
      </c>
      <c r="X922" s="5" t="inlineStr">
        <is>
          <t>GRN2425-0007631</t>
        </is>
      </c>
      <c r="Y922" s="3" t="n">
        <v>45723</v>
      </c>
      <c r="AA922" s="17">
        <f>IF(RawDataGenPO[[#This Row],[Date Gen PO]]="","",RawDataGenPO[[#This Row],[Date recive bill]]-RawDataGenPO[[#This Row],[Date Gen PO]])</f>
        <v/>
      </c>
      <c r="AB922" s="16">
        <f>IF(RawDataGenPO[[#This Row],[GRN-PO date]]&gt;RawDataGenPO[[#This Row],[Lead time delivery (day)]],"over deliverry","Ontime")</f>
        <v/>
      </c>
      <c r="AC922" s="22" t="n"/>
    </row>
    <row r="923" ht="15" customHeight="1">
      <c r="A923" s="5">
        <f>ROW()-ROW(RawDataGenPO[[#Headers],[No.]])</f>
        <v/>
      </c>
      <c r="B923" s="7" t="inlineStr">
        <is>
          <t>Expent  cost</t>
        </is>
      </c>
      <c r="C923" s="301" t="n">
        <v>45698</v>
      </c>
      <c r="F923" s="301" t="n">
        <v>45698</v>
      </c>
      <c r="G923" s="5" t="inlineStr">
        <is>
          <t>PR2425-05603</t>
        </is>
      </c>
      <c r="H923" s="5" t="inlineStr">
        <is>
          <t>PO2425-06544</t>
        </is>
      </c>
      <c r="I923" s="290">
        <f>IF(RawDataGenPO[[#This Row],[PO No.]]="","",RawDataGenPO[[#This Row],[DMY Create PR]]+7)</f>
        <v/>
      </c>
      <c r="J923" s="290" t="n"/>
      <c r="K923" s="20" t="n">
        <v>30</v>
      </c>
      <c r="L923" s="5" t="inlineStr">
        <is>
          <t>SFST81000009</t>
        </is>
      </c>
      <c r="M923" s="7" t="inlineStr">
        <is>
          <t>Civill jobs (Floor-Wall-Celling-roof)</t>
        </is>
      </c>
      <c r="N923" s="7" t="inlineStr">
        <is>
          <t>Cevil quipment  &amp; Part</t>
        </is>
      </c>
      <c r="O923" s="11" t="n">
        <v>2</v>
      </c>
      <c r="P923" s="80" t="inlineStr">
        <is>
          <t>Pigment (pigment powder) yellow</t>
        </is>
      </c>
      <c r="Q923" s="277" t="n">
        <v>10</v>
      </c>
      <c r="R923" s="5" t="inlineStr">
        <is>
          <t>Bag.</t>
        </is>
      </c>
      <c r="S923" s="292">
        <f>RawDataGenPO[[#This Row],[Total price]]/RawDataGenPO[[#This Row],[Qty'']]</f>
        <v/>
      </c>
      <c r="T923" s="278" t="n">
        <v>5300</v>
      </c>
      <c r="U923" s="291" t="n"/>
      <c r="V923" s="7" t="inlineStr">
        <is>
          <t>APEX ASIA CONSTRUCTION CO.,LTD.</t>
        </is>
      </c>
      <c r="W923" s="30" t="inlineStr">
        <is>
          <t>Recive bill and GRN already</t>
        </is>
      </c>
      <c r="X923" s="5" t="inlineStr">
        <is>
          <t>GRN2425-0007631</t>
        </is>
      </c>
      <c r="Y923" s="3" t="n">
        <v>45723</v>
      </c>
      <c r="AA923" s="17">
        <f>IF(RawDataGenPO[[#This Row],[Date Gen PO]]="","",RawDataGenPO[[#This Row],[Date recive bill]]-RawDataGenPO[[#This Row],[Date Gen PO]])</f>
        <v/>
      </c>
      <c r="AB923" s="16">
        <f>IF(RawDataGenPO[[#This Row],[GRN-PO date]]&gt;RawDataGenPO[[#This Row],[Lead time delivery (day)]],"over deliverry","Ontime")</f>
        <v/>
      </c>
      <c r="AC923" s="22" t="n"/>
    </row>
    <row r="924" ht="15" customHeight="1">
      <c r="A924" s="5">
        <f>ROW()-ROW(RawDataGenPO[[#Headers],[No.]])</f>
        <v/>
      </c>
      <c r="B924" s="7" t="inlineStr">
        <is>
          <t>Expent  cost</t>
        </is>
      </c>
      <c r="C924" s="301" t="n">
        <v>45698</v>
      </c>
      <c r="F924" s="301" t="n">
        <v>45698</v>
      </c>
      <c r="G924" s="5" t="inlineStr">
        <is>
          <t>PR2425-05603</t>
        </is>
      </c>
      <c r="H924" s="5" t="inlineStr">
        <is>
          <t>PO2425-06544</t>
        </is>
      </c>
      <c r="I924" s="290">
        <f>IF(RawDataGenPO[[#This Row],[PO No.]]="","",RawDataGenPO[[#This Row],[DMY Create PR]]+7)</f>
        <v/>
      </c>
      <c r="J924" s="290" t="n"/>
      <c r="K924" s="20" t="n">
        <v>30</v>
      </c>
      <c r="L924" s="5" t="inlineStr">
        <is>
          <t>SFST81000009</t>
        </is>
      </c>
      <c r="M924" s="7" t="inlineStr">
        <is>
          <t>Civill jobs (Floor-Wall-Celling-roof)</t>
        </is>
      </c>
      <c r="N924" s="7" t="inlineStr">
        <is>
          <t>Cevil quipment  &amp; Part</t>
        </is>
      </c>
      <c r="O924" s="11" t="n">
        <v>3</v>
      </c>
      <c r="P924" s="80" t="inlineStr">
        <is>
          <t>waterPU coating HF Part A: 3 kg, Part B: 3 kg</t>
        </is>
      </c>
      <c r="Q924" s="277" t="n">
        <v>20</v>
      </c>
      <c r="R924" s="5" t="inlineStr">
        <is>
          <t>Set</t>
        </is>
      </c>
      <c r="S924" s="292">
        <f>RawDataGenPO[[#This Row],[Total price]]/RawDataGenPO[[#This Row],[Qty'']]</f>
        <v/>
      </c>
      <c r="T924" s="278" t="n">
        <v>29000</v>
      </c>
      <c r="U924" s="291" t="n"/>
      <c r="V924" s="7" t="inlineStr">
        <is>
          <t>APEX ASIA CONSTRUCTION CO.,LTD.</t>
        </is>
      </c>
      <c r="W924" s="30" t="inlineStr">
        <is>
          <t>Recive bill and GRN already</t>
        </is>
      </c>
      <c r="X924" s="5" t="inlineStr">
        <is>
          <t>GRN2425-0007631</t>
        </is>
      </c>
      <c r="Y924" s="3" t="n">
        <v>45723</v>
      </c>
      <c r="AA924" s="17">
        <f>IF(RawDataGenPO[[#This Row],[Date Gen PO]]="","",RawDataGenPO[[#This Row],[Date recive bill]]-RawDataGenPO[[#This Row],[Date Gen PO]])</f>
        <v/>
      </c>
      <c r="AB924" s="16">
        <f>IF(RawDataGenPO[[#This Row],[GRN-PO date]]&gt;RawDataGenPO[[#This Row],[Lead time delivery (day)]],"over deliverry","Ontime")</f>
        <v/>
      </c>
      <c r="AC924" s="22" t="n"/>
    </row>
    <row r="925" ht="15" customHeight="1">
      <c r="A925" s="5">
        <f>ROW()-ROW(RawDataGenPO[[#Headers],[No.]])</f>
        <v/>
      </c>
      <c r="B925" s="7" t="inlineStr">
        <is>
          <t>Expent  cost</t>
        </is>
      </c>
      <c r="C925" s="301" t="n">
        <v>45698</v>
      </c>
      <c r="F925" s="301" t="n">
        <v>45698</v>
      </c>
      <c r="G925" s="5" t="inlineStr">
        <is>
          <t>PR2425-05603</t>
        </is>
      </c>
      <c r="H925" s="5" t="inlineStr">
        <is>
          <t>PO2425-06544</t>
        </is>
      </c>
      <c r="I925" s="290">
        <f>IF(RawDataGenPO[[#This Row],[PO No.]]="","",RawDataGenPO[[#This Row],[DMY Create PR]]+7)</f>
        <v/>
      </c>
      <c r="J925" s="290" t="n"/>
      <c r="K925" s="20" t="n">
        <v>30</v>
      </c>
      <c r="L925" s="5" t="inlineStr">
        <is>
          <t>SFST81000009</t>
        </is>
      </c>
      <c r="M925" s="7" t="inlineStr">
        <is>
          <t>Civill jobs (Floor-Wall-Celling-roof)</t>
        </is>
      </c>
      <c r="N925" s="7" t="inlineStr">
        <is>
          <t>Cevil quipment  &amp; Part</t>
        </is>
      </c>
      <c r="O925" s="11" t="n">
        <v>4</v>
      </c>
      <c r="P925" s="80" t="inlineStr">
        <is>
          <t>cement room Fondu Concrete</t>
        </is>
      </c>
      <c r="Q925" s="277" t="n">
        <v>2</v>
      </c>
      <c r="R925" s="5" t="inlineStr">
        <is>
          <t>Sack.</t>
        </is>
      </c>
      <c r="S925" s="292">
        <f>RawDataGenPO[[#This Row],[Total price]]/RawDataGenPO[[#This Row],[Qty'']]</f>
        <v/>
      </c>
      <c r="T925" s="278" t="n">
        <v>4700</v>
      </c>
      <c r="U925" s="291" t="n"/>
      <c r="V925" s="7" t="inlineStr">
        <is>
          <t>APEX ASIA CONSTRUCTION CO.,LTD.</t>
        </is>
      </c>
      <c r="W925" s="30" t="inlineStr">
        <is>
          <t>Recive bill and GRN already</t>
        </is>
      </c>
      <c r="X925" s="5" t="inlineStr">
        <is>
          <t>GRN2425-0007631</t>
        </is>
      </c>
      <c r="Y925" s="3" t="n">
        <v>45723</v>
      </c>
      <c r="AA925" s="17">
        <f>IF(RawDataGenPO[[#This Row],[Date Gen PO]]="","",RawDataGenPO[[#This Row],[Date recive bill]]-RawDataGenPO[[#This Row],[Date Gen PO]])</f>
        <v/>
      </c>
      <c r="AB925" s="16">
        <f>IF(RawDataGenPO[[#This Row],[GRN-PO date]]&gt;RawDataGenPO[[#This Row],[Lead time delivery (day)]],"over deliverry","Ontime")</f>
        <v/>
      </c>
      <c r="AC925" s="22" t="n"/>
    </row>
    <row r="926" ht="15" customHeight="1">
      <c r="A926" s="5">
        <f>ROW()-ROW(RawDataGenPO[[#Headers],[No.]])</f>
        <v/>
      </c>
      <c r="B926" s="7" t="inlineStr">
        <is>
          <t>Expent  cost</t>
        </is>
      </c>
      <c r="C926" s="301" t="n">
        <v>45702</v>
      </c>
      <c r="F926" s="281" t="n">
        <v>45702</v>
      </c>
      <c r="G926" s="5" t="inlineStr">
        <is>
          <t>PR2425-05681</t>
        </is>
      </c>
      <c r="H926" s="5" t="inlineStr">
        <is>
          <t>PO2425-06653</t>
        </is>
      </c>
      <c r="I926" s="290">
        <f>IF(RawDataGenPO[[#This Row],[PO No.]]="","",RawDataGenPO[[#This Row],[DMY Create PR]]+7)</f>
        <v/>
      </c>
      <c r="J926" s="290" t="n"/>
      <c r="K926" s="20">
        <f>IF(RawDataGenPO[[#This Row],[PO No.]]="","",10)</f>
        <v/>
      </c>
      <c r="L926" s="301" t="n">
        <v>45793</v>
      </c>
      <c r="M926" s="7" t="inlineStr">
        <is>
          <t>Consumable part for MN</t>
        </is>
      </c>
      <c r="N926" s="7" t="inlineStr">
        <is>
          <t>Eletrical part</t>
        </is>
      </c>
      <c r="O926" s="11" t="n">
        <v>1</v>
      </c>
      <c r="P926" s="80" t="inlineStr">
        <is>
          <t>"Philip",T8,20W, 2100lm, ECO SOFT HO LED</t>
        </is>
      </c>
      <c r="Q926" s="277" t="n">
        <v>40</v>
      </c>
      <c r="R926" s="5" t="inlineStr">
        <is>
          <t>PCS.</t>
        </is>
      </c>
      <c r="S926" s="292">
        <f>RawDataGenPO[[#This Row],[Total price]]/RawDataGenPO[[#This Row],[Qty'']]</f>
        <v/>
      </c>
      <c r="T926" s="278" t="n">
        <v>5360</v>
      </c>
      <c r="U926" s="291" t="n"/>
      <c r="V926" s="7" t="inlineStr">
        <is>
          <t>V1000276 - SN. ELECTRIC AND SUPPLY CO., LTD.</t>
        </is>
      </c>
      <c r="W926" s="30" t="inlineStr">
        <is>
          <t>Recive bill and GRN already</t>
        </is>
      </c>
      <c r="X926" s="5" t="inlineStr">
        <is>
          <t>GRN2425-0007449</t>
        </is>
      </c>
      <c r="Y926" s="3" t="n">
        <v>45717</v>
      </c>
      <c r="AA926" s="17">
        <f>IF(RawDataGenPO[[#This Row],[Date Gen PO]]="","",RawDataGenPO[[#This Row],[Date recive bill]]-RawDataGenPO[[#This Row],[Date Gen PO]])</f>
        <v/>
      </c>
      <c r="AB926" s="16">
        <f>IF(RawDataGenPO[[#This Row],[GRN-PO date]]&gt;RawDataGenPO[[#This Row],[Lead time delivery (day)]],"over deliverry","Ontime")</f>
        <v/>
      </c>
      <c r="AC926" s="22" t="n"/>
    </row>
    <row r="927" ht="15" customHeight="1">
      <c r="A927" s="5">
        <f>ROW()-ROW(RawDataGenPO[[#Headers],[No.]])</f>
        <v/>
      </c>
      <c r="B927" s="7" t="inlineStr">
        <is>
          <t>Expent  cost</t>
        </is>
      </c>
      <c r="C927" s="301" t="n">
        <v>45702</v>
      </c>
      <c r="F927" s="281" t="n">
        <v>45702</v>
      </c>
      <c r="G927" s="5" t="inlineStr">
        <is>
          <t>PR2425-05681</t>
        </is>
      </c>
      <c r="H927" s="5" t="inlineStr">
        <is>
          <t>PO2425-06653</t>
        </is>
      </c>
      <c r="I927" s="290">
        <f>IF(RawDataGenPO[[#This Row],[PO No.]]="","",RawDataGenPO[[#This Row],[DMY Create PR]]+7)</f>
        <v/>
      </c>
      <c r="J927" s="290" t="n"/>
      <c r="K927" s="20">
        <f>IF(RawDataGenPO[[#This Row],[PO No.]]="","",10)</f>
        <v/>
      </c>
      <c r="L927" s="5" t="inlineStr">
        <is>
          <t>SFST34000186</t>
        </is>
      </c>
      <c r="M927" s="7" t="inlineStr">
        <is>
          <t>Consumable part for MN</t>
        </is>
      </c>
      <c r="N927" s="7" t="inlineStr">
        <is>
          <t>Electrical jobs</t>
        </is>
      </c>
      <c r="O927" s="11" t="n">
        <v>2</v>
      </c>
      <c r="P927" s="80" t="inlineStr">
        <is>
          <t>BTICINO 25503 grey size 3 slot waterproof IP55</t>
        </is>
      </c>
      <c r="Q927" s="277" t="n">
        <v>20</v>
      </c>
      <c r="R927" s="5" t="inlineStr">
        <is>
          <t>PCS.</t>
        </is>
      </c>
      <c r="S927" s="292">
        <f>RawDataGenPO[[#This Row],[Total price]]/RawDataGenPO[[#This Row],[Qty'']]</f>
        <v/>
      </c>
      <c r="T927" s="278" t="n">
        <v>7800</v>
      </c>
      <c r="U927" s="291" t="n"/>
      <c r="V927" s="7" t="inlineStr">
        <is>
          <t>V1000276 - SN. ELECTRIC AND SUPPLY CO., LTD.</t>
        </is>
      </c>
      <c r="W927" s="30" t="inlineStr">
        <is>
          <t>Recive bill and GRN already</t>
        </is>
      </c>
      <c r="X927" s="5" t="inlineStr">
        <is>
          <t>GRN2425-0007449</t>
        </is>
      </c>
      <c r="Y927" s="3" t="n">
        <v>45717</v>
      </c>
      <c r="AA927" s="17">
        <f>IF(RawDataGenPO[[#This Row],[Date Gen PO]]="","",RawDataGenPO[[#This Row],[Date recive bill]]-RawDataGenPO[[#This Row],[Date Gen PO]])</f>
        <v/>
      </c>
      <c r="AB927" s="16">
        <f>IF(RawDataGenPO[[#This Row],[GRN-PO date]]&gt;RawDataGenPO[[#This Row],[Lead time delivery (day)]],"over deliverry","Ontime")</f>
        <v/>
      </c>
      <c r="AC927" s="22" t="n"/>
    </row>
    <row r="928" ht="15" customHeight="1">
      <c r="A928" s="5">
        <f>ROW()-ROW(RawDataGenPO[[#Headers],[No.]])</f>
        <v/>
      </c>
      <c r="B928" s="7" t="inlineStr">
        <is>
          <t>Expent  cost</t>
        </is>
      </c>
      <c r="C928" s="301" t="n">
        <v>45706</v>
      </c>
      <c r="F928" s="281" t="n">
        <v>45706</v>
      </c>
      <c r="G928" s="5" t="inlineStr">
        <is>
          <t>PR2425-05702</t>
        </is>
      </c>
      <c r="H928" s="5" t="inlineStr">
        <is>
          <t>PO2425-06684</t>
        </is>
      </c>
      <c r="I928" s="290">
        <f>IF(RawDataGenPO[[#This Row],[PO No.]]="","",RawDataGenPO[[#This Row],[DMY Create PR]]+7)</f>
        <v/>
      </c>
      <c r="J928" s="290" t="n"/>
      <c r="K928" s="20">
        <f>IF(RawDataGenPO[[#This Row],[PO No.]]="","",10)</f>
        <v/>
      </c>
      <c r="L928" s="5" t="inlineStr">
        <is>
          <t>SFST34000189</t>
        </is>
      </c>
      <c r="M928" s="7" t="inlineStr">
        <is>
          <t>Consumable part for MN</t>
        </is>
      </c>
      <c r="N928" s="7" t="inlineStr">
        <is>
          <t>Tool and Equipment</t>
        </is>
      </c>
      <c r="O928" s="11" t="n">
        <v>1</v>
      </c>
      <c r="P928" s="7" t="inlineStr">
        <is>
          <t>PU Foam Sika Boom AP 500ml (1BOX / 12 PC)</t>
        </is>
      </c>
      <c r="Q928" s="277" t="n">
        <v>12</v>
      </c>
      <c r="R928" s="5" t="inlineStr">
        <is>
          <t>PCS.</t>
        </is>
      </c>
      <c r="S928" s="292">
        <f>RawDataGenPO[[#This Row],[Total price]]/RawDataGenPO[[#This Row],[Qty'']]</f>
        <v/>
      </c>
      <c r="T928" s="278" t="n">
        <v>2940</v>
      </c>
      <c r="U928" s="291" t="n"/>
      <c r="V928" s="7" t="inlineStr">
        <is>
          <t>V1000289 - Kitticharoen Supply Co., Ltd</t>
        </is>
      </c>
      <c r="W928" s="30" t="inlineStr">
        <is>
          <t>Recive bill and GRN already</t>
        </is>
      </c>
      <c r="X928" s="5" t="inlineStr">
        <is>
          <t>GRN2425-0007452</t>
        </is>
      </c>
      <c r="Y928" s="3" t="n">
        <v>45717</v>
      </c>
      <c r="AA928" s="17">
        <f>IF(RawDataGenPO[[#This Row],[Date Gen PO]]="","",RawDataGenPO[[#This Row],[Date recive bill]]-RawDataGenPO[[#This Row],[Date Gen PO]])</f>
        <v/>
      </c>
      <c r="AB928" s="16">
        <f>IF(RawDataGenPO[[#This Row],[GRN-PO date]]&gt;RawDataGenPO[[#This Row],[Lead time delivery (day)]],"over deliverry","Ontime")</f>
        <v/>
      </c>
      <c r="AC928" s="22" t="n"/>
    </row>
    <row r="929" ht="30" customHeight="1">
      <c r="A929" s="5">
        <f>ROW()-ROW(RawDataGenPO[[#Headers],[No.]])</f>
        <v/>
      </c>
      <c r="B929" s="7" t="inlineStr">
        <is>
          <t>Expent  cost</t>
        </is>
      </c>
      <c r="C929" s="301" t="n">
        <v>45707</v>
      </c>
      <c r="F929" s="281" t="n">
        <v>45707</v>
      </c>
      <c r="G929" s="5" t="inlineStr">
        <is>
          <t>PR2425-05741</t>
        </is>
      </c>
      <c r="H929" s="5" t="inlineStr">
        <is>
          <t>PO2425-06715</t>
        </is>
      </c>
      <c r="I929" s="290">
        <f>IF(RawDataGenPO[[#This Row],[PO No.]]="","",RawDataGenPO[[#This Row],[DMY Create PR]]+7)</f>
        <v/>
      </c>
      <c r="J929" s="290" t="n"/>
      <c r="K929" s="20" t="n">
        <v>30</v>
      </c>
      <c r="L929" s="5" t="inlineStr">
        <is>
          <t>SFST81000050</t>
        </is>
      </c>
      <c r="M929" s="7" t="inlineStr">
        <is>
          <t>Safety equipment</t>
        </is>
      </c>
      <c r="N929" s="7" t="inlineStr">
        <is>
          <t>Safety equipment</t>
        </is>
      </c>
      <c r="O929" s="11" t="n">
        <v>1</v>
      </c>
      <c r="P929" s="80" t="inlineStr">
        <is>
          <t>back support beltrear ERGOZO Heavy Duty
Size: L = 7line, XL = 5line</t>
        </is>
      </c>
      <c r="Q929" s="277" t="n">
        <v>12</v>
      </c>
      <c r="R929" s="5" t="inlineStr">
        <is>
          <t>PCS.</t>
        </is>
      </c>
      <c r="S929" s="292">
        <f>RawDataGenPO[[#This Row],[Total price]]/RawDataGenPO[[#This Row],[Qty'']]</f>
        <v/>
      </c>
      <c r="T929" s="278" t="n">
        <v>3840</v>
      </c>
      <c r="U929" s="291" t="n"/>
      <c r="V929" s="7" t="inlineStr">
        <is>
          <t xml:space="preserve"> V1000224 - PHOL DHANYA PUBLIC CO.,LTD.</t>
        </is>
      </c>
      <c r="W929" s="30" t="inlineStr">
        <is>
          <t>Recive bill and GRN already</t>
        </is>
      </c>
      <c r="X929" s="5" t="inlineStr">
        <is>
          <t>GRN2425-0007565</t>
        </is>
      </c>
      <c r="Y929" s="3" t="n">
        <v>45720</v>
      </c>
      <c r="AA929" s="17">
        <f>IF(RawDataGenPO[[#This Row],[Date Gen PO]]="","",RawDataGenPO[[#This Row],[Date recive bill]]-RawDataGenPO[[#This Row],[Date Gen PO]])</f>
        <v/>
      </c>
      <c r="AB929" s="16">
        <f>IF(RawDataGenPO[[#This Row],[GRN-PO date]]&gt;RawDataGenPO[[#This Row],[Lead time delivery (day)]],"over deliverry","Ontime")</f>
        <v/>
      </c>
      <c r="AC929" s="22" t="n"/>
    </row>
    <row r="930" ht="15" customHeight="1">
      <c r="A930" s="5">
        <f>ROW()-ROW(RawDataGenPO[[#Headers],[No.]])</f>
        <v/>
      </c>
      <c r="B930" s="7" t="inlineStr">
        <is>
          <t>Expent  cost</t>
        </is>
      </c>
      <c r="C930" s="301" t="n">
        <v>45707</v>
      </c>
      <c r="F930" s="281" t="n">
        <v>45707</v>
      </c>
      <c r="G930" s="5" t="inlineStr">
        <is>
          <t>PR2425-05742</t>
        </is>
      </c>
      <c r="H930" s="5" t="inlineStr">
        <is>
          <t>PO2425-06720</t>
        </is>
      </c>
      <c r="I930" s="290">
        <f>IF(RawDataGenPO[[#This Row],[PO No.]]="","",RawDataGenPO[[#This Row],[DMY Create PR]]+7)</f>
        <v/>
      </c>
      <c r="J930" s="290" t="n"/>
      <c r="K930" s="20" t="n">
        <v>30</v>
      </c>
      <c r="L930" s="5" t="inlineStr">
        <is>
          <t>SFST81000009</t>
        </is>
      </c>
      <c r="M930" s="7" t="inlineStr">
        <is>
          <t>Tool and Equipment  Engineering</t>
        </is>
      </c>
      <c r="N930" s="7" t="inlineStr">
        <is>
          <t>Tool and Equipment</t>
        </is>
      </c>
      <c r="O930" s="11" t="n">
        <v>1</v>
      </c>
      <c r="P930" s="80" t="inlineStr">
        <is>
          <t>handrailstainless steelpcsstraight 12 inch x 1inch</t>
        </is>
      </c>
      <c r="Q930" s="277" t="n">
        <v>10</v>
      </c>
      <c r="R930" s="5" t="inlineStr">
        <is>
          <t>PCS.</t>
        </is>
      </c>
      <c r="S930" s="292">
        <f>RawDataGenPO[[#This Row],[Total price]]/RawDataGenPO[[#This Row],[Qty'']]</f>
        <v/>
      </c>
      <c r="T930" s="278" t="n">
        <v>3300</v>
      </c>
      <c r="U930" s="291" t="n"/>
      <c r="V930" s="7" t="inlineStr">
        <is>
          <t>V1000259 - JJP SUPPLY CO., LTD</t>
        </is>
      </c>
      <c r="W930" s="30" t="inlineStr">
        <is>
          <t>Recive bill and GRN already</t>
        </is>
      </c>
      <c r="X930" s="5" t="inlineStr">
        <is>
          <t>GRN2425-0007842</t>
        </is>
      </c>
      <c r="Y930" s="3" t="n">
        <v>45730</v>
      </c>
      <c r="AA930" s="17">
        <f>IF(RawDataGenPO[[#This Row],[Date Gen PO]]="","",RawDataGenPO[[#This Row],[Date recive bill]]-RawDataGenPO[[#This Row],[Date Gen PO]])</f>
        <v/>
      </c>
      <c r="AB930" s="16">
        <f>IF(RawDataGenPO[[#This Row],[GRN-PO date]]&gt;RawDataGenPO[[#This Row],[Lead time delivery (day)]],"over deliverry","Ontime")</f>
        <v/>
      </c>
      <c r="AC930" s="22" t="n"/>
    </row>
    <row r="931" ht="15" customHeight="1">
      <c r="A931" s="5">
        <f>ROW()-ROW(RawDataGenPO[[#Headers],[No.]])</f>
        <v/>
      </c>
      <c r="B931" s="7" t="inlineStr">
        <is>
          <t>Expent  cost</t>
        </is>
      </c>
      <c r="C931" s="301" t="n">
        <v>45707</v>
      </c>
      <c r="F931" s="281" t="n">
        <v>45707</v>
      </c>
      <c r="G931" s="5" t="inlineStr">
        <is>
          <t>PR2425-05742</t>
        </is>
      </c>
      <c r="H931" s="5" t="inlineStr">
        <is>
          <t>PO2425-06720</t>
        </is>
      </c>
      <c r="I931" s="290">
        <f>IF(RawDataGenPO[[#This Row],[PO No.]]="","",RawDataGenPO[[#This Row],[DMY Create PR]]+7)</f>
        <v/>
      </c>
      <c r="J931" s="290" t="n"/>
      <c r="K931" s="20" t="n">
        <v>30</v>
      </c>
      <c r="L931" s="5" t="inlineStr">
        <is>
          <t>SFST81000009</t>
        </is>
      </c>
      <c r="M931" s="7" t="inlineStr">
        <is>
          <t>Tool and Equipment  Engineering</t>
        </is>
      </c>
      <c r="N931" s="7" t="inlineStr">
        <is>
          <t>Tool and Equipment</t>
        </is>
      </c>
      <c r="O931" s="11" t="n">
        <v>2</v>
      </c>
      <c r="P931" s="80" t="inlineStr">
        <is>
          <t>screwheadwafer drill point coatedPhillips screwheadround 8x1.1/2 inch (1box/1000)</t>
        </is>
      </c>
      <c r="Q931" s="277" t="n">
        <v>1</v>
      </c>
      <c r="R931" s="5" t="inlineStr">
        <is>
          <t>PCS.</t>
        </is>
      </c>
      <c r="S931" s="292">
        <f>RawDataGenPO[[#This Row],[Total price]]/RawDataGenPO[[#This Row],[Qty'']]</f>
        <v/>
      </c>
      <c r="T931" s="278" t="n">
        <v>220</v>
      </c>
      <c r="U931" s="291" t="n"/>
      <c r="V931" s="7" t="inlineStr">
        <is>
          <t>V1000259 - JJP SUPPLY CO., LTD</t>
        </is>
      </c>
      <c r="W931" s="30" t="inlineStr">
        <is>
          <t>Recive bill and GRN already</t>
        </is>
      </c>
      <c r="X931" s="5" t="inlineStr">
        <is>
          <t>GRN2425-0007842</t>
        </is>
      </c>
      <c r="Y931" s="3" t="n">
        <v>45730</v>
      </c>
      <c r="AA931" s="17">
        <f>IF(RawDataGenPO[[#This Row],[Date Gen PO]]="","",RawDataGenPO[[#This Row],[Date recive bill]]-RawDataGenPO[[#This Row],[Date Gen PO]])</f>
        <v/>
      </c>
      <c r="AB931" s="16">
        <f>IF(RawDataGenPO[[#This Row],[GRN-PO date]]&gt;RawDataGenPO[[#This Row],[Lead time delivery (day)]],"over deliverry","Ontime")</f>
        <v/>
      </c>
      <c r="AC931" s="22" t="n"/>
    </row>
    <row r="932" ht="15" customHeight="1">
      <c r="A932" s="5">
        <f>ROW()-ROW(RawDataGenPO[[#Headers],[No.]])</f>
        <v/>
      </c>
      <c r="B932" s="7" t="inlineStr">
        <is>
          <t>Expent  cost</t>
        </is>
      </c>
      <c r="C932" s="301" t="n">
        <v>45707</v>
      </c>
      <c r="F932" s="281" t="n">
        <v>45707</v>
      </c>
      <c r="G932" s="5" t="inlineStr">
        <is>
          <t>PR2425-05742</t>
        </is>
      </c>
      <c r="H932" s="5" t="inlineStr">
        <is>
          <t>PO2425-06720</t>
        </is>
      </c>
      <c r="I932" s="290">
        <f>IF(RawDataGenPO[[#This Row],[PO No.]]="","",RawDataGenPO[[#This Row],[DMY Create PR]]+7)</f>
        <v/>
      </c>
      <c r="J932" s="290" t="n"/>
      <c r="K932" s="20" t="n">
        <v>30</v>
      </c>
      <c r="L932" s="5" t="inlineStr">
        <is>
          <t>SFST81000009</t>
        </is>
      </c>
      <c r="M932" s="7" t="inlineStr">
        <is>
          <t>Tool and Equipment  Engineering</t>
        </is>
      </c>
      <c r="N932" s="7" t="inlineStr">
        <is>
          <t>Tool and Equipment</t>
        </is>
      </c>
      <c r="O932" s="11" t="n">
        <v>3</v>
      </c>
      <c r="P932" s="80" t="inlineStr">
        <is>
          <t>screwheadwafer drill point coatedPhillips screwheadround 8x1inch (1box/1000pcs)</t>
        </is>
      </c>
      <c r="Q932" s="277" t="n">
        <v>1</v>
      </c>
      <c r="R932" s="5" t="inlineStr">
        <is>
          <t>PCS.</t>
        </is>
      </c>
      <c r="S932" s="292">
        <f>RawDataGenPO[[#This Row],[Total price]]/RawDataGenPO[[#This Row],[Qty'']]</f>
        <v/>
      </c>
      <c r="T932" s="278" t="n">
        <v>290</v>
      </c>
      <c r="U932" s="291" t="n"/>
      <c r="V932" s="7" t="inlineStr">
        <is>
          <t>V1000259 - JJP SUPPLY CO., LTD</t>
        </is>
      </c>
      <c r="W932" s="30" t="inlineStr">
        <is>
          <t>Recive bill and GRN already</t>
        </is>
      </c>
      <c r="X932" s="5" t="inlineStr">
        <is>
          <t>GRN2425-0007842</t>
        </is>
      </c>
      <c r="Y932" s="3" t="n">
        <v>45730</v>
      </c>
      <c r="AA932" s="17">
        <f>IF(RawDataGenPO[[#This Row],[Date Gen PO]]="","",RawDataGenPO[[#This Row],[Date recive bill]]-RawDataGenPO[[#This Row],[Date Gen PO]])</f>
        <v/>
      </c>
      <c r="AB932" s="16">
        <f>IF(RawDataGenPO[[#This Row],[GRN-PO date]]&gt;RawDataGenPO[[#This Row],[Lead time delivery (day)]],"over deliverry","Ontime")</f>
        <v/>
      </c>
      <c r="AC932" s="22" t="n"/>
    </row>
    <row r="933" ht="15" customHeight="1">
      <c r="A933" s="5">
        <f>ROW()-ROW(RawDataGenPO[[#Headers],[No.]])</f>
        <v/>
      </c>
      <c r="B933" s="7" t="inlineStr">
        <is>
          <t>Expent  cost</t>
        </is>
      </c>
      <c r="C933" s="301" t="n">
        <v>45707</v>
      </c>
      <c r="F933" s="281" t="n">
        <v>45707</v>
      </c>
      <c r="G933" s="5" t="inlineStr">
        <is>
          <t>PR2425-05742</t>
        </is>
      </c>
      <c r="H933" s="5" t="inlineStr">
        <is>
          <t>PO2425-06720</t>
        </is>
      </c>
      <c r="I933" s="290">
        <f>IF(RawDataGenPO[[#This Row],[PO No.]]="","",RawDataGenPO[[#This Row],[DMY Create PR]]+7)</f>
        <v/>
      </c>
      <c r="J933" s="290" t="n"/>
      <c r="K933" s="20" t="n">
        <v>30</v>
      </c>
      <c r="L933" s="5" t="inlineStr">
        <is>
          <t>SFST81000009</t>
        </is>
      </c>
      <c r="M933" s="7" t="inlineStr">
        <is>
          <t>Tool and Equipment  Engineering</t>
        </is>
      </c>
      <c r="N933" s="7" t="inlineStr">
        <is>
          <t>Tool and Equipment</t>
        </is>
      </c>
      <c r="O933" s="11" t="n">
        <v>4</v>
      </c>
      <c r="P933" s="80" t="inlineStr">
        <is>
          <t>screwheadwafer drill point coatedPhillips screwheadround 8x1/2inch (1box/1000pcs)</t>
        </is>
      </c>
      <c r="Q933" s="277" t="n">
        <v>1</v>
      </c>
      <c r="R933" s="5" t="inlineStr">
        <is>
          <t>PCS.</t>
        </is>
      </c>
      <c r="S933" s="292">
        <f>RawDataGenPO[[#This Row],[Total price]]/RawDataGenPO[[#This Row],[Qty'']]</f>
        <v/>
      </c>
      <c r="T933" s="278" t="n">
        <v>240</v>
      </c>
      <c r="U933" s="291" t="n"/>
      <c r="V933" s="7" t="inlineStr">
        <is>
          <t>V1000259 - JJP SUPPLY CO., LTD</t>
        </is>
      </c>
      <c r="W933" s="30" t="inlineStr">
        <is>
          <t>Recive bill and GRN already</t>
        </is>
      </c>
      <c r="X933" s="5" t="inlineStr">
        <is>
          <t>GRN2425-0007842</t>
        </is>
      </c>
      <c r="Y933" s="3" t="n">
        <v>45730</v>
      </c>
      <c r="AA933" s="17">
        <f>IF(RawDataGenPO[[#This Row],[Date Gen PO]]="","",RawDataGenPO[[#This Row],[Date recive bill]]-RawDataGenPO[[#This Row],[Date Gen PO]])</f>
        <v/>
      </c>
      <c r="AB933" s="16">
        <f>IF(RawDataGenPO[[#This Row],[GRN-PO date]]&gt;RawDataGenPO[[#This Row],[Lead time delivery (day)]],"over deliverry","Ontime")</f>
        <v/>
      </c>
      <c r="AC933" s="22" t="n"/>
    </row>
    <row r="934" ht="15" customHeight="1">
      <c r="A934" s="5">
        <f>ROW()-ROW(RawDataGenPO[[#Headers],[No.]])</f>
        <v/>
      </c>
      <c r="B934" s="7" t="inlineStr">
        <is>
          <t>Expent  cost</t>
        </is>
      </c>
      <c r="C934" s="301" t="n">
        <v>45707</v>
      </c>
      <c r="F934" s="281" t="n">
        <v>45707</v>
      </c>
      <c r="G934" s="5" t="inlineStr">
        <is>
          <t>PR2425-05742</t>
        </is>
      </c>
      <c r="H934" s="5" t="inlineStr">
        <is>
          <t>PO2425-06719</t>
        </is>
      </c>
      <c r="I934" s="290">
        <f>IF(RawDataGenPO[[#This Row],[PO No.]]="","",RawDataGenPO[[#This Row],[DMY Create PR]]+7)</f>
        <v/>
      </c>
      <c r="J934" s="290" t="n"/>
      <c r="K934" s="20" t="n">
        <v>30</v>
      </c>
      <c r="L934" s="5" t="inlineStr">
        <is>
          <t>SFST81000009</t>
        </is>
      </c>
      <c r="M934" s="7" t="inlineStr">
        <is>
          <t>Tool and Equipment  Engineering</t>
        </is>
      </c>
      <c r="N934" s="7" t="inlineStr">
        <is>
          <t>Tool and Equipment</t>
        </is>
      </c>
      <c r="O934" s="11" t="n">
        <v>5</v>
      </c>
      <c r="P934" s="80" t="inlineStr">
        <is>
          <t>screwthreaddischargestainless steelhead 6x1.1/2 inch (1box/500pcs)</t>
        </is>
      </c>
      <c r="Q934" s="277" t="n">
        <v>2</v>
      </c>
      <c r="R934" s="5" t="inlineStr">
        <is>
          <t>PCS.</t>
        </is>
      </c>
      <c r="S934" s="292">
        <f>RawDataGenPO[[#This Row],[Total price]]/RawDataGenPO[[#This Row],[Qty'']]</f>
        <v/>
      </c>
      <c r="T934" s="278" t="n">
        <v>960</v>
      </c>
      <c r="U934" s="291" t="n"/>
      <c r="V934" s="7" t="inlineStr">
        <is>
          <t>V1000306 - Inter Supply (1992) Co., Ltd.</t>
        </is>
      </c>
      <c r="W934" s="30" t="inlineStr">
        <is>
          <t>Recive bill and GRN already</t>
        </is>
      </c>
      <c r="X934" s="5" t="inlineStr">
        <is>
          <t>GRN2425-0007742</t>
        </is>
      </c>
      <c r="Y934" s="3" t="n">
        <v>45728</v>
      </c>
      <c r="AA934" s="17">
        <f>IF(RawDataGenPO[[#This Row],[Date Gen PO]]="","",RawDataGenPO[[#This Row],[Date recive bill]]-RawDataGenPO[[#This Row],[Date Gen PO]])</f>
        <v/>
      </c>
      <c r="AB934" s="16">
        <f>IF(RawDataGenPO[[#This Row],[GRN-PO date]]&gt;RawDataGenPO[[#This Row],[Lead time delivery (day)]],"over deliverry","Ontime")</f>
        <v/>
      </c>
      <c r="AC934" s="22" t="n"/>
    </row>
    <row r="935" ht="15" customHeight="1">
      <c r="A935" s="5">
        <f>ROW()-ROW(RawDataGenPO[[#Headers],[No.]])</f>
        <v/>
      </c>
      <c r="B935" s="7" t="inlineStr">
        <is>
          <t>Expent  cost</t>
        </is>
      </c>
      <c r="C935" s="301" t="n">
        <v>45707</v>
      </c>
      <c r="F935" s="281" t="n">
        <v>45707</v>
      </c>
      <c r="G935" s="5" t="inlineStr">
        <is>
          <t>PR2425-05742</t>
        </is>
      </c>
      <c r="H935" s="5" t="inlineStr">
        <is>
          <t>PO2425-06719</t>
        </is>
      </c>
      <c r="I935" s="290">
        <f>IF(RawDataGenPO[[#This Row],[PO No.]]="","",RawDataGenPO[[#This Row],[DMY Create PR]]+7)</f>
        <v/>
      </c>
      <c r="J935" s="290" t="n"/>
      <c r="K935" s="20" t="n">
        <v>30</v>
      </c>
      <c r="L935" s="5" t="inlineStr">
        <is>
          <t>SFST81000009</t>
        </is>
      </c>
      <c r="M935" s="7" t="inlineStr">
        <is>
          <t>Tool and Equipment  Engineering</t>
        </is>
      </c>
      <c r="N935" s="7" t="inlineStr">
        <is>
          <t>Tool and Equipment</t>
        </is>
      </c>
      <c r="O935" s="11" t="n">
        <v>6</v>
      </c>
      <c r="P935" s="80" t="inlineStr">
        <is>
          <t>screwthreaddischargestainless steelheadcountersunk Phillips 6x1 inch (1box/1000pcs)</t>
        </is>
      </c>
      <c r="Q935" s="277" t="n">
        <v>1</v>
      </c>
      <c r="R935" s="5" t="inlineStr">
        <is>
          <t>PCS.</t>
        </is>
      </c>
      <c r="S935" s="292">
        <f>RawDataGenPO[[#This Row],[Total price]]/RawDataGenPO[[#This Row],[Qty'']]</f>
        <v/>
      </c>
      <c r="T935" s="278" t="n">
        <v>720</v>
      </c>
      <c r="U935" s="291" t="n"/>
      <c r="V935" s="7" t="inlineStr">
        <is>
          <t>V1000306 - Inter Supply (1992) Co., Ltd.</t>
        </is>
      </c>
      <c r="W935" s="30" t="inlineStr">
        <is>
          <t>Recive bill and GRN already</t>
        </is>
      </c>
      <c r="X935" s="5" t="inlineStr">
        <is>
          <t>GRN2425-0007742</t>
        </is>
      </c>
      <c r="Y935" s="3" t="n">
        <v>45728</v>
      </c>
      <c r="AA935" s="17">
        <f>IF(RawDataGenPO[[#This Row],[Date Gen PO]]="","",RawDataGenPO[[#This Row],[Date recive bill]]-RawDataGenPO[[#This Row],[Date Gen PO]])</f>
        <v/>
      </c>
      <c r="AB935" s="16">
        <f>IF(RawDataGenPO[[#This Row],[GRN-PO date]]&gt;RawDataGenPO[[#This Row],[Lead time delivery (day)]],"over deliverry","Ontime")</f>
        <v/>
      </c>
      <c r="AC935" s="22" t="n"/>
    </row>
    <row r="936" ht="15" customHeight="1">
      <c r="A936" s="5">
        <f>ROW()-ROW(RawDataGenPO[[#Headers],[No.]])</f>
        <v/>
      </c>
      <c r="B936" s="7" t="inlineStr">
        <is>
          <t>Expent  cost</t>
        </is>
      </c>
      <c r="C936" s="301" t="n">
        <v>45707</v>
      </c>
      <c r="F936" s="281" t="n">
        <v>45707</v>
      </c>
      <c r="G936" s="5" t="inlineStr">
        <is>
          <t>PR2425-05742</t>
        </is>
      </c>
      <c r="H936" s="5" t="inlineStr">
        <is>
          <t>PO2425-06719</t>
        </is>
      </c>
      <c r="I936" s="290">
        <f>IF(RawDataGenPO[[#This Row],[PO No.]]="","",RawDataGenPO[[#This Row],[DMY Create PR]]+7)</f>
        <v/>
      </c>
      <c r="J936" s="290" t="n"/>
      <c r="K936" s="20" t="n">
        <v>30</v>
      </c>
      <c r="L936" s="5" t="inlineStr">
        <is>
          <t>SFST81000009</t>
        </is>
      </c>
      <c r="M936" s="7" t="inlineStr">
        <is>
          <t>Tool and Equipment  Engineering</t>
        </is>
      </c>
      <c r="N936" s="7" t="inlineStr">
        <is>
          <t>Tool and Equipment</t>
        </is>
      </c>
      <c r="O936" s="11" t="n">
        <v>7</v>
      </c>
      <c r="P936" s="80" t="inlineStr">
        <is>
          <t>screwthreaddischargestainless steel screwheadround 6x1 inch (1box/1000pcs)</t>
        </is>
      </c>
      <c r="Q936" s="277" t="n">
        <v>1</v>
      </c>
      <c r="R936" s="5" t="inlineStr">
        <is>
          <t>PCS.</t>
        </is>
      </c>
      <c r="S936" s="292">
        <f>RawDataGenPO[[#This Row],[Total price]]/RawDataGenPO[[#This Row],[Qty'']]</f>
        <v/>
      </c>
      <c r="T936" s="278" t="n">
        <v>720</v>
      </c>
      <c r="U936" s="291" t="n"/>
      <c r="V936" s="7" t="inlineStr">
        <is>
          <t>V1000306 - Inter Supply (1992) Co., Ltd.</t>
        </is>
      </c>
      <c r="W936" s="30" t="inlineStr">
        <is>
          <t>Recive bill and GRN already</t>
        </is>
      </c>
      <c r="X936" s="5" t="inlineStr">
        <is>
          <t>GRN2425-0007742</t>
        </is>
      </c>
      <c r="Y936" s="3" t="n">
        <v>45728</v>
      </c>
      <c r="AA936" s="17">
        <f>IF(RawDataGenPO[[#This Row],[Date Gen PO]]="","",RawDataGenPO[[#This Row],[Date recive bill]]-RawDataGenPO[[#This Row],[Date Gen PO]])</f>
        <v/>
      </c>
      <c r="AB936" s="16">
        <f>IF(RawDataGenPO[[#This Row],[GRN-PO date]]&gt;RawDataGenPO[[#This Row],[Lead time delivery (day)]],"over deliverry","Ontime")</f>
        <v/>
      </c>
      <c r="AC936" s="22" t="n"/>
    </row>
    <row r="937" ht="15" customHeight="1">
      <c r="A937" s="5">
        <f>ROW()-ROW(RawDataGenPO[[#Headers],[No.]])</f>
        <v/>
      </c>
      <c r="B937" s="7" t="inlineStr">
        <is>
          <t>Expent  cost</t>
        </is>
      </c>
      <c r="C937" s="301" t="n">
        <v>45707</v>
      </c>
      <c r="F937" s="281" t="n">
        <v>45707</v>
      </c>
      <c r="G937" s="5" t="inlineStr">
        <is>
          <t>PR2425-05742</t>
        </is>
      </c>
      <c r="H937" s="5" t="inlineStr">
        <is>
          <t>PO2425-06719</t>
        </is>
      </c>
      <c r="I937" s="290">
        <f>IF(RawDataGenPO[[#This Row],[PO No.]]="","",RawDataGenPO[[#This Row],[DMY Create PR]]+7)</f>
        <v/>
      </c>
      <c r="J937" s="290" t="n"/>
      <c r="K937" s="20" t="n">
        <v>30</v>
      </c>
      <c r="L937" s="5" t="inlineStr">
        <is>
          <t>SFST81000009</t>
        </is>
      </c>
      <c r="M937" s="7" t="inlineStr">
        <is>
          <t>Tool and Equipment  Engineering</t>
        </is>
      </c>
      <c r="N937" s="7" t="inlineStr">
        <is>
          <t>Tool and Equipment</t>
        </is>
      </c>
      <c r="O937" s="11" t="n">
        <v>8</v>
      </c>
      <c r="P937" s="80" t="inlineStr">
        <is>
          <t>screwthreaddischargestainless steel screwheadround 6x1.1/2 inch (1box/500pcs)</t>
        </is>
      </c>
      <c r="Q937" s="277" t="n">
        <v>2</v>
      </c>
      <c r="R937" s="5" t="inlineStr">
        <is>
          <t>PCS.</t>
        </is>
      </c>
      <c r="S937" s="292">
        <f>RawDataGenPO[[#This Row],[Total price]]/RawDataGenPO[[#This Row],[Qty'']]</f>
        <v/>
      </c>
      <c r="T937" s="278" t="n">
        <v>960</v>
      </c>
      <c r="U937" s="291" t="n"/>
      <c r="V937" s="7" t="inlineStr">
        <is>
          <t>V1000306 - Inter Supply (1992) Co., Ltd.</t>
        </is>
      </c>
      <c r="W937" s="30" t="inlineStr">
        <is>
          <t>Recive bill and GRN already</t>
        </is>
      </c>
      <c r="X937" s="5" t="inlineStr">
        <is>
          <t>GRN2425-0007742</t>
        </is>
      </c>
      <c r="Y937" s="3" t="n">
        <v>45728</v>
      </c>
      <c r="AA937" s="17">
        <f>IF(RawDataGenPO[[#This Row],[Date Gen PO]]="","",RawDataGenPO[[#This Row],[Date recive bill]]-RawDataGenPO[[#This Row],[Date Gen PO]])</f>
        <v/>
      </c>
      <c r="AB937" s="16">
        <f>IF(RawDataGenPO[[#This Row],[GRN-PO date]]&gt;RawDataGenPO[[#This Row],[Lead time delivery (day)]],"over deliverry","Ontime")</f>
        <v/>
      </c>
      <c r="AC937" s="22" t="n"/>
    </row>
    <row r="938" ht="75" customHeight="1">
      <c r="A938" s="5">
        <f>ROW()-ROW(RawDataGenPO[[#Headers],[No.]])</f>
        <v/>
      </c>
      <c r="B938" s="7" t="inlineStr">
        <is>
          <t>Expent  cost</t>
        </is>
      </c>
      <c r="C938" s="301" t="n">
        <v>45707</v>
      </c>
      <c r="F938" s="281" t="n">
        <v>45707</v>
      </c>
      <c r="G938" s="5" t="inlineStr">
        <is>
          <t>PR2425-05743</t>
        </is>
      </c>
      <c r="H938" s="5" t="inlineStr">
        <is>
          <t>PO2425-06721</t>
        </is>
      </c>
      <c r="I938" s="290">
        <f>IF(RawDataGenPO[[#This Row],[PO No.]]="","",RawDataGenPO[[#This Row],[DMY Create PR]]+7)</f>
        <v/>
      </c>
      <c r="J938" s="290" t="n"/>
      <c r="K938" s="20" t="n">
        <v>30</v>
      </c>
      <c r="L938" s="5" t="inlineStr">
        <is>
          <t>SFST81000064</t>
        </is>
      </c>
      <c r="M938" s="7" t="inlineStr">
        <is>
          <t xml:space="preserve">Waste water </t>
        </is>
      </c>
      <c r="N938" s="7" t="inlineStr">
        <is>
          <t>Safety  annual jobs</t>
        </is>
      </c>
      <c r="O938" s="11" t="n">
        <v>1</v>
      </c>
      <c r="P938" s="80" t="inlineStr">
        <is>
          <t>Wastewater analysis and measurement fee
- February measurement every 3 months
- inlet point
- outlet point
- discharge point in front of factory</t>
        </is>
      </c>
      <c r="Q938" s="277" t="n">
        <v>1</v>
      </c>
      <c r="R938" s="5" t="inlineStr">
        <is>
          <t>JOB.</t>
        </is>
      </c>
      <c r="S938" s="292">
        <f>RawDataGenPO[[#This Row],[Total price]]/RawDataGenPO[[#This Row],[Qty'']]</f>
        <v/>
      </c>
      <c r="T938" s="278" t="n">
        <v>5250</v>
      </c>
      <c r="U938" s="291" t="n"/>
      <c r="V938" s="7" t="inlineStr">
        <is>
          <t>V1000124 - S.P.J. SCIENTIFIC CO., LTD.</t>
        </is>
      </c>
      <c r="W938" s="30" t="inlineStr">
        <is>
          <t>Recive bill and GRN already</t>
        </is>
      </c>
      <c r="X938" s="5" t="inlineStr">
        <is>
          <t>GRN2425-0007699</t>
        </is>
      </c>
      <c r="Y938" s="3" t="n">
        <v>45727</v>
      </c>
      <c r="AA938" s="17">
        <f>IF(RawDataGenPO[[#This Row],[Date Gen PO]]="","",RawDataGenPO[[#This Row],[Date recive bill]]-RawDataGenPO[[#This Row],[Date Gen PO]])</f>
        <v/>
      </c>
      <c r="AB938" s="16">
        <f>IF(RawDataGenPO[[#This Row],[GRN-PO date]]&gt;RawDataGenPO[[#This Row],[Lead time delivery (day)]],"over deliverry","Ontime")</f>
        <v/>
      </c>
      <c r="AC938" s="22" t="n"/>
    </row>
    <row r="939" ht="30" customHeight="1">
      <c r="A939" s="5">
        <f>ROW()-ROW(RawDataGenPO[[#Headers],[No.]])</f>
        <v/>
      </c>
      <c r="B939" s="7" t="inlineStr">
        <is>
          <t>Expent  cost</t>
        </is>
      </c>
      <c r="C939" s="301" t="n">
        <v>45707</v>
      </c>
      <c r="F939" s="281" t="n">
        <v>45707</v>
      </c>
      <c r="G939" s="5" t="inlineStr">
        <is>
          <t xml:space="preserve">PR2425-05744 </t>
        </is>
      </c>
      <c r="H939" s="5" t="inlineStr">
        <is>
          <t>PO2425-06717</t>
        </is>
      </c>
      <c r="I939" s="290">
        <f>IF(RawDataGenPO[[#This Row],[PO No.]]="","",RawDataGenPO[[#This Row],[DMY Create PR]]+7)</f>
        <v/>
      </c>
      <c r="J939" s="290" t="n"/>
      <c r="K939" s="20" t="n">
        <v>100</v>
      </c>
      <c r="L939" s="5" t="inlineStr">
        <is>
          <t>SFST81000050</t>
        </is>
      </c>
      <c r="M939" s="7" t="inlineStr">
        <is>
          <t>Tool and Equipment  Engineering</t>
        </is>
      </c>
      <c r="N939" s="7" t="inlineStr">
        <is>
          <t>Tool and Equipment</t>
        </is>
      </c>
      <c r="O939" s="11" t="n">
        <v>1</v>
      </c>
      <c r="P939" s="80" t="inlineStr">
        <is>
          <t>"TOTAL" THT2910003 voltage tester pen with LED indication
frequency : 50/60Hz</t>
        </is>
      </c>
      <c r="Q939" s="277" t="n">
        <v>5</v>
      </c>
      <c r="R939" s="5" t="inlineStr">
        <is>
          <t>EA.</t>
        </is>
      </c>
      <c r="S939" s="292">
        <f>RawDataGenPO[[#This Row],[Total price]]/RawDataGenPO[[#This Row],[Qty'']]</f>
        <v/>
      </c>
      <c r="T939" s="278" t="n">
        <v>1310.75</v>
      </c>
      <c r="U939" s="291" t="n"/>
      <c r="V939" s="7" t="inlineStr">
        <is>
          <t>V1000567 - KRUEANG MUE RUNG REUNG CO., LTD.</t>
        </is>
      </c>
      <c r="W939" s="30" t="inlineStr">
        <is>
          <t>Recive bill and GRN already</t>
        </is>
      </c>
      <c r="X939" s="5" t="inlineStr">
        <is>
          <t>GRN2526-0001424</t>
        </is>
      </c>
      <c r="Y939" s="3" t="n">
        <v>45812</v>
      </c>
      <c r="AA939" s="17">
        <f>IF(RawDataGenPO[[#This Row],[Date Gen PO]]="","",RawDataGenPO[[#This Row],[Date recive bill]]-RawDataGenPO[[#This Row],[Date Gen PO]])</f>
        <v/>
      </c>
      <c r="AB939" s="16">
        <f>IF(RawDataGenPO[[#This Row],[GRN-PO date]]&gt;RawDataGenPO[[#This Row],[Lead time delivery (day)]],"over deliverry","Ontime")</f>
        <v/>
      </c>
      <c r="AC939" s="22" t="n"/>
    </row>
    <row r="940" ht="15" customHeight="1">
      <c r="A940" s="5">
        <f>ROW()-ROW(RawDataGenPO[[#Headers],[No.]])</f>
        <v/>
      </c>
      <c r="B940" s="7" t="inlineStr">
        <is>
          <t>Expent  cost</t>
        </is>
      </c>
      <c r="C940" s="301" t="n">
        <v>45707</v>
      </c>
      <c r="F940" s="281" t="n">
        <v>45707</v>
      </c>
      <c r="G940" s="5" t="inlineStr">
        <is>
          <t xml:space="preserve">PR2425-05744 </t>
        </is>
      </c>
      <c r="H940" s="5" t="inlineStr">
        <is>
          <t>PO2425-06717</t>
        </is>
      </c>
      <c r="I940" s="290">
        <f>IF(RawDataGenPO[[#This Row],[PO No.]]="","",RawDataGenPO[[#This Row],[DMY Create PR]]+7)</f>
        <v/>
      </c>
      <c r="J940" s="290" t="n"/>
      <c r="K940" s="20" t="n">
        <v>100</v>
      </c>
      <c r="L940" s="5" t="inlineStr">
        <is>
          <t>SFST81000050</t>
        </is>
      </c>
      <c r="M940" s="7" t="inlineStr">
        <is>
          <t>Tool and Equipment  Engineering</t>
        </is>
      </c>
      <c r="N940" s="7" t="inlineStr">
        <is>
          <t>Tool and Equipment</t>
        </is>
      </c>
      <c r="O940" s="11" t="n">
        <v>2</v>
      </c>
      <c r="P940" s="80" t="inlineStr">
        <is>
          <t>"TOTAL" TWLI2025 LED spotlight LED 20V</t>
        </is>
      </c>
      <c r="Q940" s="277" t="n">
        <v>2</v>
      </c>
      <c r="R940" s="5" t="inlineStr">
        <is>
          <t>EA.</t>
        </is>
      </c>
      <c r="S940" s="292">
        <f>RawDataGenPO[[#This Row],[Total price]]/RawDataGenPO[[#This Row],[Qty'']]</f>
        <v/>
      </c>
      <c r="T940" s="278" t="n">
        <v>1668.22</v>
      </c>
      <c r="U940" s="291" t="n"/>
      <c r="V940" s="7" t="inlineStr">
        <is>
          <t>V1000567 - KRUEANG MUE RUNG REUNG CO., LTD.</t>
        </is>
      </c>
      <c r="W940" s="30" t="inlineStr">
        <is>
          <t>Recive bill and GRN already</t>
        </is>
      </c>
      <c r="X940" s="5" t="inlineStr">
        <is>
          <t>GRN2526-0001424</t>
        </is>
      </c>
      <c r="Y940" s="3" t="n">
        <v>45812</v>
      </c>
      <c r="AA940" s="17">
        <f>IF(RawDataGenPO[[#This Row],[Date Gen PO]]="","",RawDataGenPO[[#This Row],[Date recive bill]]-RawDataGenPO[[#This Row],[Date Gen PO]])</f>
        <v/>
      </c>
      <c r="AB940" s="16">
        <f>IF(RawDataGenPO[[#This Row],[GRN-PO date]]&gt;RawDataGenPO[[#This Row],[Lead time delivery (day)]],"over deliverry","Ontime")</f>
        <v/>
      </c>
      <c r="AC940" s="22" t="n"/>
    </row>
    <row r="941" ht="15" customHeight="1">
      <c r="A941" s="5">
        <f>ROW()-ROW(RawDataGenPO[[#Headers],[No.]])</f>
        <v/>
      </c>
      <c r="B941" s="7" t="inlineStr">
        <is>
          <t>Expent  cost</t>
        </is>
      </c>
      <c r="C941" s="301" t="n">
        <v>45707</v>
      </c>
      <c r="F941" s="281" t="n">
        <v>45707</v>
      </c>
      <c r="G941" s="5" t="inlineStr">
        <is>
          <t xml:space="preserve">PR2425-05744 </t>
        </is>
      </c>
      <c r="H941" s="5" t="inlineStr">
        <is>
          <t>PO2425-06717</t>
        </is>
      </c>
      <c r="I941" s="290">
        <f>IF(RawDataGenPO[[#This Row],[PO No.]]="","",RawDataGenPO[[#This Row],[DMY Create PR]]+7)</f>
        <v/>
      </c>
      <c r="J941" s="290" t="n"/>
      <c r="K941" s="20" t="n">
        <v>100</v>
      </c>
      <c r="L941" s="5" t="inlineStr">
        <is>
          <t>SFST81000050</t>
        </is>
      </c>
      <c r="M941" s="7" t="inlineStr">
        <is>
          <t>Tool and Equipment  Engineering</t>
        </is>
      </c>
      <c r="N941" s="7" t="inlineStr">
        <is>
          <t>Tool and Equipment</t>
        </is>
      </c>
      <c r="O941" s="11" t="n">
        <v>3</v>
      </c>
      <c r="P941" s="80" t="inlineStr">
        <is>
          <t>"TOTAL" THT141253 box set 24 piece 1/2 inch size 10-32 mm</t>
        </is>
      </c>
      <c r="Q941" s="277" t="n">
        <v>1</v>
      </c>
      <c r="R941" s="5" t="inlineStr">
        <is>
          <t>EA.</t>
        </is>
      </c>
      <c r="S941" s="292">
        <f>RawDataGenPO[[#This Row],[Total price]]/RawDataGenPO[[#This Row],[Qty'']]</f>
        <v/>
      </c>
      <c r="T941" s="278" t="n">
        <v>1501.4</v>
      </c>
      <c r="U941" s="291" t="n"/>
      <c r="V941" s="7" t="inlineStr">
        <is>
          <t>V1000567 - KRUEANG MUE RUNG REUNG CO., LTD.</t>
        </is>
      </c>
      <c r="W941" s="30" t="inlineStr">
        <is>
          <t>Recive bill and GRN already</t>
        </is>
      </c>
      <c r="X941" s="5" t="inlineStr">
        <is>
          <t>GRN2526-0001424</t>
        </is>
      </c>
      <c r="Y941" s="3" t="n">
        <v>45812</v>
      </c>
      <c r="AA941" s="17">
        <f>IF(RawDataGenPO[[#This Row],[Date Gen PO]]="","",RawDataGenPO[[#This Row],[Date recive bill]]-RawDataGenPO[[#This Row],[Date Gen PO]])</f>
        <v/>
      </c>
      <c r="AB941" s="16">
        <f>IF(RawDataGenPO[[#This Row],[GRN-PO date]]&gt;RawDataGenPO[[#This Row],[Lead time delivery (day)]],"over deliverry","Ontime")</f>
        <v/>
      </c>
      <c r="AC941" s="22" t="n"/>
    </row>
    <row r="942" ht="44.25" customHeight="1">
      <c r="A942" s="5">
        <f>ROW()-ROW(RawDataGenPO[[#Headers],[No.]])</f>
        <v/>
      </c>
      <c r="B942" s="7" t="inlineStr">
        <is>
          <t>Expent  cost</t>
        </is>
      </c>
      <c r="C942" s="301" t="n">
        <v>45707</v>
      </c>
      <c r="F942" s="281" t="n">
        <v>45707</v>
      </c>
      <c r="G942" s="5" t="inlineStr">
        <is>
          <t>PR2425-05745</t>
        </is>
      </c>
      <c r="H942" s="5" t="inlineStr">
        <is>
          <t xml:space="preserve">PO2425-06718 </t>
        </is>
      </c>
      <c r="I942" s="290">
        <f>IF(RawDataGenPO[[#This Row],[PO No.]]="","",RawDataGenPO[[#This Row],[DMY Create PR]]+7)</f>
        <v/>
      </c>
      <c r="J942" s="290" t="n"/>
      <c r="K942" s="20" t="n">
        <v>30</v>
      </c>
      <c r="L942" s="5" t="inlineStr">
        <is>
          <t>SFST81000009</t>
        </is>
      </c>
      <c r="M942" s="7" t="inlineStr">
        <is>
          <t>PD Machine</t>
        </is>
      </c>
      <c r="N942" s="7" t="inlineStr">
        <is>
          <t>Bowl Cutter (Chopper) No.1</t>
        </is>
      </c>
      <c r="O942" s="11" t="n">
        <v>1</v>
      </c>
      <c r="P942" s="80" t="inlineStr">
        <is>
          <t>Edge sealing profile, Part No. 4100426
- machine Bowl cutter, K+G WETTER CM 120 STL
- SPARE PART seerial no. 420/1217</t>
        </is>
      </c>
      <c r="Q942" s="277" t="n">
        <v>7</v>
      </c>
      <c r="R942" s="5" t="inlineStr">
        <is>
          <t>M.</t>
        </is>
      </c>
      <c r="S942" s="292">
        <f>RawDataGenPO[[#This Row],[Total price]]/RawDataGenPO[[#This Row],[Qty'']]</f>
        <v/>
      </c>
      <c r="T942" s="278" t="n">
        <v>3657.5</v>
      </c>
      <c r="U942" s="291" t="n"/>
      <c r="V942" s="7" t="inlineStr">
        <is>
          <t>V1000782 - Forefront Foodtech Co.,Ltd.</t>
        </is>
      </c>
      <c r="W942" s="30" t="inlineStr">
        <is>
          <t>Recive bill and GRN already</t>
        </is>
      </c>
      <c r="X942" s="5" t="inlineStr">
        <is>
          <t>GRN2425-0007827</t>
        </is>
      </c>
      <c r="Y942" s="3" t="n">
        <v>45733</v>
      </c>
      <c r="AA942" s="17">
        <f>IF(RawDataGenPO[[#This Row],[Date Gen PO]]="","",RawDataGenPO[[#This Row],[Date recive bill]]-RawDataGenPO[[#This Row],[Date Gen PO]])</f>
        <v/>
      </c>
      <c r="AB942" s="16">
        <f>IF(RawDataGenPO[[#This Row],[GRN-PO date]]&gt;RawDataGenPO[[#This Row],[Lead time delivery (day)]],"over deliverry","Ontime")</f>
        <v/>
      </c>
      <c r="AC942" s="22" t="n"/>
    </row>
    <row r="943" ht="15" customHeight="1">
      <c r="A943" s="5">
        <f>ROW()-ROW(RawDataGenPO[[#Headers],[No.]])</f>
        <v/>
      </c>
      <c r="B943" s="7" t="inlineStr">
        <is>
          <t>Expent  cost</t>
        </is>
      </c>
      <c r="C943" s="301" t="n">
        <v>45707</v>
      </c>
      <c r="F943" s="281" t="n">
        <v>45707</v>
      </c>
      <c r="G943" s="5" t="inlineStr">
        <is>
          <t>PR2425-05746</t>
        </is>
      </c>
      <c r="H943" s="5" t="inlineStr">
        <is>
          <t xml:space="preserve">PO2425-06718 </t>
        </is>
      </c>
      <c r="I943" s="290">
        <f>IF(RawDataGenPO[[#This Row],[PO No.]]="","",RawDataGenPO[[#This Row],[DMY Create PR]]+7)</f>
        <v/>
      </c>
      <c r="J943" s="290" t="n"/>
      <c r="K943" s="20">
        <f>IF(RawDataGenPO[[#This Row],[PO No.]]="","",10)</f>
        <v/>
      </c>
      <c r="L943" s="5" t="inlineStr">
        <is>
          <t>SFST81000009</t>
        </is>
      </c>
      <c r="M943" s="7" t="inlineStr">
        <is>
          <t>Tool and Equipment PD M/C</t>
        </is>
      </c>
      <c r="N943" s="7" t="inlineStr">
        <is>
          <t>Eletrical part</t>
        </is>
      </c>
      <c r="O943" s="11" t="n">
        <v>1</v>
      </c>
      <c r="P943" s="130" t="inlineStr">
        <is>
          <t>electrical cablelight blue Yazaki VCT-G 4x4/4 sqmm. 5 shaft (5x4 sqmm)</t>
        </is>
      </c>
      <c r="Q943" s="277" t="n">
        <v>100</v>
      </c>
      <c r="R943" s="5" t="inlineStr">
        <is>
          <t>M.</t>
        </is>
      </c>
      <c r="S943" s="292">
        <f>RawDataGenPO[[#This Row],[Total price]]/RawDataGenPO[[#This Row],[Qty'']]</f>
        <v/>
      </c>
      <c r="T943" s="278" t="n">
        <v>14367</v>
      </c>
      <c r="U943" s="291" t="n"/>
      <c r="V943" s="7" t="inlineStr">
        <is>
          <t>V1000276 - SN. ELECTRIC AND SUPPLY CO., LTD.</t>
        </is>
      </c>
      <c r="W943" s="30" t="inlineStr">
        <is>
          <t>Recive bill and GRN already</t>
        </is>
      </c>
      <c r="X943" s="5" t="inlineStr">
        <is>
          <t>GRN2425-0007602</t>
        </is>
      </c>
      <c r="Y943" s="3" t="n">
        <v>45721</v>
      </c>
      <c r="AA943" s="17">
        <f>IF(RawDataGenPO[[#This Row],[Date Gen PO]]="","",RawDataGenPO[[#This Row],[Date recive bill]]-RawDataGenPO[[#This Row],[Date Gen PO]])</f>
        <v/>
      </c>
      <c r="AB943" s="16">
        <f>IF(RawDataGenPO[[#This Row],[GRN-PO date]]&gt;RawDataGenPO[[#This Row],[Lead time delivery (day)]],"over deliverry","Ontime")</f>
        <v/>
      </c>
      <c r="AC943" s="22" t="n"/>
    </row>
    <row r="944" ht="15" customHeight="1">
      <c r="A944" s="5">
        <f>ROW()-ROW(RawDataGenPO[[#Headers],[No.]])</f>
        <v/>
      </c>
      <c r="B944" s="7" t="inlineStr">
        <is>
          <t>Expent  cost</t>
        </is>
      </c>
      <c r="C944" s="301" t="n">
        <v>45707</v>
      </c>
      <c r="F944" s="281" t="n">
        <v>45707</v>
      </c>
      <c r="G944" s="5" t="inlineStr">
        <is>
          <t>PR2425-05746</t>
        </is>
      </c>
      <c r="H944" s="5" t="inlineStr">
        <is>
          <t xml:space="preserve">PO2425-06718 </t>
        </is>
      </c>
      <c r="I944" s="290">
        <f>IF(RawDataGenPO[[#This Row],[PO No.]]="","",RawDataGenPO[[#This Row],[DMY Create PR]]+7)</f>
        <v/>
      </c>
      <c r="J944" s="290" t="n"/>
      <c r="K944" s="20">
        <f>IF(RawDataGenPO[[#This Row],[PO No.]]="","",10)</f>
        <v/>
      </c>
      <c r="L944" s="5" t="inlineStr">
        <is>
          <t>SFST81000009</t>
        </is>
      </c>
      <c r="M944" s="7" t="inlineStr">
        <is>
          <t>Tool and Equipment PD M/C</t>
        </is>
      </c>
      <c r="N944" s="7" t="inlineStr">
        <is>
          <t>Eletrical part</t>
        </is>
      </c>
      <c r="O944" s="11" t="n">
        <v>2</v>
      </c>
      <c r="P944" s="130" t="inlineStr">
        <is>
          <t>electrical cablelight blue Yazaki VCT-G 4x2.5/2.5 sqmm. 5 shaft (5x2.5 sqmm)</t>
        </is>
      </c>
      <c r="Q944" s="277" t="n">
        <v>100</v>
      </c>
      <c r="R944" s="5" t="inlineStr">
        <is>
          <t>M.</t>
        </is>
      </c>
      <c r="S944" s="292">
        <f>RawDataGenPO[[#This Row],[Total price]]/RawDataGenPO[[#This Row],[Qty'']]</f>
        <v/>
      </c>
      <c r="T944" s="278" t="n">
        <v>9419</v>
      </c>
      <c r="U944" s="291" t="n"/>
      <c r="V944" s="7" t="inlineStr">
        <is>
          <t>V1000276 - SN. ELECTRIC AND SUPPLY CO., LTD.</t>
        </is>
      </c>
      <c r="W944" s="30" t="inlineStr">
        <is>
          <t>Recive bill and GRN already</t>
        </is>
      </c>
      <c r="X944" s="5" t="inlineStr">
        <is>
          <t>GRN2425-0007602</t>
        </is>
      </c>
      <c r="Y944" s="3" t="n">
        <v>45721</v>
      </c>
      <c r="AA944" s="17">
        <f>IF(RawDataGenPO[[#This Row],[Date Gen PO]]="","",RawDataGenPO[[#This Row],[Date recive bill]]-RawDataGenPO[[#This Row],[Date Gen PO]])</f>
        <v/>
      </c>
      <c r="AB944" s="16">
        <f>IF(RawDataGenPO[[#This Row],[GRN-PO date]]&gt;RawDataGenPO[[#This Row],[Lead time delivery (day)]],"over deliverry","Ontime")</f>
        <v/>
      </c>
      <c r="AC944" s="22" t="n"/>
    </row>
    <row r="945" ht="90" customHeight="1">
      <c r="A945" s="5">
        <f>ROW()-ROW(RawDataGenPO[[#Headers],[No.]])</f>
        <v/>
      </c>
      <c r="B945" s="7" t="inlineStr">
        <is>
          <t>Expent  cost</t>
        </is>
      </c>
      <c r="C945" s="301" t="n">
        <v>45707</v>
      </c>
      <c r="F945" s="281" t="n">
        <v>45707</v>
      </c>
      <c r="G945" s="5" t="inlineStr">
        <is>
          <t>PR2425-05747</t>
        </is>
      </c>
      <c r="H945" s="5" t="inlineStr">
        <is>
          <t>PO2425-06716</t>
        </is>
      </c>
      <c r="I945" s="290">
        <f>IF(RawDataGenPO[[#This Row],[PO No.]]="","",RawDataGenPO[[#This Row],[DMY Create PR]]+7)</f>
        <v/>
      </c>
      <c r="J945" s="290" t="n"/>
      <c r="K945" s="20" t="n">
        <v>60</v>
      </c>
      <c r="L945" s="5" t="inlineStr">
        <is>
          <t>SFST81000048</t>
        </is>
      </c>
      <c r="M945" s="7" t="inlineStr">
        <is>
          <t>Tool and Equipment PD M/C</t>
        </is>
      </c>
      <c r="N945" s="7" t="inlineStr">
        <is>
          <t>Tool and Equipment</t>
        </is>
      </c>
      <c r="O945" s="11" t="n">
        <v>1</v>
      </c>
      <c r="P945" s="80" t="inlineStr">
        <is>
          <t>"NCD" SAFETY VALVE Model: SS106-10
- Mat.Body: Stainless 316
- Mat.Seat: 316
- Pressure Range: 0.3 to 10 kg/cm2
- Size: In 3/4" x Out 1" | BSPT
- Set Pressure: 9 bar</t>
        </is>
      </c>
      <c r="Q945" s="277" t="n">
        <v>1</v>
      </c>
      <c r="R945" s="5" t="inlineStr">
        <is>
          <t>PCS.</t>
        </is>
      </c>
      <c r="S945" s="292">
        <f>RawDataGenPO[[#This Row],[Total price]]/RawDataGenPO[[#This Row],[Qty'']]</f>
        <v/>
      </c>
      <c r="T945" s="278" t="n">
        <v>10500</v>
      </c>
      <c r="U945" s="291" t="n"/>
      <c r="V945" s="7" t="inlineStr">
        <is>
          <t>V1000690 - PAKO ENGINEERING COMPANY LIMITED</t>
        </is>
      </c>
      <c r="W945" s="30" t="inlineStr">
        <is>
          <t>Recive bill and GRN already</t>
        </is>
      </c>
      <c r="X945" s="5" t="inlineStr">
        <is>
          <t>GRN2425-0008177</t>
        </is>
      </c>
      <c r="Y945" s="3" t="n">
        <v>45747</v>
      </c>
      <c r="AA945" s="17">
        <f>IF(RawDataGenPO[[#This Row],[Date Gen PO]]="","",RawDataGenPO[[#This Row],[Date recive bill]]-RawDataGenPO[[#This Row],[Date Gen PO]])</f>
        <v/>
      </c>
      <c r="AB945" s="16">
        <f>IF(RawDataGenPO[[#This Row],[GRN-PO date]]&gt;RawDataGenPO[[#This Row],[Lead time delivery (day)]],"over deliverry","Ontime")</f>
        <v/>
      </c>
      <c r="AC945" s="22" t="n"/>
    </row>
    <row r="946" ht="120" customHeight="1">
      <c r="A946" s="5">
        <f>ROW()-ROW(RawDataGenPO[[#Headers],[No.]])</f>
        <v/>
      </c>
      <c r="B946" s="7" t="inlineStr">
        <is>
          <t>Expent  cost</t>
        </is>
      </c>
      <c r="C946" s="301" t="n">
        <v>45708</v>
      </c>
      <c r="F946" s="281" t="n">
        <v>45708</v>
      </c>
      <c r="G946" s="5" t="inlineStr">
        <is>
          <t>PR2425-05774</t>
        </is>
      </c>
      <c r="H946" s="5" t="inlineStr">
        <is>
          <t>PO2425-06839</t>
        </is>
      </c>
      <c r="I946" s="290">
        <f>IF(RawDataGenPO[[#This Row],[PO No.]]="","",RawDataGenPO[[#This Row],[DMY Create PR]]+7)</f>
        <v/>
      </c>
      <c r="J946" s="290" t="n"/>
      <c r="K946" s="20" t="n">
        <v>30</v>
      </c>
      <c r="L946" s="5" t="inlineStr">
        <is>
          <t>SFST81000004</t>
        </is>
      </c>
      <c r="M946" s="7" t="inlineStr">
        <is>
          <t>PD Machine</t>
        </is>
      </c>
      <c r="N946" s="7" t="inlineStr">
        <is>
          <t>Steam Bratt pan No.1</t>
        </is>
      </c>
      <c r="O946" s="11" t="n">
        <v>1</v>
      </c>
      <c r="P946" s="80" t="inlineStr">
        <is>
          <t>Service charge
- Dismantle BCH Bratt pan No. 1 and move out of area
- Install new Jumainox Bratt pan in place of BCH Bratt pan No. 1 inl. Connecting the staem system
   Connecting elctricity
   Connecting Air pressure
   Commissioning
- Working date Sat-Sun 22-23/02/2025</t>
        </is>
      </c>
      <c r="Q946" s="277" t="n">
        <v>1</v>
      </c>
      <c r="R946" s="5" t="inlineStr">
        <is>
          <t>JOB.</t>
        </is>
      </c>
      <c r="S946" s="292">
        <f>RawDataGenPO[[#This Row],[Total price]]/RawDataGenPO[[#This Row],[Qty'']]</f>
        <v/>
      </c>
      <c r="T946" s="278" t="n">
        <v>49500</v>
      </c>
      <c r="U946" s="291" t="n"/>
      <c r="V946" s="7" t="inlineStr">
        <is>
          <t>V1000189 - FPT FOOD PROCESS TECHNOLOGY CO., LTD.</t>
        </is>
      </c>
      <c r="W946" s="30" t="inlineStr">
        <is>
          <t>Recive bill and GRN already</t>
        </is>
      </c>
      <c r="X946" s="5" t="inlineStr">
        <is>
          <t>GRN2425-0007945</t>
        </is>
      </c>
      <c r="Y946" s="3" t="n">
        <v>45736</v>
      </c>
      <c r="AA946" s="17">
        <f>IF(RawDataGenPO[[#This Row],[Date Gen PO]]="","",RawDataGenPO[[#This Row],[Date recive bill]]-RawDataGenPO[[#This Row],[Date Gen PO]])</f>
        <v/>
      </c>
      <c r="AB946" s="16">
        <f>IF(RawDataGenPO[[#This Row],[GRN-PO date]]&gt;RawDataGenPO[[#This Row],[Lead time delivery (day)]],"over deliverry","Ontime")</f>
        <v/>
      </c>
      <c r="AC946" s="22" t="n"/>
    </row>
    <row r="947" ht="15" customHeight="1">
      <c r="A947" s="5">
        <f>ROW()-ROW(RawDataGenPO[[#Headers],[No.]])</f>
        <v/>
      </c>
      <c r="B947" s="7" t="inlineStr">
        <is>
          <t>Expent  cost</t>
        </is>
      </c>
      <c r="C947" s="301" t="n">
        <v>45712</v>
      </c>
      <c r="F947" s="281" t="n">
        <v>45712</v>
      </c>
      <c r="G947" s="5" t="inlineStr">
        <is>
          <t>PR2425-05819</t>
        </is>
      </c>
      <c r="H947" s="5" t="inlineStr">
        <is>
          <t>PO2425-06920</t>
        </is>
      </c>
      <c r="I947" s="290">
        <f>IF(RawDataGenPO[[#This Row],[PO No.]]="","",RawDataGenPO[[#This Row],[DMY Create PR]]+7)</f>
        <v/>
      </c>
      <c r="J947" s="290" t="n"/>
      <c r="K947" s="20" t="n">
        <v>90</v>
      </c>
      <c r="L947" s="5" t="inlineStr">
        <is>
          <t>SFST34000093</t>
        </is>
      </c>
      <c r="M947" s="7" t="inlineStr">
        <is>
          <t>Consumable part for MN</t>
        </is>
      </c>
      <c r="N947" s="7" t="inlineStr">
        <is>
          <t>Tool and Equipment</t>
        </is>
      </c>
      <c r="O947" s="11" t="n">
        <v>1</v>
      </c>
      <c r="P947" s="80" t="inlineStr">
        <is>
          <t>welding rod size 2.4 mm. (light blue)</t>
        </is>
      </c>
      <c r="Q947" s="277" t="n">
        <v>4</v>
      </c>
      <c r="R947" s="5" t="inlineStr">
        <is>
          <t>Box</t>
        </is>
      </c>
      <c r="S947" s="292">
        <f>RawDataGenPO[[#This Row],[Total price]]/RawDataGenPO[[#This Row],[Qty'']]</f>
        <v/>
      </c>
      <c r="T947" s="278" t="n">
        <v>2080</v>
      </c>
      <c r="U947" s="291" t="n"/>
      <c r="V947" s="7" t="inlineStr">
        <is>
          <t>V1000259 - JJP SUPPLY CO., LTD</t>
        </is>
      </c>
      <c r="W947" s="30" t="inlineStr">
        <is>
          <t>Recive bill and GRN already</t>
        </is>
      </c>
      <c r="X947" s="5" t="inlineStr">
        <is>
          <t>GRN2526-0000108</t>
        </is>
      </c>
      <c r="Y947" s="3" t="n">
        <v>45752</v>
      </c>
      <c r="AA947" s="17">
        <f>IF(RawDataGenPO[[#This Row],[Date Gen PO]]="","",RawDataGenPO[[#This Row],[Date recive bill]]-RawDataGenPO[[#This Row],[Date Gen PO]])</f>
        <v/>
      </c>
      <c r="AB947" s="16">
        <f>IF(RawDataGenPO[[#This Row],[GRN-PO date]]&gt;RawDataGenPO[[#This Row],[Lead time delivery (day)]],"over deliverry","Ontime")</f>
        <v/>
      </c>
      <c r="AC947" s="22" t="n"/>
    </row>
    <row r="948" ht="15" customHeight="1">
      <c r="A948" s="5">
        <f>ROW()-ROW(RawDataGenPO[[#Headers],[No.]])</f>
        <v/>
      </c>
      <c r="B948" s="7" t="inlineStr">
        <is>
          <t>Expent  cost</t>
        </is>
      </c>
      <c r="C948" s="301" t="n">
        <v>45714</v>
      </c>
      <c r="F948" s="281" t="n">
        <v>45714</v>
      </c>
      <c r="G948" s="5" t="inlineStr">
        <is>
          <t>PR2425-05834</t>
        </is>
      </c>
      <c r="H948" s="5" t="inlineStr">
        <is>
          <t>PO2425-06950</t>
        </is>
      </c>
      <c r="I948" s="290">
        <f>IF(RawDataGenPO[[#This Row],[PO No.]]="","",RawDataGenPO[[#This Row],[DMY Create PR]]+7)</f>
        <v/>
      </c>
      <c r="J948" s="290" t="n"/>
      <c r="K948" s="20" t="n">
        <v>30</v>
      </c>
      <c r="L948" s="5" t="inlineStr">
        <is>
          <t>SFST11000067</t>
        </is>
      </c>
      <c r="M948" s="7" t="inlineStr">
        <is>
          <t>Water plant</t>
        </is>
      </c>
      <c r="N948" s="7" t="inlineStr">
        <is>
          <t>Water system jobs</t>
        </is>
      </c>
      <c r="O948" s="11" t="n">
        <v>1</v>
      </c>
      <c r="P948" s="80" t="inlineStr">
        <is>
          <t>sodium 10% + COA</t>
        </is>
      </c>
      <c r="Q948" s="277" t="n">
        <v>200</v>
      </c>
      <c r="R948" s="5" t="inlineStr">
        <is>
          <t>KG.</t>
        </is>
      </c>
      <c r="S948" s="292">
        <f>RawDataGenPO[[#This Row],[Total price]]/RawDataGenPO[[#This Row],[Qty'']]</f>
        <v/>
      </c>
      <c r="T948" s="278" t="n">
        <v>1040</v>
      </c>
      <c r="U948" s="291" t="n"/>
      <c r="V948" s="7" t="inlineStr">
        <is>
          <t>V1000205 - INTERPRETIVE CO.,LTD.</t>
        </is>
      </c>
      <c r="W948" s="30" t="inlineStr">
        <is>
          <t>Recive bill and GRN already</t>
        </is>
      </c>
      <c r="X948" s="5" t="inlineStr">
        <is>
          <t>GRN2425-0007834</t>
        </is>
      </c>
      <c r="Y948" s="3" t="n">
        <v>45733</v>
      </c>
      <c r="AA948" s="17">
        <f>IF(RawDataGenPO[[#This Row],[Date Gen PO]]="","",RawDataGenPO[[#This Row],[Date recive bill]]-RawDataGenPO[[#This Row],[Date Gen PO]])</f>
        <v/>
      </c>
      <c r="AB948" s="16">
        <f>IF(RawDataGenPO[[#This Row],[GRN-PO date]]&gt;RawDataGenPO[[#This Row],[Lead time delivery (day)]],"over deliverry","Ontime")</f>
        <v/>
      </c>
      <c r="AC948" s="22" t="n"/>
    </row>
    <row r="949" ht="15" customHeight="1">
      <c r="A949" s="5">
        <f>ROW()-ROW(RawDataGenPO[[#Headers],[No.]])</f>
        <v/>
      </c>
      <c r="B949" s="7" t="inlineStr">
        <is>
          <t>Expent  cost</t>
        </is>
      </c>
      <c r="C949" s="301" t="n">
        <v>45714</v>
      </c>
      <c r="F949" s="281" t="n">
        <v>45714</v>
      </c>
      <c r="G949" s="5" t="inlineStr">
        <is>
          <t>PR2425-05834</t>
        </is>
      </c>
      <c r="H949" s="5" t="inlineStr">
        <is>
          <t>PO2425-06918</t>
        </is>
      </c>
      <c r="I949" s="290">
        <f>IF(RawDataGenPO[[#This Row],[PO No.]]="","",RawDataGenPO[[#This Row],[DMY Create PR]]+7)</f>
        <v/>
      </c>
      <c r="J949" s="290" t="n"/>
      <c r="K949" s="20">
        <f>IF(RawDataGenPO[[#This Row],[PO No.]]="","",10)</f>
        <v/>
      </c>
      <c r="L949" s="5" t="inlineStr">
        <is>
          <t>SFST11000023</t>
        </is>
      </c>
      <c r="M949" s="7" t="inlineStr">
        <is>
          <t xml:space="preserve">Waste water </t>
        </is>
      </c>
      <c r="N949" s="7" t="inlineStr">
        <is>
          <t>Waste water system Jobs</t>
        </is>
      </c>
      <c r="O949" s="11" t="n">
        <v>2</v>
      </c>
      <c r="P949" s="80" t="inlineStr">
        <is>
          <t>Bio Solution 1 lit</t>
        </is>
      </c>
      <c r="Q949" s="277" t="n">
        <v>2</v>
      </c>
      <c r="R949" s="5" t="inlineStr">
        <is>
          <t>BOT</t>
        </is>
      </c>
      <c r="S949" s="292">
        <f>RawDataGenPO[[#This Row],[Total price]]/RawDataGenPO[[#This Row],[Qty'']]</f>
        <v/>
      </c>
      <c r="T949" s="278" t="n">
        <v>1600</v>
      </c>
      <c r="U949" s="291" t="n"/>
      <c r="V949" s="7" t="inlineStr">
        <is>
          <t>V1000206 - TECHMAN (THAILAND) CO.,LTD.</t>
        </is>
      </c>
      <c r="W949" s="30" t="inlineStr">
        <is>
          <t>Recive bill and GRN already</t>
        </is>
      </c>
      <c r="X949" s="5" t="inlineStr">
        <is>
          <t>GRN2425-0007813</t>
        </is>
      </c>
      <c r="Y949" s="3" t="n">
        <v>45730</v>
      </c>
      <c r="AA949" s="17">
        <f>IF(RawDataGenPO[[#This Row],[Date Gen PO]]="","",RawDataGenPO[[#This Row],[Date recive bill]]-RawDataGenPO[[#This Row],[Date Gen PO]])</f>
        <v/>
      </c>
      <c r="AB949" s="16">
        <f>IF(RawDataGenPO[[#This Row],[GRN-PO date]]&gt;RawDataGenPO[[#This Row],[Lead time delivery (day)]],"over deliverry","Ontime")</f>
        <v/>
      </c>
      <c r="AC949" s="22" t="n"/>
    </row>
    <row r="950" ht="90" customHeight="1">
      <c r="A950" s="5">
        <f>ROW()-ROW(RawDataGenPO[[#Headers],[No.]])</f>
        <v/>
      </c>
      <c r="B950" s="7" t="inlineStr">
        <is>
          <t>Expent  cost</t>
        </is>
      </c>
      <c r="C950" s="301" t="n">
        <v>45716</v>
      </c>
      <c r="F950" s="281" t="n">
        <v>45716</v>
      </c>
      <c r="G950" s="5" t="inlineStr">
        <is>
          <t>PR2425-05856</t>
        </is>
      </c>
      <c r="H950" s="5" t="inlineStr">
        <is>
          <t>PO2425-06937</t>
        </is>
      </c>
      <c r="I950" s="290">
        <f>IF(RawDataGenPO[[#This Row],[PO No.]]="","",RawDataGenPO[[#This Row],[DMY Create PR]]+7)</f>
        <v/>
      </c>
      <c r="J950" s="290" t="n"/>
      <c r="K950" s="20" t="n">
        <v>120</v>
      </c>
      <c r="L950" s="5" t="inlineStr">
        <is>
          <t>SFST81000048</t>
        </is>
      </c>
      <c r="M950" s="7" t="inlineStr">
        <is>
          <t>PD Machine</t>
        </is>
      </c>
      <c r="N950" s="7" t="inlineStr">
        <is>
          <t>Steambox No.2</t>
        </is>
      </c>
      <c r="O950" s="11" t="n">
        <v>1</v>
      </c>
      <c r="P950" s="130" t="inlineStr">
        <is>
          <t>adjustadjust door seal Steam Box
- make new door seal groove and replace with new door seal instead of existing -
- quantity 2 machine 4 panels
- bottom triangular seal quantity 4 m
- labor costwithequipment
- consumable materials</t>
        </is>
      </c>
      <c r="Q950" s="277" t="n">
        <v>1</v>
      </c>
      <c r="R950" s="5" t="inlineStr">
        <is>
          <t>JOB.</t>
        </is>
      </c>
      <c r="S950" s="292">
        <f>RawDataGenPO[[#This Row],[Total price]]/RawDataGenPO[[#This Row],[Qty'']]</f>
        <v/>
      </c>
      <c r="T950" s="278" t="n">
        <v>65000</v>
      </c>
      <c r="U950" s="291" t="n"/>
      <c r="V950" s="7" t="inlineStr">
        <is>
          <t xml:space="preserve"> V1000192 - Jirasak Supply and Service Ltd.,Part</t>
        </is>
      </c>
      <c r="W950" s="30" t="inlineStr">
        <is>
          <t>Recive bill and GRN already</t>
        </is>
      </c>
      <c r="X950" s="5" t="inlineStr">
        <is>
          <t>GRN2526-0003812</t>
        </is>
      </c>
      <c r="Y950" s="3" t="n">
        <v>45911</v>
      </c>
      <c r="AA950" s="17">
        <f>IF(RawDataGenPO[[#This Row],[Date Gen PO]]="","",RawDataGenPO[[#This Row],[Date recive bill]]-RawDataGenPO[[#This Row],[Date Gen PO]])</f>
        <v/>
      </c>
      <c r="AB950" s="16">
        <f>IF(RawDataGenPO[[#This Row],[GRN-PO date]]&gt;RawDataGenPO[[#This Row],[Lead time delivery (day)]],"over deliverry","Ontime")</f>
        <v/>
      </c>
      <c r="AC950" s="22" t="n"/>
    </row>
    <row r="951" ht="15" customHeight="1">
      <c r="A951" s="5">
        <f>ROW()-ROW(RawDataGenPO[[#Headers],[No.]])</f>
        <v/>
      </c>
      <c r="B951" s="7" t="inlineStr">
        <is>
          <t>Expent  cost</t>
        </is>
      </c>
      <c r="C951" s="301" t="n">
        <v>45716</v>
      </c>
      <c r="F951" s="281" t="n">
        <v>45716</v>
      </c>
      <c r="G951" s="5" t="inlineStr">
        <is>
          <t>PR2425-05857</t>
        </is>
      </c>
      <c r="H951" s="5" t="inlineStr">
        <is>
          <t>PO425-06936</t>
        </is>
      </c>
      <c r="I951" s="290">
        <f>IF(RawDataGenPO[[#This Row],[PO No.]]="","",RawDataGenPO[[#This Row],[DMY Create PR]]+7)</f>
        <v/>
      </c>
      <c r="J951" s="290" t="n"/>
      <c r="K951" s="20">
        <f>IF(RawDataGenPO[[#This Row],[PO No.]]="","",10)</f>
        <v/>
      </c>
      <c r="L951" s="5" t="inlineStr">
        <is>
          <t>SFST81000048</t>
        </is>
      </c>
      <c r="M951" s="7" t="inlineStr">
        <is>
          <t>Tool and Equipment PD M/C</t>
        </is>
      </c>
      <c r="N951" s="7" t="inlineStr">
        <is>
          <t>Tool and Equipment</t>
        </is>
      </c>
      <c r="O951" s="11" t="n">
        <v>1</v>
      </c>
      <c r="P951" s="80" t="inlineStr">
        <is>
          <t>PHOTO E3X-NA11</t>
        </is>
      </c>
      <c r="Q951" s="277" t="n">
        <v>1</v>
      </c>
      <c r="R951" s="5" t="inlineStr">
        <is>
          <t>PCS.</t>
        </is>
      </c>
      <c r="S951" s="292">
        <f>RawDataGenPO[[#This Row],[Total price]]/RawDataGenPO[[#This Row],[Qty'']]</f>
        <v/>
      </c>
      <c r="T951" s="278" t="n">
        <v>3800</v>
      </c>
      <c r="U951" s="291" t="n"/>
      <c r="V951" s="7" t="inlineStr">
        <is>
          <t>V1000051 - THAI POLYMER SUPPLY CO., LTD</t>
        </is>
      </c>
      <c r="W951" s="30" t="inlineStr">
        <is>
          <t>Recive bill and GRN already</t>
        </is>
      </c>
      <c r="X951" s="5" t="inlineStr">
        <is>
          <t>GRN2425-0007810</t>
        </is>
      </c>
      <c r="Y951" s="3" t="n">
        <v>45730</v>
      </c>
      <c r="AA951" s="17">
        <f>IF(RawDataGenPO[[#This Row],[Date Gen PO]]="","",RawDataGenPO[[#This Row],[Date recive bill]]-RawDataGenPO[[#This Row],[Date Gen PO]])</f>
        <v/>
      </c>
      <c r="AB951" s="16">
        <f>IF(RawDataGenPO[[#This Row],[GRN-PO date]]&gt;RawDataGenPO[[#This Row],[Lead time delivery (day)]],"over deliverry","Ontime")</f>
        <v/>
      </c>
      <c r="AC951" s="22" t="n"/>
    </row>
    <row r="952" ht="30" customHeight="1">
      <c r="A952" s="5">
        <f>ROW()-ROW(RawDataGenPO[[#Headers],[No.]])</f>
        <v/>
      </c>
      <c r="B952" s="7" t="inlineStr">
        <is>
          <t>Expent  cost</t>
        </is>
      </c>
      <c r="C952" s="301" t="n">
        <v>45716</v>
      </c>
      <c r="F952" s="281" t="n">
        <v>45716</v>
      </c>
      <c r="G952" s="5" t="inlineStr">
        <is>
          <t>PR2425-05857</t>
        </is>
      </c>
      <c r="H952" s="5" t="inlineStr">
        <is>
          <t>PO425-06936</t>
        </is>
      </c>
      <c r="I952" s="290">
        <f>IF(RawDataGenPO[[#This Row],[PO No.]]="","",RawDataGenPO[[#This Row],[DMY Create PR]]+7)</f>
        <v/>
      </c>
      <c r="J952" s="290" t="n"/>
      <c r="K952" s="20">
        <f>IF(RawDataGenPO[[#This Row],[PO No.]]="","",10)</f>
        <v/>
      </c>
      <c r="L952" s="5" t="inlineStr">
        <is>
          <t>SFST81000048</t>
        </is>
      </c>
      <c r="M952" s="7" t="inlineStr">
        <is>
          <t>Tool and Equipment PD M/C</t>
        </is>
      </c>
      <c r="N952" s="7" t="inlineStr">
        <is>
          <t>Tool and Equipment</t>
        </is>
      </c>
      <c r="O952" s="11" t="n">
        <v>2</v>
      </c>
      <c r="P952" s="80" t="inlineStr">
        <is>
          <t>PHOTO SW.E32-DC200
- S/N: UXD04135707</t>
        </is>
      </c>
      <c r="Q952" s="277" t="n">
        <v>1</v>
      </c>
      <c r="R952" s="5" t="inlineStr">
        <is>
          <t>PCS.</t>
        </is>
      </c>
      <c r="S952" s="292">
        <f>RawDataGenPO[[#This Row],[Total price]]/RawDataGenPO[[#This Row],[Qty'']]</f>
        <v/>
      </c>
      <c r="T952" s="278" t="n">
        <v>1440</v>
      </c>
      <c r="U952" s="291" t="n"/>
      <c r="V952" s="7" t="inlineStr">
        <is>
          <t>V1000051 - THAI POLYMER SUPPLY CO., LTD</t>
        </is>
      </c>
      <c r="W952" s="30" t="inlineStr">
        <is>
          <t>Recive bill and GRN already</t>
        </is>
      </c>
      <c r="X952" s="5" t="inlineStr">
        <is>
          <t>GRN2425-0007810</t>
        </is>
      </c>
      <c r="Y952" s="3" t="n">
        <v>45730</v>
      </c>
      <c r="AA952" s="17">
        <f>IF(RawDataGenPO[[#This Row],[Date Gen PO]]="","",RawDataGenPO[[#This Row],[Date recive bill]]-RawDataGenPO[[#This Row],[Date Gen PO]])</f>
        <v/>
      </c>
      <c r="AB952" s="16">
        <f>IF(RawDataGenPO[[#This Row],[GRN-PO date]]&gt;RawDataGenPO[[#This Row],[Lead time delivery (day)]],"over deliverry","Ontime")</f>
        <v/>
      </c>
      <c r="AC952" s="22" t="n"/>
    </row>
    <row r="953" ht="15" customHeight="1">
      <c r="A953" s="5">
        <f>ROW()-ROW(RawDataGenPO[[#Headers],[No.]])</f>
        <v/>
      </c>
      <c r="B953" s="7" t="inlineStr">
        <is>
          <t>Expent  cost</t>
        </is>
      </c>
      <c r="C953" s="301" t="n">
        <v>45716</v>
      </c>
      <c r="F953" s="281" t="n">
        <v>45716</v>
      </c>
      <c r="G953" s="5" t="inlineStr">
        <is>
          <t>PR2425-05858</t>
        </is>
      </c>
      <c r="H953" s="5" t="inlineStr">
        <is>
          <t>PO2425-06935</t>
        </is>
      </c>
      <c r="I953" s="290">
        <f>IF(RawDataGenPO[[#This Row],[PO No.]]="","",RawDataGenPO[[#This Row],[DMY Create PR]]+7)</f>
        <v/>
      </c>
      <c r="J953" s="290" t="n"/>
      <c r="K953" s="20" t="n">
        <v>30</v>
      </c>
      <c r="L953" s="5" t="inlineStr">
        <is>
          <t>SFST81000009</t>
        </is>
      </c>
      <c r="M953" s="7" t="inlineStr">
        <is>
          <t>Tool and Equipment PD M/C</t>
        </is>
      </c>
      <c r="N953" s="7" t="inlineStr">
        <is>
          <t>Eletrical part</t>
        </is>
      </c>
      <c r="O953" s="11" t="n">
        <v>1</v>
      </c>
      <c r="P953" s="80" t="inlineStr">
        <is>
          <t>Bticino plugpair 3 pin size 3 slot with safety shutter white M9025G</t>
        </is>
      </c>
      <c r="Q953" s="277" t="n">
        <v>20</v>
      </c>
      <c r="R953" s="5" t="inlineStr">
        <is>
          <t>PCS.</t>
        </is>
      </c>
      <c r="S953" s="292">
        <f>RawDataGenPO[[#This Row],[Total price]]/RawDataGenPO[[#This Row],[Qty'']]</f>
        <v/>
      </c>
      <c r="T953" s="278" t="n">
        <v>2700</v>
      </c>
      <c r="U953" s="291" t="n"/>
      <c r="V953" s="7" t="inlineStr">
        <is>
          <t>V1000276 - SN. ELECTRIC AND SUPPLY CO., LTD.</t>
        </is>
      </c>
      <c r="W953" s="30" t="inlineStr">
        <is>
          <t>Recive bill and GRN already</t>
        </is>
      </c>
      <c r="X953" s="5" t="inlineStr">
        <is>
          <t>GRN2425-0007909</t>
        </is>
      </c>
      <c r="Y953" s="3" t="n">
        <v>45735</v>
      </c>
      <c r="AA953" s="17">
        <f>IF(RawDataGenPO[[#This Row],[Date Gen PO]]="","",RawDataGenPO[[#This Row],[Date recive bill]]-RawDataGenPO[[#This Row],[Date Gen PO]])</f>
        <v/>
      </c>
      <c r="AB953" s="16">
        <f>IF(RawDataGenPO[[#This Row],[GRN-PO date]]&gt;RawDataGenPO[[#This Row],[Lead time delivery (day)]],"over deliverry","Ontime")</f>
        <v/>
      </c>
      <c r="AC953" s="22" t="n"/>
    </row>
    <row r="954" ht="15" customHeight="1">
      <c r="A954" s="5">
        <f>ROW()-ROW(RawDataGenPO[[#Headers],[No.]])</f>
        <v/>
      </c>
      <c r="B954" s="7" t="inlineStr">
        <is>
          <t>Expent  cost</t>
        </is>
      </c>
      <c r="C954" s="301" t="n">
        <v>45716</v>
      </c>
      <c r="F954" s="281" t="n">
        <v>45716</v>
      </c>
      <c r="G954" s="5" t="inlineStr">
        <is>
          <t>PR2425-05858</t>
        </is>
      </c>
      <c r="H954" s="5" t="inlineStr">
        <is>
          <t>PO2425-06935</t>
        </is>
      </c>
      <c r="I954" s="290">
        <f>IF(RawDataGenPO[[#This Row],[PO No.]]="","",RawDataGenPO[[#This Row],[DMY Create PR]]+7)</f>
        <v/>
      </c>
      <c r="J954" s="290" t="n"/>
      <c r="K954" s="20" t="n">
        <v>30</v>
      </c>
      <c r="L954" s="5" t="inlineStr">
        <is>
          <t>SFST81000009</t>
        </is>
      </c>
      <c r="M954" s="7" t="inlineStr">
        <is>
          <t>Tool and Equipment PD M/C</t>
        </is>
      </c>
      <c r="N954" s="7" t="inlineStr">
        <is>
          <t>Eletrical part</t>
        </is>
      </c>
      <c r="O954" s="11" t="n">
        <v>2</v>
      </c>
      <c r="P954" s="80" t="inlineStr">
        <is>
          <t>starter S10-P 4-65W 220V PHILIPS 1 box/25pcs</t>
        </is>
      </c>
      <c r="Q954" s="277" t="n">
        <v>2</v>
      </c>
      <c r="R954" s="5" t="inlineStr">
        <is>
          <t>PCS.</t>
        </is>
      </c>
      <c r="S954" s="292">
        <f>RawDataGenPO[[#This Row],[Total price]]/RawDataGenPO[[#This Row],[Qty'']]</f>
        <v/>
      </c>
      <c r="T954" s="278" t="n">
        <v>950</v>
      </c>
      <c r="U954" s="291" t="n"/>
      <c r="V954" s="7" t="inlineStr">
        <is>
          <t>V1000276 - SN. ELECTRIC AND SUPPLY CO., LTD.</t>
        </is>
      </c>
      <c r="W954" s="30" t="inlineStr">
        <is>
          <t>Recive bill and GRN already</t>
        </is>
      </c>
      <c r="X954" s="5" t="inlineStr">
        <is>
          <t>GRN2425-0007909</t>
        </is>
      </c>
      <c r="Y954" s="3" t="n">
        <v>45735</v>
      </c>
      <c r="AA954" s="17">
        <f>IF(RawDataGenPO[[#This Row],[Date Gen PO]]="","",RawDataGenPO[[#This Row],[Date recive bill]]-RawDataGenPO[[#This Row],[Date Gen PO]])</f>
        <v/>
      </c>
      <c r="AB954" s="16">
        <f>IF(RawDataGenPO[[#This Row],[GRN-PO date]]&gt;RawDataGenPO[[#This Row],[Lead time delivery (day)]],"over deliverry","Ontime")</f>
        <v/>
      </c>
      <c r="AC954" s="22" t="n"/>
    </row>
    <row r="955" ht="15" customHeight="1">
      <c r="A955" s="5">
        <f>ROW()-ROW(RawDataGenPO[[#Headers],[No.]])</f>
        <v/>
      </c>
      <c r="B955" s="7" t="inlineStr">
        <is>
          <t>Expent  cost</t>
        </is>
      </c>
      <c r="C955" s="301" t="n">
        <v>45716</v>
      </c>
      <c r="F955" s="281" t="n">
        <v>45716</v>
      </c>
      <c r="G955" s="5" t="inlineStr">
        <is>
          <t>PR2425-05858</t>
        </is>
      </c>
      <c r="H955" s="5" t="inlineStr">
        <is>
          <t>PO2425-06935</t>
        </is>
      </c>
      <c r="I955" s="290">
        <f>IF(RawDataGenPO[[#This Row],[PO No.]]="","",RawDataGenPO[[#This Row],[DMY Create PR]]+7)</f>
        <v/>
      </c>
      <c r="J955" s="290" t="n"/>
      <c r="K955" s="20" t="n">
        <v>30</v>
      </c>
      <c r="L955" s="5" t="inlineStr">
        <is>
          <t>SFST81000009</t>
        </is>
      </c>
      <c r="M955" s="7" t="inlineStr">
        <is>
          <t>Tool and Equipment PD M/C</t>
        </is>
      </c>
      <c r="N955" s="7" t="inlineStr">
        <is>
          <t>Eletrical part</t>
        </is>
      </c>
      <c r="O955" s="11" t="n">
        <v>3</v>
      </c>
      <c r="P955" s="80" t="inlineStr">
        <is>
          <t>Bticino switch plug adapter model Magic M9999</t>
        </is>
      </c>
      <c r="Q955" s="277" t="n">
        <v>20</v>
      </c>
      <c r="R955" s="5" t="inlineStr">
        <is>
          <t>PCS.</t>
        </is>
      </c>
      <c r="S955" s="292">
        <f>RawDataGenPO[[#This Row],[Total price]]/RawDataGenPO[[#This Row],[Qty'']]</f>
        <v/>
      </c>
      <c r="T955" s="278" t="n">
        <v>260</v>
      </c>
      <c r="U955" s="291" t="n"/>
      <c r="V955" s="7" t="inlineStr">
        <is>
          <t>V1000276 - SN. ELECTRIC AND SUPPLY CO., LTD.</t>
        </is>
      </c>
      <c r="W955" s="30" t="inlineStr">
        <is>
          <t>Recive bill and GRN already</t>
        </is>
      </c>
      <c r="X955" s="5" t="inlineStr">
        <is>
          <t>GRN2425-0007909</t>
        </is>
      </c>
      <c r="Y955" s="3" t="n">
        <v>45735</v>
      </c>
      <c r="AA955" s="17">
        <f>IF(RawDataGenPO[[#This Row],[Date Gen PO]]="","",RawDataGenPO[[#This Row],[Date recive bill]]-RawDataGenPO[[#This Row],[Date Gen PO]])</f>
        <v/>
      </c>
      <c r="AB955" s="16">
        <f>IF(RawDataGenPO[[#This Row],[GRN-PO date]]&gt;RawDataGenPO[[#This Row],[Lead time delivery (day)]],"over deliverry","Ontime")</f>
        <v/>
      </c>
      <c r="AC955" s="22" t="n"/>
    </row>
    <row r="956" ht="15" customHeight="1">
      <c r="A956" s="5">
        <f>ROW()-ROW(RawDataGenPO[[#Headers],[No.]])</f>
        <v/>
      </c>
      <c r="B956" s="7" t="inlineStr">
        <is>
          <t>Expent  cost</t>
        </is>
      </c>
      <c r="C956" s="301" t="n">
        <v>45716</v>
      </c>
      <c r="F956" s="281" t="n">
        <v>45716</v>
      </c>
      <c r="G956" s="5" t="inlineStr">
        <is>
          <t>PR2425-05858</t>
        </is>
      </c>
      <c r="H956" s="5" t="inlineStr">
        <is>
          <t>PO2425-06935</t>
        </is>
      </c>
      <c r="I956" s="290">
        <f>IF(RawDataGenPO[[#This Row],[PO No.]]="","",RawDataGenPO[[#This Row],[DMY Create PR]]+7)</f>
        <v/>
      </c>
      <c r="J956" s="290" t="n"/>
      <c r="K956" s="20" t="n">
        <v>30</v>
      </c>
      <c r="L956" s="5" t="inlineStr">
        <is>
          <t>SFST81000009</t>
        </is>
      </c>
      <c r="M956" s="7" t="inlineStr">
        <is>
          <t>Tool and Equipment PD M/C</t>
        </is>
      </c>
      <c r="N956" s="7" t="inlineStr">
        <is>
          <t>Eletrical part</t>
        </is>
      </c>
      <c r="O956" s="11" t="n">
        <v>4</v>
      </c>
      <c r="P956" s="80" t="inlineStr">
        <is>
          <t>Bticino blank cover 1 slot Magic Advance M9000</t>
        </is>
      </c>
      <c r="Q956" s="277" t="n">
        <v>20</v>
      </c>
      <c r="R956" s="5" t="inlineStr">
        <is>
          <t>PCS.</t>
        </is>
      </c>
      <c r="S956" s="292">
        <f>RawDataGenPO[[#This Row],[Total price]]/RawDataGenPO[[#This Row],[Qty'']]</f>
        <v/>
      </c>
      <c r="T956" s="278" t="n">
        <v>360</v>
      </c>
      <c r="U956" s="291" t="n"/>
      <c r="V956" s="7" t="inlineStr">
        <is>
          <t>V1000276 - SN. ELECTRIC AND SUPPLY CO., LTD.</t>
        </is>
      </c>
      <c r="W956" s="30" t="inlineStr">
        <is>
          <t>Recive bill and GRN already</t>
        </is>
      </c>
      <c r="X956" s="5" t="inlineStr">
        <is>
          <t>GRN2425-0007909</t>
        </is>
      </c>
      <c r="Y956" s="3" t="n">
        <v>45735</v>
      </c>
      <c r="AA956" s="17">
        <f>IF(RawDataGenPO[[#This Row],[Date Gen PO]]="","",RawDataGenPO[[#This Row],[Date recive bill]]-RawDataGenPO[[#This Row],[Date Gen PO]])</f>
        <v/>
      </c>
      <c r="AB956" s="16">
        <f>IF(RawDataGenPO[[#This Row],[GRN-PO date]]&gt;RawDataGenPO[[#This Row],[Lead time delivery (day)]],"over deliverry","Ontime")</f>
        <v/>
      </c>
      <c r="AC956" s="22" t="n"/>
    </row>
    <row r="957" ht="30" customHeight="1">
      <c r="A957" s="5">
        <f>ROW()-ROW(RawDataGenPO[[#Headers],[No.]])</f>
        <v/>
      </c>
      <c r="B957" s="7" t="inlineStr">
        <is>
          <t>Expent  cost</t>
        </is>
      </c>
      <c r="C957" s="301" t="n">
        <v>45716</v>
      </c>
      <c r="F957" s="281" t="n">
        <v>45716</v>
      </c>
      <c r="G957" s="5" t="inlineStr">
        <is>
          <t>PR2425-05860</t>
        </is>
      </c>
      <c r="H957" s="5" t="inlineStr">
        <is>
          <t>PO2425-06934</t>
        </is>
      </c>
      <c r="I957" s="290">
        <f>IF(RawDataGenPO[[#This Row],[PO No.]]="","",RawDataGenPO[[#This Row],[DMY Create PR]]+7)</f>
        <v/>
      </c>
      <c r="J957" s="290" t="n"/>
      <c r="K957" s="20" t="n">
        <v>30</v>
      </c>
      <c r="L957" s="5" t="inlineStr">
        <is>
          <t>SFST81000009</t>
        </is>
      </c>
      <c r="M957" s="7" t="inlineStr">
        <is>
          <t>PD Machine</t>
        </is>
      </c>
      <c r="N957" s="7" t="inlineStr">
        <is>
          <t>Vacuum Tumbler small No.1</t>
        </is>
      </c>
      <c r="O957" s="11" t="n">
        <v>1</v>
      </c>
      <c r="P957" s="80" t="inlineStr">
        <is>
          <t>"NOWICKI", Vacuum Tumbler Model MA-500PS,
SN:21812216, MA00012162, Gasket*400 Blue</t>
        </is>
      </c>
      <c r="Q957" s="277" t="n">
        <v>1</v>
      </c>
      <c r="R957" s="5" t="inlineStr">
        <is>
          <t>PCS.</t>
        </is>
      </c>
      <c r="S957" s="292">
        <f>RawDataGenPO[[#This Row],[Total price]]/RawDataGenPO[[#This Row],[Qty'']]</f>
        <v/>
      </c>
      <c r="T957" s="278" t="n">
        <v>16448</v>
      </c>
      <c r="U957" s="291" t="n"/>
      <c r="V957" s="7" t="inlineStr">
        <is>
          <t>V1000666 - HITEC FOOD EQUIPMENT CO.,LTD.</t>
        </is>
      </c>
      <c r="W957" s="30" t="inlineStr">
        <is>
          <t>Recive bill and GRN already</t>
        </is>
      </c>
      <c r="X957" s="5" t="inlineStr">
        <is>
          <t>GRN2425-0008153</t>
        </is>
      </c>
      <c r="Y957" s="3" t="n">
        <v>45745</v>
      </c>
      <c r="AA957" s="17">
        <f>IF(RawDataGenPO[[#This Row],[Date Gen PO]]="","",RawDataGenPO[[#This Row],[Date recive bill]]-RawDataGenPO[[#This Row],[Date Gen PO]])</f>
        <v/>
      </c>
      <c r="AB957" s="16">
        <f>IF(RawDataGenPO[[#This Row],[GRN-PO date]]&gt;RawDataGenPO[[#This Row],[Lead time delivery (day)]],"over deliverry","Ontime")</f>
        <v/>
      </c>
      <c r="AC957" s="22" t="n"/>
    </row>
    <row r="958" ht="15" customHeight="1">
      <c r="A958" s="5">
        <f>ROW()-ROW(RawDataGenPO[[#Headers],[No.]])</f>
        <v/>
      </c>
      <c r="B958" s="7" t="inlineStr">
        <is>
          <t>Expent  cost</t>
        </is>
      </c>
      <c r="C958" s="301" t="n">
        <v>45716</v>
      </c>
      <c r="F958" s="281" t="n">
        <v>45716</v>
      </c>
      <c r="G958" s="5" t="inlineStr">
        <is>
          <t>PR2425-05861</t>
        </is>
      </c>
      <c r="H958" s="5" t="inlineStr">
        <is>
          <t>PO2425-06933</t>
        </is>
      </c>
      <c r="I958" s="290">
        <f>IF(RawDataGenPO[[#This Row],[PO No.]]="","",RawDataGenPO[[#This Row],[DMY Create PR]]+7)</f>
        <v/>
      </c>
      <c r="J958" s="290" t="n"/>
      <c r="K958" s="20">
        <f>IF(RawDataGenPO[[#This Row],[PO No.]]="","",10)</f>
        <v/>
      </c>
      <c r="L958" s="5" t="inlineStr">
        <is>
          <t>SFST81000009</t>
        </is>
      </c>
      <c r="M958" s="7" t="inlineStr">
        <is>
          <t>PD Machine</t>
        </is>
      </c>
      <c r="N958" s="7" t="inlineStr">
        <is>
          <t>Combi oven No.3</t>
        </is>
      </c>
      <c r="O958" s="11" t="n">
        <v>1</v>
      </c>
      <c r="P958" s="80" t="inlineStr">
        <is>
          <t>24.01.351P DOOR CATCH SCC-LINE 201/202</t>
        </is>
      </c>
      <c r="Q958" s="277" t="n">
        <v>1</v>
      </c>
      <c r="R958" s="5" t="inlineStr">
        <is>
          <t>EA.</t>
        </is>
      </c>
      <c r="S958" s="292">
        <f>RawDataGenPO[[#This Row],[Total price]]/RawDataGenPO[[#This Row],[Qty'']]</f>
        <v/>
      </c>
      <c r="T958" s="278" t="n">
        <v>8400</v>
      </c>
      <c r="U958" s="291" t="n"/>
      <c r="V958" s="7" t="inlineStr">
        <is>
          <t>V1000460 - FIX EVOLUTION CO., LTD.</t>
        </is>
      </c>
      <c r="W958" s="30" t="inlineStr">
        <is>
          <t>Recive bill and GRN already</t>
        </is>
      </c>
      <c r="X958" s="5" t="inlineStr">
        <is>
          <t>GRN2425-0007852</t>
        </is>
      </c>
      <c r="Y958" s="3" t="n">
        <v>45733</v>
      </c>
      <c r="AA958" s="17">
        <f>IF(RawDataGenPO[[#This Row],[Date Gen PO]]="","",RawDataGenPO[[#This Row],[Date recive bill]]-RawDataGenPO[[#This Row],[Date Gen PO]])</f>
        <v/>
      </c>
      <c r="AB958" s="16">
        <f>IF(RawDataGenPO[[#This Row],[GRN-PO date]]&gt;RawDataGenPO[[#This Row],[Lead time delivery (day)]],"over deliverry","Ontime")</f>
        <v/>
      </c>
      <c r="AC958" s="22" t="n"/>
    </row>
    <row r="959" ht="15" customHeight="1">
      <c r="A959" s="5">
        <f>ROW()-ROW(RawDataGenPO[[#Headers],[No.]])</f>
        <v/>
      </c>
      <c r="B959" s="7" t="inlineStr">
        <is>
          <t>Expent  cost</t>
        </is>
      </c>
      <c r="C959" s="301" t="n">
        <v>45716</v>
      </c>
      <c r="F959" s="281" t="n">
        <v>45716</v>
      </c>
      <c r="G959" s="5" t="inlineStr">
        <is>
          <t>PR2425-05861</t>
        </is>
      </c>
      <c r="H959" s="5" t="inlineStr">
        <is>
          <t>PO2425-06933</t>
        </is>
      </c>
      <c r="I959" s="290">
        <f>IF(RawDataGenPO[[#This Row],[PO No.]]="","",RawDataGenPO[[#This Row],[DMY Create PR]]+7)</f>
        <v/>
      </c>
      <c r="J959" s="290" t="n"/>
      <c r="K959" s="20">
        <f>IF(RawDataGenPO[[#This Row],[PO No.]]="","",10)</f>
        <v/>
      </c>
      <c r="L959" s="5" t="inlineStr">
        <is>
          <t>SFST81000009</t>
        </is>
      </c>
      <c r="M959" s="7" t="inlineStr">
        <is>
          <t>PD Machine</t>
        </is>
      </c>
      <c r="N959" s="7" t="inlineStr">
        <is>
          <t>Combi oven No.3</t>
        </is>
      </c>
      <c r="O959" s="11" t="n">
        <v>2</v>
      </c>
      <c r="P959" s="80" t="inlineStr">
        <is>
          <t>24.03.195P DOOR LOCK 201/202</t>
        </is>
      </c>
      <c r="Q959" s="277" t="n">
        <v>1</v>
      </c>
      <c r="R959" s="5" t="inlineStr">
        <is>
          <t>EA.</t>
        </is>
      </c>
      <c r="S959" s="292">
        <f>RawDataGenPO[[#This Row],[Total price]]/RawDataGenPO[[#This Row],[Qty'']]</f>
        <v/>
      </c>
      <c r="T959" s="278" t="n">
        <v>13700</v>
      </c>
      <c r="U959" s="291" t="n"/>
      <c r="V959" s="7" t="inlineStr">
        <is>
          <t>V1000460 - FIX EVOLUTION CO., LTD.</t>
        </is>
      </c>
      <c r="W959" s="30" t="inlineStr">
        <is>
          <t>Recive bill and GRN already</t>
        </is>
      </c>
      <c r="X959" s="5" t="inlineStr">
        <is>
          <t>GRN2425-0007852</t>
        </is>
      </c>
      <c r="Y959" s="3" t="n">
        <v>45733</v>
      </c>
      <c r="AA959" s="17">
        <f>IF(RawDataGenPO[[#This Row],[Date Gen PO]]="","",RawDataGenPO[[#This Row],[Date recive bill]]-RawDataGenPO[[#This Row],[Date Gen PO]])</f>
        <v/>
      </c>
      <c r="AB959" s="16">
        <f>IF(RawDataGenPO[[#This Row],[GRN-PO date]]&gt;RawDataGenPO[[#This Row],[Lead time delivery (day)]],"over deliverry","Ontime")</f>
        <v/>
      </c>
      <c r="AC959" s="22" t="n"/>
    </row>
    <row r="960" ht="15" customHeight="1">
      <c r="A960" s="5">
        <f>ROW()-ROW(RawDataGenPO[[#Headers],[No.]])</f>
        <v/>
      </c>
      <c r="B960" s="7" t="inlineStr">
        <is>
          <t>Expent  cost</t>
        </is>
      </c>
      <c r="C960" s="301" t="n">
        <v>45716</v>
      </c>
      <c r="F960" s="281" t="n">
        <v>45716</v>
      </c>
      <c r="G960" s="5" t="inlineStr">
        <is>
          <t>PR2425-05861</t>
        </is>
      </c>
      <c r="H960" s="5" t="inlineStr">
        <is>
          <t>PO2425-06933</t>
        </is>
      </c>
      <c r="I960" s="290">
        <f>IF(RawDataGenPO[[#This Row],[PO No.]]="","",RawDataGenPO[[#This Row],[DMY Create PR]]+7)</f>
        <v/>
      </c>
      <c r="J960" s="290" t="n"/>
      <c r="K960" s="20">
        <f>IF(RawDataGenPO[[#This Row],[PO No.]]="","",10)</f>
        <v/>
      </c>
      <c r="L960" s="5" t="inlineStr">
        <is>
          <t>SFST81000009</t>
        </is>
      </c>
      <c r="M960" s="7" t="inlineStr">
        <is>
          <t>PD Machine</t>
        </is>
      </c>
      <c r="N960" s="7" t="inlineStr">
        <is>
          <t>Combi oven No.3</t>
        </is>
      </c>
      <c r="O960" s="11" t="n">
        <v>3</v>
      </c>
      <c r="P960" s="80" t="inlineStr">
        <is>
          <t>Service Charge</t>
        </is>
      </c>
      <c r="Q960" s="277" t="n">
        <v>1</v>
      </c>
      <c r="R960" s="5" t="inlineStr">
        <is>
          <t>JOB.</t>
        </is>
      </c>
      <c r="S960" s="292">
        <f>RawDataGenPO[[#This Row],[Total price]]/RawDataGenPO[[#This Row],[Qty'']]</f>
        <v/>
      </c>
      <c r="T960" s="278" t="n">
        <v>3000</v>
      </c>
      <c r="U960" s="291" t="n"/>
      <c r="V960" s="7" t="inlineStr">
        <is>
          <t>V1000460 - FIX EVOLUTION CO., LTD.</t>
        </is>
      </c>
      <c r="W960" s="30" t="inlineStr">
        <is>
          <t>Recive bill and GRN already</t>
        </is>
      </c>
      <c r="X960" s="5" t="inlineStr">
        <is>
          <t>GRN2425-0007853</t>
        </is>
      </c>
      <c r="Y960" s="3" t="n">
        <v>45733</v>
      </c>
      <c r="AA960" s="17">
        <f>IF(RawDataGenPO[[#This Row],[Date Gen PO]]="","",RawDataGenPO[[#This Row],[Date recive bill]]-RawDataGenPO[[#This Row],[Date Gen PO]])</f>
        <v/>
      </c>
      <c r="AB960" s="16">
        <f>IF(RawDataGenPO[[#This Row],[GRN-PO date]]&gt;RawDataGenPO[[#This Row],[Lead time delivery (day)]],"over deliverry","Ontime")</f>
        <v/>
      </c>
      <c r="AC960" s="22" t="n"/>
    </row>
    <row r="961" ht="15" customHeight="1">
      <c r="A961" s="5">
        <f>ROW()-ROW(RawDataGenPO[[#Headers],[No.]])</f>
        <v/>
      </c>
      <c r="B961" s="7" t="inlineStr">
        <is>
          <t>Expent  cost</t>
        </is>
      </c>
      <c r="C961" s="301" t="n">
        <v>45716</v>
      </c>
      <c r="F961" s="281" t="n">
        <v>45716</v>
      </c>
      <c r="G961" s="5" t="inlineStr">
        <is>
          <t>PR2425-05861</t>
        </is>
      </c>
      <c r="H961" s="5" t="inlineStr">
        <is>
          <t>PO2425-06933</t>
        </is>
      </c>
      <c r="I961" s="290">
        <f>IF(RawDataGenPO[[#This Row],[PO No.]]="","",RawDataGenPO[[#This Row],[DMY Create PR]]+7)</f>
        <v/>
      </c>
      <c r="J961" s="290" t="n"/>
      <c r="K961" s="20">
        <f>IF(RawDataGenPO[[#This Row],[PO No.]]="","",10)</f>
        <v/>
      </c>
      <c r="L961" s="5" t="inlineStr">
        <is>
          <t>SFST81000009</t>
        </is>
      </c>
      <c r="M961" s="7" t="inlineStr">
        <is>
          <t>PD Machine</t>
        </is>
      </c>
      <c r="N961" s="7" t="inlineStr">
        <is>
          <t>Combi oven No.3</t>
        </is>
      </c>
      <c r="O961" s="11" t="n">
        <v>4</v>
      </c>
      <c r="P961" s="80" t="inlineStr">
        <is>
          <t>Overtime &amp; Working on holiday</t>
        </is>
      </c>
      <c r="Q961" s="277" t="n">
        <v>1</v>
      </c>
      <c r="R961" s="5" t="inlineStr">
        <is>
          <t>JOB.</t>
        </is>
      </c>
      <c r="S961" s="292">
        <f>RawDataGenPO[[#This Row],[Total price]]/RawDataGenPO[[#This Row],[Qty'']]</f>
        <v/>
      </c>
      <c r="T961" s="278" t="n">
        <v>2000</v>
      </c>
      <c r="U961" s="291" t="n"/>
      <c r="V961" s="7" t="inlineStr">
        <is>
          <t>V1000460 - FIX EVOLUTION CO., LTD.</t>
        </is>
      </c>
      <c r="W961" s="30" t="inlineStr">
        <is>
          <t>Recive bill and GRN already</t>
        </is>
      </c>
      <c r="X961" s="5" t="inlineStr">
        <is>
          <t>GRN2425-0007853</t>
        </is>
      </c>
      <c r="Y961" s="3" t="n">
        <v>45733</v>
      </c>
      <c r="AA961" s="17">
        <f>IF(RawDataGenPO[[#This Row],[Date Gen PO]]="","",RawDataGenPO[[#This Row],[Date recive bill]]-RawDataGenPO[[#This Row],[Date Gen PO]])</f>
        <v/>
      </c>
      <c r="AB961" s="16">
        <f>IF(RawDataGenPO[[#This Row],[GRN-PO date]]&gt;RawDataGenPO[[#This Row],[Lead time delivery (day)]],"over deliverry","Ontime")</f>
        <v/>
      </c>
      <c r="AC961" s="22" t="n"/>
    </row>
    <row r="962" ht="15" customHeight="1">
      <c r="A962" s="5">
        <f>ROW()-ROW(RawDataGenPO[[#Headers],[No.]])</f>
        <v/>
      </c>
      <c r="B962" s="7" t="inlineStr">
        <is>
          <t>Expent  cost</t>
        </is>
      </c>
      <c r="C962" s="301" t="n">
        <v>45721</v>
      </c>
      <c r="F962" s="281" t="n">
        <v>45721</v>
      </c>
      <c r="G962" s="5" t="inlineStr">
        <is>
          <t>PR2425-05911</t>
        </is>
      </c>
      <c r="H962" s="5" t="inlineStr">
        <is>
          <t>PO2425-07011</t>
        </is>
      </c>
      <c r="I962" s="290">
        <f>IF(RawDataGenPO[[#This Row],[PO No.]]="","",RawDataGenPO[[#This Row],[DMY Create PR]]+7)</f>
        <v/>
      </c>
      <c r="J962" s="290" t="n"/>
      <c r="K962" s="20" t="n">
        <v>120</v>
      </c>
      <c r="L962" s="5" t="inlineStr">
        <is>
          <t>SFST81000009</t>
        </is>
      </c>
      <c r="M962" s="7" t="inlineStr">
        <is>
          <t>Cooling machine for PD line</t>
        </is>
      </c>
      <c r="N962" s="7" t="inlineStr">
        <is>
          <t>Cooling system jobs</t>
        </is>
      </c>
      <c r="O962" s="11" t="n">
        <v>1</v>
      </c>
      <c r="P962" s="130" t="inlineStr">
        <is>
          <t>Heater Defrost 220 V 1750 W length 2200 mm.</t>
        </is>
      </c>
      <c r="Q962" s="277" t="n">
        <v>4</v>
      </c>
      <c r="R962" s="5" t="inlineStr">
        <is>
          <t>EA.</t>
        </is>
      </c>
      <c r="S962" s="292">
        <f>RawDataGenPO[[#This Row],[Total price]]/RawDataGenPO[[#This Row],[Qty'']]</f>
        <v/>
      </c>
      <c r="T962" s="278" t="n">
        <v>18000</v>
      </c>
      <c r="U962" s="291" t="n"/>
      <c r="V962" s="7" t="inlineStr">
        <is>
          <t>V1000554 - SHANTECH (THAILAND) CO.,LTD.</t>
        </is>
      </c>
      <c r="W962" s="30" t="inlineStr">
        <is>
          <t>Recive bill and GRN already</t>
        </is>
      </c>
      <c r="X962" s="5" t="inlineStr">
        <is>
          <t>GRN2526-0004261</t>
        </is>
      </c>
      <c r="Y962" s="3" t="n">
        <v>45932</v>
      </c>
      <c r="AA962" s="17">
        <f>IF(RawDataGenPO[[#This Row],[Date Gen PO]]="","",RawDataGenPO[[#This Row],[Date recive bill]]-RawDataGenPO[[#This Row],[Date Gen PO]])</f>
        <v/>
      </c>
      <c r="AB962" s="16">
        <f>IF(RawDataGenPO[[#This Row],[GRN-PO date]]&gt;RawDataGenPO[[#This Row],[Lead time delivery (day)]],"over deliverry","Ontime")</f>
        <v/>
      </c>
      <c r="AC962" s="22" t="n"/>
    </row>
    <row r="963" ht="15" customHeight="1">
      <c r="A963" s="5">
        <f>ROW()-ROW(RawDataGenPO[[#Headers],[No.]])</f>
        <v/>
      </c>
      <c r="B963" s="7" t="inlineStr">
        <is>
          <t>Expent  cost</t>
        </is>
      </c>
      <c r="C963" s="301" t="n">
        <v>45721</v>
      </c>
      <c r="F963" s="281" t="n">
        <v>45721</v>
      </c>
      <c r="G963" s="5" t="inlineStr">
        <is>
          <t>PR2425-05911</t>
        </is>
      </c>
      <c r="H963" s="5" t="inlineStr">
        <is>
          <t>PO2425-07011</t>
        </is>
      </c>
      <c r="I963" s="290">
        <f>IF(RawDataGenPO[[#This Row],[PO No.]]="","",RawDataGenPO[[#This Row],[DMY Create PR]]+7)</f>
        <v/>
      </c>
      <c r="J963" s="290" t="n"/>
      <c r="K963" s="20" t="n">
        <v>120</v>
      </c>
      <c r="L963" s="5" t="inlineStr">
        <is>
          <t>SFST81000009</t>
        </is>
      </c>
      <c r="M963" s="7" t="inlineStr">
        <is>
          <t>Cooling machine for PD line</t>
        </is>
      </c>
      <c r="N963" s="7" t="inlineStr">
        <is>
          <t>Cooling system jobs</t>
        </is>
      </c>
      <c r="O963" s="11" t="n">
        <v>2</v>
      </c>
      <c r="P963" s="130" t="inlineStr">
        <is>
          <t>Heater Defrost 220 V 1200 W length 2200 mm.</t>
        </is>
      </c>
      <c r="Q963" s="277" t="n">
        <v>2</v>
      </c>
      <c r="R963" s="5" t="inlineStr">
        <is>
          <t>EA.</t>
        </is>
      </c>
      <c r="S963" s="292">
        <f>RawDataGenPO[[#This Row],[Total price]]/RawDataGenPO[[#This Row],[Qty'']]</f>
        <v/>
      </c>
      <c r="T963" s="278" t="n">
        <v>9000</v>
      </c>
      <c r="U963" s="291" t="n"/>
      <c r="V963" s="7" t="inlineStr">
        <is>
          <t>V1000554 - SHANTECH (THAILAND) CO.,LTD.</t>
        </is>
      </c>
      <c r="W963" s="30" t="inlineStr">
        <is>
          <t>Recive bill and GRN already</t>
        </is>
      </c>
      <c r="X963" s="5" t="inlineStr">
        <is>
          <t>GRN2526-0004261</t>
        </is>
      </c>
      <c r="Y963" s="3" t="n">
        <v>45932</v>
      </c>
      <c r="AA963" s="17">
        <f>IF(RawDataGenPO[[#This Row],[Date Gen PO]]="","",RawDataGenPO[[#This Row],[Date recive bill]]-RawDataGenPO[[#This Row],[Date Gen PO]])</f>
        <v/>
      </c>
      <c r="AB963" s="16">
        <f>IF(RawDataGenPO[[#This Row],[GRN-PO date]]&gt;RawDataGenPO[[#This Row],[Lead time delivery (day)]],"over deliverry","Ontime")</f>
        <v/>
      </c>
      <c r="AC963" s="22" t="n"/>
    </row>
    <row r="964" ht="15" customHeight="1">
      <c r="A964" s="5">
        <f>ROW()-ROW(RawDataGenPO[[#Headers],[No.]])</f>
        <v/>
      </c>
      <c r="B964" s="7" t="inlineStr">
        <is>
          <t>Expent  cost</t>
        </is>
      </c>
      <c r="C964" s="301" t="n">
        <v>45721</v>
      </c>
      <c r="F964" s="281" t="n">
        <v>45721</v>
      </c>
      <c r="G964" s="5" t="inlineStr">
        <is>
          <t>PR2425-05911</t>
        </is>
      </c>
      <c r="H964" s="5" t="inlineStr">
        <is>
          <t>PO2425-07011</t>
        </is>
      </c>
      <c r="I964" s="290">
        <f>IF(RawDataGenPO[[#This Row],[PO No.]]="","",RawDataGenPO[[#This Row],[DMY Create PR]]+7)</f>
        <v/>
      </c>
      <c r="J964" s="290" t="n"/>
      <c r="K964" s="20" t="n">
        <v>120</v>
      </c>
      <c r="L964" s="5" t="inlineStr">
        <is>
          <t>SFST81000009</t>
        </is>
      </c>
      <c r="M964" s="7" t="inlineStr">
        <is>
          <t>Cooling machine for PD line</t>
        </is>
      </c>
      <c r="N964" s="7" t="inlineStr">
        <is>
          <t>Cooling system jobs</t>
        </is>
      </c>
      <c r="O964" s="11" t="n">
        <v>3</v>
      </c>
      <c r="P964" s="130" t="inlineStr">
        <is>
          <t>Heater Defrost Dran length 160W</t>
        </is>
      </c>
      <c r="Q964" s="277" t="n">
        <v>1</v>
      </c>
      <c r="R964" s="5" t="inlineStr">
        <is>
          <t>EA.</t>
        </is>
      </c>
      <c r="S964" s="292">
        <f>RawDataGenPO[[#This Row],[Total price]]/RawDataGenPO[[#This Row],[Qty'']]</f>
        <v/>
      </c>
      <c r="T964" s="278" t="n">
        <v>3500</v>
      </c>
      <c r="U964" s="291" t="n"/>
      <c r="V964" s="7" t="inlineStr">
        <is>
          <t>V1000554 - SHANTECH (THAILAND) CO.,LTD.</t>
        </is>
      </c>
      <c r="W964" s="30" t="inlineStr">
        <is>
          <t>Recive bill and GRN already</t>
        </is>
      </c>
      <c r="X964" s="5" t="inlineStr">
        <is>
          <t>GRN2526-0004261</t>
        </is>
      </c>
      <c r="Y964" s="3" t="n">
        <v>45932</v>
      </c>
      <c r="AA964" s="17">
        <f>IF(RawDataGenPO[[#This Row],[Date Gen PO]]="","",RawDataGenPO[[#This Row],[Date recive bill]]-RawDataGenPO[[#This Row],[Date Gen PO]])</f>
        <v/>
      </c>
      <c r="AB964" s="16">
        <f>IF(RawDataGenPO[[#This Row],[GRN-PO date]]&gt;RawDataGenPO[[#This Row],[Lead time delivery (day)]],"over deliverry","Ontime")</f>
        <v/>
      </c>
      <c r="AC964" s="22" t="n"/>
    </row>
    <row r="965" ht="15" customHeight="1">
      <c r="A965" s="5">
        <f>ROW()-ROW(RawDataGenPO[[#Headers],[No.]])</f>
        <v/>
      </c>
      <c r="B965" s="7" t="inlineStr">
        <is>
          <t>Expent  cost</t>
        </is>
      </c>
      <c r="C965" s="301" t="n">
        <v>45721</v>
      </c>
      <c r="F965" s="281" t="n">
        <v>45721</v>
      </c>
      <c r="G965" s="5" t="inlineStr">
        <is>
          <t>PR2425-05911</t>
        </is>
      </c>
      <c r="H965" s="5" t="inlineStr">
        <is>
          <t>PO2425-07011</t>
        </is>
      </c>
      <c r="I965" s="290">
        <f>IF(RawDataGenPO[[#This Row],[PO No.]]="","",RawDataGenPO[[#This Row],[DMY Create PR]]+7)</f>
        <v/>
      </c>
      <c r="J965" s="290" t="n"/>
      <c r="K965" s="20" t="n">
        <v>120</v>
      </c>
      <c r="L965" s="5" t="inlineStr">
        <is>
          <t>SFST81000009</t>
        </is>
      </c>
      <c r="M965" s="7" t="inlineStr">
        <is>
          <t>Cooling machine for PD line</t>
        </is>
      </c>
      <c r="N965" s="7" t="inlineStr">
        <is>
          <t>Cooling system jobs</t>
        </is>
      </c>
      <c r="O965" s="11" t="n">
        <v>4</v>
      </c>
      <c r="P965" s="130" t="inlineStr">
        <is>
          <t>Service charge + travel cost</t>
        </is>
      </c>
      <c r="Q965" s="277" t="n">
        <v>1</v>
      </c>
      <c r="R965" s="5" t="inlineStr">
        <is>
          <t>JOB.</t>
        </is>
      </c>
      <c r="S965" s="292">
        <f>RawDataGenPO[[#This Row],[Total price]]/RawDataGenPO[[#This Row],[Qty'']]</f>
        <v/>
      </c>
      <c r="T965" s="278" t="n">
        <v>15000</v>
      </c>
      <c r="U965" s="291" t="n"/>
      <c r="V965" s="7" t="inlineStr">
        <is>
          <t>V1000554 - SHANTECH (THAILAND) CO.,LTD.</t>
        </is>
      </c>
      <c r="W965" s="30" t="inlineStr">
        <is>
          <t>Recive bill and GRN already</t>
        </is>
      </c>
      <c r="X965" s="5" t="inlineStr">
        <is>
          <t>GRN2526-0004261</t>
        </is>
      </c>
      <c r="Y965" s="3" t="n">
        <v>45932</v>
      </c>
      <c r="AA965" s="17">
        <f>IF(RawDataGenPO[[#This Row],[Date Gen PO]]="","",RawDataGenPO[[#This Row],[Date recive bill]]-RawDataGenPO[[#This Row],[Date Gen PO]])</f>
        <v/>
      </c>
      <c r="AB965" s="16">
        <f>IF(RawDataGenPO[[#This Row],[GRN-PO date]]&gt;RawDataGenPO[[#This Row],[Lead time delivery (day)]],"over deliverry","Ontime")</f>
        <v/>
      </c>
      <c r="AC965" s="22" t="n"/>
    </row>
    <row r="966" ht="15" customHeight="1">
      <c r="A966" s="5">
        <f>ROW()-ROW(RawDataGenPO[[#Headers],[No.]])</f>
        <v/>
      </c>
      <c r="B966" s="7" t="inlineStr">
        <is>
          <t>Expent  cost</t>
        </is>
      </c>
      <c r="C966" s="301" t="n">
        <v>45721</v>
      </c>
      <c r="F966" s="281" t="n">
        <v>45721</v>
      </c>
      <c r="G966" s="5" t="inlineStr">
        <is>
          <t>PR2425-05912</t>
        </is>
      </c>
      <c r="H966" s="5" t="inlineStr">
        <is>
          <t>PO2425-07010</t>
        </is>
      </c>
      <c r="I966" s="290">
        <f>IF(RawDataGenPO[[#This Row],[PO No.]]="","",RawDataGenPO[[#This Row],[DMY Create PR]]+7)</f>
        <v/>
      </c>
      <c r="J966" s="290" t="n"/>
      <c r="K966" s="20" t="n">
        <v>25</v>
      </c>
      <c r="L966" s="5" t="inlineStr">
        <is>
          <t>SFST81000050</t>
        </is>
      </c>
      <c r="M966" s="7" t="inlineStr">
        <is>
          <t>Safety equipment</t>
        </is>
      </c>
      <c r="N966" s="7" t="inlineStr">
        <is>
          <t>Safety equipment</t>
        </is>
      </c>
      <c r="O966" s="11" t="n">
        <v>1</v>
      </c>
      <c r="P966" s="80" t="inlineStr">
        <is>
          <t>waterchemicalfire-fighting dry chemical type size 15 lb Fire Rating 6A-20B</t>
        </is>
      </c>
      <c r="Q966" s="277" t="n">
        <v>3</v>
      </c>
      <c r="R966" s="5" t="inlineStr">
        <is>
          <t>EA.</t>
        </is>
      </c>
      <c r="S966" s="292">
        <f>RawDataGenPO[[#This Row],[Total price]]/RawDataGenPO[[#This Row],[Qty'']]</f>
        <v/>
      </c>
      <c r="T966" s="278" t="n">
        <v>1650</v>
      </c>
      <c r="U966" s="291" t="n"/>
      <c r="V966" s="7" t="inlineStr">
        <is>
          <t>V1000781 - FIRE-ENGINE IMPERIAL CO.,LTD.</t>
        </is>
      </c>
      <c r="W966" s="30" t="inlineStr">
        <is>
          <t>Recive bill and GRN already</t>
        </is>
      </c>
      <c r="X966" s="5" t="inlineStr">
        <is>
          <t>GRN2526-0000028</t>
        </is>
      </c>
      <c r="Y966" s="3" t="n">
        <v>45749</v>
      </c>
      <c r="AA966" s="17">
        <f>IF(RawDataGenPO[[#This Row],[Date Gen PO]]="","",RawDataGenPO[[#This Row],[Date recive bill]]-RawDataGenPO[[#This Row],[Date Gen PO]])</f>
        <v/>
      </c>
      <c r="AB966" s="16">
        <f>IF(RawDataGenPO[[#This Row],[GRN-PO date]]&gt;RawDataGenPO[[#This Row],[Lead time delivery (day)]],"over deliverry","Ontime")</f>
        <v/>
      </c>
      <c r="AC966" s="22" t="n"/>
    </row>
    <row r="967" ht="15" customHeight="1">
      <c r="A967" s="5">
        <f>ROW()-ROW(RawDataGenPO[[#Headers],[No.]])</f>
        <v/>
      </c>
      <c r="B967" s="7" t="inlineStr">
        <is>
          <t>Expent  cost</t>
        </is>
      </c>
      <c r="C967" s="301" t="n">
        <v>45721</v>
      </c>
      <c r="F967" s="281" t="n">
        <v>45721</v>
      </c>
      <c r="G967" s="5" t="inlineStr">
        <is>
          <t>PR2425-05912</t>
        </is>
      </c>
      <c r="H967" s="5" t="inlineStr">
        <is>
          <t>PO2425-07010</t>
        </is>
      </c>
      <c r="I967" s="290">
        <f>IF(RawDataGenPO[[#This Row],[PO No.]]="","",RawDataGenPO[[#This Row],[DMY Create PR]]+7)</f>
        <v/>
      </c>
      <c r="J967" s="290" t="n"/>
      <c r="K967" s="20" t="n">
        <v>25</v>
      </c>
      <c r="L967" s="5" t="inlineStr">
        <is>
          <t>SFST81000050</t>
        </is>
      </c>
      <c r="M967" s="7" t="inlineStr">
        <is>
          <t>Safety equipment</t>
        </is>
      </c>
      <c r="N967" s="7" t="inlineStr">
        <is>
          <t>Safety equipment</t>
        </is>
      </c>
      <c r="O967" s="11" t="n">
        <v>2</v>
      </c>
      <c r="P967" s="80" t="inlineStr">
        <is>
          <t>waterchemicalfire-fighting typewater type size 15 lb type SC-6</t>
        </is>
      </c>
      <c r="Q967" s="277" t="n">
        <v>2</v>
      </c>
      <c r="R967" s="5" t="inlineStr">
        <is>
          <t>EA.</t>
        </is>
      </c>
      <c r="S967" s="292">
        <f>RawDataGenPO[[#This Row],[Total price]]/RawDataGenPO[[#This Row],[Qty'']]</f>
        <v/>
      </c>
      <c r="T967" s="278" t="n">
        <v>1800</v>
      </c>
      <c r="U967" s="291" t="n"/>
      <c r="V967" s="7" t="inlineStr">
        <is>
          <t>V1000781 - FIRE-ENGINE IMPERIAL CO.,LTD.</t>
        </is>
      </c>
      <c r="W967" s="30" t="inlineStr">
        <is>
          <t>Recive bill and GRN already</t>
        </is>
      </c>
      <c r="X967" s="5" t="inlineStr">
        <is>
          <t>GRN2526-0000028</t>
        </is>
      </c>
      <c r="Y967" s="3" t="n">
        <v>45749</v>
      </c>
      <c r="AA967" s="17">
        <f>IF(RawDataGenPO[[#This Row],[Date Gen PO]]="","",RawDataGenPO[[#This Row],[Date recive bill]]-RawDataGenPO[[#This Row],[Date Gen PO]])</f>
        <v/>
      </c>
      <c r="AB967" s="16">
        <f>IF(RawDataGenPO[[#This Row],[GRN-PO date]]&gt;RawDataGenPO[[#This Row],[Lead time delivery (day)]],"over deliverry","Ontime")</f>
        <v/>
      </c>
      <c r="AC967" s="22" t="n"/>
    </row>
    <row r="968" ht="15" customHeight="1">
      <c r="A968" s="5">
        <f>ROW()-ROW(RawDataGenPO[[#Headers],[No.]])</f>
        <v/>
      </c>
      <c r="B968" s="7" t="inlineStr">
        <is>
          <t>Expent  cost</t>
        </is>
      </c>
      <c r="C968" s="301" t="n">
        <v>45721</v>
      </c>
      <c r="F968" s="281" t="n">
        <v>45721</v>
      </c>
      <c r="G968" s="5" t="inlineStr">
        <is>
          <t>PR2425-05912</t>
        </is>
      </c>
      <c r="H968" s="5" t="inlineStr">
        <is>
          <t>PO2425-07010</t>
        </is>
      </c>
      <c r="I968" s="290">
        <f>IF(RawDataGenPO[[#This Row],[PO No.]]="","",RawDataGenPO[[#This Row],[DMY Create PR]]+7)</f>
        <v/>
      </c>
      <c r="J968" s="290" t="n"/>
      <c r="K968" s="20" t="n">
        <v>25</v>
      </c>
      <c r="L968" s="5" t="inlineStr">
        <is>
          <t>SFST81000050</t>
        </is>
      </c>
      <c r="M968" s="7" t="inlineStr">
        <is>
          <t>Safety equipment</t>
        </is>
      </c>
      <c r="N968" s="7" t="inlineStr">
        <is>
          <t>Safety equipment</t>
        </is>
      </c>
      <c r="O968" s="11" t="n">
        <v>3</v>
      </c>
      <c r="P968" s="80" t="inlineStr">
        <is>
          <t>Pressure gauge for dry chemical fire extinguisher</t>
        </is>
      </c>
      <c r="Q968" s="277" t="n">
        <v>2</v>
      </c>
      <c r="R968" s="5" t="inlineStr">
        <is>
          <t>PCS.</t>
        </is>
      </c>
      <c r="S968" s="292">
        <f>RawDataGenPO[[#This Row],[Total price]]/RawDataGenPO[[#This Row],[Qty'']]</f>
        <v/>
      </c>
      <c r="T968" s="278" t="n">
        <v>300</v>
      </c>
      <c r="U968" s="291" t="n"/>
      <c r="V968" s="7" t="inlineStr">
        <is>
          <t>V1000781 - FIRE-ENGINE IMPERIAL CO.,LTD.</t>
        </is>
      </c>
      <c r="W968" s="30" t="inlineStr">
        <is>
          <t>Recive bill and GRN already</t>
        </is>
      </c>
      <c r="X968" s="5" t="inlineStr">
        <is>
          <t>GRN2526-0000028</t>
        </is>
      </c>
      <c r="Y968" s="3" t="n">
        <v>45749</v>
      </c>
      <c r="AA968" s="17">
        <f>IF(RawDataGenPO[[#This Row],[Date Gen PO]]="","",RawDataGenPO[[#This Row],[Date recive bill]]-RawDataGenPO[[#This Row],[Date Gen PO]])</f>
        <v/>
      </c>
      <c r="AB968" s="16">
        <f>IF(RawDataGenPO[[#This Row],[GRN-PO date]]&gt;RawDataGenPO[[#This Row],[Lead time delivery (day)]],"over deliverry","Ontime")</f>
        <v/>
      </c>
      <c r="AC968" s="22" t="n"/>
    </row>
    <row r="969" ht="45" customHeight="1">
      <c r="A969" s="5">
        <f>ROW()-ROW(RawDataGenPO[[#Headers],[No.]])</f>
        <v/>
      </c>
      <c r="B969" s="7" t="inlineStr">
        <is>
          <t>Expent  cost</t>
        </is>
      </c>
      <c r="C969" s="301" t="n">
        <v>45721</v>
      </c>
      <c r="F969" s="281" t="n">
        <v>45721</v>
      </c>
      <c r="G969" s="5" t="inlineStr">
        <is>
          <t>PR2425-05912</t>
        </is>
      </c>
      <c r="H969" s="5" t="inlineStr">
        <is>
          <t>PO2425-07010</t>
        </is>
      </c>
      <c r="I969" s="290">
        <f>IF(RawDataGenPO[[#This Row],[PO No.]]="","",RawDataGenPO[[#This Row],[DMY Create PR]]+7)</f>
        <v/>
      </c>
      <c r="J969" s="290" t="n"/>
      <c r="K969" s="20" t="n">
        <v>25</v>
      </c>
      <c r="L969" s="5" t="inlineStr">
        <is>
          <t>SFST81000050</t>
        </is>
      </c>
      <c r="M969" s="7" t="inlineStr">
        <is>
          <t>Safety equipment</t>
        </is>
      </c>
      <c r="N969" s="7" t="inlineStr">
        <is>
          <t>Safety equipment</t>
        </is>
      </c>
      <c r="O969" s="11" t="n">
        <v>4</v>
      </c>
      <c r="P969" s="80" t="inlineStr">
        <is>
          <t>dry chemical fire extinguisher brand IMPERIAL size 15 lb Fire Rating 6A-20B
- additional details as per attached quotation</t>
        </is>
      </c>
      <c r="Q969" s="277" t="n">
        <v>1</v>
      </c>
      <c r="R969" s="5" t="inlineStr">
        <is>
          <t>EA.</t>
        </is>
      </c>
      <c r="S969" s="292">
        <f>RawDataGenPO[[#This Row],[Total price]]/RawDataGenPO[[#This Row],[Qty'']]</f>
        <v/>
      </c>
      <c r="T969" s="278" t="n">
        <v>1300</v>
      </c>
      <c r="U969" s="291" t="n"/>
      <c r="V969" s="7" t="inlineStr">
        <is>
          <t>V1000781 - FIRE-ENGINE IMPERIAL CO.,LTD.</t>
        </is>
      </c>
      <c r="W969" s="30" t="inlineStr">
        <is>
          <t>Recive bill and GRN already</t>
        </is>
      </c>
      <c r="X969" s="5" t="inlineStr">
        <is>
          <t>GRN2526-0000028</t>
        </is>
      </c>
      <c r="Y969" s="3" t="n">
        <v>45749</v>
      </c>
      <c r="AA969" s="17">
        <f>IF(RawDataGenPO[[#This Row],[Date Gen PO]]="","",RawDataGenPO[[#This Row],[Date recive bill]]-RawDataGenPO[[#This Row],[Date Gen PO]])</f>
        <v/>
      </c>
      <c r="AB969" s="16">
        <f>IF(RawDataGenPO[[#This Row],[GRN-PO date]]&gt;RawDataGenPO[[#This Row],[Lead time delivery (day)]],"over deliverry","Ontime")</f>
        <v/>
      </c>
      <c r="AC969" s="22" t="n"/>
    </row>
    <row r="970" ht="30" customHeight="1">
      <c r="A970" s="5">
        <f>ROW()-ROW(RawDataGenPO[[#Headers],[No.]])</f>
        <v/>
      </c>
      <c r="B970" s="7" t="inlineStr">
        <is>
          <t>Expent  cost</t>
        </is>
      </c>
      <c r="C970" s="301" t="n">
        <v>45726</v>
      </c>
      <c r="F970" s="281" t="n">
        <v>45726</v>
      </c>
      <c r="G970" s="5" t="inlineStr">
        <is>
          <t>PR2425-05974</t>
        </is>
      </c>
      <c r="H970" s="5" t="inlineStr">
        <is>
          <t>PO2425-07012</t>
        </is>
      </c>
      <c r="I970" s="290">
        <f>IF(RawDataGenPO[[#This Row],[PO No.]]="","",RawDataGenPO[[#This Row],[DMY Create PR]]+7)</f>
        <v/>
      </c>
      <c r="J970" s="290" t="n"/>
      <c r="K970" s="20" t="n">
        <v>90</v>
      </c>
      <c r="L970" s="5" t="inlineStr">
        <is>
          <t>SFST81000050</t>
        </is>
      </c>
      <c r="M970" s="7" t="inlineStr">
        <is>
          <t>Water plant</t>
        </is>
      </c>
      <c r="N970" s="7" t="inlineStr">
        <is>
          <t>Tool and Equipment</t>
        </is>
      </c>
      <c r="O970" s="11" t="n">
        <v>1</v>
      </c>
      <c r="P970" s="80" t="inlineStr">
        <is>
          <t>DPD no.1 "Lovibond" 511052BT 500 Tablets
(1 Box/500 Pcs)</t>
        </is>
      </c>
      <c r="Q970" s="277" t="n">
        <v>4</v>
      </c>
      <c r="R970" s="5" t="inlineStr">
        <is>
          <t>PCS.</t>
        </is>
      </c>
      <c r="S970" s="292">
        <f>RawDataGenPO[[#This Row],[Total price]]/RawDataGenPO[[#This Row],[Qty'']]</f>
        <v/>
      </c>
      <c r="T970" s="278" t="n">
        <v>6250</v>
      </c>
      <c r="U970" s="291" t="n"/>
      <c r="V970" s="7" t="inlineStr">
        <is>
          <t xml:space="preserve"> V1000210 - U.P. MARKETING GENERAL SUPPLY CO., LTD.</t>
        </is>
      </c>
      <c r="W970" s="30" t="inlineStr">
        <is>
          <t>Recive bill and GRN already</t>
        </is>
      </c>
      <c r="X970" s="5" t="inlineStr">
        <is>
          <t>GRN2526-0000421</t>
        </is>
      </c>
      <c r="Y970" s="3" t="n">
        <v>45770</v>
      </c>
      <c r="AA970" s="17">
        <f>IF(RawDataGenPO[[#This Row],[Date Gen PO]]="","",RawDataGenPO[[#This Row],[Date recive bill]]-RawDataGenPO[[#This Row],[Date Gen PO]])</f>
        <v/>
      </c>
      <c r="AB970" s="16">
        <f>IF(RawDataGenPO[[#This Row],[GRN-PO date]]&gt;RawDataGenPO[[#This Row],[Lead time delivery (day)]],"over deliverry","Ontime")</f>
        <v/>
      </c>
      <c r="AC970" s="22" t="n"/>
    </row>
    <row r="971" ht="15" customHeight="1">
      <c r="A971" s="5">
        <f>ROW()-ROW(RawDataGenPO[[#Headers],[No.]])</f>
        <v/>
      </c>
      <c r="B971" s="7" t="inlineStr">
        <is>
          <t>Expent  cost</t>
        </is>
      </c>
      <c r="C971" s="301" t="n">
        <v>45727</v>
      </c>
      <c r="F971" s="281" t="n">
        <v>45727</v>
      </c>
      <c r="G971" s="132" t="inlineStr">
        <is>
          <t>PR2425-05985</t>
        </is>
      </c>
      <c r="H971" s="5" t="inlineStr">
        <is>
          <t>PO2425-07007</t>
        </is>
      </c>
      <c r="I971" s="290">
        <f>IF(RawDataGenPO[[#This Row],[PO No.]]="","",RawDataGenPO[[#This Row],[DMY Create PR]]+7)</f>
        <v/>
      </c>
      <c r="J971" s="290" t="n"/>
      <c r="K971" s="20">
        <f>IF(RawDataGenPO[[#This Row],[PO No.]]="","",10)</f>
        <v/>
      </c>
      <c r="L971" s="5" t="inlineStr">
        <is>
          <t>SFST34000046</t>
        </is>
      </c>
      <c r="M971" s="7" t="inlineStr">
        <is>
          <t>Consumable part for MN</t>
        </is>
      </c>
      <c r="N971" s="7" t="inlineStr">
        <is>
          <t>Electrical jobs</t>
        </is>
      </c>
      <c r="O971" s="11" t="n">
        <v>1</v>
      </c>
      <c r="P971" s="80" t="inlineStr">
        <is>
          <t>"Philips", TCW099, 2x36w,lamp waterproof dustproof rainproof 36w</t>
        </is>
      </c>
      <c r="Q971" s="277" t="n">
        <v>30</v>
      </c>
      <c r="R971" s="5" t="inlineStr">
        <is>
          <t>PCS.</t>
        </is>
      </c>
      <c r="S971" s="292">
        <f>RawDataGenPO[[#This Row],[Total price]]/RawDataGenPO[[#This Row],[Qty'']]</f>
        <v/>
      </c>
      <c r="T971" s="278" t="n">
        <v>45630</v>
      </c>
      <c r="U971" s="291" t="n"/>
      <c r="V971" s="7" t="inlineStr">
        <is>
          <t>V1000603 - TM SUKSAP TRADING LIMITED PARTNERSHIP</t>
        </is>
      </c>
      <c r="W971" s="30" t="inlineStr">
        <is>
          <t>Recive bill and GRN already</t>
        </is>
      </c>
      <c r="X971" s="5" t="inlineStr">
        <is>
          <t>GRN2425-0007947</t>
        </is>
      </c>
      <c r="Y971" s="3" t="n">
        <v>45736</v>
      </c>
      <c r="AA971" s="17">
        <f>IF(RawDataGenPO[[#This Row],[Date Gen PO]]="","",RawDataGenPO[[#This Row],[Date recive bill]]-RawDataGenPO[[#This Row],[Date Gen PO]])</f>
        <v/>
      </c>
      <c r="AB971" s="16">
        <f>IF(RawDataGenPO[[#This Row],[GRN-PO date]]&gt;RawDataGenPO[[#This Row],[Lead time delivery (day)]],"over deliverry","Ontime")</f>
        <v/>
      </c>
      <c r="AC971" s="22" t="n"/>
    </row>
    <row r="972" ht="15" customHeight="1">
      <c r="A972" s="5">
        <f>ROW()-ROW(RawDataGenPO[[#Headers],[No.]])</f>
        <v/>
      </c>
      <c r="B972" s="7" t="inlineStr">
        <is>
          <t>Expent  cost</t>
        </is>
      </c>
      <c r="C972" s="301" t="n">
        <v>45727</v>
      </c>
      <c r="F972" s="281" t="n">
        <v>45727</v>
      </c>
      <c r="G972" s="132" t="inlineStr">
        <is>
          <t>PR2425-05985</t>
        </is>
      </c>
      <c r="H972" s="5" t="inlineStr">
        <is>
          <t>PO2425-07007</t>
        </is>
      </c>
      <c r="I972" s="290">
        <f>IF(RawDataGenPO[[#This Row],[PO No.]]="","",RawDataGenPO[[#This Row],[DMY Create PR]]+7)</f>
        <v/>
      </c>
      <c r="J972" s="290" t="n"/>
      <c r="K972" s="20">
        <f>IF(RawDataGenPO[[#This Row],[PO No.]]="","",10)</f>
        <v/>
      </c>
      <c r="L972" s="5" t="inlineStr">
        <is>
          <t>SFST34000047</t>
        </is>
      </c>
      <c r="M972" s="7" t="inlineStr">
        <is>
          <t>Consumable part for MN</t>
        </is>
      </c>
      <c r="N972" s="7" t="inlineStr">
        <is>
          <t>Electrical jobs</t>
        </is>
      </c>
      <c r="O972" s="11" t="n">
        <v>2</v>
      </c>
      <c r="P972" s="80" t="inlineStr">
        <is>
          <t>Philips model WT069C,light fixture T8 LED waterproof dustproof rainproof</t>
        </is>
      </c>
      <c r="Q972" s="277" t="n">
        <v>5</v>
      </c>
      <c r="R972" s="5" t="inlineStr">
        <is>
          <t>PCS.</t>
        </is>
      </c>
      <c r="S972" s="292">
        <f>RawDataGenPO[[#This Row],[Total price]]/RawDataGenPO[[#This Row],[Qty'']]</f>
        <v/>
      </c>
      <c r="T972" s="278" t="n">
        <v>2950</v>
      </c>
      <c r="U972" s="291" t="n"/>
      <c r="V972" s="7" t="inlineStr">
        <is>
          <t>V1000603 - TM SUKSAP TRADING LIMITED PARTNERSHIP</t>
        </is>
      </c>
      <c r="W972" s="30" t="inlineStr">
        <is>
          <t>Recive bill and GRN already</t>
        </is>
      </c>
      <c r="X972" s="5" t="inlineStr">
        <is>
          <t>GRN2425-0007947</t>
        </is>
      </c>
      <c r="Y972" s="3" t="n">
        <v>45736</v>
      </c>
      <c r="AA972" s="17">
        <f>IF(RawDataGenPO[[#This Row],[Date Gen PO]]="","",RawDataGenPO[[#This Row],[Date recive bill]]-RawDataGenPO[[#This Row],[Date Gen PO]])</f>
        <v/>
      </c>
      <c r="AB972" s="16">
        <f>IF(RawDataGenPO[[#This Row],[GRN-PO date]]&gt;RawDataGenPO[[#This Row],[Lead time delivery (day)]],"over deliverry","Ontime")</f>
        <v/>
      </c>
      <c r="AC972" s="22" t="n"/>
    </row>
    <row r="973" ht="15" customHeight="1">
      <c r="A973" s="5">
        <f>ROW()-ROW(RawDataGenPO[[#Headers],[No.]])</f>
        <v/>
      </c>
      <c r="B973" s="7" t="inlineStr">
        <is>
          <t>Expent  cost</t>
        </is>
      </c>
      <c r="C973" s="301" t="n">
        <v>45727</v>
      </c>
      <c r="F973" s="281" t="n">
        <v>45727</v>
      </c>
      <c r="G973" s="5" t="inlineStr">
        <is>
          <t xml:space="preserve">PR2425-05987 </t>
        </is>
      </c>
      <c r="H973" s="5" t="inlineStr">
        <is>
          <t>PO2425-07085</t>
        </is>
      </c>
      <c r="I973" s="290">
        <f>IF(RawDataGenPO[[#This Row],[PO No.]]="","",RawDataGenPO[[#This Row],[DMY Create PR]]+7)</f>
        <v/>
      </c>
      <c r="J973" s="290" t="n"/>
      <c r="K973" s="20">
        <f>IF(RawDataGenPO[[#This Row],[PO No.]]="","",10)</f>
        <v/>
      </c>
      <c r="L973" s="5" t="inlineStr">
        <is>
          <t>SFST34000103</t>
        </is>
      </c>
      <c r="M973" s="7" t="inlineStr">
        <is>
          <t>Consumable part for MN</t>
        </is>
      </c>
      <c r="N973" s="7" t="inlineStr">
        <is>
          <t>Tool and Equipment</t>
        </is>
      </c>
      <c r="O973" s="11" t="n">
        <v>1</v>
      </c>
      <c r="P973" s="80" t="inlineStr">
        <is>
          <t>acid-free anti-mold silicone Wessbond silicone Neutra white</t>
        </is>
      </c>
      <c r="Q973" s="277" t="n">
        <v>50</v>
      </c>
      <c r="R973" s="5" t="inlineStr">
        <is>
          <t>PCS.</t>
        </is>
      </c>
      <c r="S973" s="292">
        <f>RawDataGenPO[[#This Row],[Total price]]/RawDataGenPO[[#This Row],[Qty'']]</f>
        <v/>
      </c>
      <c r="T973" s="278" t="n">
        <v>11500</v>
      </c>
      <c r="U973" s="291" t="n"/>
      <c r="V973" s="7" t="inlineStr">
        <is>
          <t>V1000576 - Darmex Petroleum (Thailand) Corp., Ltd.</t>
        </is>
      </c>
      <c r="W973" s="30" t="inlineStr">
        <is>
          <t>Recive bill and GRN already</t>
        </is>
      </c>
      <c r="X973" s="5" t="inlineStr">
        <is>
          <t>GRN2425-0007885</t>
        </is>
      </c>
      <c r="Y973" s="3" t="n">
        <v>45734</v>
      </c>
      <c r="AA973" s="17">
        <f>IF(RawDataGenPO[[#This Row],[Date Gen PO]]="","",RawDataGenPO[[#This Row],[Date recive bill]]-RawDataGenPO[[#This Row],[Date Gen PO]])</f>
        <v/>
      </c>
      <c r="AB973" s="16">
        <f>IF(RawDataGenPO[[#This Row],[GRN-PO date]]&gt;RawDataGenPO[[#This Row],[Lead time delivery (day)]],"over deliverry","Ontime")</f>
        <v/>
      </c>
      <c r="AC973" s="22" t="n"/>
    </row>
    <row r="974" ht="15" customHeight="1">
      <c r="A974" s="5">
        <f>ROW()-ROW(RawDataGenPO[[#Headers],[No.]])</f>
        <v/>
      </c>
      <c r="B974" s="7" t="inlineStr">
        <is>
          <t>Expent  cost</t>
        </is>
      </c>
      <c r="C974" s="301" t="n">
        <v>45727</v>
      </c>
      <c r="F974" s="281" t="n">
        <v>45727</v>
      </c>
      <c r="G974" s="5" t="inlineStr">
        <is>
          <t xml:space="preserve">PR2425-05987 </t>
        </is>
      </c>
      <c r="H974" s="5" t="inlineStr">
        <is>
          <t>PO2425-07086</t>
        </is>
      </c>
      <c r="I974" s="290">
        <f>IF(RawDataGenPO[[#This Row],[PO No.]]="","",RawDataGenPO[[#This Row],[DMY Create PR]]+7)</f>
        <v/>
      </c>
      <c r="J974" s="290" t="n"/>
      <c r="K974" s="20">
        <f>IF(RawDataGenPO[[#This Row],[PO No.]]="","",10)</f>
        <v/>
      </c>
      <c r="L974" s="5" t="inlineStr">
        <is>
          <t>SFST34000120</t>
        </is>
      </c>
      <c r="M974" s="7" t="inlineStr">
        <is>
          <t>Consumable part for MN</t>
        </is>
      </c>
      <c r="N974" s="7" t="inlineStr">
        <is>
          <t>Consumable part</t>
        </is>
      </c>
      <c r="O974" s="11" t="n">
        <v>2</v>
      </c>
      <c r="P974" s="80" t="inlineStr">
        <is>
          <t>paint roller brush size 4 inch shaftlength</t>
        </is>
      </c>
      <c r="Q974" s="277" t="n">
        <v>40</v>
      </c>
      <c r="R974" s="5" t="inlineStr">
        <is>
          <t>PCS.</t>
        </is>
      </c>
      <c r="S974" s="292">
        <f>RawDataGenPO[[#This Row],[Total price]]/RawDataGenPO[[#This Row],[Qty'']]</f>
        <v/>
      </c>
      <c r="T974" s="278" t="n">
        <v>2000</v>
      </c>
      <c r="U974" s="291" t="n"/>
      <c r="V974" s="7" t="inlineStr">
        <is>
          <t>V1000603 - TM SUKSAP TRADING LIMITED PARTNERSHIP</t>
        </is>
      </c>
      <c r="W974" s="30" t="inlineStr">
        <is>
          <t>Recive bill and GRN already</t>
        </is>
      </c>
      <c r="X974" s="5" t="inlineStr">
        <is>
          <t>GRN2425-0008046</t>
        </is>
      </c>
      <c r="Y974" s="3" t="n">
        <v>45741</v>
      </c>
      <c r="AA974" s="17">
        <f>IF(RawDataGenPO[[#This Row],[Date Gen PO]]="","",RawDataGenPO[[#This Row],[Date recive bill]]-RawDataGenPO[[#This Row],[Date Gen PO]])</f>
        <v/>
      </c>
      <c r="AB974" s="16">
        <f>IF(RawDataGenPO[[#This Row],[GRN-PO date]]&gt;RawDataGenPO[[#This Row],[Lead time delivery (day)]],"over deliverry","Ontime")</f>
        <v/>
      </c>
      <c r="AC974" s="22" t="n"/>
    </row>
    <row r="975" ht="45" customHeight="1">
      <c r="A975" s="5">
        <f>ROW()-ROW(RawDataGenPO[[#Headers],[No.]])</f>
        <v/>
      </c>
      <c r="B975" s="7" t="inlineStr">
        <is>
          <t>Expent  cost</t>
        </is>
      </c>
      <c r="C975" s="301" t="n">
        <v>45728</v>
      </c>
      <c r="F975" s="281" t="n">
        <v>45728</v>
      </c>
      <c r="G975" s="5" t="inlineStr">
        <is>
          <t xml:space="preserve">PR2425-06024 </t>
        </is>
      </c>
      <c r="H975" s="5" t="inlineStr">
        <is>
          <t>PO2425-07102</t>
        </is>
      </c>
      <c r="I975" s="290">
        <f>IF(RawDataGenPO[[#This Row],[PO No.]]="","",RawDataGenPO[[#This Row],[DMY Create PR]]+7)</f>
        <v/>
      </c>
      <c r="J975" s="290" t="n"/>
      <c r="K975" s="20" t="n">
        <v>40</v>
      </c>
      <c r="L975" s="5" t="inlineStr">
        <is>
          <t>SFST81000050</t>
        </is>
      </c>
      <c r="M975" s="7" t="inlineStr">
        <is>
          <t>Water plant</t>
        </is>
      </c>
      <c r="N975" s="7" t="inlineStr">
        <is>
          <t>Tool and Equipment</t>
        </is>
      </c>
      <c r="O975" s="11" t="n">
        <v>1</v>
      </c>
      <c r="P975" s="80" t="inlineStr">
        <is>
          <t>Lovibond No.197620 Photometer sample cell, round glass, 16mm
diameter, 96mm height, with lid
(sample bottle for chlorine testing size 10 MI)</t>
        </is>
      </c>
      <c r="Q975" s="277" t="n">
        <v>5</v>
      </c>
      <c r="R975" s="5" t="inlineStr">
        <is>
          <t>PCS.</t>
        </is>
      </c>
      <c r="S975" s="292">
        <f>RawDataGenPO[[#This Row],[Total price]]/RawDataGenPO[[#This Row],[Qty'']]</f>
        <v/>
      </c>
      <c r="T975" s="278" t="n">
        <v>1750</v>
      </c>
      <c r="U975" s="291" t="n"/>
      <c r="V975" s="7" t="inlineStr">
        <is>
          <t>V1000210 - U.P. MARKETING GENERAL SUPPLY CO., LTD.</t>
        </is>
      </c>
      <c r="W975" s="30" t="inlineStr">
        <is>
          <t>Recive bill and GRN already</t>
        </is>
      </c>
      <c r="X975" s="5" t="inlineStr">
        <is>
          <t>GRN2526-0000320</t>
        </is>
      </c>
      <c r="Y975" s="3" t="n">
        <v>45766</v>
      </c>
      <c r="AA975" s="17">
        <f>IF(RawDataGenPO[[#This Row],[Date Gen PO]]="","",RawDataGenPO[[#This Row],[Date recive bill]]-RawDataGenPO[[#This Row],[Date Gen PO]])</f>
        <v/>
      </c>
      <c r="AB975" s="16">
        <f>IF(RawDataGenPO[[#This Row],[GRN-PO date]]&gt;RawDataGenPO[[#This Row],[Lead time delivery (day)]],"over deliverry","Ontime")</f>
        <v/>
      </c>
      <c r="AC975" s="22" t="n"/>
    </row>
    <row r="976" ht="27.60000038146973" customHeight="1">
      <c r="A976" s="5">
        <f>ROW()-ROW(RawDataGenPO[[#Headers],[No.]])</f>
        <v/>
      </c>
      <c r="B976" s="7" t="inlineStr">
        <is>
          <t>Expent  cost</t>
        </is>
      </c>
      <c r="C976" s="301" t="n">
        <v>45728</v>
      </c>
      <c r="F976" s="281" t="n">
        <v>45728</v>
      </c>
      <c r="G976" s="5" t="inlineStr">
        <is>
          <t>PR2425-06025</t>
        </is>
      </c>
      <c r="H976" s="5" t="inlineStr">
        <is>
          <t>PO2425-07101</t>
        </is>
      </c>
      <c r="I976" s="290">
        <f>IF(RawDataGenPO[[#This Row],[PO No.]]="","",RawDataGenPO[[#This Row],[DMY Create PR]]+7)</f>
        <v/>
      </c>
      <c r="J976" s="290" t="n"/>
      <c r="K976" s="20" t="n">
        <v>90</v>
      </c>
      <c r="L976" s="5" t="inlineStr">
        <is>
          <t>SFST81000050</t>
        </is>
      </c>
      <c r="M976" s="7" t="inlineStr">
        <is>
          <t>Water plant</t>
        </is>
      </c>
      <c r="N976" s="7" t="inlineStr">
        <is>
          <t>Tool and Equipment</t>
        </is>
      </c>
      <c r="O976" s="11" t="n">
        <v>1</v>
      </c>
      <c r="P976" s="80" t="inlineStr">
        <is>
          <t>CTE Electrolyte Gel 50 ml. (electrolyte solution)</t>
        </is>
      </c>
      <c r="Q976" s="277" t="n">
        <v>3</v>
      </c>
      <c r="R976" s="5" t="inlineStr">
        <is>
          <t>PCS.</t>
        </is>
      </c>
      <c r="S976" s="292">
        <f>RawDataGenPO[[#This Row],[Total price]]/RawDataGenPO[[#This Row],[Qty'']]</f>
        <v/>
      </c>
      <c r="T976" s="278" t="n">
        <v>4531.5</v>
      </c>
      <c r="U976" s="291" t="n"/>
      <c r="V976" s="131" t="inlineStr">
        <is>
          <t>V1000102 - PROMINENT FLUID CONTROLS (THAILAND) CO., LTD.</t>
        </is>
      </c>
      <c r="W976" s="30" t="inlineStr">
        <is>
          <t>Recive bill and GRN already</t>
        </is>
      </c>
      <c r="X976" s="5" t="inlineStr">
        <is>
          <t>GRN2526-0000624</t>
        </is>
      </c>
      <c r="Y976" s="3" t="n">
        <v>45779</v>
      </c>
      <c r="AA976" s="17">
        <f>IF(RawDataGenPO[[#This Row],[Date Gen PO]]="","",RawDataGenPO[[#This Row],[Date recive bill]]-RawDataGenPO[[#This Row],[Date Gen PO]])</f>
        <v/>
      </c>
      <c r="AB976" s="16">
        <f>IF(RawDataGenPO[[#This Row],[GRN-PO date]]&gt;RawDataGenPO[[#This Row],[Lead time delivery (day)]],"over deliverry","Ontime")</f>
        <v/>
      </c>
      <c r="AC976" s="22" t="n"/>
    </row>
    <row r="977" ht="15" customHeight="1">
      <c r="A977" s="5">
        <f>ROW()-ROW(RawDataGenPO[[#Headers],[No.]])</f>
        <v/>
      </c>
      <c r="B977" s="7" t="inlineStr">
        <is>
          <t>Expent  cost</t>
        </is>
      </c>
      <c r="C977" s="301" t="n">
        <v>45728</v>
      </c>
      <c r="F977" s="281" t="n">
        <v>45728</v>
      </c>
      <c r="G977" s="5" t="inlineStr">
        <is>
          <t>PR2425-06026</t>
        </is>
      </c>
      <c r="H977" s="5" t="inlineStr">
        <is>
          <t>PO2526-07202</t>
        </is>
      </c>
      <c r="I977" s="290">
        <f>IF(RawDataGenPO[[#This Row],[PO No.]]="","",RawDataGenPO[[#This Row],[DMY Create PR]]+7)</f>
        <v/>
      </c>
      <c r="J977" s="290" t="n"/>
      <c r="K977" s="20" t="n">
        <v>65</v>
      </c>
      <c r="L977" s="5" t="inlineStr">
        <is>
          <t>SFST81000050</t>
        </is>
      </c>
      <c r="M977" s="7" t="inlineStr">
        <is>
          <t>PD Machine</t>
        </is>
      </c>
      <c r="N977" s="7" t="inlineStr">
        <is>
          <t>Inkjet Stamp  No.1</t>
        </is>
      </c>
      <c r="O977" s="11" t="n">
        <v>1</v>
      </c>
      <c r="P977" s="80" t="inlineStr">
        <is>
          <t>belt PVC BLACK THK 2 MM W300 2560 MM</t>
        </is>
      </c>
      <c r="Q977" s="277" t="n">
        <v>1</v>
      </c>
      <c r="R977" s="5" t="inlineStr">
        <is>
          <t>PCS.</t>
        </is>
      </c>
      <c r="S977" s="292">
        <f>RawDataGenPO[[#This Row],[Total price]]/RawDataGenPO[[#This Row],[Qty'']]</f>
        <v/>
      </c>
      <c r="T977" s="278" t="n">
        <v>3000</v>
      </c>
      <c r="U977" s="291" t="n"/>
      <c r="V977" s="7" t="inlineStr">
        <is>
          <t>V1000792 - G ENGINEERING SUPPLY COMPANY LIMITED</t>
        </is>
      </c>
      <c r="W977" s="30" t="inlineStr">
        <is>
          <t>Recive bill and GRN already</t>
        </is>
      </c>
      <c r="X977" s="5" t="inlineStr">
        <is>
          <t>GRN2526-0001020</t>
        </is>
      </c>
      <c r="Y977" s="3" t="n">
        <v>45797</v>
      </c>
      <c r="AA977" s="17">
        <f>IF(RawDataGenPO[[#This Row],[Date Gen PO]]="","",RawDataGenPO[[#This Row],[Date recive bill]]-RawDataGenPO[[#This Row],[Date Gen PO]])</f>
        <v/>
      </c>
      <c r="AB977" s="16">
        <f>IF(RawDataGenPO[[#This Row],[GRN-PO date]]&gt;RawDataGenPO[[#This Row],[Lead time delivery (day)]],"over deliverry","Ontime")</f>
        <v/>
      </c>
      <c r="AC977" s="22" t="n"/>
    </row>
    <row r="978" ht="30" customHeight="1">
      <c r="A978" s="5">
        <f>ROW()-ROW(RawDataGenPO[[#Headers],[No.]])</f>
        <v/>
      </c>
      <c r="B978" s="7" t="inlineStr">
        <is>
          <t>Expent  cost</t>
        </is>
      </c>
      <c r="C978" s="301" t="n">
        <v>45728</v>
      </c>
      <c r="F978" s="281" t="n">
        <v>45728</v>
      </c>
      <c r="G978" s="5" t="inlineStr">
        <is>
          <t>PR2425-06026</t>
        </is>
      </c>
      <c r="H978" s="5" t="inlineStr">
        <is>
          <t>PO2526-07202</t>
        </is>
      </c>
      <c r="I978" s="290">
        <f>IF(RawDataGenPO[[#This Row],[PO No.]]="","",RawDataGenPO[[#This Row],[DMY Create PR]]+7)</f>
        <v/>
      </c>
      <c r="J978" s="290" t="n"/>
      <c r="K978" s="20" t="n">
        <v>65</v>
      </c>
      <c r="L978" s="5" t="inlineStr">
        <is>
          <t>SFST81000050</t>
        </is>
      </c>
      <c r="M978" s="7" t="inlineStr">
        <is>
          <t>PD Machine</t>
        </is>
      </c>
      <c r="N978" s="7" t="inlineStr">
        <is>
          <t>Inkjet Stamp  No.1</t>
        </is>
      </c>
      <c r="O978" s="11" t="n">
        <v>2</v>
      </c>
      <c r="P978" s="80" t="inlineStr">
        <is>
          <t>SPEED CONTROL "SESAME " Taiwan
MODEL US590-02E (without motor)</t>
        </is>
      </c>
      <c r="Q978" s="277" t="n">
        <v>1</v>
      </c>
      <c r="R978" s="5" t="inlineStr">
        <is>
          <t>PCS.</t>
        </is>
      </c>
      <c r="S978" s="292">
        <f>RawDataGenPO[[#This Row],[Total price]]/RawDataGenPO[[#This Row],[Qty'']]</f>
        <v/>
      </c>
      <c r="T978" s="278" t="n">
        <v>4000</v>
      </c>
      <c r="U978" s="291" t="n"/>
      <c r="V978" s="7" t="inlineStr">
        <is>
          <t>V1000792 - G ENGINEERING SUPPLY COMPANY LIMITED</t>
        </is>
      </c>
      <c r="W978" s="30" t="inlineStr">
        <is>
          <t>Recive bill and GRN already</t>
        </is>
      </c>
      <c r="X978" s="5" t="inlineStr">
        <is>
          <t>GRN2526-0001020</t>
        </is>
      </c>
      <c r="Y978" s="3" t="n">
        <v>45797</v>
      </c>
      <c r="AA978" s="17">
        <f>IF(RawDataGenPO[[#This Row],[Date Gen PO]]="","",RawDataGenPO[[#This Row],[Date recive bill]]-RawDataGenPO[[#This Row],[Date Gen PO]])</f>
        <v/>
      </c>
      <c r="AB978" s="16">
        <f>IF(RawDataGenPO[[#This Row],[GRN-PO date]]&gt;RawDataGenPO[[#This Row],[Lead time delivery (day)]],"over deliverry","Ontime")</f>
        <v/>
      </c>
      <c r="AC978" s="22" t="n"/>
    </row>
    <row r="979" ht="15" customHeight="1">
      <c r="A979" s="5">
        <f>ROW()-ROW(RawDataGenPO[[#Headers],[No.]])</f>
        <v/>
      </c>
      <c r="B979" s="7" t="inlineStr">
        <is>
          <t>Expent  cost</t>
        </is>
      </c>
      <c r="C979" s="301" t="n">
        <v>45728</v>
      </c>
      <c r="F979" s="281" t="n">
        <v>45728</v>
      </c>
      <c r="G979" s="5" t="inlineStr">
        <is>
          <t>PR2425-06026</t>
        </is>
      </c>
      <c r="H979" s="5" t="inlineStr">
        <is>
          <t>PO2526-07202</t>
        </is>
      </c>
      <c r="I979" s="290">
        <f>IF(RawDataGenPO[[#This Row],[PO No.]]="","",RawDataGenPO[[#This Row],[DMY Create PR]]+7)</f>
        <v/>
      </c>
      <c r="J979" s="290" t="n"/>
      <c r="K979" s="20" t="n">
        <v>65</v>
      </c>
      <c r="L979" s="5" t="inlineStr">
        <is>
          <t>SFST81000050</t>
        </is>
      </c>
      <c r="M979" s="7" t="inlineStr">
        <is>
          <t>PD Machine</t>
        </is>
      </c>
      <c r="N979" s="7" t="inlineStr">
        <is>
          <t>Inkjet Stamp  No.1</t>
        </is>
      </c>
      <c r="O979" s="11" t="n">
        <v>3</v>
      </c>
      <c r="P979" s="80" t="inlineStr">
        <is>
          <t>Installation</t>
        </is>
      </c>
      <c r="Q979" s="277" t="n">
        <v>1</v>
      </c>
      <c r="R979" s="5" t="inlineStr">
        <is>
          <t>PCS.</t>
        </is>
      </c>
      <c r="S979" s="292">
        <f>RawDataGenPO[[#This Row],[Total price]]/RawDataGenPO[[#This Row],[Qty'']]</f>
        <v/>
      </c>
      <c r="T979" s="278" t="n">
        <v>3500</v>
      </c>
      <c r="U979" s="291" t="n"/>
      <c r="V979" s="7" t="inlineStr">
        <is>
          <t>V1000792 - G ENGINEERING SUPPLY COMPANY LIMITED</t>
        </is>
      </c>
      <c r="W979" s="30" t="inlineStr">
        <is>
          <t>Recive bill and GRN already</t>
        </is>
      </c>
      <c r="X979" s="5" t="inlineStr">
        <is>
          <t>GRN2526-0001020</t>
        </is>
      </c>
      <c r="Y979" s="3" t="n">
        <v>45797</v>
      </c>
      <c r="AA979" s="17">
        <f>IF(RawDataGenPO[[#This Row],[Date Gen PO]]="","",RawDataGenPO[[#This Row],[Date recive bill]]-RawDataGenPO[[#This Row],[Date Gen PO]])</f>
        <v/>
      </c>
      <c r="AB979" s="16">
        <f>IF(RawDataGenPO[[#This Row],[GRN-PO date]]&gt;RawDataGenPO[[#This Row],[Lead time delivery (day)]],"over deliverry","Ontime")</f>
        <v/>
      </c>
      <c r="AC979" s="22" t="n"/>
    </row>
    <row r="980" ht="30" customHeight="1">
      <c r="A980" s="5">
        <f>ROW()-ROW(RawDataGenPO[[#Headers],[No.]])</f>
        <v/>
      </c>
      <c r="B980" s="7" t="inlineStr">
        <is>
          <t>Expent  cost</t>
        </is>
      </c>
      <c r="C980" s="301" t="n">
        <v>45728</v>
      </c>
      <c r="F980" s="281" t="n">
        <v>45728</v>
      </c>
      <c r="G980" s="5" t="inlineStr">
        <is>
          <t>PR2425-06027</t>
        </is>
      </c>
      <c r="H980" s="5" t="inlineStr">
        <is>
          <t>PO2425-07113</t>
        </is>
      </c>
      <c r="I980" s="290">
        <f>IF(RawDataGenPO[[#This Row],[PO No.]]="","",RawDataGenPO[[#This Row],[DMY Create PR]]+7)</f>
        <v/>
      </c>
      <c r="J980" s="290" t="n"/>
      <c r="K980" s="20" t="n">
        <v>100</v>
      </c>
      <c r="L980" s="5" t="inlineStr">
        <is>
          <t>SFST81000009</t>
        </is>
      </c>
      <c r="M980" s="7" t="inlineStr">
        <is>
          <t>Cooling machine for PD line</t>
        </is>
      </c>
      <c r="N980" s="7" t="inlineStr">
        <is>
          <t>Cooling system jobs</t>
        </is>
      </c>
      <c r="O980" s="11" t="n">
        <v>1</v>
      </c>
      <c r="P980" s="80" t="inlineStr">
        <is>
          <t>Overhauls compressor 4H-15.2-40P
Sr. No. 1682810844</t>
        </is>
      </c>
      <c r="Q980" s="277" t="n">
        <v>1</v>
      </c>
      <c r="R980" s="5" t="inlineStr">
        <is>
          <t>JOB.</t>
        </is>
      </c>
      <c r="S980" s="292">
        <f>RawDataGenPO[[#This Row],[Total price]]/RawDataGenPO[[#This Row],[Qty'']]</f>
        <v/>
      </c>
      <c r="T980" s="278" t="n">
        <v>45000</v>
      </c>
      <c r="U980" s="291" t="n"/>
      <c r="V980" s="7" t="inlineStr">
        <is>
          <t>V1000790 - WEE SERVICE 2024 CO., LTD.</t>
        </is>
      </c>
      <c r="W980" s="30" t="inlineStr">
        <is>
          <t>Recive bill and GRN already</t>
        </is>
      </c>
      <c r="X980" s="5" t="inlineStr">
        <is>
          <t>GRN2526-0001937</t>
        </is>
      </c>
      <c r="Y980" s="3" t="n">
        <v>45832</v>
      </c>
      <c r="AA980" s="17">
        <f>IF(RawDataGenPO[[#This Row],[Date Gen PO]]="","",RawDataGenPO[[#This Row],[Date recive bill]]-RawDataGenPO[[#This Row],[Date Gen PO]])</f>
        <v/>
      </c>
      <c r="AB980" s="16">
        <f>IF(RawDataGenPO[[#This Row],[GRN-PO date]]&gt;RawDataGenPO[[#This Row],[Lead time delivery (day)]],"over deliverry","Ontime")</f>
        <v/>
      </c>
      <c r="AC980" s="22" t="n"/>
    </row>
    <row r="981" ht="30" customHeight="1">
      <c r="A981" s="5">
        <f>ROW()-ROW(RawDataGenPO[[#Headers],[No.]])</f>
        <v/>
      </c>
      <c r="B981" s="7" t="inlineStr">
        <is>
          <t>Expent  cost</t>
        </is>
      </c>
      <c r="C981" s="301" t="n">
        <v>45728</v>
      </c>
      <c r="F981" s="281" t="n">
        <v>45728</v>
      </c>
      <c r="G981" s="5" t="inlineStr">
        <is>
          <t>PR2425-06027</t>
        </is>
      </c>
      <c r="H981" s="5" t="inlineStr">
        <is>
          <t>PO2425-07113</t>
        </is>
      </c>
      <c r="I981" s="290">
        <f>IF(RawDataGenPO[[#This Row],[PO No.]]="","",RawDataGenPO[[#This Row],[DMY Create PR]]+7)</f>
        <v/>
      </c>
      <c r="J981" s="290" t="n"/>
      <c r="K981" s="20" t="n">
        <v>45</v>
      </c>
      <c r="L981" s="5" t="inlineStr">
        <is>
          <t>SFST81000009</t>
        </is>
      </c>
      <c r="M981" s="7" t="inlineStr">
        <is>
          <t>Cooling machine for PD line</t>
        </is>
      </c>
      <c r="N981" s="7" t="inlineStr">
        <is>
          <t>Cooling system jobs</t>
        </is>
      </c>
      <c r="O981" s="11" t="n">
        <v>2</v>
      </c>
      <c r="P981" s="80" t="inlineStr">
        <is>
          <t>Overhauls compressor CU16 4DC-7.2Y-40S
Sr. No.: 1680811844</t>
        </is>
      </c>
      <c r="Q981" s="277" t="n">
        <v>1</v>
      </c>
      <c r="R981" s="5" t="inlineStr">
        <is>
          <t>JOB.</t>
        </is>
      </c>
      <c r="S981" s="292">
        <f>RawDataGenPO[[#This Row],[Total price]]/RawDataGenPO[[#This Row],[Qty'']]</f>
        <v/>
      </c>
      <c r="T981" s="278" t="n">
        <v>45000</v>
      </c>
      <c r="U981" s="291" t="n"/>
      <c r="V981" s="7" t="inlineStr">
        <is>
          <t>V1000790 - WEE SERVICE 2024 CO., LTD.</t>
        </is>
      </c>
      <c r="W981" s="30" t="inlineStr">
        <is>
          <t>Recive bill and GRN already</t>
        </is>
      </c>
      <c r="X981" s="5" t="inlineStr">
        <is>
          <t>GRN2526-0000351</t>
        </is>
      </c>
      <c r="Y981" s="3" t="n">
        <v>45769</v>
      </c>
      <c r="AA981" s="17">
        <f>IF(RawDataGenPO[[#This Row],[Date Gen PO]]="","",RawDataGenPO[[#This Row],[Date recive bill]]-RawDataGenPO[[#This Row],[Date Gen PO]])</f>
        <v/>
      </c>
      <c r="AB981" s="16">
        <f>IF(RawDataGenPO[[#This Row],[GRN-PO date]]&gt;RawDataGenPO[[#This Row],[Lead time delivery (day)]],"over deliverry","Ontime")</f>
        <v/>
      </c>
      <c r="AC981" s="22" t="n"/>
    </row>
    <row r="982" ht="30" customHeight="1">
      <c r="A982" s="5">
        <f>ROW()-ROW(RawDataGenPO[[#Headers],[No.]])</f>
        <v/>
      </c>
      <c r="B982" s="7" t="inlineStr">
        <is>
          <t>Expent  cost</t>
        </is>
      </c>
      <c r="C982" s="301" t="n">
        <v>45728</v>
      </c>
      <c r="F982" s="281" t="n">
        <v>45728</v>
      </c>
      <c r="G982" s="5" t="inlineStr">
        <is>
          <t>PR2425-06027</t>
        </is>
      </c>
      <c r="H982" s="5" t="inlineStr">
        <is>
          <t>PO2425-07113</t>
        </is>
      </c>
      <c r="I982" s="290">
        <f>IF(RawDataGenPO[[#This Row],[PO No.]]="","",RawDataGenPO[[#This Row],[DMY Create PR]]+7)</f>
        <v/>
      </c>
      <c r="J982" s="290" t="n"/>
      <c r="K982" s="20" t="n">
        <v>45</v>
      </c>
      <c r="L982" s="5" t="inlineStr">
        <is>
          <t>SFST81000009</t>
        </is>
      </c>
      <c r="M982" s="7" t="inlineStr">
        <is>
          <t>Cooling machine for PD line</t>
        </is>
      </c>
      <c r="N982" s="7" t="inlineStr">
        <is>
          <t>Cooling system jobs</t>
        </is>
      </c>
      <c r="O982" s="11" t="n">
        <v>3</v>
      </c>
      <c r="P982" s="80" t="inlineStr">
        <is>
          <t>Overhauls compressor 4DC-7.2Y-40S 
Sr. No.: 1680811846</t>
        </is>
      </c>
      <c r="Q982" s="277" t="n">
        <v>1</v>
      </c>
      <c r="R982" s="5" t="inlineStr">
        <is>
          <t>JOB.</t>
        </is>
      </c>
      <c r="S982" s="292">
        <f>RawDataGenPO[[#This Row],[Total price]]/RawDataGenPO[[#This Row],[Qty'']]</f>
        <v/>
      </c>
      <c r="T982" s="278" t="n">
        <v>45000</v>
      </c>
      <c r="U982" s="291" t="n"/>
      <c r="V982" s="7" t="inlineStr">
        <is>
          <t>V1000790 - WEE SERVICE 2024 CO., LTD.</t>
        </is>
      </c>
      <c r="W982" s="30" t="inlineStr">
        <is>
          <t>Recive bill and GRN already</t>
        </is>
      </c>
      <c r="X982" s="5" t="inlineStr">
        <is>
          <t>GRN2526-0000351</t>
        </is>
      </c>
      <c r="Y982" s="3" t="n">
        <v>45769</v>
      </c>
      <c r="AA982" s="17">
        <f>IF(RawDataGenPO[[#This Row],[Date Gen PO]]="","",RawDataGenPO[[#This Row],[Date recive bill]]-RawDataGenPO[[#This Row],[Date Gen PO]])</f>
        <v/>
      </c>
      <c r="AB982" s="16">
        <f>IF(RawDataGenPO[[#This Row],[GRN-PO date]]&gt;RawDataGenPO[[#This Row],[Lead time delivery (day)]],"over deliverry","Ontime")</f>
        <v/>
      </c>
      <c r="AC982" s="22" t="n"/>
    </row>
    <row r="983" ht="30" customHeight="1">
      <c r="A983" s="5">
        <f>ROW()-ROW(RawDataGenPO[[#Headers],[No.]])</f>
        <v/>
      </c>
      <c r="B983" s="7" t="inlineStr">
        <is>
          <t>Expent  cost</t>
        </is>
      </c>
      <c r="C983" s="301" t="n">
        <v>45728</v>
      </c>
      <c r="F983" s="281" t="n">
        <v>45728</v>
      </c>
      <c r="G983" s="5" t="inlineStr">
        <is>
          <t>PR2425-06027</t>
        </is>
      </c>
      <c r="H983" s="5" t="inlineStr">
        <is>
          <t>PO2425-07113</t>
        </is>
      </c>
      <c r="I983" s="290">
        <f>IF(RawDataGenPO[[#This Row],[PO No.]]="","",RawDataGenPO[[#This Row],[DMY Create PR]]+7)</f>
        <v/>
      </c>
      <c r="J983" s="290" t="n"/>
      <c r="K983" s="20" t="n">
        <v>45</v>
      </c>
      <c r="L983" s="5" t="inlineStr">
        <is>
          <t>SFST81000009</t>
        </is>
      </c>
      <c r="M983" s="7" t="inlineStr">
        <is>
          <t>Cooling machine for PD line</t>
        </is>
      </c>
      <c r="N983" s="7" t="inlineStr">
        <is>
          <t>Cooling system jobs</t>
        </is>
      </c>
      <c r="O983" s="11" t="n">
        <v>4</v>
      </c>
      <c r="P983" s="80" t="inlineStr">
        <is>
          <t>Overhauls compressor 4EC-6.2Y-40S 
Sr. No.: 1680811528</t>
        </is>
      </c>
      <c r="Q983" s="277" t="n">
        <v>1</v>
      </c>
      <c r="R983" s="5" t="inlineStr">
        <is>
          <t>JOB.</t>
        </is>
      </c>
      <c r="S983" s="292">
        <f>RawDataGenPO[[#This Row],[Total price]]/RawDataGenPO[[#This Row],[Qty'']]</f>
        <v/>
      </c>
      <c r="T983" s="278" t="n">
        <v>45000</v>
      </c>
      <c r="U983" s="291" t="n"/>
      <c r="V983" s="7" t="inlineStr">
        <is>
          <t>V1000790 - WEE SERVICE 2024 CO., LTD.</t>
        </is>
      </c>
      <c r="W983" s="30" t="inlineStr">
        <is>
          <t>Recive bill and GRN already</t>
        </is>
      </c>
      <c r="X983" s="5" t="inlineStr">
        <is>
          <t>GRN2526-0000351</t>
        </is>
      </c>
      <c r="Y983" s="3" t="n">
        <v>45769</v>
      </c>
      <c r="AA983" s="17">
        <f>IF(RawDataGenPO[[#This Row],[Date Gen PO]]="","",RawDataGenPO[[#This Row],[Date recive bill]]-RawDataGenPO[[#This Row],[Date Gen PO]])</f>
        <v/>
      </c>
      <c r="AB983" s="16">
        <f>IF(RawDataGenPO[[#This Row],[GRN-PO date]]&gt;RawDataGenPO[[#This Row],[Lead time delivery (day)]],"over deliverry","Ontime")</f>
        <v/>
      </c>
      <c r="AC983" s="22" t="n"/>
    </row>
    <row r="984" ht="15" customHeight="1">
      <c r="A984" s="5">
        <f>ROW()-ROW(RawDataGenPO[[#Headers],[No.]])</f>
        <v/>
      </c>
      <c r="B984" s="7" t="inlineStr">
        <is>
          <t>Expent  cost</t>
        </is>
      </c>
      <c r="C984" s="301" t="n">
        <v>45728</v>
      </c>
      <c r="F984" s="281" t="n">
        <v>45728</v>
      </c>
      <c r="G984" s="5" t="inlineStr">
        <is>
          <t>PR2425-06027</t>
        </is>
      </c>
      <c r="H984" s="5" t="inlineStr">
        <is>
          <t>PO2425-07113</t>
        </is>
      </c>
      <c r="I984" s="290">
        <f>IF(RawDataGenPO[[#This Row],[PO No.]]="","",RawDataGenPO[[#This Row],[DMY Create PR]]+7)</f>
        <v/>
      </c>
      <c r="J984" s="290" t="n"/>
      <c r="K984" s="20" t="n">
        <v>45</v>
      </c>
      <c r="L984" s="5" t="inlineStr">
        <is>
          <t>SFST81000009</t>
        </is>
      </c>
      <c r="M984" s="7" t="inlineStr">
        <is>
          <t>Cooling machine for PD line</t>
        </is>
      </c>
      <c r="N984" s="7" t="inlineStr">
        <is>
          <t>Cooling system jobs</t>
        </is>
      </c>
      <c r="O984" s="11" t="n">
        <v>5</v>
      </c>
      <c r="P984" s="80" t="inlineStr">
        <is>
          <t>Transportation</t>
        </is>
      </c>
      <c r="Q984" s="277" t="n">
        <v>1</v>
      </c>
      <c r="R984" s="5" t="inlineStr">
        <is>
          <t>JOB.</t>
        </is>
      </c>
      <c r="S984" s="292">
        <f>RawDataGenPO[[#This Row],[Total price]]/RawDataGenPO[[#This Row],[Qty'']]</f>
        <v/>
      </c>
      <c r="T984" s="278" t="n">
        <v>8000</v>
      </c>
      <c r="U984" s="291" t="n"/>
      <c r="V984" s="7" t="inlineStr">
        <is>
          <t>V1000790 - WEE SERVICE 2024 CO., LTD.</t>
        </is>
      </c>
      <c r="W984" s="30" t="inlineStr">
        <is>
          <t>Recive bill and GRN already</t>
        </is>
      </c>
      <c r="X984" s="5" t="inlineStr">
        <is>
          <t>GRN2526-0000351</t>
        </is>
      </c>
      <c r="Y984" s="3" t="n">
        <v>45769</v>
      </c>
      <c r="AA984" s="17">
        <f>IF(RawDataGenPO[[#This Row],[Date Gen PO]]="","",RawDataGenPO[[#This Row],[Date recive bill]]-RawDataGenPO[[#This Row],[Date Gen PO]])</f>
        <v/>
      </c>
      <c r="AB984" s="16">
        <f>IF(RawDataGenPO[[#This Row],[GRN-PO date]]&gt;RawDataGenPO[[#This Row],[Lead time delivery (day)]],"over deliverry","Ontime")</f>
        <v/>
      </c>
      <c r="AC984" s="22" t="n"/>
    </row>
    <row r="985" ht="30" customHeight="1">
      <c r="A985" s="5">
        <f>ROW()-ROW(RawDataGenPO[[#Headers],[No.]])</f>
        <v/>
      </c>
      <c r="B985" s="7" t="inlineStr">
        <is>
          <t>Expent  cost</t>
        </is>
      </c>
      <c r="C985" s="301" t="n">
        <v>45728</v>
      </c>
      <c r="F985" s="281" t="n">
        <v>45728</v>
      </c>
      <c r="G985" s="5" t="inlineStr">
        <is>
          <t>PR2425-06028</t>
        </is>
      </c>
      <c r="H985" s="5" t="inlineStr">
        <is>
          <t>PO2425-07100</t>
        </is>
      </c>
      <c r="I985" s="290">
        <f>IF(RawDataGenPO[[#This Row],[PO No.]]="","",RawDataGenPO[[#This Row],[DMY Create PR]]+7)</f>
        <v/>
      </c>
      <c r="J985" s="290" t="n"/>
      <c r="K985" s="20" t="n">
        <v>100</v>
      </c>
      <c r="L985" s="5" t="inlineStr">
        <is>
          <t>SFST81000048</t>
        </is>
      </c>
      <c r="M985" s="7" t="inlineStr">
        <is>
          <t>Cooling machine for PD line</t>
        </is>
      </c>
      <c r="N985" s="7" t="inlineStr">
        <is>
          <t>Cooling system jobs</t>
        </is>
      </c>
      <c r="O985" s="11" t="n">
        <v>1</v>
      </c>
      <c r="P985" s="130" t="inlineStr">
        <is>
          <t>Overhaul Compressor Air Blast 2
Model HSN7471-75-40P</t>
        </is>
      </c>
      <c r="Q985" s="277" t="n">
        <v>1</v>
      </c>
      <c r="R985" s="5" t="inlineStr">
        <is>
          <t>JOB.</t>
        </is>
      </c>
      <c r="S985" s="292">
        <f>RawDataGenPO[[#This Row],[Total price]]/RawDataGenPO[[#This Row],[Qty'']]</f>
        <v/>
      </c>
      <c r="T985" s="278" t="n">
        <v>166650</v>
      </c>
      <c r="U985" s="291" t="n"/>
      <c r="V985" s="7" t="inlineStr">
        <is>
          <t>V1000790 - WEE SERVICE 2024 CO., LTD.</t>
        </is>
      </c>
      <c r="W985" s="30" t="inlineStr">
        <is>
          <t>Recive bill and GRN already</t>
        </is>
      </c>
      <c r="X985" s="5" t="inlineStr">
        <is>
          <t>GRN2526-0001655</t>
        </is>
      </c>
      <c r="Y985" s="3" t="n">
        <v>45822</v>
      </c>
      <c r="AA985" s="17">
        <f>IF(RawDataGenPO[[#This Row],[Date Gen PO]]="","",RawDataGenPO[[#This Row],[Date recive bill]]-RawDataGenPO[[#This Row],[Date Gen PO]])</f>
        <v/>
      </c>
      <c r="AB985" s="16">
        <f>IF(RawDataGenPO[[#This Row],[GRN-PO date]]&gt;RawDataGenPO[[#This Row],[Lead time delivery (day)]],"over deliverry","Ontime")</f>
        <v/>
      </c>
      <c r="AC985" s="22" t="n"/>
    </row>
    <row r="986" ht="90" customHeight="1">
      <c r="A986" s="5">
        <f>ROW()-ROW(RawDataGenPO[[#Headers],[No.]])</f>
        <v/>
      </c>
      <c r="B986" s="7" t="inlineStr">
        <is>
          <t>Expent  cost</t>
        </is>
      </c>
      <c r="C986" s="301" t="n">
        <v>45729</v>
      </c>
      <c r="F986" s="281" t="n">
        <v>45729</v>
      </c>
      <c r="G986" s="5" t="inlineStr">
        <is>
          <t>PR2425-06031</t>
        </is>
      </c>
      <c r="H986" s="5" t="inlineStr">
        <is>
          <t>PO2425-07109</t>
        </is>
      </c>
      <c r="I986" s="290">
        <f>IF(RawDataGenPO[[#This Row],[PO No.]]="","",RawDataGenPO[[#This Row],[DMY Create PR]]+7)</f>
        <v/>
      </c>
      <c r="J986" s="290" t="n"/>
      <c r="K986" s="20" t="n">
        <v>90</v>
      </c>
      <c r="L986" s="5" t="inlineStr">
        <is>
          <t>SFST81000078</t>
        </is>
      </c>
      <c r="M986" s="7" t="inlineStr">
        <is>
          <t>Civill jobs (Floor-Wall-Celling-roof)</t>
        </is>
      </c>
      <c r="N986" s="7" t="inlineStr">
        <is>
          <t>Cevil jobs</t>
        </is>
      </c>
      <c r="O986" s="11" t="n">
        <v>1</v>
      </c>
      <c r="P986" s="80" t="inlineStr">
        <is>
          <t>column cladding work
- installation work wall sandwich panel 40 mm.
- insulation sheet Sandwich panel (EPS) fire-retardant grade (E-Grade)
- thick (1|b/f3) thick 40 mmsteel skin PPGI ZM120
- RMP (Food Grade) -Off White (BMT 0.35 mm.) both sides
column cladding work 2 sidesize 60cm x 60cm high 3.05 cm 2 pcs</t>
        </is>
      </c>
      <c r="Q986" s="277" t="n">
        <v>1</v>
      </c>
      <c r="R986" s="5" t="inlineStr">
        <is>
          <t>JOB.</t>
        </is>
      </c>
      <c r="S986" s="292">
        <f>RawDataGenPO[[#This Row],[Total price]]/RawDataGenPO[[#This Row],[Qty'']]</f>
        <v/>
      </c>
      <c r="T986" s="278" t="n">
        <v>16000</v>
      </c>
      <c r="U986" s="291" t="n"/>
      <c r="W986" s="30" t="inlineStr">
        <is>
          <t>Recive bill and GRN already</t>
        </is>
      </c>
      <c r="X986" s="5" t="inlineStr">
        <is>
          <t>GRN2526-0000427</t>
        </is>
      </c>
      <c r="Y986" s="3" t="n">
        <v>45770</v>
      </c>
      <c r="AA986" s="17">
        <f>IF(RawDataGenPO[[#This Row],[Date Gen PO]]="","",RawDataGenPO[[#This Row],[Date recive bill]]-RawDataGenPO[[#This Row],[Date Gen PO]])</f>
        <v/>
      </c>
      <c r="AB986" s="16">
        <f>IF(RawDataGenPO[[#This Row],[GRN-PO date]]&gt;RawDataGenPO[[#This Row],[Lead time delivery (day)]],"over deliverry","Ontime")</f>
        <v/>
      </c>
      <c r="AC986" s="22" t="n"/>
    </row>
    <row r="987" ht="15" customHeight="1">
      <c r="A987" s="5">
        <f>ROW()-ROW(RawDataGenPO[[#Headers],[No.]])</f>
        <v/>
      </c>
      <c r="B987" s="7" t="inlineStr">
        <is>
          <t>Expent  cost</t>
        </is>
      </c>
      <c r="C987" s="301" t="n">
        <v>45729</v>
      </c>
      <c r="F987" s="281" t="n">
        <v>45729</v>
      </c>
      <c r="G987" s="5" t="inlineStr">
        <is>
          <t>PR2425-06031</t>
        </is>
      </c>
      <c r="H987" s="5" t="inlineStr">
        <is>
          <t>PO2425-07109</t>
        </is>
      </c>
      <c r="I987" s="290">
        <f>IF(RawDataGenPO[[#This Row],[PO No.]]="","",RawDataGenPO[[#This Row],[DMY Create PR]]+7)</f>
        <v/>
      </c>
      <c r="J987" s="290" t="n"/>
      <c r="K987" s="20" t="n">
        <v>90</v>
      </c>
      <c r="L987" s="5" t="inlineStr">
        <is>
          <t>SFST81000078</t>
        </is>
      </c>
      <c r="M987" s="7" t="inlineStr">
        <is>
          <t>Civill jobs (Floor-Wall-Celling-roof)</t>
        </is>
      </c>
      <c r="N987" s="7" t="inlineStr">
        <is>
          <t>Cevil jobs</t>
        </is>
      </c>
      <c r="O987" s="11" t="n">
        <v>2</v>
      </c>
      <c r="P987" s="80" t="inlineStr">
        <is>
          <t>column cladding work 3 sidesize 30cmx30cmx30cm high 3.05 cm 2 pcs</t>
        </is>
      </c>
      <c r="Q987" s="277" t="n">
        <v>1</v>
      </c>
      <c r="R987" s="5" t="inlineStr">
        <is>
          <t>JOB.</t>
        </is>
      </c>
      <c r="S987" s="292">
        <f>RawDataGenPO[[#This Row],[Total price]]/RawDataGenPO[[#This Row],[Qty'']]</f>
        <v/>
      </c>
      <c r="T987" s="278" t="n">
        <v>16000</v>
      </c>
      <c r="U987" s="291" t="n"/>
      <c r="W987" s="30" t="inlineStr">
        <is>
          <t>Recive bill and GRN already</t>
        </is>
      </c>
      <c r="X987" s="5" t="inlineStr">
        <is>
          <t>GRN2526-0000427</t>
        </is>
      </c>
      <c r="Y987" s="3" t="n">
        <v>45770</v>
      </c>
      <c r="AA987" s="17">
        <f>IF(RawDataGenPO[[#This Row],[Date Gen PO]]="","",RawDataGenPO[[#This Row],[Date recive bill]]-RawDataGenPO[[#This Row],[Date Gen PO]])</f>
        <v/>
      </c>
      <c r="AB987" s="16">
        <f>IF(RawDataGenPO[[#This Row],[GRN-PO date]]&gt;RawDataGenPO[[#This Row],[Lead time delivery (day)]],"over deliverry","Ontime")</f>
        <v/>
      </c>
      <c r="AC987" s="22" t="n"/>
    </row>
    <row r="988" ht="15" customHeight="1">
      <c r="A988" s="5">
        <f>ROW()-ROW(RawDataGenPO[[#Headers],[No.]])</f>
        <v/>
      </c>
      <c r="B988" s="7" t="inlineStr">
        <is>
          <t>Expent  cost</t>
        </is>
      </c>
      <c r="C988" s="301" t="n">
        <v>45729</v>
      </c>
      <c r="F988" s="281" t="n">
        <v>45729</v>
      </c>
      <c r="G988" s="5" t="inlineStr">
        <is>
          <t>PR2425-06031</t>
        </is>
      </c>
      <c r="H988" s="5" t="inlineStr">
        <is>
          <t>PO2425-07109</t>
        </is>
      </c>
      <c r="I988" s="290">
        <f>IF(RawDataGenPO[[#This Row],[PO No.]]="","",RawDataGenPO[[#This Row],[DMY Create PR]]+7)</f>
        <v/>
      </c>
      <c r="J988" s="290" t="n"/>
      <c r="K988" s="20" t="n">
        <v>90</v>
      </c>
      <c r="L988" s="5" t="inlineStr">
        <is>
          <t>SFST81000078</t>
        </is>
      </c>
      <c r="M988" s="7" t="inlineStr">
        <is>
          <t>Civill jobs (Floor-Wall-Celling-roof)</t>
        </is>
      </c>
      <c r="N988" s="7" t="inlineStr">
        <is>
          <t>Cevil jobs</t>
        </is>
      </c>
      <c r="O988" s="11" t="n">
        <v>3</v>
      </c>
      <c r="P988" s="80" t="inlineStr">
        <is>
          <t>Service charge</t>
        </is>
      </c>
      <c r="Q988" s="277" t="n">
        <v>1</v>
      </c>
      <c r="R988" s="5" t="inlineStr">
        <is>
          <t>JOB.</t>
        </is>
      </c>
      <c r="S988" s="292">
        <f>RawDataGenPO[[#This Row],[Total price]]/RawDataGenPO[[#This Row],[Qty'']]</f>
        <v/>
      </c>
      <c r="T988" s="278" t="n">
        <v>5000</v>
      </c>
      <c r="U988" s="291" t="n"/>
      <c r="W988" s="30" t="inlineStr">
        <is>
          <t>Recive bill and GRN already</t>
        </is>
      </c>
      <c r="X988" s="5" t="inlineStr">
        <is>
          <t>GRN2526-0000427</t>
        </is>
      </c>
      <c r="Y988" s="3" t="n">
        <v>45770</v>
      </c>
      <c r="AA988" s="17">
        <f>IF(RawDataGenPO[[#This Row],[Date Gen PO]]="","",RawDataGenPO[[#This Row],[Date recive bill]]-RawDataGenPO[[#This Row],[Date Gen PO]])</f>
        <v/>
      </c>
      <c r="AB988" s="16">
        <f>IF(RawDataGenPO[[#This Row],[GRN-PO date]]&gt;RawDataGenPO[[#This Row],[Lead time delivery (day)]],"over deliverry","Ontime")</f>
        <v/>
      </c>
      <c r="AC988" s="22" t="n"/>
    </row>
    <row r="989" ht="15" customHeight="1">
      <c r="A989" s="5">
        <f>ROW()-ROW(RawDataGenPO[[#Headers],[No.]])</f>
        <v/>
      </c>
      <c r="B989" s="7" t="inlineStr">
        <is>
          <t>Expent  cost</t>
        </is>
      </c>
      <c r="C989" s="301" t="n">
        <v>45729</v>
      </c>
      <c r="F989" s="281" t="n">
        <v>45729</v>
      </c>
      <c r="G989" s="5" t="inlineStr">
        <is>
          <t>PR2425-06031</t>
        </is>
      </c>
      <c r="H989" s="5" t="inlineStr">
        <is>
          <t>PO2425-07109</t>
        </is>
      </c>
      <c r="I989" s="290">
        <f>IF(RawDataGenPO[[#This Row],[PO No.]]="","",RawDataGenPO[[#This Row],[DMY Create PR]]+7)</f>
        <v/>
      </c>
      <c r="J989" s="290" t="n"/>
      <c r="K989" s="20" t="n">
        <v>90</v>
      </c>
      <c r="L989" s="5" t="inlineStr">
        <is>
          <t>SFST81000078</t>
        </is>
      </c>
      <c r="M989" s="7" t="inlineStr">
        <is>
          <t>Civill jobs (Floor-Wall-Celling-roof)</t>
        </is>
      </c>
      <c r="N989" s="7" t="inlineStr">
        <is>
          <t>Cevil jobs</t>
        </is>
      </c>
      <c r="O989" s="11" t="n">
        <v>4</v>
      </c>
      <c r="P989" s="80" t="inlineStr">
        <is>
          <t>transport cost</t>
        </is>
      </c>
      <c r="Q989" s="277" t="n">
        <v>1</v>
      </c>
      <c r="R989" s="5" t="inlineStr">
        <is>
          <t>JOB.</t>
        </is>
      </c>
      <c r="S989" s="292">
        <f>RawDataGenPO[[#This Row],[Total price]]/RawDataGenPO[[#This Row],[Qty'']]</f>
        <v/>
      </c>
      <c r="T989" s="278" t="n">
        <v>3000</v>
      </c>
      <c r="U989" s="291" t="n"/>
      <c r="W989" s="30" t="inlineStr">
        <is>
          <t>Recive bill and GRN already</t>
        </is>
      </c>
      <c r="X989" s="5" t="inlineStr">
        <is>
          <t>GRN2526-0000427</t>
        </is>
      </c>
      <c r="Y989" s="3" t="n">
        <v>45770</v>
      </c>
      <c r="AA989" s="17">
        <f>IF(RawDataGenPO[[#This Row],[Date Gen PO]]="","",RawDataGenPO[[#This Row],[Date recive bill]]-RawDataGenPO[[#This Row],[Date Gen PO]])</f>
        <v/>
      </c>
      <c r="AB989" s="16">
        <f>IF(RawDataGenPO[[#This Row],[GRN-PO date]]&gt;RawDataGenPO[[#This Row],[Lead time delivery (day)]],"over deliverry","Ontime")</f>
        <v/>
      </c>
      <c r="AC989" s="22" t="n"/>
    </row>
    <row r="990" ht="90" customHeight="1">
      <c r="A990" s="5">
        <f>ROW()-ROW(RawDataGenPO[[#Headers],[No.]])</f>
        <v/>
      </c>
      <c r="B990" s="7" t="inlineStr">
        <is>
          <t>Expent  cost</t>
        </is>
      </c>
      <c r="C990" s="301" t="n">
        <v>45729</v>
      </c>
      <c r="F990" s="281" t="n">
        <v>45729</v>
      </c>
      <c r="G990" s="5" t="inlineStr">
        <is>
          <t>PR2425-06032</t>
        </is>
      </c>
      <c r="H990" s="5" t="inlineStr">
        <is>
          <t>PO2425-07108</t>
        </is>
      </c>
      <c r="I990" s="290">
        <f>IF(RawDataGenPO[[#This Row],[PO No.]]="","",RawDataGenPO[[#This Row],[DMY Create PR]]+7)</f>
        <v/>
      </c>
      <c r="J990" s="290" t="n"/>
      <c r="K990" s="20" t="n">
        <v>120</v>
      </c>
      <c r="L990" s="5" t="inlineStr">
        <is>
          <t>SFST81000078</t>
        </is>
      </c>
      <c r="M990" s="7" t="inlineStr">
        <is>
          <t>Utility Jobs  (Boiler-Air compress-Transformer-LPG)</t>
        </is>
      </c>
      <c r="N990" s="7" t="inlineStr">
        <is>
          <t>Machanical jobs</t>
        </is>
      </c>
      <c r="O990" s="11" t="n">
        <v>1</v>
      </c>
      <c r="P990" s="80" t="inlineStr">
        <is>
          <t>replace damaged steam pipe
- replacesteam pipesize 1" length 3 m.
- bend steam pipe and cap it with valve
- bend solenoid insert flange
- stainless steel pipe insulation/cladding for replaced new section
- installsteam pipesize 1/2" length 15 m.</t>
        </is>
      </c>
      <c r="Q990" s="277" t="n">
        <v>1</v>
      </c>
      <c r="R990" s="5" t="inlineStr">
        <is>
          <t>JOB.</t>
        </is>
      </c>
      <c r="S990" s="292">
        <f>RawDataGenPO[[#This Row],[Total price]]/RawDataGenPO[[#This Row],[Qty'']]</f>
        <v/>
      </c>
      <c r="T990" s="278" t="n">
        <v>85000</v>
      </c>
      <c r="U990" s="291" t="n"/>
      <c r="V990" s="7" t="inlineStr">
        <is>
          <t>V1000687 - UM.TECH COMPANY LIMITED</t>
        </is>
      </c>
      <c r="W990" s="30" t="inlineStr">
        <is>
          <t>Recive bill and GRN already</t>
        </is>
      </c>
      <c r="X990" s="5" t="inlineStr">
        <is>
          <t>GRN2526-0001572</t>
        </is>
      </c>
      <c r="Y990" s="3" t="n">
        <v>45819</v>
      </c>
      <c r="AA990" s="17">
        <f>IF(RawDataGenPO[[#This Row],[Date Gen PO]]="","",RawDataGenPO[[#This Row],[Date recive bill]]-RawDataGenPO[[#This Row],[Date Gen PO]])</f>
        <v/>
      </c>
      <c r="AB990" s="16">
        <f>IF(RawDataGenPO[[#This Row],[GRN-PO date]]&gt;RawDataGenPO[[#This Row],[Lead time delivery (day)]],"over deliverry","Ontime")</f>
        <v/>
      </c>
      <c r="AC990" s="22" t="n"/>
    </row>
    <row r="991" ht="15" customHeight="1">
      <c r="A991" s="5">
        <f>ROW()-ROW(RawDataGenPO[[#Headers],[No.]])</f>
        <v/>
      </c>
      <c r="B991" s="7" t="inlineStr">
        <is>
          <t>Expent  cost</t>
        </is>
      </c>
      <c r="C991" s="301" t="n">
        <v>45729</v>
      </c>
      <c r="F991" s="281" t="n">
        <v>45729</v>
      </c>
      <c r="G991" s="5" t="inlineStr">
        <is>
          <t>PR2425-06032</t>
        </is>
      </c>
      <c r="H991" s="5" t="inlineStr">
        <is>
          <t>PO2425-07108</t>
        </is>
      </c>
      <c r="I991" s="290">
        <f>IF(RawDataGenPO[[#This Row],[PO No.]]="","",RawDataGenPO[[#This Row],[DMY Create PR]]+7)</f>
        <v/>
      </c>
      <c r="J991" s="290" t="n"/>
      <c r="K991" s="20" t="n">
        <v>120</v>
      </c>
      <c r="L991" s="5" t="inlineStr">
        <is>
          <t>SFST81000048</t>
        </is>
      </c>
      <c r="M991" s="7" t="inlineStr">
        <is>
          <t>Utility Jobs  (Boiler-Air compress-Transformer-LPG)</t>
        </is>
      </c>
      <c r="N991" s="7" t="inlineStr">
        <is>
          <t>Machanical jobs</t>
        </is>
      </c>
      <c r="O991" s="11" t="n">
        <v>2</v>
      </c>
      <c r="P991" s="80" t="inlineStr">
        <is>
          <t>labor cost</t>
        </is>
      </c>
      <c r="Q991" s="277" t="n">
        <v>1</v>
      </c>
      <c r="R991" s="5" t="inlineStr">
        <is>
          <t>JOB.</t>
        </is>
      </c>
      <c r="S991" s="292">
        <f>RawDataGenPO[[#This Row],[Total price]]/RawDataGenPO[[#This Row],[Qty'']]</f>
        <v/>
      </c>
      <c r="T991" s="278" t="n">
        <v>75000</v>
      </c>
      <c r="U991" s="291" t="n"/>
      <c r="V991" s="7" t="inlineStr">
        <is>
          <t>V1000687 - UM.TECH COMPANY LIMITED</t>
        </is>
      </c>
      <c r="W991" s="30" t="inlineStr">
        <is>
          <t>Recive bill and GRN already</t>
        </is>
      </c>
      <c r="X991" s="5" t="inlineStr">
        <is>
          <t>GRN2526-0001573</t>
        </is>
      </c>
      <c r="Y991" s="3" t="n">
        <v>45819</v>
      </c>
      <c r="AA991" s="17">
        <f>IF(RawDataGenPO[[#This Row],[Date Gen PO]]="","",RawDataGenPO[[#This Row],[Date recive bill]]-RawDataGenPO[[#This Row],[Date Gen PO]])</f>
        <v/>
      </c>
      <c r="AB991" s="16">
        <f>IF(RawDataGenPO[[#This Row],[GRN-PO date]]&gt;RawDataGenPO[[#This Row],[Lead time delivery (day)]],"over deliverry","Ontime")</f>
        <v/>
      </c>
      <c r="AC991" s="22" t="n"/>
    </row>
    <row r="992" ht="15" customHeight="1">
      <c r="A992" s="5">
        <f>ROW()-ROW(RawDataGenPO[[#Headers],[No.]])</f>
        <v/>
      </c>
      <c r="B992" s="7" t="inlineStr">
        <is>
          <t>Expent  cost</t>
        </is>
      </c>
      <c r="C992" s="301" t="n">
        <v>45729</v>
      </c>
      <c r="F992" s="281" t="n">
        <v>45729</v>
      </c>
      <c r="G992" s="5" t="inlineStr">
        <is>
          <t>PR2425-06032</t>
        </is>
      </c>
      <c r="H992" s="5" t="inlineStr">
        <is>
          <t>PO2425-07108</t>
        </is>
      </c>
      <c r="I992" s="290">
        <f>IF(RawDataGenPO[[#This Row],[PO No.]]="","",RawDataGenPO[[#This Row],[DMY Create PR]]+7)</f>
        <v/>
      </c>
      <c r="J992" s="290" t="n"/>
      <c r="K992" s="20" t="n">
        <v>120</v>
      </c>
      <c r="L992" s="5" t="inlineStr">
        <is>
          <t>SFST81000048</t>
        </is>
      </c>
      <c r="M992" s="7" t="inlineStr">
        <is>
          <t>Utility Jobs  (Boiler-Air compress-Transformer-LPG)</t>
        </is>
      </c>
      <c r="N992" s="7" t="inlineStr">
        <is>
          <t>Machanical jobs</t>
        </is>
      </c>
      <c r="O992" s="11" t="n">
        <v>3</v>
      </c>
      <c r="P992" s="80" t="inlineStr">
        <is>
          <t>protection work</t>
        </is>
      </c>
      <c r="Q992" s="277" t="n">
        <v>1</v>
      </c>
      <c r="R992" s="5" t="inlineStr">
        <is>
          <t>JOB.</t>
        </is>
      </c>
      <c r="S992" s="292">
        <f>RawDataGenPO[[#This Row],[Total price]]/RawDataGenPO[[#This Row],[Qty'']]</f>
        <v/>
      </c>
      <c r="T992" s="278" t="n">
        <v>5000</v>
      </c>
      <c r="U992" s="291" t="n"/>
      <c r="V992" s="7" t="inlineStr">
        <is>
          <t>V1000687 - UM.TECH COMPANY LIMITED</t>
        </is>
      </c>
      <c r="W992" s="30" t="inlineStr">
        <is>
          <t>Recive bill and GRN already</t>
        </is>
      </c>
      <c r="X992" s="5" t="inlineStr">
        <is>
          <t>GRN2526-0001573</t>
        </is>
      </c>
      <c r="Y992" s="3" t="n">
        <v>45819</v>
      </c>
      <c r="AA992" s="17">
        <f>IF(RawDataGenPO[[#This Row],[Date Gen PO]]="","",RawDataGenPO[[#This Row],[Date recive bill]]-RawDataGenPO[[#This Row],[Date Gen PO]])</f>
        <v/>
      </c>
      <c r="AB992" s="16">
        <f>IF(RawDataGenPO[[#This Row],[GRN-PO date]]&gt;RawDataGenPO[[#This Row],[Lead time delivery (day)]],"over deliverry","Ontime")</f>
        <v/>
      </c>
      <c r="AC992" s="22" t="n"/>
    </row>
    <row r="993" ht="15" customHeight="1">
      <c r="A993" s="5">
        <f>ROW()-ROW(RawDataGenPO[[#Headers],[No.]])</f>
        <v/>
      </c>
      <c r="B993" s="7" t="inlineStr">
        <is>
          <t>Expent  cost</t>
        </is>
      </c>
      <c r="C993" s="301" t="n">
        <v>45729</v>
      </c>
      <c r="F993" s="281" t="n">
        <v>45729</v>
      </c>
      <c r="G993" s="5" t="inlineStr">
        <is>
          <t>PR2425-06032</t>
        </is>
      </c>
      <c r="H993" s="5" t="inlineStr">
        <is>
          <t>PO2425-07108</t>
        </is>
      </c>
      <c r="I993" s="290">
        <f>IF(RawDataGenPO[[#This Row],[PO No.]]="","",RawDataGenPO[[#This Row],[DMY Create PR]]+7)</f>
        <v/>
      </c>
      <c r="J993" s="290" t="n"/>
      <c r="K993" s="20" t="n">
        <v>120</v>
      </c>
      <c r="L993" s="5" t="inlineStr">
        <is>
          <t>SFST81000048</t>
        </is>
      </c>
      <c r="M993" s="7" t="inlineStr">
        <is>
          <t>Utility Jobs  (Boiler-Air compress-Transformer-LPG)</t>
        </is>
      </c>
      <c r="N993" s="7" t="inlineStr">
        <is>
          <t>Machanical jobs</t>
        </is>
      </c>
      <c r="O993" s="11" t="n">
        <v>4</v>
      </c>
      <c r="P993" s="80" t="inlineStr">
        <is>
          <t>travel cost</t>
        </is>
      </c>
      <c r="Q993" s="277" t="n">
        <v>1</v>
      </c>
      <c r="R993" s="5" t="inlineStr">
        <is>
          <t>JOB.</t>
        </is>
      </c>
      <c r="S993" s="292">
        <f>RawDataGenPO[[#This Row],[Total price]]/RawDataGenPO[[#This Row],[Qty'']]</f>
        <v/>
      </c>
      <c r="T993" s="278" t="n">
        <v>15000</v>
      </c>
      <c r="U993" s="291" t="n"/>
      <c r="V993" s="7" t="inlineStr">
        <is>
          <t>V1000687 - UM.TECH COMPANY LIMITED</t>
        </is>
      </c>
      <c r="W993" s="30" t="inlineStr">
        <is>
          <t>Recive bill and GRN already</t>
        </is>
      </c>
      <c r="X993" s="5" t="inlineStr">
        <is>
          <t>GRN2526-0001573</t>
        </is>
      </c>
      <c r="Y993" s="3" t="n">
        <v>45819</v>
      </c>
      <c r="AA993" s="17">
        <f>IF(RawDataGenPO[[#This Row],[Date Gen PO]]="","",RawDataGenPO[[#This Row],[Date recive bill]]-RawDataGenPO[[#This Row],[Date Gen PO]])</f>
        <v/>
      </c>
      <c r="AB993" s="16">
        <f>IF(RawDataGenPO[[#This Row],[GRN-PO date]]&gt;RawDataGenPO[[#This Row],[Lead time delivery (day)]],"over deliverry","Ontime")</f>
        <v/>
      </c>
      <c r="AC993" s="22" t="n"/>
    </row>
    <row r="994" ht="15" customHeight="1">
      <c r="A994" s="5">
        <f>ROW()-ROW(RawDataGenPO[[#Headers],[No.]])</f>
        <v/>
      </c>
      <c r="B994" s="7" t="inlineStr">
        <is>
          <t>Expent  cost</t>
        </is>
      </c>
      <c r="C994" s="301" t="n">
        <v>45729</v>
      </c>
      <c r="F994" s="281" t="n">
        <v>45729</v>
      </c>
      <c r="G994" s="5" t="inlineStr">
        <is>
          <t>PR2425-06032</t>
        </is>
      </c>
      <c r="H994" s="5" t="inlineStr">
        <is>
          <t>PO2425-07108</t>
        </is>
      </c>
      <c r="I994" s="290">
        <f>IF(RawDataGenPO[[#This Row],[PO No.]]="","",RawDataGenPO[[#This Row],[DMY Create PR]]+7)</f>
        <v/>
      </c>
      <c r="J994" s="290" t="n"/>
      <c r="K994" s="20" t="n">
        <v>120</v>
      </c>
      <c r="L994" s="5" t="inlineStr">
        <is>
          <t>SFST81000048</t>
        </is>
      </c>
      <c r="M994" s="7" t="inlineStr">
        <is>
          <t>Utility Jobs  (Boiler-Air compress-Transformer-LPG)</t>
        </is>
      </c>
      <c r="N994" s="7" t="inlineStr">
        <is>
          <t>Machanical jobs</t>
        </is>
      </c>
      <c r="O994" s="11" t="n">
        <v>5</v>
      </c>
      <c r="P994" s="80" t="inlineStr">
        <is>
          <t>Service charge</t>
        </is>
      </c>
      <c r="Q994" s="277" t="n">
        <v>1</v>
      </c>
      <c r="R994" s="5" t="inlineStr">
        <is>
          <t>JOB.</t>
        </is>
      </c>
      <c r="S994" s="292">
        <f>RawDataGenPO[[#This Row],[Total price]]/RawDataGenPO[[#This Row],[Qty'']]</f>
        <v/>
      </c>
      <c r="T994" s="278" t="n">
        <v>5000</v>
      </c>
      <c r="U994" s="291" t="n"/>
      <c r="V994" s="7" t="inlineStr">
        <is>
          <t>V1000687 - UM.TECH COMPANY LIMITED</t>
        </is>
      </c>
      <c r="W994" s="30" t="inlineStr">
        <is>
          <t>Recive bill and GRN already</t>
        </is>
      </c>
      <c r="X994" s="5" t="inlineStr">
        <is>
          <t>GRN2526-0001573</t>
        </is>
      </c>
      <c r="Y994" s="3" t="n">
        <v>45819</v>
      </c>
      <c r="AA994" s="17">
        <f>IF(RawDataGenPO[[#This Row],[Date Gen PO]]="","",RawDataGenPO[[#This Row],[Date recive bill]]-RawDataGenPO[[#This Row],[Date Gen PO]])</f>
        <v/>
      </c>
      <c r="AB994" s="16">
        <f>IF(RawDataGenPO[[#This Row],[GRN-PO date]]&gt;RawDataGenPO[[#This Row],[Lead time delivery (day)]],"over deliverry","Ontime")</f>
        <v/>
      </c>
      <c r="AC994" s="22" t="n"/>
    </row>
    <row r="995" ht="90" customHeight="1">
      <c r="A995" s="5">
        <f>ROW()-ROW(RawDataGenPO[[#Headers],[No.]])</f>
        <v/>
      </c>
      <c r="B995" s="7" t="inlineStr">
        <is>
          <t>Expent  cost</t>
        </is>
      </c>
      <c r="C995" s="301" t="n">
        <v>45729</v>
      </c>
      <c r="F995" s="281" t="n">
        <v>45730</v>
      </c>
      <c r="G995" s="5" t="inlineStr">
        <is>
          <t>PR2425-06052</t>
        </is>
      </c>
      <c r="H995" s="5" t="inlineStr">
        <is>
          <t>PO2425-07105</t>
        </is>
      </c>
      <c r="I995" s="290">
        <f>IF(RawDataGenPO[[#This Row],[PO No.]]="","",RawDataGenPO[[#This Row],[DMY Create PR]]+7)</f>
        <v/>
      </c>
      <c r="J995" s="290" t="n"/>
      <c r="K995" s="20" t="n">
        <v>90</v>
      </c>
      <c r="L995" s="5" t="inlineStr">
        <is>
          <t>SFST81000009</t>
        </is>
      </c>
      <c r="M995" s="7" t="inlineStr">
        <is>
          <t>Cooling machine for PD line</t>
        </is>
      </c>
      <c r="N995" s="7" t="inlineStr">
        <is>
          <t>Cooling  part</t>
        </is>
      </c>
      <c r="O995" s="11" t="n">
        <v>1</v>
      </c>
      <c r="P995" s="80" t="inlineStr">
        <is>
          <t>Temp Sensor Model WR 12
- RTD PT-100 ohm 3 wire (Single Element)
- Connection: 1/2" NPT + washer
- Lead Wire: PVC 3 Wire, Length 0.3 M.
- Plug m
*DWG.No.WR12-730*</t>
        </is>
      </c>
      <c r="Q995" s="277" t="n">
        <v>2</v>
      </c>
      <c r="R995" s="5" t="inlineStr">
        <is>
          <t>PCS.</t>
        </is>
      </c>
      <c r="S995" s="292">
        <f>RawDataGenPO[[#This Row],[Total price]]/RawDataGenPO[[#This Row],[Qty'']]</f>
        <v/>
      </c>
      <c r="T995" s="278" t="n">
        <v>1980</v>
      </c>
      <c r="U995" s="291" t="n"/>
      <c r="V995" s="7" t="inlineStr">
        <is>
          <t>V1000301 - WR&amp;W Engineering Co., Ltd</t>
        </is>
      </c>
      <c r="W995" s="30" t="inlineStr">
        <is>
          <t>Recive bill and GRN already</t>
        </is>
      </c>
      <c r="X995" s="5" t="inlineStr">
        <is>
          <t>GRN2526-0000620</t>
        </is>
      </c>
      <c r="Y995" s="3" t="n">
        <v>45779</v>
      </c>
      <c r="AA995" s="17">
        <f>IF(RawDataGenPO[[#This Row],[Date Gen PO]]="","",RawDataGenPO[[#This Row],[Date recive bill]]-RawDataGenPO[[#This Row],[Date Gen PO]])</f>
        <v/>
      </c>
      <c r="AB995" s="16">
        <f>IF(RawDataGenPO[[#This Row],[GRN-PO date]]&gt;RawDataGenPO[[#This Row],[Lead time delivery (day)]],"over deliverry","Ontime")</f>
        <v/>
      </c>
      <c r="AC995" s="22" t="n"/>
    </row>
    <row r="996" ht="45" customHeight="1">
      <c r="A996" s="5">
        <f>ROW()-ROW(RawDataGenPO[[#Headers],[No.]])</f>
        <v/>
      </c>
      <c r="B996" s="7" t="inlineStr">
        <is>
          <t>Expent  cost</t>
        </is>
      </c>
      <c r="C996" s="301" t="n">
        <v>45730</v>
      </c>
      <c r="F996" s="281" t="n">
        <v>45730</v>
      </c>
      <c r="G996" s="5" t="inlineStr">
        <is>
          <t>PR2425-06053</t>
        </is>
      </c>
      <c r="H996" s="5" t="inlineStr">
        <is>
          <t>PO2425-07104</t>
        </is>
      </c>
      <c r="I996" s="290">
        <f>IF(RawDataGenPO[[#This Row],[PO No.]]="","",RawDataGenPO[[#This Row],[DMY Create PR]]+7)</f>
        <v/>
      </c>
      <c r="J996" s="290" t="n"/>
      <c r="K996" s="20" t="n">
        <v>90</v>
      </c>
      <c r="L996" s="5" t="inlineStr">
        <is>
          <t>SFST81000009</t>
        </is>
      </c>
      <c r="M996" s="7" t="inlineStr">
        <is>
          <t>PD Machine</t>
        </is>
      </c>
      <c r="N996" s="7" t="inlineStr">
        <is>
          <t>Tool and Equipment</t>
        </is>
      </c>
      <c r="O996" s="11" t="n">
        <v>1</v>
      </c>
      <c r="P996" s="80" t="inlineStr">
        <is>
          <t>XIUSHI 6IK 250RGN-CF + XIUSHI 6GU-40K + XIUSHI US-52
spare partmachine</t>
        </is>
      </c>
      <c r="Q996" s="277" t="n">
        <v>1</v>
      </c>
      <c r="R996" s="5" t="inlineStr">
        <is>
          <t>SET.</t>
        </is>
      </c>
      <c r="S996" s="292">
        <f>RawDataGenPO[[#This Row],[Total price]]/RawDataGenPO[[#This Row],[Qty'']]</f>
        <v/>
      </c>
      <c r="T996" s="278" t="n">
        <v>7500</v>
      </c>
      <c r="U996" s="291" t="n"/>
      <c r="V996" s="7" t="inlineStr">
        <is>
          <t>V1000292 - Nopachart Intertrade Co., Ltd</t>
        </is>
      </c>
      <c r="W996" s="30" t="inlineStr">
        <is>
          <t>Recive bill and GRN already</t>
        </is>
      </c>
      <c r="X996" s="5" t="inlineStr">
        <is>
          <t>GRN2526-0000110</t>
        </is>
      </c>
      <c r="Y996" s="3" t="n">
        <v>45752</v>
      </c>
      <c r="AA996" s="17">
        <f>IF(RawDataGenPO[[#This Row],[Date Gen PO]]="","",RawDataGenPO[[#This Row],[Date recive bill]]-RawDataGenPO[[#This Row],[Date Gen PO]])</f>
        <v/>
      </c>
      <c r="AB996" s="16">
        <f>IF(RawDataGenPO[[#This Row],[GRN-PO date]]&gt;RawDataGenPO[[#This Row],[Lead time delivery (day)]],"over deliverry","Ontime")</f>
        <v/>
      </c>
      <c r="AC996" s="22" t="n"/>
    </row>
    <row r="997" ht="60" customHeight="1">
      <c r="A997" s="5">
        <f>ROW()-ROW(RawDataGenPO[[#Headers],[No.]])</f>
        <v/>
      </c>
      <c r="B997" s="7" t="inlineStr">
        <is>
          <t>Expent  cost</t>
        </is>
      </c>
      <c r="C997" s="301" t="n">
        <v>45730</v>
      </c>
      <c r="F997" s="281" t="n">
        <v>45730</v>
      </c>
      <c r="G997" s="5" t="inlineStr">
        <is>
          <t>PR2425-06054</t>
        </is>
      </c>
      <c r="H997" s="5" t="inlineStr">
        <is>
          <t>PO2425-07201</t>
        </is>
      </c>
      <c r="I997" s="290">
        <f>IF(RawDataGenPO[[#This Row],[PO No.]]="","",RawDataGenPO[[#This Row],[DMY Create PR]]+7)</f>
        <v/>
      </c>
      <c r="J997" s="290" t="n"/>
      <c r="K997" s="20">
        <f>IF(RawDataGenPO[[#This Row],[PO No.]]="","",10)</f>
        <v/>
      </c>
      <c r="L997" s="5" t="inlineStr">
        <is>
          <t>SFST81000009</t>
        </is>
      </c>
      <c r="M997" s="7" t="inlineStr">
        <is>
          <t>Electrical system in PD area</t>
        </is>
      </c>
      <c r="N997" s="7" t="inlineStr">
        <is>
          <t>Electrical jobs</t>
        </is>
      </c>
      <c r="O997" s="11" t="n">
        <v>1</v>
      </c>
      <c r="P997" s="80" t="inlineStr">
        <is>
          <t>Replacelight fixture + frontcoverandplug
- Replacelight fixture 20 mpcs (pcsmmaterial)
- Replacefrontcoverandplug 20 mpcs (pcsmmaterial)</t>
        </is>
      </c>
      <c r="Q997" s="277" t="n">
        <v>1</v>
      </c>
      <c r="R997" s="5" t="inlineStr">
        <is>
          <t>JOB.</t>
        </is>
      </c>
      <c r="S997" s="292">
        <f>RawDataGenPO[[#This Row],[Total price]]/RawDataGenPO[[#This Row],[Qty'']]</f>
        <v/>
      </c>
      <c r="T997" s="278" t="n">
        <v>29000</v>
      </c>
      <c r="U997" s="291" t="n"/>
      <c r="V997" s="7" t="inlineStr">
        <is>
          <t>V1000793 - PANCHA LAPH INTER SUPPLY CO., LTD.</t>
        </is>
      </c>
      <c r="W997" s="30" t="inlineStr">
        <is>
          <t>Recive bill and GRN already</t>
        </is>
      </c>
      <c r="X997" s="5" t="inlineStr">
        <is>
          <t>GRN2425-0007992</t>
        </is>
      </c>
      <c r="Y997" s="3" t="n">
        <v>45740</v>
      </c>
      <c r="AA997" s="17">
        <f>IF(RawDataGenPO[[#This Row],[Date Gen PO]]="","",RawDataGenPO[[#This Row],[Date recive bill]]-RawDataGenPO[[#This Row],[Date Gen PO]])</f>
        <v/>
      </c>
      <c r="AB997" s="16">
        <f>IF(RawDataGenPO[[#This Row],[GRN-PO date]]&gt;RawDataGenPO[[#This Row],[Lead time delivery (day)]],"over deliverry","Ontime")</f>
        <v/>
      </c>
      <c r="AC997" s="22" t="n"/>
    </row>
    <row r="998" ht="15" customHeight="1">
      <c r="A998" s="5">
        <f>ROW()-ROW(RawDataGenPO[[#Headers],[No.]])</f>
        <v/>
      </c>
      <c r="B998" s="7" t="inlineStr">
        <is>
          <t>Expent  cost</t>
        </is>
      </c>
      <c r="C998" s="301" t="n">
        <v>45733</v>
      </c>
      <c r="F998" s="281" t="n">
        <v>45733</v>
      </c>
      <c r="G998" s="5" t="inlineStr">
        <is>
          <t>PR2425-06055</t>
        </is>
      </c>
      <c r="H998" s="5" t="inlineStr">
        <is>
          <t>PO2425-07106</t>
        </is>
      </c>
      <c r="I998" s="290">
        <f>IF(RawDataGenPO[[#This Row],[PO No.]]="","",RawDataGenPO[[#This Row],[DMY Create PR]]+7)</f>
        <v/>
      </c>
      <c r="J998" s="290" t="n"/>
      <c r="K998" s="20" t="n">
        <v>90</v>
      </c>
      <c r="L998" s="5" t="inlineStr">
        <is>
          <t>SFST81000050</t>
        </is>
      </c>
      <c r="M998" s="7" t="inlineStr">
        <is>
          <t>Water plant</t>
        </is>
      </c>
      <c r="N998" s="7" t="inlineStr">
        <is>
          <t>Tool and Equipment</t>
        </is>
      </c>
      <c r="O998" s="11" t="n">
        <v>1</v>
      </c>
      <c r="P998" s="80" t="inlineStr">
        <is>
          <t>DPD no.1 "Lovibond" 511052BT 500 Tablets (1Box/500 Pcs)</t>
        </is>
      </c>
      <c r="Q998" s="277" t="n">
        <v>5</v>
      </c>
      <c r="R998" s="5" t="inlineStr">
        <is>
          <t>PCS.</t>
        </is>
      </c>
      <c r="S998" s="292">
        <f>RawDataGenPO[[#This Row],[Total price]]/RawDataGenPO[[#This Row],[Qty'']]</f>
        <v/>
      </c>
      <c r="T998" s="278" t="n">
        <v>6250</v>
      </c>
      <c r="U998" s="291" t="n"/>
      <c r="V998" s="7" t="inlineStr">
        <is>
          <t>V1000210 - U.P. MARKETING GENERAL SUPPLY CO., LTD.</t>
        </is>
      </c>
      <c r="W998" s="30" t="inlineStr">
        <is>
          <t>Recive bill and GRN already</t>
        </is>
      </c>
      <c r="X998" s="5" t="inlineStr">
        <is>
          <t>GRN2526-0000422</t>
        </is>
      </c>
      <c r="Y998" s="3" t="n">
        <v>45770</v>
      </c>
      <c r="AA998" s="17">
        <f>IF(RawDataGenPO[[#This Row],[Date Gen PO]]="","",RawDataGenPO[[#This Row],[Date recive bill]]-RawDataGenPO[[#This Row],[Date Gen PO]])</f>
        <v/>
      </c>
      <c r="AB998" s="16">
        <f>IF(RawDataGenPO[[#This Row],[GRN-PO date]]&gt;RawDataGenPO[[#This Row],[Lead time delivery (day)]],"over deliverry","Ontime")</f>
        <v/>
      </c>
      <c r="AC998" s="22" t="n"/>
    </row>
    <row r="999" ht="120" customFormat="1" customHeight="1" s="125">
      <c r="A999" s="5">
        <f>ROW()-ROW(RawDataGenPO[[#Headers],[No.]])</f>
        <v/>
      </c>
      <c r="B999" s="7" t="inlineStr">
        <is>
          <t>Expent  cost</t>
        </is>
      </c>
      <c r="C999" s="301" t="n">
        <v>45733</v>
      </c>
      <c r="D999" s="276" t="n"/>
      <c r="E999" s="276" t="n"/>
      <c r="F999" s="342" t="n">
        <v>45733</v>
      </c>
      <c r="G999" s="64" t="inlineStr">
        <is>
          <t>PR2425-06081</t>
        </is>
      </c>
      <c r="H999" s="64" t="inlineStr">
        <is>
          <t xml:space="preserve">PO2425-07110 </t>
        </is>
      </c>
      <c r="I999" s="290">
        <f>IF(RawDataGenPO[[#This Row],[PO No.]]="","",RawDataGenPO[[#This Row],[DMY Create PR]]+7)</f>
        <v/>
      </c>
      <c r="J999" s="290" t="n"/>
      <c r="K999" s="20">
        <f>IF(RawDataGenPO[[#This Row],[PO No.]]="","",10)</f>
        <v/>
      </c>
      <c r="L999" s="64" t="inlineStr">
        <is>
          <t>SFST81000009</t>
        </is>
      </c>
      <c r="M999" s="127" t="inlineStr">
        <is>
          <t>PD Machine</t>
        </is>
      </c>
      <c r="N999" s="127" t="inlineStr">
        <is>
          <t>Combi oven No.3</t>
        </is>
      </c>
      <c r="O999" s="64" t="n">
        <v>1</v>
      </c>
      <c r="P999" s="83" t="inlineStr">
        <is>
          <t>belt PU SOLIFLEX light blue thick 2.5 MM. "Ammeraal"
SIZE: W-500MM. x L=10,700MM. connectorround
KN 10x6MM. straightcenter
Installation in
- Monday - Saturday
After 10.00 pm. - 8.00 am
- Sunday 8.00 - 17.00</t>
        </is>
      </c>
      <c r="Q999" s="333" t="n">
        <v>3</v>
      </c>
      <c r="R999" s="64" t="inlineStr">
        <is>
          <t>PCS.</t>
        </is>
      </c>
      <c r="S999" s="334">
        <f>RawDataGenPO[[#This Row],[Total price]]/RawDataGenPO[[#This Row],[Qty'']]</f>
        <v/>
      </c>
      <c r="T999" s="335" t="n">
        <v>225000</v>
      </c>
      <c r="U999" s="341" t="n"/>
      <c r="V999" s="127" t="inlineStr">
        <is>
          <t>V1000791 - THAI BELT SALE AND SERVICE CO.,LTD.</t>
        </is>
      </c>
      <c r="W999" s="30" t="inlineStr">
        <is>
          <t>Recive bill and GRN already</t>
        </is>
      </c>
      <c r="X999" s="64" t="inlineStr">
        <is>
          <t>GRN2425-0008001</t>
        </is>
      </c>
      <c r="Y999" s="126" t="n">
        <v>45740</v>
      </c>
      <c r="Z999" s="126" t="n"/>
      <c r="AA999" s="17">
        <f>IF(RawDataGenPO[[#This Row],[Date Gen PO]]="","",RawDataGenPO[[#This Row],[Date recive bill]]-RawDataGenPO[[#This Row],[Date Gen PO]])</f>
        <v/>
      </c>
      <c r="AB999" s="16">
        <f>IF(RawDataGenPO[[#This Row],[GRN-PO date]]&gt;RawDataGenPO[[#This Row],[Lead time delivery (day)]],"over deliverry","Ontime")</f>
        <v/>
      </c>
      <c r="AC999" s="22" t="n"/>
    </row>
    <row r="1000" ht="30" customHeight="1">
      <c r="A1000" s="5">
        <f>ROW()-ROW(RawDataGenPO[[#Headers],[No.]])</f>
        <v/>
      </c>
      <c r="B1000" s="7" t="inlineStr">
        <is>
          <t>Expent  cost</t>
        </is>
      </c>
      <c r="C1000" s="301" t="n">
        <v>45733</v>
      </c>
      <c r="F1000" s="281" t="n">
        <v>45733</v>
      </c>
      <c r="G1000" s="5" t="inlineStr">
        <is>
          <t xml:space="preserve">PR2425-06082 </t>
        </is>
      </c>
      <c r="H1000" s="5" t="inlineStr">
        <is>
          <t>PO2425-07111</t>
        </is>
      </c>
      <c r="I1000" s="290">
        <f>IF(RawDataGenPO[[#This Row],[PO No.]]="","",RawDataGenPO[[#This Row],[DMY Create PR]]+7)</f>
        <v/>
      </c>
      <c r="J1000" s="290">
        <f>IF(RawDataGenPO[[#This Row],[PO No.]]="","",RawDataGenPO[[#This Row],[DMY Create PR]]+7)</f>
        <v/>
      </c>
      <c r="K1000" s="20" t="n">
        <v>90</v>
      </c>
      <c r="L1000" s="5" t="inlineStr">
        <is>
          <t>SFST81000018</t>
        </is>
      </c>
      <c r="M1000" s="7" t="inlineStr">
        <is>
          <t>Cooling machine for PD line</t>
        </is>
      </c>
      <c r="N1000" s="7" t="inlineStr">
        <is>
          <t>Cooling system jobs</t>
        </is>
      </c>
      <c r="O1000" s="11" t="n">
        <v>1</v>
      </c>
      <c r="P1000" s="80" t="inlineStr">
        <is>
          <t>labor costwork inspectioncooling system CDU 9 Cold Room No.5
-inspection m notable toworksystem</t>
        </is>
      </c>
      <c r="Q1000" s="277" t="n">
        <v>1</v>
      </c>
      <c r="R1000" s="5" t="inlineStr">
        <is>
          <t>JOB.</t>
        </is>
      </c>
      <c r="S1000" s="292">
        <f>RawDataGenPO[[#This Row],[Total price]]/RawDataGenPO[[#This Row],[Qty'']]</f>
        <v/>
      </c>
      <c r="T1000" s="278" t="n">
        <v>9500</v>
      </c>
      <c r="U1000" s="291" t="n"/>
      <c r="V1000" s="7" t="inlineStr">
        <is>
          <t>V1000762 - PORNNARIN P N SERVICE LIMITED PARTNERSHIP</t>
        </is>
      </c>
      <c r="W1000" s="30" t="inlineStr">
        <is>
          <t>Recive bill and GRN already</t>
        </is>
      </c>
      <c r="X1000" s="5" t="inlineStr">
        <is>
          <t>GRN2526-0000804</t>
        </is>
      </c>
      <c r="Y1000" s="3" t="n">
        <v>45790</v>
      </c>
      <c r="AA1000" s="17">
        <f>IF(RawDataGenPO[[#This Row],[Date Gen PO]]="","",RawDataGenPO[[#This Row],[Date recive bill]]-RawDataGenPO[[#This Row],[Date Gen PO]])</f>
        <v/>
      </c>
      <c r="AB1000" s="16">
        <f>IF(RawDataGenPO[[#This Row],[GRN-PO date]]&gt;RawDataGenPO[[#This Row],[Lead time delivery (day)]],"over deliverry","Ontime")</f>
        <v/>
      </c>
      <c r="AC1000" s="22" t="n"/>
    </row>
    <row r="1001" ht="165" customHeight="1">
      <c r="A1001" s="5">
        <f>ROW()-ROW(RawDataGenPO[[#Headers],[No.]])</f>
        <v/>
      </c>
      <c r="B1001" s="7" t="inlineStr">
        <is>
          <t>Expent  cost</t>
        </is>
      </c>
      <c r="C1001" s="301" t="n">
        <v>45735</v>
      </c>
      <c r="F1001" s="301" t="n">
        <v>45735</v>
      </c>
      <c r="G1001" s="5" t="inlineStr">
        <is>
          <t>PR2425-06124</t>
        </is>
      </c>
      <c r="H1001" s="5" t="inlineStr">
        <is>
          <t>PO2425-07276</t>
        </is>
      </c>
      <c r="I1001" s="290">
        <f>IF(RawDataGenPO[[#This Row],[PO No.]]="","",RawDataGenPO[[#This Row],[DMY Create PR]]+7)</f>
        <v/>
      </c>
      <c r="J1001" s="290" t="n"/>
      <c r="K1001" s="20" t="n">
        <v>120</v>
      </c>
      <c r="L1001" s="5" t="inlineStr">
        <is>
          <t>SFST81000078</t>
        </is>
      </c>
      <c r="M1001" s="7" t="inlineStr">
        <is>
          <t>Civill jobs (Floor-Wall-Celling-roof)</t>
        </is>
      </c>
      <c r="N1001" s="7" t="inlineStr">
        <is>
          <t>Cevil jobs</t>
        </is>
      </c>
      <c r="O1001" s="11" t="n">
        <v>1</v>
      </c>
      <c r="P1001" s="80" t="inlineStr">
        <is>
          <t>workwallW
1.1workwallW androom Cooking
andWfrontroom (floorpcs)
- materialforpcsW
- smoothW (pcsm)
- workdaySunday (quantity 5 )
1.2 workWandwork
- floorpcstomale
- material , paint brush (pcsm)
- 3 Zone
- For BRC Audit</t>
        </is>
      </c>
      <c r="Q1001" s="277" t="n">
        <v>5</v>
      </c>
      <c r="R1001" s="5" t="inlineStr">
        <is>
          <t>TIMES.</t>
        </is>
      </c>
      <c r="S1001" s="292">
        <f>RawDataGenPO[[#This Row],[Total price]]/RawDataGenPO[[#This Row],[Qty'']]</f>
        <v/>
      </c>
      <c r="T1001" s="278" t="n">
        <v>125000</v>
      </c>
      <c r="U1001" s="291" t="n"/>
      <c r="V1001" s="7" t="inlineStr">
        <is>
          <t>V1000299 - BURAPHA 304 ENGINEERING CO.,LTD</t>
        </is>
      </c>
      <c r="W1001" s="30" t="inlineStr">
        <is>
          <t>Recive bill and GRN already</t>
        </is>
      </c>
      <c r="X1001" s="5" t="inlineStr">
        <is>
          <t>GRN2526-0001158</t>
        </is>
      </c>
      <c r="Y1001" s="3" t="n">
        <v>45803</v>
      </c>
      <c r="AA1001" s="17">
        <f>IF(RawDataGenPO[[#This Row],[Date Gen PO]]="","",RawDataGenPO[[#This Row],[Date recive bill]]-RawDataGenPO[[#This Row],[Date Gen PO]])</f>
        <v/>
      </c>
      <c r="AB1001" s="16">
        <f>IF(RawDataGenPO[[#This Row],[GRN-PO date]]&gt;RawDataGenPO[[#This Row],[Lead time delivery (day)]],"over deliverry","Ontime")</f>
        <v/>
      </c>
      <c r="AC1001" s="22" t="n"/>
    </row>
    <row r="1002" ht="45" customHeight="1">
      <c r="A1002" s="5">
        <f>ROW()-ROW(RawDataGenPO[[#Headers],[No.]])</f>
        <v/>
      </c>
      <c r="B1002" s="7" t="inlineStr">
        <is>
          <t>CAPEX  (Budget)</t>
        </is>
      </c>
      <c r="C1002" s="301" t="n">
        <v>45736</v>
      </c>
      <c r="F1002" s="301" t="n">
        <v>45736</v>
      </c>
      <c r="G1002" s="5" t="inlineStr">
        <is>
          <t>PR2425-06133</t>
        </is>
      </c>
      <c r="H1002" s="5" t="inlineStr">
        <is>
          <t>PO2425-00027</t>
        </is>
      </c>
      <c r="I1002" s="290">
        <f>IF(RawDataGenPO[[#This Row],[PO No.]]="","",RawDataGenPO[[#This Row],[DMY Create PR]]+7)</f>
        <v/>
      </c>
      <c r="J1002" s="290" t="n">
        <v>45743</v>
      </c>
      <c r="K1002" s="20" t="n">
        <v>90</v>
      </c>
      <c r="L1002" s="5" t="inlineStr">
        <is>
          <t>SFST82000005</t>
        </is>
      </c>
      <c r="M1002" s="7" t="inlineStr">
        <is>
          <t>Utility Jobs  (Boiler-Air compress-Transformer-LPG)</t>
        </is>
      </c>
      <c r="N1002" s="7" t="inlineStr">
        <is>
          <t>Cooling  part</t>
        </is>
      </c>
      <c r="O1002" s="11" t="n">
        <v>1</v>
      </c>
      <c r="P1002" s="80" t="inlineStr">
        <is>
          <t>Compressor
- Screw Compressor "Bitzer" HSN7471-75
- SE-i1 Protection</t>
        </is>
      </c>
      <c r="Q1002" s="277" t="n">
        <v>1</v>
      </c>
      <c r="R1002" s="5" t="inlineStr">
        <is>
          <t>JOB.</t>
        </is>
      </c>
      <c r="S1002" s="292">
        <f>RawDataGenPO[[#This Row],[Total price]]/RawDataGenPO[[#This Row],[Qty'']]</f>
        <v/>
      </c>
      <c r="T1002" s="278" t="n">
        <v>410000</v>
      </c>
      <c r="U1002" s="291" t="n"/>
      <c r="V1002" s="33" t="inlineStr">
        <is>
          <t>V1000748 - CARRIER COMMERCIAL REFRIGERATION(THAILAND) COMPANY LIMITED</t>
        </is>
      </c>
      <c r="W1002" s="30" t="inlineStr">
        <is>
          <t>Recive bill and GRN already</t>
        </is>
      </c>
      <c r="X1002" s="5" t="inlineStr">
        <is>
          <t>GRN2526-0000419</t>
        </is>
      </c>
      <c r="Y1002" s="3" t="n">
        <v>45770</v>
      </c>
      <c r="AA1002" s="17">
        <f>IF(RawDataGenPO[[#This Row],[Date Gen PO]]="","",RawDataGenPO[[#This Row],[Date recive bill]]-RawDataGenPO[[#This Row],[Date Gen PO]])</f>
        <v/>
      </c>
      <c r="AB1002" s="16">
        <f>IF(RawDataGenPO[[#This Row],[GRN-PO date]]&gt;RawDataGenPO[[#This Row],[Lead time delivery (day)]],"over deliverry","Ontime")</f>
        <v/>
      </c>
      <c r="AC1002" s="22" t="n"/>
    </row>
    <row r="1003" ht="60" customHeight="1">
      <c r="A1003" s="5">
        <f>ROW()-ROW(RawDataGenPO[[#Headers],[No.]])</f>
        <v/>
      </c>
      <c r="B1003" s="7" t="inlineStr">
        <is>
          <t>CAPEX  (Budget)</t>
        </is>
      </c>
      <c r="C1003" s="301" t="n">
        <v>45736</v>
      </c>
      <c r="F1003" s="301" t="n">
        <v>45736</v>
      </c>
      <c r="G1003" s="5" t="inlineStr">
        <is>
          <t>PR2425-06133</t>
        </is>
      </c>
      <c r="H1003" s="5" t="inlineStr">
        <is>
          <t>PO2425-00027</t>
        </is>
      </c>
      <c r="I1003" s="290">
        <f>IF(RawDataGenPO[[#This Row],[PO No.]]="","",RawDataGenPO[[#This Row],[DMY Create PR]]+7)</f>
        <v/>
      </c>
      <c r="J1003" s="290" t="n">
        <v>45743</v>
      </c>
      <c r="K1003" s="20" t="n">
        <v>90</v>
      </c>
      <c r="L1003" s="5" t="inlineStr">
        <is>
          <t>SFST82000005</t>
        </is>
      </c>
      <c r="M1003" s="7" t="inlineStr">
        <is>
          <t>Utility Jobs  (Boiler-Air compress-Transformer-LPG)</t>
        </is>
      </c>
      <c r="N1003" s="7" t="inlineStr">
        <is>
          <t>Cooling  part</t>
        </is>
      </c>
      <c r="O1003" s="11" t="n">
        <v>2</v>
      </c>
      <c r="P1003" s="80" t="inlineStr">
        <is>
          <t>Labour
- Labor for Uninstallation
- Labor for Reinstallation
- Lifting Equipment (Hiab)</t>
        </is>
      </c>
      <c r="Q1003" s="277" t="n">
        <v>1</v>
      </c>
      <c r="R1003" s="5" t="inlineStr">
        <is>
          <t>JOB.</t>
        </is>
      </c>
      <c r="S1003" s="292">
        <f>RawDataGenPO[[#This Row],[Total price]]/RawDataGenPO[[#This Row],[Qty'']]</f>
        <v/>
      </c>
      <c r="T1003" s="278" t="n">
        <v>54600</v>
      </c>
      <c r="U1003" s="291" t="n"/>
      <c r="V1003" s="33" t="inlineStr">
        <is>
          <t>V1000748 - CARRIER COMMERCIAL REFRIGERATION(THAILAND) COMPANY LIMITED</t>
        </is>
      </c>
      <c r="W1003" s="30" t="inlineStr">
        <is>
          <t>Recive bill and GRN already</t>
        </is>
      </c>
      <c r="X1003" s="5" t="inlineStr">
        <is>
          <t>GRN2526-0000419</t>
        </is>
      </c>
      <c r="Y1003" s="3" t="n">
        <v>45770</v>
      </c>
      <c r="AA1003" s="17">
        <f>IF(RawDataGenPO[[#This Row],[Date Gen PO]]="","",RawDataGenPO[[#This Row],[Date recive bill]]-RawDataGenPO[[#This Row],[Date Gen PO]])</f>
        <v/>
      </c>
      <c r="AB1003" s="16">
        <f>IF(RawDataGenPO[[#This Row],[GRN-PO date]]&gt;RawDataGenPO[[#This Row],[Lead time delivery (day)]],"over deliverry","Ontime")</f>
        <v/>
      </c>
      <c r="AC1003" s="22" t="n"/>
    </row>
    <row r="1004" ht="30" customHeight="1">
      <c r="A1004" s="5">
        <f>ROW()-ROW(RawDataGenPO[[#Headers],[No.]])</f>
        <v/>
      </c>
      <c r="B1004" s="7" t="inlineStr">
        <is>
          <t>Expent  cost</t>
        </is>
      </c>
      <c r="C1004" s="301" t="n">
        <v>45736</v>
      </c>
      <c r="F1004" s="301" t="n">
        <v>45736</v>
      </c>
      <c r="G1004" s="5" t="inlineStr">
        <is>
          <t>PR2425-06136</t>
        </is>
      </c>
      <c r="H1004" s="5" t="inlineStr">
        <is>
          <t>PO2425-07277</t>
        </is>
      </c>
      <c r="I1004" s="290">
        <f>IF(RawDataGenPO[[#This Row],[PO No.]]="","",RawDataGenPO[[#This Row],[DMY Create PR]]+7)</f>
        <v/>
      </c>
      <c r="J1004" s="290" t="n">
        <v>45747</v>
      </c>
      <c r="K1004" s="20">
        <f>IF(RawDataGenPO[[#This Row],[PO No.]]="","",10)</f>
        <v/>
      </c>
      <c r="L1004" s="5" t="inlineStr">
        <is>
          <t>SFST81000050</t>
        </is>
      </c>
      <c r="M1004" s="7" t="inlineStr">
        <is>
          <t>PD Machine</t>
        </is>
      </c>
      <c r="N1004" s="7" t="inlineStr">
        <is>
          <t>Check weigth  No.1</t>
        </is>
      </c>
      <c r="O1004" s="11" t="n">
        <v>1</v>
      </c>
      <c r="P1004" s="80" t="inlineStr">
        <is>
          <t>Belt 1 PU070 Blue W195 mm x L630 mm
Endless Joint (Part No. 16750000807)</t>
        </is>
      </c>
      <c r="Q1004" s="277" t="n">
        <v>3</v>
      </c>
      <c r="R1004" s="5" t="inlineStr">
        <is>
          <t>PCS.</t>
        </is>
      </c>
      <c r="S1004" s="292">
        <f>RawDataGenPO[[#This Row],[Total price]]/RawDataGenPO[[#This Row],[Qty'']]</f>
        <v/>
      </c>
      <c r="T1004" s="278" t="n">
        <v>1950</v>
      </c>
      <c r="U1004" s="291" t="n"/>
      <c r="V1004" s="7" t="inlineStr">
        <is>
          <t>V1000693 - APN POWER SUPPLY COMPANY LIMITED</t>
        </is>
      </c>
      <c r="W1004" s="30" t="inlineStr">
        <is>
          <t>Recive bill and GRN already</t>
        </is>
      </c>
      <c r="X1004" s="5" t="inlineStr">
        <is>
          <t>GRN2526-0000056</t>
        </is>
      </c>
      <c r="Y1004" s="3" t="n">
        <v>45750</v>
      </c>
      <c r="AA1004" s="17">
        <f>IF(RawDataGenPO[[#This Row],[Date Gen PO]]="","",RawDataGenPO[[#This Row],[Date recive bill]]-RawDataGenPO[[#This Row],[Date Gen PO]])</f>
        <v/>
      </c>
      <c r="AB1004" s="16">
        <f>IF(RawDataGenPO[[#This Row],[GRN-PO date]]&gt;RawDataGenPO[[#This Row],[Lead time delivery (day)]],"over deliverry","Ontime")</f>
        <v/>
      </c>
      <c r="AC1004" s="22" t="n"/>
    </row>
    <row r="1005" ht="15" customHeight="1">
      <c r="A1005" s="5">
        <f>ROW()-ROW(RawDataGenPO[[#Headers],[No.]])</f>
        <v/>
      </c>
      <c r="B1005" s="7" t="inlineStr">
        <is>
          <t>Expent  cost</t>
        </is>
      </c>
      <c r="C1005" s="301" t="n">
        <v>45736</v>
      </c>
      <c r="F1005" s="301" t="n">
        <v>45736</v>
      </c>
      <c r="G1005" s="5" t="inlineStr">
        <is>
          <t>PR2425-06138</t>
        </is>
      </c>
      <c r="H1005" s="5" t="inlineStr">
        <is>
          <t>PO2425-07278</t>
        </is>
      </c>
      <c r="I1005" s="290">
        <f>IF(RawDataGenPO[[#This Row],[PO No.]]="","",RawDataGenPO[[#This Row],[DMY Create PR]]+7)</f>
        <v/>
      </c>
      <c r="J1005" s="290" t="n">
        <v>45747</v>
      </c>
      <c r="K1005" s="20" t="n">
        <v>15</v>
      </c>
      <c r="L1005" s="5" t="inlineStr">
        <is>
          <t>SFST34000111</t>
        </is>
      </c>
      <c r="M1005" s="7" t="inlineStr">
        <is>
          <t>Consumable part for MN</t>
        </is>
      </c>
      <c r="N1005" s="7" t="inlineStr">
        <is>
          <t>Machanical part</t>
        </is>
      </c>
      <c r="O1005" s="11" t="n">
        <v>1</v>
      </c>
      <c r="P1005" s="80" t="inlineStr">
        <is>
          <t>gasketflangenon-asbestos 1/2" (DN15) thick 3 mm. , (PN16)</t>
        </is>
      </c>
      <c r="Q1005" s="277" t="n">
        <v>10</v>
      </c>
      <c r="R1005" s="5" t="inlineStr">
        <is>
          <t>PCS.</t>
        </is>
      </c>
      <c r="S1005" s="292">
        <f>RawDataGenPO[[#This Row],[Total price]]/RawDataGenPO[[#This Row],[Qty'']]</f>
        <v/>
      </c>
      <c r="T1005" s="278" t="n">
        <v>960</v>
      </c>
      <c r="U1005" s="291" t="n"/>
      <c r="V1005" s="7" t="inlineStr">
        <is>
          <t>V1000529 - 168 Supply</t>
        </is>
      </c>
      <c r="W1005" s="30" t="inlineStr">
        <is>
          <t>Recive bill and GRN already</t>
        </is>
      </c>
      <c r="X1005" s="5" t="inlineStr">
        <is>
          <t>GRN2526-0000142</t>
        </is>
      </c>
      <c r="Y1005" s="3" t="n">
        <v>45755</v>
      </c>
      <c r="AA1005" s="17">
        <f>IF(RawDataGenPO[[#This Row],[Date Gen PO]]="","",RawDataGenPO[[#This Row],[Date recive bill]]-RawDataGenPO[[#This Row],[Date Gen PO]])</f>
        <v/>
      </c>
      <c r="AB1005" s="16">
        <f>IF(RawDataGenPO[[#This Row],[GRN-PO date]]&gt;RawDataGenPO[[#This Row],[Lead time delivery (day)]],"over deliverry","Ontime")</f>
        <v/>
      </c>
      <c r="AC1005" s="22" t="n"/>
    </row>
    <row r="1006" ht="15" customHeight="1">
      <c r="A1006" s="5">
        <f>ROW()-ROW(RawDataGenPO[[#Headers],[No.]])</f>
        <v/>
      </c>
      <c r="B1006" s="7" t="inlineStr">
        <is>
          <t>Expent  cost</t>
        </is>
      </c>
      <c r="C1006" s="301" t="n">
        <v>45736</v>
      </c>
      <c r="F1006" s="301" t="n">
        <v>45736</v>
      </c>
      <c r="G1006" s="5" t="inlineStr">
        <is>
          <t>PR2425-06138</t>
        </is>
      </c>
      <c r="H1006" s="5" t="inlineStr">
        <is>
          <t>PO2425-07278</t>
        </is>
      </c>
      <c r="I1006" s="290">
        <f>IF(RawDataGenPO[[#This Row],[PO No.]]="","",RawDataGenPO[[#This Row],[DMY Create PR]]+7)</f>
        <v/>
      </c>
      <c r="J1006" s="290" t="n">
        <v>45749</v>
      </c>
      <c r="K1006" s="20" t="n">
        <v>15</v>
      </c>
      <c r="L1006" s="5" t="inlineStr">
        <is>
          <t>SFST34000112</t>
        </is>
      </c>
      <c r="M1006" s="7" t="inlineStr">
        <is>
          <t>Consumable part for MN</t>
        </is>
      </c>
      <c r="N1006" s="7" t="inlineStr">
        <is>
          <t>Machanical part</t>
        </is>
      </c>
      <c r="O1006" s="11" t="n">
        <v>2</v>
      </c>
      <c r="P1006" s="80" t="inlineStr">
        <is>
          <t>gasketflangenon-asbestos 3/4" (DN20) 3 mm. , (PN16)</t>
        </is>
      </c>
      <c r="Q1006" s="277" t="n">
        <v>10</v>
      </c>
      <c r="R1006" s="5" t="inlineStr">
        <is>
          <t>PCS.</t>
        </is>
      </c>
      <c r="S1006" s="292">
        <f>RawDataGenPO[[#This Row],[Total price]]/RawDataGenPO[[#This Row],[Qty'']]</f>
        <v/>
      </c>
      <c r="T1006" s="278" t="n">
        <v>1250</v>
      </c>
      <c r="U1006" s="291" t="n"/>
      <c r="V1006" s="7" t="inlineStr">
        <is>
          <t>V1000529 - 168 Supply</t>
        </is>
      </c>
      <c r="W1006" s="30" t="inlineStr">
        <is>
          <t>Recive bill and GRN already</t>
        </is>
      </c>
      <c r="X1006" s="5" t="inlineStr">
        <is>
          <t>GRN2526-0000142</t>
        </is>
      </c>
      <c r="Y1006" s="3" t="n">
        <v>45755</v>
      </c>
      <c r="AA1006" s="17">
        <f>IF(RawDataGenPO[[#This Row],[Date Gen PO]]="","",RawDataGenPO[[#This Row],[Date recive bill]]-RawDataGenPO[[#This Row],[Date Gen PO]])</f>
        <v/>
      </c>
      <c r="AB1006" s="16">
        <f>IF(RawDataGenPO[[#This Row],[GRN-PO date]]&gt;RawDataGenPO[[#This Row],[Lead time delivery (day)]],"over deliverry","Ontime")</f>
        <v/>
      </c>
      <c r="AC1006" s="22" t="n"/>
    </row>
    <row r="1007" ht="15" customHeight="1">
      <c r="A1007" s="5">
        <f>ROW()-ROW(RawDataGenPO[[#Headers],[No.]])</f>
        <v/>
      </c>
      <c r="B1007" s="7" t="inlineStr">
        <is>
          <t>Expent  cost</t>
        </is>
      </c>
      <c r="C1007" s="301" t="n">
        <v>45736</v>
      </c>
      <c r="F1007" s="301" t="n">
        <v>45736</v>
      </c>
      <c r="G1007" s="5" t="inlineStr">
        <is>
          <t>PR2425-06138</t>
        </is>
      </c>
      <c r="H1007" s="5" t="inlineStr">
        <is>
          <t>PO2425-07278</t>
        </is>
      </c>
      <c r="I1007" s="290">
        <f>IF(RawDataGenPO[[#This Row],[PO No.]]="","",RawDataGenPO[[#This Row],[DMY Create PR]]+7)</f>
        <v/>
      </c>
      <c r="J1007" s="290" t="n"/>
      <c r="K1007" s="20" t="n">
        <v>15</v>
      </c>
      <c r="L1007" s="5" t="inlineStr">
        <is>
          <t>SFST34000113</t>
        </is>
      </c>
      <c r="M1007" s="7" t="inlineStr">
        <is>
          <t>Consumable part for MN</t>
        </is>
      </c>
      <c r="N1007" s="7" t="inlineStr">
        <is>
          <t>Machanical part</t>
        </is>
      </c>
      <c r="O1007" s="11" t="n">
        <v>3</v>
      </c>
      <c r="P1007" s="80" t="inlineStr">
        <is>
          <t>gasketflangenon-asbestos 1" (DN25) 3 mm. , (PN16)</t>
        </is>
      </c>
      <c r="Q1007" s="277" t="n">
        <v>10</v>
      </c>
      <c r="R1007" s="5" t="inlineStr">
        <is>
          <t>PCS.</t>
        </is>
      </c>
      <c r="S1007" s="292">
        <f>RawDataGenPO[[#This Row],[Total price]]/RawDataGenPO[[#This Row],[Qty'']]</f>
        <v/>
      </c>
      <c r="T1007" s="278" t="n">
        <v>1450</v>
      </c>
      <c r="U1007" s="291" t="n"/>
      <c r="V1007" s="7" t="inlineStr">
        <is>
          <t>V1000529 - 168 Supply</t>
        </is>
      </c>
      <c r="W1007" s="30" t="inlineStr">
        <is>
          <t>Recive bill and GRN already</t>
        </is>
      </c>
      <c r="X1007" s="5" t="inlineStr">
        <is>
          <t>GRN2526-0000142</t>
        </is>
      </c>
      <c r="Y1007" s="3" t="n">
        <v>45755</v>
      </c>
      <c r="AA1007" s="17">
        <f>IF(RawDataGenPO[[#This Row],[Date Gen PO]]="","",RawDataGenPO[[#This Row],[Date recive bill]]-RawDataGenPO[[#This Row],[Date Gen PO]])</f>
        <v/>
      </c>
      <c r="AB1007" s="16">
        <f>IF(RawDataGenPO[[#This Row],[GRN-PO date]]&gt;RawDataGenPO[[#This Row],[Lead time delivery (day)]],"over deliverry","Ontime")</f>
        <v/>
      </c>
      <c r="AC1007" s="22" t="n"/>
    </row>
    <row r="1008" ht="15" customHeight="1">
      <c r="A1008" s="5">
        <f>ROW()-ROW(RawDataGenPO[[#Headers],[No.]])</f>
        <v/>
      </c>
      <c r="B1008" s="7" t="inlineStr">
        <is>
          <t>Expent  cost</t>
        </is>
      </c>
      <c r="C1008" s="301" t="n">
        <v>45736</v>
      </c>
      <c r="F1008" s="301" t="n">
        <v>45736</v>
      </c>
      <c r="G1008" s="5" t="inlineStr">
        <is>
          <t>PR2425-06138</t>
        </is>
      </c>
      <c r="H1008" s="5" t="inlineStr">
        <is>
          <t>PO2425-07278</t>
        </is>
      </c>
      <c r="I1008" s="290">
        <f>IF(RawDataGenPO[[#This Row],[PO No.]]="","",RawDataGenPO[[#This Row],[DMY Create PR]]+7)</f>
        <v/>
      </c>
      <c r="J1008" s="290" t="n"/>
      <c r="K1008" s="20" t="n">
        <v>15</v>
      </c>
      <c r="L1008" s="5" t="inlineStr">
        <is>
          <t>SFST34000114</t>
        </is>
      </c>
      <c r="M1008" s="7" t="inlineStr">
        <is>
          <t>Consumable part for MN</t>
        </is>
      </c>
      <c r="N1008" s="7" t="inlineStr">
        <is>
          <t>Machanical part</t>
        </is>
      </c>
      <c r="O1008" s="11" t="n">
        <v>4</v>
      </c>
      <c r="P1008" s="80" t="inlineStr">
        <is>
          <t>gasketflangenon-asbestos 1.1/4" (DN32) 3 mm. , (PN16)</t>
        </is>
      </c>
      <c r="Q1008" s="277" t="n">
        <v>10</v>
      </c>
      <c r="R1008" s="5" t="inlineStr">
        <is>
          <t>PCS.</t>
        </is>
      </c>
      <c r="S1008" s="292">
        <f>RawDataGenPO[[#This Row],[Total price]]/RawDataGenPO[[#This Row],[Qty'']]</f>
        <v/>
      </c>
      <c r="T1008" s="278" t="n">
        <v>1800</v>
      </c>
      <c r="U1008" s="291" t="n"/>
      <c r="V1008" s="7" t="inlineStr">
        <is>
          <t>V1000529 - 168 Supply</t>
        </is>
      </c>
      <c r="W1008" s="30" t="inlineStr">
        <is>
          <t>Recive bill and GRN already</t>
        </is>
      </c>
      <c r="X1008" s="5" t="inlineStr">
        <is>
          <t>GRN2526-0000142</t>
        </is>
      </c>
      <c r="Y1008" s="3" t="n">
        <v>45755</v>
      </c>
      <c r="AA1008" s="17">
        <f>IF(RawDataGenPO[[#This Row],[Date Gen PO]]="","",RawDataGenPO[[#This Row],[Date recive bill]]-RawDataGenPO[[#This Row],[Date Gen PO]])</f>
        <v/>
      </c>
      <c r="AB1008" s="16">
        <f>IF(RawDataGenPO[[#This Row],[GRN-PO date]]&gt;RawDataGenPO[[#This Row],[Lead time delivery (day)]],"over deliverry","Ontime")</f>
        <v/>
      </c>
      <c r="AC1008" s="22" t="n"/>
    </row>
    <row r="1009" ht="15" customHeight="1">
      <c r="A1009" s="5">
        <f>ROW()-ROW(RawDataGenPO[[#Headers],[No.]])</f>
        <v/>
      </c>
      <c r="B1009" s="7" t="inlineStr">
        <is>
          <t>Expent  cost</t>
        </is>
      </c>
      <c r="C1009" s="301" t="n">
        <v>45736</v>
      </c>
      <c r="F1009" s="301" t="n">
        <v>45736</v>
      </c>
      <c r="G1009" s="5" t="inlineStr">
        <is>
          <t>PR2425-06138</t>
        </is>
      </c>
      <c r="H1009" s="5" t="inlineStr">
        <is>
          <t>PO2425-07278</t>
        </is>
      </c>
      <c r="I1009" s="290">
        <f>IF(RawDataGenPO[[#This Row],[PO No.]]="","",RawDataGenPO[[#This Row],[DMY Create PR]]+7)</f>
        <v/>
      </c>
      <c r="J1009" s="290" t="n"/>
      <c r="K1009" s="20" t="n">
        <v>15</v>
      </c>
      <c r="L1009" s="5" t="inlineStr">
        <is>
          <t>SFST34000115</t>
        </is>
      </c>
      <c r="M1009" s="7" t="inlineStr">
        <is>
          <t>Consumable part for MN</t>
        </is>
      </c>
      <c r="N1009" s="7" t="inlineStr">
        <is>
          <t>Machanical part</t>
        </is>
      </c>
      <c r="O1009" s="11" t="n">
        <v>5</v>
      </c>
      <c r="P1009" s="80" t="inlineStr">
        <is>
          <t>gasketflangenon-asbestos 1.1/2" (DN40) 3 mm. , (PN16)</t>
        </is>
      </c>
      <c r="Q1009" s="277" t="n">
        <v>10</v>
      </c>
      <c r="R1009" s="5" t="inlineStr">
        <is>
          <t>PCS.</t>
        </is>
      </c>
      <c r="S1009" s="292">
        <f>RawDataGenPO[[#This Row],[Total price]]/RawDataGenPO[[#This Row],[Qty'']]</f>
        <v/>
      </c>
      <c r="T1009" s="278" t="n">
        <v>2000</v>
      </c>
      <c r="U1009" s="291" t="n"/>
      <c r="V1009" s="7" t="inlineStr">
        <is>
          <t>V1000529 - 168 Supply</t>
        </is>
      </c>
      <c r="W1009" s="30" t="inlineStr">
        <is>
          <t>Recive bill and GRN already</t>
        </is>
      </c>
      <c r="X1009" s="5" t="inlineStr">
        <is>
          <t>GRN2526-0000142</t>
        </is>
      </c>
      <c r="Y1009" s="3" t="n">
        <v>45755</v>
      </c>
      <c r="AA1009" s="17">
        <f>IF(RawDataGenPO[[#This Row],[Date Gen PO]]="","",RawDataGenPO[[#This Row],[Date recive bill]]-RawDataGenPO[[#This Row],[Date Gen PO]])</f>
        <v/>
      </c>
      <c r="AB1009" s="16">
        <f>IF(RawDataGenPO[[#This Row],[GRN-PO date]]&gt;RawDataGenPO[[#This Row],[Lead time delivery (day)]],"over deliverry","Ontime")</f>
        <v/>
      </c>
      <c r="AC1009" s="22" t="n"/>
    </row>
    <row r="1010" ht="15" customHeight="1">
      <c r="A1010" s="5">
        <f>ROW()-ROW(RawDataGenPO[[#Headers],[No.]])</f>
        <v/>
      </c>
      <c r="B1010" s="7" t="inlineStr">
        <is>
          <t>Expent  cost</t>
        </is>
      </c>
      <c r="C1010" s="301" t="n">
        <v>45736</v>
      </c>
      <c r="F1010" s="301" t="n">
        <v>45736</v>
      </c>
      <c r="G1010" s="5" t="inlineStr">
        <is>
          <t>PR2425-06138</t>
        </is>
      </c>
      <c r="H1010" s="5" t="inlineStr">
        <is>
          <t>PO2425-07278</t>
        </is>
      </c>
      <c r="I1010" s="290">
        <f>IF(RawDataGenPO[[#This Row],[PO No.]]="","",RawDataGenPO[[#This Row],[DMY Create PR]]+7)</f>
        <v/>
      </c>
      <c r="J1010" s="290" t="n"/>
      <c r="K1010" s="20" t="n">
        <v>15</v>
      </c>
      <c r="L1010" s="5" t="inlineStr">
        <is>
          <t>SFST34000116</t>
        </is>
      </c>
      <c r="M1010" s="7" t="inlineStr">
        <is>
          <t>Consumable part for MN</t>
        </is>
      </c>
      <c r="N1010" s="7" t="inlineStr">
        <is>
          <t>Machanical part</t>
        </is>
      </c>
      <c r="O1010" s="11" t="n">
        <v>6</v>
      </c>
      <c r="P1010" s="80" t="inlineStr">
        <is>
          <t>gasketflangenon-asbestos 2" (DN50) 3 mm. , (PN16)</t>
        </is>
      </c>
      <c r="Q1010" s="277" t="n">
        <v>10</v>
      </c>
      <c r="R1010" s="5" t="inlineStr">
        <is>
          <t>PCS.</t>
        </is>
      </c>
      <c r="S1010" s="292">
        <f>RawDataGenPO[[#This Row],[Total price]]/RawDataGenPO[[#This Row],[Qty'']]</f>
        <v/>
      </c>
      <c r="T1010" s="278" t="n">
        <v>2300</v>
      </c>
      <c r="U1010" s="291" t="n"/>
      <c r="V1010" s="7" t="inlineStr">
        <is>
          <t>V1000529 - 168 Supply</t>
        </is>
      </c>
      <c r="W1010" s="30" t="inlineStr">
        <is>
          <t>Recive bill and GRN already</t>
        </is>
      </c>
      <c r="X1010" s="5" t="inlineStr">
        <is>
          <t>GRN2526-0000142</t>
        </is>
      </c>
      <c r="Y1010" s="3" t="n">
        <v>45755</v>
      </c>
      <c r="AA1010" s="17">
        <f>IF(RawDataGenPO[[#This Row],[Date Gen PO]]="","",RawDataGenPO[[#This Row],[Date recive bill]]-RawDataGenPO[[#This Row],[Date Gen PO]])</f>
        <v/>
      </c>
      <c r="AB1010" s="16">
        <f>IF(RawDataGenPO[[#This Row],[GRN-PO date]]&gt;RawDataGenPO[[#This Row],[Lead time delivery (day)]],"over deliverry","Ontime")</f>
        <v/>
      </c>
      <c r="AC1010" s="22" t="n"/>
    </row>
    <row r="1011" ht="15" customHeight="1">
      <c r="A1011" s="5">
        <f>ROW()-ROW(RawDataGenPO[[#Headers],[No.]])</f>
        <v/>
      </c>
      <c r="B1011" s="7" t="inlineStr">
        <is>
          <t>Expent  cost</t>
        </is>
      </c>
      <c r="C1011" s="301" t="n">
        <v>45736</v>
      </c>
      <c r="F1011" s="301" t="n">
        <v>45736</v>
      </c>
      <c r="G1011" s="5" t="inlineStr">
        <is>
          <t>PR2425-06138</t>
        </is>
      </c>
      <c r="H1011" s="5" t="inlineStr">
        <is>
          <t>PO2425-07278</t>
        </is>
      </c>
      <c r="I1011" s="290">
        <f>IF(RawDataGenPO[[#This Row],[PO No.]]="","",RawDataGenPO[[#This Row],[DMY Create PR]]+7)</f>
        <v/>
      </c>
      <c r="J1011" s="290" t="n"/>
      <c r="K1011" s="20" t="n">
        <v>15</v>
      </c>
      <c r="L1011" s="5" t="inlineStr">
        <is>
          <t>SFST34000117</t>
        </is>
      </c>
      <c r="M1011" s="7" t="inlineStr">
        <is>
          <t>Consumable part for MN</t>
        </is>
      </c>
      <c r="N1011" s="7" t="inlineStr">
        <is>
          <t>Machanical part</t>
        </is>
      </c>
      <c r="O1011" s="11" t="n">
        <v>7</v>
      </c>
      <c r="P1011" s="80" t="inlineStr">
        <is>
          <t>gasketflangenon-asbestos 2.1/2" (DN15) 3 mm. , (PN16)</t>
        </is>
      </c>
      <c r="Q1011" s="277" t="n">
        <v>10</v>
      </c>
      <c r="R1011" s="5" t="inlineStr">
        <is>
          <t>PCS.</t>
        </is>
      </c>
      <c r="S1011" s="292">
        <f>RawDataGenPO[[#This Row],[Total price]]/RawDataGenPO[[#This Row],[Qty'']]</f>
        <v/>
      </c>
      <c r="T1011" s="278" t="n">
        <v>2600</v>
      </c>
      <c r="U1011" s="291" t="n"/>
      <c r="V1011" s="7" t="inlineStr">
        <is>
          <t>V1000529 - 168 Supply</t>
        </is>
      </c>
      <c r="W1011" s="30" t="inlineStr">
        <is>
          <t>Recive bill and GRN already</t>
        </is>
      </c>
      <c r="X1011" s="5" t="inlineStr">
        <is>
          <t>GRN2526-0000142</t>
        </is>
      </c>
      <c r="Y1011" s="3" t="n">
        <v>45755</v>
      </c>
      <c r="AA1011" s="17">
        <f>IF(RawDataGenPO[[#This Row],[Date Gen PO]]="","",RawDataGenPO[[#This Row],[Date recive bill]]-RawDataGenPO[[#This Row],[Date Gen PO]])</f>
        <v/>
      </c>
      <c r="AB1011" s="16">
        <f>IF(RawDataGenPO[[#This Row],[GRN-PO date]]&gt;RawDataGenPO[[#This Row],[Lead time delivery (day)]],"over deliverry","Ontime")</f>
        <v/>
      </c>
      <c r="AC1011" s="22" t="n"/>
    </row>
    <row r="1012" ht="15" customHeight="1">
      <c r="A1012" s="5">
        <f>ROW()-ROW(RawDataGenPO[[#Headers],[No.]])</f>
        <v/>
      </c>
      <c r="B1012" s="7" t="inlineStr">
        <is>
          <t>Expent  cost</t>
        </is>
      </c>
      <c r="C1012" s="301" t="n">
        <v>45740</v>
      </c>
      <c r="F1012" s="301" t="n">
        <v>45740</v>
      </c>
      <c r="G1012" s="5" t="inlineStr">
        <is>
          <t>PR2425-06187</t>
        </is>
      </c>
      <c r="H1012" s="5" t="inlineStr">
        <is>
          <t>PO2526-00009</t>
        </is>
      </c>
      <c r="I1012" s="290">
        <f>IF(RawDataGenPO[[#This Row],[PO No.]]="","",RawDataGenPO[[#This Row],[DMY Create PR]]+7)</f>
        <v/>
      </c>
      <c r="J1012" s="290" t="n">
        <v>45747</v>
      </c>
      <c r="K1012" s="20" t="n">
        <v>30</v>
      </c>
      <c r="L1012" s="5" t="inlineStr">
        <is>
          <t>SFST81000048</t>
        </is>
      </c>
      <c r="M1012" s="7" t="inlineStr">
        <is>
          <t>PD Machine</t>
        </is>
      </c>
      <c r="N1012" s="7" t="inlineStr">
        <is>
          <t>X-Ray machine No.1</t>
        </is>
      </c>
      <c r="O1012" s="11" t="n">
        <v>1</v>
      </c>
      <c r="P1012" s="80" t="inlineStr">
        <is>
          <t>"FESTO" VUVG-LK14-M52-AT-G18-1R8L-S</t>
        </is>
      </c>
      <c r="Q1012" s="277" t="n">
        <v>4</v>
      </c>
      <c r="R1012" s="5" t="inlineStr">
        <is>
          <t>PCS.</t>
        </is>
      </c>
      <c r="S1012" s="292">
        <f>RawDataGenPO[[#This Row],[Total price]]/RawDataGenPO[[#This Row],[Qty'']]</f>
        <v/>
      </c>
      <c r="T1012" s="278" t="n">
        <v>7160</v>
      </c>
      <c r="U1012" s="291" t="n"/>
      <c r="V1012" s="7" t="inlineStr">
        <is>
          <t xml:space="preserve"> V1000796 - THAI TECH INTERTRADE CO.,LTD.</t>
        </is>
      </c>
      <c r="W1012" s="30" t="inlineStr">
        <is>
          <t>Recive bill and GRN already</t>
        </is>
      </c>
      <c r="X1012" s="5" t="inlineStr">
        <is>
          <t>GRN2526-0000423</t>
        </is>
      </c>
      <c r="Y1012" s="3" t="n">
        <v>45770</v>
      </c>
      <c r="AA1012" s="17">
        <f>IF(RawDataGenPO[[#This Row],[Date Gen PO]]="","",RawDataGenPO[[#This Row],[Date recive bill]]-RawDataGenPO[[#This Row],[Date Gen PO]])</f>
        <v/>
      </c>
      <c r="AB1012" s="16">
        <f>IF(RawDataGenPO[[#This Row],[GRN-PO date]]&gt;RawDataGenPO[[#This Row],[Lead time delivery (day)]],"over deliverry","Ontime")</f>
        <v/>
      </c>
      <c r="AC1012" s="22" t="n"/>
    </row>
    <row r="1013" ht="15" customHeight="1">
      <c r="A1013" s="5">
        <f>ROW()-ROW(RawDataGenPO[[#Headers],[No.]])</f>
        <v/>
      </c>
      <c r="B1013" s="7" t="inlineStr">
        <is>
          <t>Expent  cost</t>
        </is>
      </c>
      <c r="C1013" s="301" t="n">
        <v>45740</v>
      </c>
      <c r="F1013" s="301" t="n">
        <v>45740</v>
      </c>
      <c r="G1013" s="5" t="inlineStr">
        <is>
          <t>PR2425-06188</t>
        </is>
      </c>
      <c r="H1013" s="5" t="inlineStr">
        <is>
          <t>PO2526-00010</t>
        </is>
      </c>
      <c r="I1013" s="290">
        <f>IF(RawDataGenPO[[#This Row],[PO No.]]="","",RawDataGenPO[[#This Row],[DMY Create PR]]+7)</f>
        <v/>
      </c>
      <c r="J1013" s="290" t="n">
        <v>45747</v>
      </c>
      <c r="K1013" s="20" t="n">
        <v>60</v>
      </c>
      <c r="L1013" s="5" t="inlineStr">
        <is>
          <t>SFST81000064</t>
        </is>
      </c>
      <c r="M1013" s="7" t="inlineStr">
        <is>
          <t>Utility Jobs  (Boiler-Air compress-Transformer-LPG)</t>
        </is>
      </c>
      <c r="N1013" s="7" t="inlineStr">
        <is>
          <t>Steam Boiler  No.1</t>
        </is>
      </c>
      <c r="O1013" s="11" t="n">
        <v>1</v>
      </c>
      <c r="P1013" s="80" t="inlineStr">
        <is>
          <t>Wandboiler size 2,000 kg/hr brand No.1</t>
        </is>
      </c>
      <c r="Q1013" s="277" t="n">
        <v>1</v>
      </c>
      <c r="R1013" s="5" t="inlineStr">
        <is>
          <t>JOB.</t>
        </is>
      </c>
      <c r="S1013" s="292">
        <f>RawDataGenPO[[#This Row],[Total price]]/RawDataGenPO[[#This Row],[Qty'']]</f>
        <v/>
      </c>
      <c r="T1013" s="278" t="n">
        <v>21930</v>
      </c>
      <c r="U1013" s="291" t="n"/>
      <c r="V1013" s="7" t="inlineStr">
        <is>
          <t>V1000053 - THAI K.BOILER CO.,LTD.</t>
        </is>
      </c>
      <c r="W1013" s="30" t="inlineStr">
        <is>
          <t>Recive bill and GRN already</t>
        </is>
      </c>
      <c r="X1013" s="5" t="inlineStr">
        <is>
          <t>GRN2526-0001595</t>
        </is>
      </c>
      <c r="Y1013" s="3" t="n">
        <v>45819</v>
      </c>
      <c r="AA1013" s="17" t="n">
        <v>60</v>
      </c>
      <c r="AB1013" s="16">
        <f>IF(RawDataGenPO[[#This Row],[GRN-PO date]]&gt;RawDataGenPO[[#This Row],[Lead time delivery (day)]],"over deliverry","Ontime")</f>
        <v/>
      </c>
      <c r="AC1013" s="22" t="n"/>
    </row>
    <row r="1014" ht="15" customHeight="1">
      <c r="A1014" s="5">
        <f>ROW()-ROW(RawDataGenPO[[#Headers],[No.]])</f>
        <v/>
      </c>
      <c r="B1014" s="7" t="inlineStr">
        <is>
          <t>Expent  cost</t>
        </is>
      </c>
      <c r="C1014" s="301" t="n">
        <v>45740</v>
      </c>
      <c r="F1014" s="301" t="n">
        <v>45740</v>
      </c>
      <c r="G1014" s="5" t="inlineStr">
        <is>
          <t>PR2425-06188</t>
        </is>
      </c>
      <c r="H1014" s="5" t="inlineStr">
        <is>
          <t>PO2526-00010</t>
        </is>
      </c>
      <c r="I1014" s="290">
        <f>IF(RawDataGenPO[[#This Row],[PO No.]]="","",RawDataGenPO[[#This Row],[DMY Create PR]]+7)</f>
        <v/>
      </c>
      <c r="J1014" s="290" t="n">
        <v>45749</v>
      </c>
      <c r="K1014" s="20" t="n">
        <v>60</v>
      </c>
      <c r="L1014" s="5" t="inlineStr">
        <is>
          <t>SFST81000064</t>
        </is>
      </c>
      <c r="M1014" s="7" t="inlineStr">
        <is>
          <t>Utility Jobs  (Boiler-Air compress-Transformer-LPG)</t>
        </is>
      </c>
      <c r="N1014" s="7" t="inlineStr">
        <is>
          <t>Steam Boiler  No.1</t>
        </is>
      </c>
      <c r="O1014" s="11" t="n">
        <v>2</v>
      </c>
      <c r="P1014" s="80" t="inlineStr">
        <is>
          <t>Wandboiler size 2,000 kg/hr brand No.2</t>
        </is>
      </c>
      <c r="Q1014" s="277" t="n">
        <v>1</v>
      </c>
      <c r="R1014" s="5" t="inlineStr">
        <is>
          <t>JOB.</t>
        </is>
      </c>
      <c r="S1014" s="292">
        <f>RawDataGenPO[[#This Row],[Total price]]/RawDataGenPO[[#This Row],[Qty'']]</f>
        <v/>
      </c>
      <c r="T1014" s="278" t="n">
        <v>21930</v>
      </c>
      <c r="U1014" s="291" t="n"/>
      <c r="V1014" s="7" t="inlineStr">
        <is>
          <t>V1000053 - THAI K.BOILER CO.,LTD.</t>
        </is>
      </c>
      <c r="W1014" s="30" t="inlineStr">
        <is>
          <t>Recive bill and GRN already</t>
        </is>
      </c>
      <c r="X1014" s="5" t="inlineStr">
        <is>
          <t>GRN2526-0001596</t>
        </is>
      </c>
      <c r="Y1014" s="3" t="n">
        <v>45819</v>
      </c>
      <c r="AA1014" s="17" t="n">
        <v>60</v>
      </c>
      <c r="AB1014" s="16">
        <f>IF(RawDataGenPO[[#This Row],[GRN-PO date]]&gt;RawDataGenPO[[#This Row],[Lead time delivery (day)]],"over deliverry","Ontime")</f>
        <v/>
      </c>
      <c r="AC1014" s="22" t="n"/>
    </row>
    <row r="1015" ht="15" customHeight="1">
      <c r="A1015" s="5">
        <f>ROW()-ROW(RawDataGenPO[[#Headers],[No.]])</f>
        <v/>
      </c>
      <c r="B1015" s="7" t="inlineStr">
        <is>
          <t>Expent  cost</t>
        </is>
      </c>
      <c r="C1015" s="301" t="n">
        <v>45740</v>
      </c>
      <c r="F1015" s="301" t="n">
        <v>45740</v>
      </c>
      <c r="G1015" s="5" t="inlineStr">
        <is>
          <t>PR2425-06189</t>
        </is>
      </c>
      <c r="H1015" s="5" t="inlineStr">
        <is>
          <t>PO2526-00011</t>
        </is>
      </c>
      <c r="I1015" s="290">
        <f>IF(RawDataGenPO[[#This Row],[PO No.]]="","",RawDataGenPO[[#This Row],[DMY Create PR]]+7)</f>
        <v/>
      </c>
      <c r="J1015" s="290" t="n"/>
      <c r="K1015" s="20" t="n">
        <v>30</v>
      </c>
      <c r="L1015" s="5" t="inlineStr">
        <is>
          <t>SFST34000054</t>
        </is>
      </c>
      <c r="M1015" s="7" t="inlineStr">
        <is>
          <t>Consumable part for MN</t>
        </is>
      </c>
      <c r="N1015" s="7" t="inlineStr">
        <is>
          <t>Refrigerant</t>
        </is>
      </c>
      <c r="O1015" s="11" t="n">
        <v>1</v>
      </c>
      <c r="P1015" s="83" t="inlineStr">
        <is>
          <t>R507 Refrigerant,(1 Tank 11.3 kg/Tank)</t>
        </is>
      </c>
      <c r="Q1015" s="333" t="n">
        <v>15</v>
      </c>
      <c r="R1015" s="64" t="inlineStr">
        <is>
          <t>DRUM.</t>
        </is>
      </c>
      <c r="S1015" s="334">
        <f>RawDataGenPO[[#This Row],[Total price]]/RawDataGenPO[[#This Row],[Qty'']]</f>
        <v/>
      </c>
      <c r="T1015" s="335" t="n">
        <v>39900</v>
      </c>
      <c r="U1015" s="291" t="n"/>
      <c r="V1015" s="7" t="inlineStr">
        <is>
          <t>V1000271 - 395 Shop Limited Partnership</t>
        </is>
      </c>
      <c r="W1015" s="30" t="inlineStr">
        <is>
          <t>Recive bill and GRN already</t>
        </is>
      </c>
      <c r="X1015" s="5" t="inlineStr">
        <is>
          <t>GRN2526-0000026</t>
        </is>
      </c>
      <c r="Y1015" s="3" t="n">
        <v>45749</v>
      </c>
      <c r="AA1015" s="17">
        <f>IF(RawDataGenPO[[#This Row],[Date Gen PO]]="","",RawDataGenPO[[#This Row],[Date recive bill]]-RawDataGenPO[[#This Row],[Date Gen PO]])</f>
        <v/>
      </c>
      <c r="AB1015" s="16">
        <f>IF(RawDataGenPO[[#This Row],[GRN-PO date]]&gt;RawDataGenPO[[#This Row],[Lead time delivery (day)]],"over deliverry","Ontime")</f>
        <v/>
      </c>
      <c r="AC1015" s="22" t="n"/>
    </row>
    <row r="1016" ht="15" customHeight="1">
      <c r="A1016" s="5">
        <f>ROW()-ROW(RawDataGenPO[[#Headers],[No.]])</f>
        <v/>
      </c>
      <c r="B1016" s="7" t="inlineStr">
        <is>
          <t>Expent  cost</t>
        </is>
      </c>
      <c r="C1016" s="301" t="n">
        <v>45740</v>
      </c>
      <c r="F1016" s="301" t="n">
        <v>45740</v>
      </c>
      <c r="G1016" s="5" t="inlineStr">
        <is>
          <t>PR2425-06190</t>
        </is>
      </c>
      <c r="H1016" s="5" t="inlineStr">
        <is>
          <t>PO2526-00012</t>
        </is>
      </c>
      <c r="I1016" s="290">
        <f>IF(RawDataGenPO[[#This Row],[PO No.]]="","",RawDataGenPO[[#This Row],[DMY Create PR]]+7)</f>
        <v/>
      </c>
      <c r="J1016" s="290" t="n"/>
      <c r="K1016" s="20">
        <f>IF(RawDataGenPO[[#This Row],[PO No.]]="","",10)</f>
        <v/>
      </c>
      <c r="L1016" s="5" t="inlineStr">
        <is>
          <t>SFST81000009</t>
        </is>
      </c>
      <c r="M1016" s="7" t="inlineStr">
        <is>
          <t>PD Machine</t>
        </is>
      </c>
      <c r="N1016" s="7" t="inlineStr">
        <is>
          <t>Steambox No.2</t>
        </is>
      </c>
      <c r="O1016" s="11" t="n">
        <v>1</v>
      </c>
      <c r="P1016" s="80" t="inlineStr">
        <is>
          <t>Silicone Rubber SEALEX Sx-2000 Size 300 ML.</t>
        </is>
      </c>
      <c r="Q1016" s="277" t="n">
        <v>24</v>
      </c>
      <c r="R1016" s="5" t="inlineStr">
        <is>
          <t>PCS.</t>
        </is>
      </c>
      <c r="S1016" s="292">
        <f>RawDataGenPO[[#This Row],[Total price]]/RawDataGenPO[[#This Row],[Qty'']]</f>
        <v/>
      </c>
      <c r="T1016" s="278" t="n">
        <v>3360</v>
      </c>
      <c r="U1016" s="291" t="n"/>
      <c r="V1016" s="7" t="inlineStr">
        <is>
          <t>V1000259 - JJP SUPPLY CO., LTD</t>
        </is>
      </c>
      <c r="W1016" s="30" t="inlineStr">
        <is>
          <t>Recive bill and GRN already</t>
        </is>
      </c>
      <c r="X1016" s="5" t="inlineStr">
        <is>
          <t>GRN2526-0000107</t>
        </is>
      </c>
      <c r="Y1016" s="3" t="n">
        <v>45752</v>
      </c>
      <c r="AA1016" s="17">
        <f>IF(RawDataGenPO[[#This Row],[Date Gen PO]]="","",RawDataGenPO[[#This Row],[Date recive bill]]-RawDataGenPO[[#This Row],[Date Gen PO]])</f>
        <v/>
      </c>
      <c r="AB1016" s="16">
        <f>IF(RawDataGenPO[[#This Row],[GRN-PO date]]&gt;RawDataGenPO[[#This Row],[Lead time delivery (day)]],"over deliverry","Ontime")</f>
        <v/>
      </c>
      <c r="AC1016" s="22" t="n"/>
    </row>
    <row r="1017" ht="30" customHeight="1">
      <c r="A1017" s="5">
        <f>ROW()-ROW(RawDataGenPO[[#Headers],[No.]])</f>
        <v/>
      </c>
      <c r="B1017" s="7" t="inlineStr">
        <is>
          <t>Expent  cost</t>
        </is>
      </c>
      <c r="C1017" s="301" t="n">
        <v>45740</v>
      </c>
      <c r="F1017" s="301" t="n">
        <v>45740</v>
      </c>
      <c r="G1017" s="5" t="inlineStr">
        <is>
          <t>PR2425-06191</t>
        </is>
      </c>
      <c r="H1017" s="5" t="inlineStr">
        <is>
          <t>PO2526-00013</t>
        </is>
      </c>
      <c r="I1017" s="290">
        <f>IF(RawDataGenPO[[#This Row],[PO No.]]="","",RawDataGenPO[[#This Row],[DMY Create PR]]+7)</f>
        <v/>
      </c>
      <c r="J1017" s="290" t="n"/>
      <c r="K1017" s="20">
        <f>IF(RawDataGenPO[[#This Row],[PO No.]]="","",10)</f>
        <v/>
      </c>
      <c r="L1017" s="5" t="inlineStr">
        <is>
          <t>SFST81000009</t>
        </is>
      </c>
      <c r="M1017" s="7" t="inlineStr">
        <is>
          <t>Cooling machine for PD line</t>
        </is>
      </c>
      <c r="N1017" s="7" t="inlineStr">
        <is>
          <t>Electrical jobs</t>
        </is>
      </c>
      <c r="O1017" s="11" t="n">
        <v>1</v>
      </c>
      <c r="P1017" s="80" t="inlineStr">
        <is>
          <t>frontcoverwaterprooftypesurface-mounted ALPHA HACO
AP-W222R/S-GY grey</t>
        </is>
      </c>
      <c r="Q1017" s="277" t="n">
        <v>20</v>
      </c>
      <c r="R1017" s="5" t="inlineStr">
        <is>
          <t>PCS.</t>
        </is>
      </c>
      <c r="S1017" s="292">
        <f>RawDataGenPO[[#This Row],[Total price]]/RawDataGenPO[[#This Row],[Qty'']]</f>
        <v/>
      </c>
      <c r="T1017" s="278" t="n">
        <v>5740</v>
      </c>
      <c r="U1017" s="291" t="n"/>
      <c r="V1017" s="7" t="inlineStr">
        <is>
          <t>V1000481 - Company JW Tech Ltd.</t>
        </is>
      </c>
      <c r="W1017" s="30" t="inlineStr">
        <is>
          <t>Recive bill and GRN already</t>
        </is>
      </c>
      <c r="X1017" s="5" t="inlineStr">
        <is>
          <t>GRN2526-0000141</t>
        </is>
      </c>
      <c r="Y1017" s="3" t="n">
        <v>45755</v>
      </c>
      <c r="AA1017" s="17">
        <f>IF(RawDataGenPO[[#This Row],[Date Gen PO]]="","",RawDataGenPO[[#This Row],[Date recive bill]]-RawDataGenPO[[#This Row],[Date Gen PO]])</f>
        <v/>
      </c>
      <c r="AB1017" s="16">
        <f>IF(RawDataGenPO[[#This Row],[GRN-PO date]]&gt;RawDataGenPO[[#This Row],[Lead time delivery (day)]],"over deliverry","Ontime")</f>
        <v/>
      </c>
      <c r="AC1017" s="22" t="n"/>
    </row>
    <row r="1018" ht="15" customHeight="1">
      <c r="A1018" s="5">
        <f>ROW()-ROW(RawDataGenPO[[#Headers],[No.]])</f>
        <v/>
      </c>
      <c r="B1018" s="7" t="inlineStr">
        <is>
          <t>Expent  cost</t>
        </is>
      </c>
      <c r="C1018" s="301" t="n">
        <v>45740</v>
      </c>
      <c r="F1018" s="301" t="n">
        <v>45740</v>
      </c>
      <c r="G1018" s="5" t="inlineStr">
        <is>
          <t>PR2425-06192</t>
        </is>
      </c>
      <c r="H1018" s="5" t="inlineStr">
        <is>
          <t>PO2526-00675</t>
        </is>
      </c>
      <c r="I1018" s="290">
        <f>IF(RawDataGenPO[[#This Row],[PO No.]]="","",RawDataGenPO[[#This Row],[DMY Create PR]]+7)</f>
        <v/>
      </c>
      <c r="J1018" s="290" t="n"/>
      <c r="K1018" s="20" t="n">
        <v>60</v>
      </c>
      <c r="L1018" s="5" t="inlineStr">
        <is>
          <t>SFST34000063</t>
        </is>
      </c>
      <c r="M1018" s="7" t="inlineStr">
        <is>
          <t>Consumable part for MN</t>
        </is>
      </c>
      <c r="N1018" s="7" t="inlineStr">
        <is>
          <t>Consumable part</t>
        </is>
      </c>
      <c r="O1018" s="11" t="n">
        <v>1</v>
      </c>
      <c r="P1018" s="80" t="inlineStr">
        <is>
          <t>"Ruamthong", RT465-3/4HP,380V ,50Hz, 3PH , Motor fan</t>
        </is>
      </c>
      <c r="Q1018" s="277" t="n">
        <v>4</v>
      </c>
      <c r="R1018" s="5" t="inlineStr">
        <is>
          <t>PCS.</t>
        </is>
      </c>
      <c r="S1018" s="292">
        <f>RawDataGenPO[[#This Row],[Total price]]/RawDataGenPO[[#This Row],[Qty'']]</f>
        <v/>
      </c>
      <c r="T1018" s="278" t="n">
        <v>15467.28</v>
      </c>
      <c r="U1018" s="291" t="n"/>
      <c r="V1018" s="7" t="inlineStr">
        <is>
          <t>V1000308 - PLUG'N GO (THAILAND) CO., LTD.</t>
        </is>
      </c>
      <c r="W1018" s="30" t="inlineStr">
        <is>
          <t>Recive bill and GRN already</t>
        </is>
      </c>
      <c r="X1018" s="5" t="inlineStr">
        <is>
          <t>GRN2526-0001086</t>
        </is>
      </c>
      <c r="Y1018" s="3" t="n">
        <v>45799</v>
      </c>
      <c r="AA1018" s="17">
        <f>IF(RawDataGenPO[[#This Row],[Date Gen PO]]="","",RawDataGenPO[[#This Row],[Date recive bill]]-RawDataGenPO[[#This Row],[Date Gen PO]])</f>
        <v/>
      </c>
      <c r="AB1018" s="16">
        <f>IF(RawDataGenPO[[#This Row],[GRN-PO date]]&gt;RawDataGenPO[[#This Row],[Lead time delivery (day)]],"over deliverry","Ontime")</f>
        <v/>
      </c>
      <c r="AC1018" s="22" t="n"/>
    </row>
    <row r="1019" ht="15" customHeight="1">
      <c r="A1019" s="5">
        <f>ROW()-ROW(RawDataGenPO[[#Headers],[No.]])</f>
        <v/>
      </c>
      <c r="B1019" s="7" t="inlineStr">
        <is>
          <t>Expent  cost</t>
        </is>
      </c>
      <c r="C1019" s="301" t="n">
        <v>45740</v>
      </c>
      <c r="F1019" s="301" t="n">
        <v>45740</v>
      </c>
      <c r="G1019" s="5" t="inlineStr">
        <is>
          <t>PR2425-06192</t>
        </is>
      </c>
      <c r="H1019" s="5" t="inlineStr">
        <is>
          <t>PO2526-00014</t>
        </is>
      </c>
      <c r="I1019" s="290">
        <f>IF(RawDataGenPO[[#This Row],[PO No.]]="","",RawDataGenPO[[#This Row],[DMY Create PR]]+7)</f>
        <v/>
      </c>
      <c r="J1019" s="290" t="n"/>
      <c r="K1019" s="20">
        <f>IF(RawDataGenPO[[#This Row],[PO No.]]="","",10)</f>
        <v/>
      </c>
      <c r="L1019" s="5" t="inlineStr">
        <is>
          <t>SFST34000063</t>
        </is>
      </c>
      <c r="M1019" s="7" t="inlineStr">
        <is>
          <t>Consumable part for MN</t>
        </is>
      </c>
      <c r="N1019" s="7" t="inlineStr">
        <is>
          <t>Consumable part</t>
        </is>
      </c>
      <c r="O1019" s="11" t="n">
        <v>2</v>
      </c>
      <c r="P1019" s="80" t="inlineStr">
        <is>
          <t>"Ruamthong", RT490-61-24, 380V, 3PH , 1HP, Motor fan</t>
        </is>
      </c>
      <c r="Q1019" s="277" t="n">
        <v>4</v>
      </c>
      <c r="R1019" s="5" t="inlineStr">
        <is>
          <t>PCS.</t>
        </is>
      </c>
      <c r="S1019" s="292">
        <f>RawDataGenPO[[#This Row],[Total price]]/RawDataGenPO[[#This Row],[Qty'']]</f>
        <v/>
      </c>
      <c r="T1019" s="278" t="n">
        <v>18084.12</v>
      </c>
      <c r="U1019" s="291" t="n"/>
      <c r="V1019" s="7" t="inlineStr">
        <is>
          <t>V1000308 - PLUG'N GO (THAILAND) CO., LTD.</t>
        </is>
      </c>
      <c r="W1019" s="30" t="inlineStr">
        <is>
          <t>Recive bill and GRN already</t>
        </is>
      </c>
      <c r="X1019" s="5" t="inlineStr">
        <is>
          <t>GRN2526-0000181</t>
        </is>
      </c>
      <c r="Y1019" s="3" t="n">
        <v>45756</v>
      </c>
      <c r="AA1019" s="17">
        <f>IF(RawDataGenPO[[#This Row],[Date Gen PO]]="","",RawDataGenPO[[#This Row],[Date recive bill]]-RawDataGenPO[[#This Row],[Date Gen PO]])</f>
        <v/>
      </c>
      <c r="AB1019" s="16">
        <f>IF(RawDataGenPO[[#This Row],[GRN-PO date]]&gt;RawDataGenPO[[#This Row],[Lead time delivery (day)]],"over deliverry","Ontime")</f>
        <v/>
      </c>
      <c r="AC1019" s="22" t="n"/>
    </row>
    <row r="1020" ht="60" customHeight="1">
      <c r="A1020" s="5">
        <f>ROW()-ROW(RawDataGenPO[[#Headers],[No.]])</f>
        <v/>
      </c>
      <c r="B1020" s="7" t="inlineStr">
        <is>
          <t>Expent  cost</t>
        </is>
      </c>
      <c r="C1020" s="301" t="n">
        <v>45740</v>
      </c>
      <c r="F1020" s="301" t="n">
        <v>45740</v>
      </c>
      <c r="G1020" s="5" t="inlineStr">
        <is>
          <t>PR2425-06193</t>
        </is>
      </c>
      <c r="H1020" s="5" t="inlineStr">
        <is>
          <t>PO2526-00017</t>
        </is>
      </c>
      <c r="I1020" s="290">
        <f>IF(RawDataGenPO[[#This Row],[PO No.]]="","",RawDataGenPO[[#This Row],[DMY Create PR]]+7)</f>
        <v/>
      </c>
      <c r="J1020" s="290" t="n"/>
      <c r="K1020" s="20">
        <f>IF(RawDataGenPO[[#This Row],[PO No.]]="","",10)</f>
        <v/>
      </c>
      <c r="L1020" s="5" t="inlineStr">
        <is>
          <t>SFST81000005</t>
        </is>
      </c>
      <c r="M1020" s="7" t="inlineStr">
        <is>
          <t>Office Air condition</t>
        </is>
      </c>
      <c r="N1020" s="7" t="inlineStr">
        <is>
          <t>Cooling system jobs</t>
        </is>
      </c>
      <c r="O1020" s="11" t="n">
        <v>1</v>
      </c>
      <c r="P1020" s="80" t="inlineStr">
        <is>
          <t>Air Condition size 9,000 btu.
- cleaning and inspection airwall-mounted IT Room FCU-13
- cleaning and inspection airwall Meeting Room 2 FCU-28
- cleaning and inspection airwall-mounted Chef TINO Room FCU-32</t>
        </is>
      </c>
      <c r="Q1020" s="277" t="n">
        <v>3</v>
      </c>
      <c r="R1020" s="5" t="inlineStr">
        <is>
          <t>SET.</t>
        </is>
      </c>
      <c r="S1020" s="292">
        <f>RawDataGenPO[[#This Row],[Total price]]/RawDataGenPO[[#This Row],[Qty'']]</f>
        <v/>
      </c>
      <c r="T1020" s="278" t="n">
        <v>2400</v>
      </c>
      <c r="U1020" s="291" t="n"/>
      <c r="V1020" s="7" t="inlineStr">
        <is>
          <t>V1000291 - Company time air service and engineering Ltd.</t>
        </is>
      </c>
      <c r="W1020" s="30" t="inlineStr">
        <is>
          <t>Recive bill and GRN already</t>
        </is>
      </c>
      <c r="X1020" s="5" t="inlineStr">
        <is>
          <t>GRN2526-0000151</t>
        </is>
      </c>
      <c r="Y1020" s="3" t="n">
        <v>45755</v>
      </c>
      <c r="AA1020" s="17">
        <f>IF(RawDataGenPO[[#This Row],[Date Gen PO]]="","",RawDataGenPO[[#This Row],[Date recive bill]]-RawDataGenPO[[#This Row],[Date Gen PO]])</f>
        <v/>
      </c>
      <c r="AB1020" s="16">
        <f>IF(RawDataGenPO[[#This Row],[GRN-PO date]]&gt;RawDataGenPO[[#This Row],[Lead time delivery (day)]],"over deliverry","Ontime")</f>
        <v/>
      </c>
      <c r="AC1020" s="22" t="n"/>
    </row>
    <row r="1021" ht="75" customHeight="1">
      <c r="A1021" s="5">
        <f>ROW()-ROW(RawDataGenPO[[#Headers],[No.]])</f>
        <v/>
      </c>
      <c r="B1021" s="7" t="inlineStr">
        <is>
          <t>Expent  cost</t>
        </is>
      </c>
      <c r="C1021" s="301" t="n">
        <v>45740</v>
      </c>
      <c r="F1021" s="301" t="n">
        <v>45740</v>
      </c>
      <c r="G1021" s="5" t="inlineStr">
        <is>
          <t>PR2425-06193</t>
        </is>
      </c>
      <c r="H1021" s="5" t="inlineStr">
        <is>
          <t>PO2526-00017</t>
        </is>
      </c>
      <c r="I1021" s="290">
        <f>IF(RawDataGenPO[[#This Row],[PO No.]]="","",RawDataGenPO[[#This Row],[DMY Create PR]]+7)</f>
        <v/>
      </c>
      <c r="J1021" s="290" t="n"/>
      <c r="K1021" s="20">
        <f>IF(RawDataGenPO[[#This Row],[PO No.]]="","",10)</f>
        <v/>
      </c>
      <c r="L1021" s="5" t="inlineStr">
        <is>
          <t>SFST81000005</t>
        </is>
      </c>
      <c r="M1021" s="7" t="inlineStr">
        <is>
          <t>Office Air condition</t>
        </is>
      </c>
      <c r="N1021" s="7" t="inlineStr">
        <is>
          <t>Cooling system jobs</t>
        </is>
      </c>
      <c r="O1021" s="11" t="n">
        <v>2</v>
      </c>
      <c r="P1021" s="80" t="inlineStr">
        <is>
          <t>Air Condition size 24,000 btu.
- cleaning and inspection airWceiling QC Room FCU-09
- cleaning and inspection airwall-mounted IT Room FCU-14
- cleaning and inspection airwall-mounted Office IT Room FCU-15
- cleaning and inspection airWceiling Living Room FCU-35</t>
        </is>
      </c>
      <c r="Q1021" s="277" t="n">
        <v>4</v>
      </c>
      <c r="R1021" s="5" t="inlineStr">
        <is>
          <t>SET.</t>
        </is>
      </c>
      <c r="S1021" s="292">
        <f>RawDataGenPO[[#This Row],[Total price]]/RawDataGenPO[[#This Row],[Qty'']]</f>
        <v/>
      </c>
      <c r="T1021" s="278" t="n">
        <v>3200</v>
      </c>
      <c r="U1021" s="291" t="n"/>
      <c r="V1021" s="7" t="inlineStr">
        <is>
          <t>V1000291 - Company time air service and engineering Ltd.</t>
        </is>
      </c>
      <c r="W1021" s="30" t="inlineStr">
        <is>
          <t>Recive bill and GRN already</t>
        </is>
      </c>
      <c r="X1021" s="5" t="inlineStr">
        <is>
          <t>GRN2526-0000151</t>
        </is>
      </c>
      <c r="Y1021" s="3" t="n">
        <v>45755</v>
      </c>
      <c r="AA1021" s="17">
        <f>IF(RawDataGenPO[[#This Row],[Date Gen PO]]="","",RawDataGenPO[[#This Row],[Date recive bill]]-RawDataGenPO[[#This Row],[Date Gen PO]])</f>
        <v/>
      </c>
      <c r="AB1021" s="16">
        <f>IF(RawDataGenPO[[#This Row],[GRN-PO date]]&gt;RawDataGenPO[[#This Row],[Lead time delivery (day)]],"over deliverry","Ontime")</f>
        <v/>
      </c>
      <c r="AC1021" s="22" t="n"/>
    </row>
    <row r="1022" ht="105" customHeight="1">
      <c r="A1022" s="5">
        <f>ROW()-ROW(RawDataGenPO[[#Headers],[No.]])</f>
        <v/>
      </c>
      <c r="B1022" s="7" t="inlineStr">
        <is>
          <t>Expent  cost</t>
        </is>
      </c>
      <c r="C1022" s="301" t="n">
        <v>45740</v>
      </c>
      <c r="F1022" s="301" t="n">
        <v>45740</v>
      </c>
      <c r="G1022" s="5" t="inlineStr">
        <is>
          <t>PR2425-06193</t>
        </is>
      </c>
      <c r="H1022" s="5" t="inlineStr">
        <is>
          <t>PO2526-00017</t>
        </is>
      </c>
      <c r="I1022" s="290">
        <f>IF(RawDataGenPO[[#This Row],[PO No.]]="","",RawDataGenPO[[#This Row],[DMY Create PR]]+7)</f>
        <v/>
      </c>
      <c r="J1022" s="290" t="n"/>
      <c r="K1022" s="20">
        <f>IF(RawDataGenPO[[#This Row],[PO No.]]="","",10)</f>
        <v/>
      </c>
      <c r="L1022" s="5" t="inlineStr">
        <is>
          <t>SFST81000005</t>
        </is>
      </c>
      <c r="M1022" s="7" t="inlineStr">
        <is>
          <t>Office Air condition</t>
        </is>
      </c>
      <c r="N1022" s="7" t="inlineStr">
        <is>
          <t>Cooling system jobs</t>
        </is>
      </c>
      <c r="O1022" s="11" t="n">
        <v>3</v>
      </c>
      <c r="P1022" s="80" t="inlineStr">
        <is>
          <t>Air Condition size 26,000 btu.
- cleaning and inspection airWceiling FCU-05
- cleaning and inspection airWceiling FCU-06
- cleaning and inspection airWceiling FCU-19
- cleaning and inspection airWceiling FCU-24
- cleaning and inspection airWceiling FCU-25
- cleaning and inspection airWceiling FCU-27</t>
        </is>
      </c>
      <c r="Q1022" s="277" t="n">
        <v>6</v>
      </c>
      <c r="R1022" s="5" t="inlineStr">
        <is>
          <t>SET.</t>
        </is>
      </c>
      <c r="S1022" s="292">
        <f>RawDataGenPO[[#This Row],[Total price]]/RawDataGenPO[[#This Row],[Qty'']]</f>
        <v/>
      </c>
      <c r="T1022" s="278" t="n">
        <v>4800</v>
      </c>
      <c r="U1022" s="291" t="n"/>
      <c r="V1022" s="7" t="inlineStr">
        <is>
          <t>V1000291 - Company time air service and engineering Ltd.</t>
        </is>
      </c>
      <c r="W1022" s="30" t="inlineStr">
        <is>
          <t>Recive bill and GRN already</t>
        </is>
      </c>
      <c r="X1022" s="5" t="inlineStr">
        <is>
          <t>GRN2526-0000151</t>
        </is>
      </c>
      <c r="Y1022" s="3" t="n">
        <v>45755</v>
      </c>
      <c r="AA1022" s="17">
        <f>IF(RawDataGenPO[[#This Row],[Date Gen PO]]="","",RawDataGenPO[[#This Row],[Date recive bill]]-RawDataGenPO[[#This Row],[Date Gen PO]])</f>
        <v/>
      </c>
      <c r="AB1022" s="16">
        <f>IF(RawDataGenPO[[#This Row],[GRN-PO date]]&gt;RawDataGenPO[[#This Row],[Lead time delivery (day)]],"over deliverry","Ontime")</f>
        <v/>
      </c>
      <c r="AC1022" s="22" t="n"/>
    </row>
    <row r="1023" ht="30" customHeight="1">
      <c r="A1023" s="5">
        <f>ROW()-ROW(RawDataGenPO[[#Headers],[No.]])</f>
        <v/>
      </c>
      <c r="B1023" s="7" t="inlineStr">
        <is>
          <t>Expent  cost</t>
        </is>
      </c>
      <c r="C1023" s="301" t="n">
        <v>45740</v>
      </c>
      <c r="F1023" s="301" t="n">
        <v>45740</v>
      </c>
      <c r="G1023" s="5" t="inlineStr">
        <is>
          <t>PR2425-06193</t>
        </is>
      </c>
      <c r="H1023" s="5" t="inlineStr">
        <is>
          <t>PO2526-00017</t>
        </is>
      </c>
      <c r="I1023" s="290">
        <f>IF(RawDataGenPO[[#This Row],[PO No.]]="","",RawDataGenPO[[#This Row],[DMY Create PR]]+7)</f>
        <v/>
      </c>
      <c r="J1023" s="290" t="n"/>
      <c r="K1023" s="20">
        <f>IF(RawDataGenPO[[#This Row],[PO No.]]="","",10)</f>
        <v/>
      </c>
      <c r="L1023" s="5" t="inlineStr">
        <is>
          <t>SFST81000005</t>
        </is>
      </c>
      <c r="M1023" s="7" t="inlineStr">
        <is>
          <t>Office Air condition</t>
        </is>
      </c>
      <c r="N1023" s="7" t="inlineStr">
        <is>
          <t>Cooling system jobs</t>
        </is>
      </c>
      <c r="O1023" s="11" t="n">
        <v>4</v>
      </c>
      <c r="P1023" s="80" t="inlineStr">
        <is>
          <t>Air Condition size 40,000 btu.
- cleaning and inspection airWceiling Office Production Room</t>
        </is>
      </c>
      <c r="Q1023" s="277" t="n">
        <v>1</v>
      </c>
      <c r="R1023" s="5" t="inlineStr">
        <is>
          <t>SET.</t>
        </is>
      </c>
      <c r="S1023" s="292">
        <f>RawDataGenPO[[#This Row],[Total price]]/RawDataGenPO[[#This Row],[Qty'']]</f>
        <v/>
      </c>
      <c r="T1023" s="278" t="n">
        <v>800</v>
      </c>
      <c r="U1023" s="291" t="n"/>
      <c r="V1023" s="7" t="inlineStr">
        <is>
          <t>V1000291 - Company time air service and engineering Ltd.</t>
        </is>
      </c>
      <c r="W1023" s="30" t="inlineStr">
        <is>
          <t>Recive bill and GRN already</t>
        </is>
      </c>
      <c r="X1023" s="5" t="inlineStr">
        <is>
          <t>GRN2526-0000151</t>
        </is>
      </c>
      <c r="Y1023" s="3" t="n">
        <v>45755</v>
      </c>
      <c r="AA1023" s="17">
        <f>IF(RawDataGenPO[[#This Row],[Date Gen PO]]="","",RawDataGenPO[[#This Row],[Date recive bill]]-RawDataGenPO[[#This Row],[Date Gen PO]])</f>
        <v/>
      </c>
      <c r="AB1023" s="16">
        <f>IF(RawDataGenPO[[#This Row],[GRN-PO date]]&gt;RawDataGenPO[[#This Row],[Lead time delivery (day)]],"over deliverry","Ontime")</f>
        <v/>
      </c>
      <c r="AC1023" s="22" t="n"/>
    </row>
    <row r="1024" ht="30" customHeight="1">
      <c r="A1024" s="5">
        <f>ROW()-ROW(RawDataGenPO[[#Headers],[No.]])</f>
        <v/>
      </c>
      <c r="B1024" s="7" t="inlineStr">
        <is>
          <t>Expent  cost</t>
        </is>
      </c>
      <c r="C1024" s="301" t="n">
        <v>45740</v>
      </c>
      <c r="F1024" s="301" t="n">
        <v>45740</v>
      </c>
      <c r="G1024" s="5" t="inlineStr">
        <is>
          <t>PR2425-06193</t>
        </is>
      </c>
      <c r="H1024" s="5" t="inlineStr">
        <is>
          <t>PO2526-00017</t>
        </is>
      </c>
      <c r="I1024" s="290">
        <f>IF(RawDataGenPO[[#This Row],[PO No.]]="","",RawDataGenPO[[#This Row],[DMY Create PR]]+7)</f>
        <v/>
      </c>
      <c r="J1024" s="290" t="n"/>
      <c r="K1024" s="20">
        <f>IF(RawDataGenPO[[#This Row],[PO No.]]="","",10)</f>
        <v/>
      </c>
      <c r="L1024" s="5" t="inlineStr">
        <is>
          <t>SFST81000005</t>
        </is>
      </c>
      <c r="M1024" s="7" t="inlineStr">
        <is>
          <t>Office Air condition</t>
        </is>
      </c>
      <c r="N1024" s="7" t="inlineStr">
        <is>
          <t>Cooling system jobs</t>
        </is>
      </c>
      <c r="O1024" s="11" t="n">
        <v>5</v>
      </c>
      <c r="P1024" s="80" t="inlineStr">
        <is>
          <t>Air Condition size 17,000 btu.
- cleaning and inspection airwall-mounted QA MGR FCU-08</t>
        </is>
      </c>
      <c r="Q1024" s="277" t="n">
        <v>1</v>
      </c>
      <c r="R1024" s="5" t="inlineStr">
        <is>
          <t>SET.</t>
        </is>
      </c>
      <c r="S1024" s="292">
        <f>RawDataGenPO[[#This Row],[Total price]]/RawDataGenPO[[#This Row],[Qty'']]</f>
        <v/>
      </c>
      <c r="T1024" s="278" t="n">
        <v>600</v>
      </c>
      <c r="U1024" s="291" t="n"/>
      <c r="V1024" s="7" t="inlineStr">
        <is>
          <t>V1000291 - Company time air service and engineering Ltd.</t>
        </is>
      </c>
      <c r="W1024" s="30" t="inlineStr">
        <is>
          <t>Recive bill and GRN already</t>
        </is>
      </c>
      <c r="X1024" s="5" t="inlineStr">
        <is>
          <t>GRN2526-0000151</t>
        </is>
      </c>
      <c r="Y1024" s="3" t="n">
        <v>45755</v>
      </c>
      <c r="AA1024" s="17">
        <f>IF(RawDataGenPO[[#This Row],[Date Gen PO]]="","",RawDataGenPO[[#This Row],[Date recive bill]]-RawDataGenPO[[#This Row],[Date Gen PO]])</f>
        <v/>
      </c>
      <c r="AB1024" s="16">
        <f>IF(RawDataGenPO[[#This Row],[GRN-PO date]]&gt;RawDataGenPO[[#This Row],[Lead time delivery (day)]],"over deliverry","Ontime")</f>
        <v/>
      </c>
      <c r="AC1024" s="22" t="n"/>
    </row>
    <row r="1025" ht="60" customHeight="1">
      <c r="A1025" s="5">
        <f>ROW()-ROW(RawDataGenPO[[#Headers],[No.]])</f>
        <v/>
      </c>
      <c r="B1025" s="7" t="inlineStr">
        <is>
          <t>Expent  cost</t>
        </is>
      </c>
      <c r="C1025" s="301" t="n">
        <v>45740</v>
      </c>
      <c r="F1025" s="301" t="n">
        <v>45740</v>
      </c>
      <c r="G1025" s="5" t="inlineStr">
        <is>
          <t>PR2425-06193</t>
        </is>
      </c>
      <c r="H1025" s="5" t="inlineStr">
        <is>
          <t>PO2526-00017</t>
        </is>
      </c>
      <c r="I1025" s="290">
        <f>IF(RawDataGenPO[[#This Row],[PO No.]]="","",RawDataGenPO[[#This Row],[DMY Create PR]]+7)</f>
        <v/>
      </c>
      <c r="J1025" s="290" t="n"/>
      <c r="K1025" s="20">
        <f>IF(RawDataGenPO[[#This Row],[PO No.]]="","",10)</f>
        <v/>
      </c>
      <c r="L1025" s="5" t="inlineStr">
        <is>
          <t>SFST81000005</t>
        </is>
      </c>
      <c r="M1025" s="7" t="inlineStr">
        <is>
          <t>Office Air condition</t>
        </is>
      </c>
      <c r="N1025" s="7" t="inlineStr">
        <is>
          <t>Cooling system jobs</t>
        </is>
      </c>
      <c r="O1025" s="11" t="n">
        <v>6</v>
      </c>
      <c r="P1025" s="80" t="inlineStr">
        <is>
          <t>Air Condition size 22,000 btu.
- cleaning and inspection airwall-mounted QA Room FCU-11
- cleaning and inspection airwall-mounted Planning Room FCU-12
- cleaning and inspection airwall-mounted R&amp;D Office FCU-38</t>
        </is>
      </c>
      <c r="Q1025" s="277" t="n">
        <v>3</v>
      </c>
      <c r="R1025" s="5" t="inlineStr">
        <is>
          <t>SET.</t>
        </is>
      </c>
      <c r="S1025" s="292">
        <f>RawDataGenPO[[#This Row],[Total price]]/RawDataGenPO[[#This Row],[Qty'']]</f>
        <v/>
      </c>
      <c r="T1025" s="278" t="n">
        <v>1800</v>
      </c>
      <c r="U1025" s="291" t="n"/>
      <c r="V1025" s="7" t="inlineStr">
        <is>
          <t>V1000291 - Company time air service and engineering Ltd.</t>
        </is>
      </c>
      <c r="W1025" s="30" t="inlineStr">
        <is>
          <t>Recive bill and GRN already</t>
        </is>
      </c>
      <c r="X1025" s="5" t="inlineStr">
        <is>
          <t>GRN2526-0000151</t>
        </is>
      </c>
      <c r="Y1025" s="3" t="n">
        <v>45755</v>
      </c>
      <c r="AA1025" s="17">
        <f>IF(RawDataGenPO[[#This Row],[Date Gen PO]]="","",RawDataGenPO[[#This Row],[Date recive bill]]-RawDataGenPO[[#This Row],[Date Gen PO]])</f>
        <v/>
      </c>
      <c r="AB1025" s="16">
        <f>IF(RawDataGenPO[[#This Row],[GRN-PO date]]&gt;RawDataGenPO[[#This Row],[Lead time delivery (day)]],"over deliverry","Ontime")</f>
        <v/>
      </c>
      <c r="AC1025" s="22" t="n"/>
    </row>
    <row r="1026" ht="30" customHeight="1">
      <c r="A1026" s="5">
        <f>ROW()-ROW(RawDataGenPO[[#Headers],[No.]])</f>
        <v/>
      </c>
      <c r="B1026" s="7" t="inlineStr">
        <is>
          <t>Expent  cost</t>
        </is>
      </c>
      <c r="C1026" s="301" t="n">
        <v>45740</v>
      </c>
      <c r="F1026" s="301" t="n">
        <v>45740</v>
      </c>
      <c r="G1026" s="5" t="inlineStr">
        <is>
          <t>PR2425-06193</t>
        </is>
      </c>
      <c r="H1026" s="5" t="inlineStr">
        <is>
          <t>PO2526-00017</t>
        </is>
      </c>
      <c r="I1026" s="290">
        <f>IF(RawDataGenPO[[#This Row],[PO No.]]="","",RawDataGenPO[[#This Row],[DMY Create PR]]+7)</f>
        <v/>
      </c>
      <c r="J1026" s="290" t="n"/>
      <c r="K1026" s="20">
        <f>IF(RawDataGenPO[[#This Row],[PO No.]]="","",10)</f>
        <v/>
      </c>
      <c r="L1026" s="5" t="inlineStr">
        <is>
          <t>SFST81000005</t>
        </is>
      </c>
      <c r="M1026" s="7" t="inlineStr">
        <is>
          <t>Office Air condition</t>
        </is>
      </c>
      <c r="N1026" s="7" t="inlineStr">
        <is>
          <t>Cooling system jobs</t>
        </is>
      </c>
      <c r="O1026" s="11" t="n">
        <v>7</v>
      </c>
      <c r="P1026" s="80" t="inlineStr">
        <is>
          <t>Air Condition size 30,000 btu.
- cleaning and inspection airwall-mounted Meeting Room 1 FCU-34</t>
        </is>
      </c>
      <c r="Q1026" s="277" t="n">
        <v>1</v>
      </c>
      <c r="R1026" s="5" t="inlineStr">
        <is>
          <t>SET.</t>
        </is>
      </c>
      <c r="S1026" s="292">
        <f>RawDataGenPO[[#This Row],[Total price]]/RawDataGenPO[[#This Row],[Qty'']]</f>
        <v/>
      </c>
      <c r="T1026" s="278" t="n">
        <v>600</v>
      </c>
      <c r="U1026" s="291" t="n"/>
      <c r="V1026" s="7" t="inlineStr">
        <is>
          <t>V1000291 - Company time air service and engineering Ltd.</t>
        </is>
      </c>
      <c r="W1026" s="30" t="inlineStr">
        <is>
          <t>Recive bill and GRN already</t>
        </is>
      </c>
      <c r="X1026" s="5" t="inlineStr">
        <is>
          <t>GRN2526-0000151</t>
        </is>
      </c>
      <c r="Y1026" s="3" t="n">
        <v>45755</v>
      </c>
      <c r="AA1026" s="17">
        <f>IF(RawDataGenPO[[#This Row],[Date Gen PO]]="","",RawDataGenPO[[#This Row],[Date recive bill]]-RawDataGenPO[[#This Row],[Date Gen PO]])</f>
        <v/>
      </c>
      <c r="AB1026" s="16">
        <f>IF(RawDataGenPO[[#This Row],[GRN-PO date]]&gt;RawDataGenPO[[#This Row],[Lead time delivery (day)]],"over deliverry","Ontime")</f>
        <v/>
      </c>
      <c r="AC1026" s="22" t="n"/>
    </row>
    <row r="1027" ht="30" customHeight="1">
      <c r="A1027" s="5">
        <f>ROW()-ROW(RawDataGenPO[[#Headers],[No.]])</f>
        <v/>
      </c>
      <c r="B1027" s="7" t="inlineStr">
        <is>
          <t>Expent  cost</t>
        </is>
      </c>
      <c r="C1027" s="301" t="n">
        <v>45740</v>
      </c>
      <c r="F1027" s="301" t="n">
        <v>45740</v>
      </c>
      <c r="G1027" s="5" t="inlineStr">
        <is>
          <t>PR2425-06193</t>
        </is>
      </c>
      <c r="H1027" s="5" t="inlineStr">
        <is>
          <t>PO2526-00017</t>
        </is>
      </c>
      <c r="I1027" s="290">
        <f>IF(RawDataGenPO[[#This Row],[PO No.]]="","",RawDataGenPO[[#This Row],[DMY Create PR]]+7)</f>
        <v/>
      </c>
      <c r="J1027" s="290" t="n"/>
      <c r="K1027" s="20">
        <f>IF(RawDataGenPO[[#This Row],[PO No.]]="","",10)</f>
        <v/>
      </c>
      <c r="L1027" s="5" t="inlineStr">
        <is>
          <t>SFST81000005</t>
        </is>
      </c>
      <c r="M1027" s="7" t="inlineStr">
        <is>
          <t>Office Air condition</t>
        </is>
      </c>
      <c r="N1027" s="7" t="inlineStr">
        <is>
          <t>Cooling system jobs</t>
        </is>
      </c>
      <c r="O1027" s="11" t="n">
        <v>8</v>
      </c>
      <c r="P1027" s="80" t="inlineStr">
        <is>
          <t>Dismantling workair
- removedismantleairWoutlet Office Production Room FCU-10</t>
        </is>
      </c>
      <c r="Q1027" s="277" t="n">
        <v>1</v>
      </c>
      <c r="R1027" s="5" t="inlineStr">
        <is>
          <t>SET.</t>
        </is>
      </c>
      <c r="S1027" s="292">
        <f>RawDataGenPO[[#This Row],[Total price]]/RawDataGenPO[[#This Row],[Qty'']]</f>
        <v/>
      </c>
      <c r="T1027" s="278" t="n">
        <v>1500</v>
      </c>
      <c r="U1027" s="291" t="n"/>
      <c r="V1027" s="7" t="inlineStr">
        <is>
          <t>V1000291 - Company time air service and engineering Ltd.</t>
        </is>
      </c>
      <c r="W1027" s="30" t="inlineStr">
        <is>
          <t>Recive bill and GRN already</t>
        </is>
      </c>
      <c r="X1027" s="5" t="inlineStr">
        <is>
          <t>GRN2526-0000151</t>
        </is>
      </c>
      <c r="Y1027" s="3" t="n">
        <v>45755</v>
      </c>
      <c r="AA1027" s="17">
        <f>IF(RawDataGenPO[[#This Row],[Date Gen PO]]="","",RawDataGenPO[[#This Row],[Date recive bill]]-RawDataGenPO[[#This Row],[Date Gen PO]])</f>
        <v/>
      </c>
      <c r="AB1027" s="16">
        <f>IF(RawDataGenPO[[#This Row],[GRN-PO date]]&gt;RawDataGenPO[[#This Row],[Lead time delivery (day)]],"over deliverry","Ontime")</f>
        <v/>
      </c>
      <c r="AC1027" s="22" t="n"/>
    </row>
    <row r="1028" ht="19.20000076293945" customHeight="1">
      <c r="A1028" s="5">
        <f>ROW()-ROW(RawDataGenPO[[#Headers],[No.]])</f>
        <v/>
      </c>
      <c r="B1028" s="73" t="inlineStr">
        <is>
          <t>Expent  cost</t>
        </is>
      </c>
      <c r="C1028" s="343" t="n">
        <v>45742</v>
      </c>
      <c r="F1028" s="281" t="n">
        <v>45742</v>
      </c>
      <c r="G1028" s="5" t="inlineStr">
        <is>
          <t>PR2425-06255</t>
        </is>
      </c>
      <c r="H1028" s="5" t="inlineStr">
        <is>
          <t>PO2526-00045</t>
        </is>
      </c>
      <c r="I1028" s="290">
        <f>IF(RawDataGenPO[[#This Row],[PO No.]]="","",RawDataGenPO[[#This Row],[DMY Create PR]]+7)</f>
        <v/>
      </c>
      <c r="J1028" s="290" t="n"/>
      <c r="K1028" s="20" t="n">
        <v>30</v>
      </c>
      <c r="L1028" s="112" t="inlineStr">
        <is>
          <t>SFST34000044</t>
        </is>
      </c>
      <c r="M1028" s="7" t="inlineStr">
        <is>
          <t>Consumable part for MN</t>
        </is>
      </c>
      <c r="N1028" s="7" t="inlineStr">
        <is>
          <t>Cooling  part</t>
        </is>
      </c>
      <c r="O1028" s="120" t="n">
        <v>1</v>
      </c>
      <c r="P1028" s="119" t="inlineStr">
        <is>
          <t>Philip",T8,20W, 2100lm, ECO SOFT HO LED</t>
        </is>
      </c>
      <c r="Q1028" s="277" t="n">
        <v>40</v>
      </c>
      <c r="R1028" s="5" t="inlineStr">
        <is>
          <t>PCS.</t>
        </is>
      </c>
      <c r="S1028" s="292">
        <f>RawDataGenPO[[#This Row],[Total price]]/RawDataGenPO[[#This Row],[Qty'']]</f>
        <v/>
      </c>
      <c r="T1028" s="278" t="n">
        <v>7400</v>
      </c>
      <c r="U1028" s="291" t="n"/>
      <c r="V1028" s="7" t="inlineStr">
        <is>
          <t>V1000603 - TM SUKSAP TRADING LIMITED PARTNERSHIP</t>
        </is>
      </c>
      <c r="W1028" s="30" t="inlineStr">
        <is>
          <t>Recive bill and GRN already</t>
        </is>
      </c>
      <c r="X1028" s="112" t="inlineStr">
        <is>
          <t>GRN2526-0000111</t>
        </is>
      </c>
      <c r="Y1028" s="113" t="n">
        <v>45752</v>
      </c>
      <c r="Z1028" s="113" t="n"/>
      <c r="AA1028" s="17">
        <f>IF(RawDataGenPO[[#This Row],[Date Gen PO]]="","",RawDataGenPO[[#This Row],[Date recive bill]]-RawDataGenPO[[#This Row],[Date Gen PO]])</f>
        <v/>
      </c>
      <c r="AB1028" s="16">
        <f>IF(RawDataGenPO[[#This Row],[GRN-PO date]]&gt;RawDataGenPO[[#This Row],[Lead time delivery (day)]],"over deliverry","Ontime")</f>
        <v/>
      </c>
      <c r="AC1028" s="22" t="n"/>
    </row>
    <row r="1029" ht="19.20000076293945" customHeight="1">
      <c r="A1029" s="5">
        <f>ROW()-ROW(RawDataGenPO[[#Headers],[No.]])</f>
        <v/>
      </c>
      <c r="B1029" s="73" t="inlineStr">
        <is>
          <t>Expent  cost</t>
        </is>
      </c>
      <c r="C1029" s="343" t="n">
        <v>45742</v>
      </c>
      <c r="F1029" s="281" t="n">
        <v>45742</v>
      </c>
      <c r="G1029" s="5" t="inlineStr">
        <is>
          <t>PR2425-06255</t>
        </is>
      </c>
      <c r="H1029" s="5" t="inlineStr">
        <is>
          <t>PO2526-00039</t>
        </is>
      </c>
      <c r="I1029" s="290">
        <f>IF(RawDataGenPO[[#This Row],[PO No.]]="","",RawDataGenPO[[#This Row],[DMY Create PR]]+7)</f>
        <v/>
      </c>
      <c r="J1029" s="290" t="n"/>
      <c r="K1029" s="20" t="n">
        <v>30</v>
      </c>
      <c r="L1029" s="112" t="inlineStr">
        <is>
          <t>SFST34000187</t>
        </is>
      </c>
      <c r="M1029" s="7" t="inlineStr">
        <is>
          <t>Consumable part for MN</t>
        </is>
      </c>
      <c r="N1029" s="73" t="inlineStr">
        <is>
          <t>Electrical jobs</t>
        </is>
      </c>
      <c r="O1029" s="120" t="n">
        <v>2</v>
      </c>
      <c r="P1029" s="119" t="inlineStr">
        <is>
          <t>LED EVE T8 SIMPLE FIT DE 22 W. DAYLIGHT G13 (1Box/25PC.)</t>
        </is>
      </c>
      <c r="Q1029" s="277" t="n">
        <v>40</v>
      </c>
      <c r="R1029" s="5" t="inlineStr">
        <is>
          <t>PCS.</t>
        </is>
      </c>
      <c r="S1029" s="292">
        <f>RawDataGenPO[[#This Row],[Total price]]/RawDataGenPO[[#This Row],[Qty'']]</f>
        <v/>
      </c>
      <c r="T1029" s="278" t="n">
        <v>4200</v>
      </c>
      <c r="U1029" s="291" t="n"/>
      <c r="V1029" s="7" t="inlineStr">
        <is>
          <t>V1000276 - SN. ELECTRIC AND SUPPLY CO., LTD.</t>
        </is>
      </c>
      <c r="W1029" s="30" t="inlineStr">
        <is>
          <t>Recive bill and GRN already</t>
        </is>
      </c>
      <c r="X1029" s="112" t="inlineStr">
        <is>
          <t>GRN2526-0000352</t>
        </is>
      </c>
      <c r="Y1029" s="113" t="n">
        <v>45776</v>
      </c>
      <c r="Z1029" s="113" t="n"/>
      <c r="AA1029" s="17">
        <f>IF(RawDataGenPO[[#This Row],[Date Gen PO]]="","",RawDataGenPO[[#This Row],[Date recive bill]]-RawDataGenPO[[#This Row],[Date Gen PO]])</f>
        <v/>
      </c>
      <c r="AB1029" s="16">
        <f>IF(RawDataGenPO[[#This Row],[GRN-PO date]]&gt;RawDataGenPO[[#This Row],[Lead time delivery (day)]],"over deliverry","Ontime")</f>
        <v/>
      </c>
      <c r="AC1029" s="22" t="n"/>
    </row>
    <row r="1030" ht="134.3999938964844" customHeight="1">
      <c r="A1030" s="5">
        <f>ROW()-ROW(RawDataGenPO[[#Headers],[No.]])</f>
        <v/>
      </c>
      <c r="B1030" s="73" t="inlineStr">
        <is>
          <t>CAPEX  (Budget)</t>
        </is>
      </c>
      <c r="C1030" s="343" t="n">
        <v>45744</v>
      </c>
      <c r="F1030" s="281" t="n">
        <v>45744</v>
      </c>
      <c r="G1030" s="5" t="inlineStr">
        <is>
          <t>PR2425-06293</t>
        </is>
      </c>
      <c r="H1030" s="5" t="inlineStr">
        <is>
          <t>PO2526-00044</t>
        </is>
      </c>
      <c r="I1030" s="290">
        <f>IF(RawDataGenPO[[#This Row],[PO No.]]="","",RawDataGenPO[[#This Row],[DMY Create PR]]+7)</f>
        <v/>
      </c>
      <c r="J1030" s="290" t="n"/>
      <c r="K1030" s="20" t="n">
        <v>65</v>
      </c>
      <c r="L1030" s="112" t="inlineStr">
        <is>
          <t>SFST82000005</t>
        </is>
      </c>
      <c r="M1030" s="73" t="inlineStr">
        <is>
          <t>Cooling machine for PD line</t>
        </is>
      </c>
      <c r="N1030" s="73" t="inlineStr">
        <is>
          <t>Cooling system jobs</t>
        </is>
      </c>
      <c r="O1030" s="120" t="n">
        <v>1</v>
      </c>
      <c r="P1030" s="119" t="inlineStr">
        <is>
          <t>Install Evaporators CU 3.3
- Dismantling work
- installation worknew
- equipment
- travel cost
- additional detailsmmas per attached quotation
- Disposit 50 %</t>
        </is>
      </c>
      <c r="Q1030" s="277" t="n">
        <v>1</v>
      </c>
      <c r="R1030" s="5" t="inlineStr">
        <is>
          <t>JOB</t>
        </is>
      </c>
      <c r="S1030" s="292">
        <f>RawDataGenPO[[#This Row],[Total price]]/RawDataGenPO[[#This Row],[Qty'']]</f>
        <v/>
      </c>
      <c r="T1030" s="278" t="n">
        <v>26500</v>
      </c>
      <c r="U1030" s="291" t="n"/>
      <c r="V1030" s="7" t="inlineStr">
        <is>
          <t>V1000055 - I.T.C.(1993) CO.,LTD.</t>
        </is>
      </c>
      <c r="W1030" s="30" t="inlineStr">
        <is>
          <t>Recive bill and GRN already</t>
        </is>
      </c>
      <c r="X1030" s="112" t="inlineStr">
        <is>
          <t>GRN2526-0001487</t>
        </is>
      </c>
      <c r="Y1030" s="113" t="n">
        <v>45814</v>
      </c>
      <c r="Z1030" s="113" t="n"/>
      <c r="AA1030" s="17">
        <f>IF(RawDataGenPO[[#This Row],[Date Gen PO]]="","",RawDataGenPO[[#This Row],[Date recive bill]]-RawDataGenPO[[#This Row],[Date Gen PO]])</f>
        <v/>
      </c>
      <c r="AB1030" s="16">
        <f>IF(RawDataGenPO[[#This Row],[GRN-PO date]]&gt;RawDataGenPO[[#This Row],[Lead time delivery (day)]],"over deliverry","Ontime")</f>
        <v/>
      </c>
      <c r="AC1030" s="22" t="n"/>
    </row>
    <row r="1031" ht="115.1999969482422" customHeight="1">
      <c r="A1031" s="5">
        <f>ROW()-ROW(RawDataGenPO[[#Headers],[No.]])</f>
        <v/>
      </c>
      <c r="B1031" s="73" t="inlineStr">
        <is>
          <t>CAPEX  (Budget)</t>
        </is>
      </c>
      <c r="C1031" s="343" t="n">
        <v>45744</v>
      </c>
      <c r="F1031" s="281" t="n">
        <v>45744</v>
      </c>
      <c r="G1031" s="5" t="inlineStr">
        <is>
          <t>PR2425-06294</t>
        </is>
      </c>
      <c r="H1031" s="5" t="inlineStr">
        <is>
          <t>PO2526-00042</t>
        </is>
      </c>
      <c r="I1031" s="290">
        <f>IF(RawDataGenPO[[#This Row],[PO No.]]="","",RawDataGenPO[[#This Row],[DMY Create PR]]+7)</f>
        <v/>
      </c>
      <c r="J1031" s="290" t="n"/>
      <c r="K1031" s="20" t="n">
        <v>21</v>
      </c>
      <c r="L1031" s="112" t="inlineStr">
        <is>
          <t>SFST82000007</t>
        </is>
      </c>
      <c r="M1031" s="73" t="inlineStr">
        <is>
          <t>Water plant</t>
        </is>
      </c>
      <c r="N1031" s="73" t="inlineStr">
        <is>
          <t>Water system jobs</t>
        </is>
      </c>
      <c r="O1031" s="120" t="n">
        <v>1</v>
      </c>
      <c r="P1031" s="119" t="inlineStr">
        <is>
          <t>Grundfos Pump (Type CR 10-8) 3 Kw.
Description: CR 10-8 A-FGJ-A-E-HQQE
Scope of Work
-Remove Old Pump
- Install New Pump
- Test Run</t>
        </is>
      </c>
      <c r="Q1031" s="277" t="n">
        <v>1</v>
      </c>
      <c r="R1031" s="5" t="inlineStr">
        <is>
          <t>EA.</t>
        </is>
      </c>
      <c r="S1031" s="292">
        <f>RawDataGenPO[[#This Row],[Total price]]/RawDataGenPO[[#This Row],[Qty'']]</f>
        <v/>
      </c>
      <c r="T1031" s="278" t="n">
        <v>123000</v>
      </c>
      <c r="U1031" s="291" t="n"/>
      <c r="V1031" s="7" t="inlineStr">
        <is>
          <t>V1000659 - SRP Maintenance and Service Co.,Ltd.</t>
        </is>
      </c>
      <c r="W1031" s="30" t="inlineStr">
        <is>
          <t>Recive bill and GRN already</t>
        </is>
      </c>
      <c r="X1031" s="112" t="inlineStr">
        <is>
          <t>GRN2526-0000402</t>
        </is>
      </c>
      <c r="Y1031" s="113" t="n">
        <v>45770</v>
      </c>
      <c r="Z1031" s="113" t="n"/>
      <c r="AA1031" s="17">
        <f>IF(RawDataGenPO[[#This Row],[Date Gen PO]]="","",RawDataGenPO[[#This Row],[Date recive bill]]-RawDataGenPO[[#This Row],[Date Gen PO]])</f>
        <v/>
      </c>
      <c r="AB1031" s="16">
        <f>IF(RawDataGenPO[[#This Row],[GRN-PO date]]&gt;RawDataGenPO[[#This Row],[Lead time delivery (day)]],"over deliverry","Ontime")</f>
        <v/>
      </c>
      <c r="AC1031" s="22" t="n"/>
    </row>
    <row r="1032" ht="115.1999969482422" customHeight="1">
      <c r="A1032" s="5">
        <f>ROW()-ROW(RawDataGenPO[[#Headers],[No.]])</f>
        <v/>
      </c>
      <c r="B1032" s="73" t="inlineStr">
        <is>
          <t>CAPEX  (Budget)</t>
        </is>
      </c>
      <c r="C1032" s="343" t="n">
        <v>45744</v>
      </c>
      <c r="F1032" s="281" t="n">
        <v>45744</v>
      </c>
      <c r="G1032" s="5" t="inlineStr">
        <is>
          <t>PR2425-06295</t>
        </is>
      </c>
      <c r="H1032" s="5" t="inlineStr">
        <is>
          <t>PO2526-00041</t>
        </is>
      </c>
      <c r="I1032" s="290">
        <f>IF(RawDataGenPO[[#This Row],[PO No.]]="","",RawDataGenPO[[#This Row],[DMY Create PR]]+7)</f>
        <v/>
      </c>
      <c r="J1032" s="290" t="n"/>
      <c r="K1032" s="20" t="n">
        <v>21</v>
      </c>
      <c r="L1032" s="112" t="inlineStr">
        <is>
          <t>SFST82000007</t>
        </is>
      </c>
      <c r="M1032" s="73" t="inlineStr">
        <is>
          <t>Water plant</t>
        </is>
      </c>
      <c r="N1032" s="73" t="inlineStr">
        <is>
          <t>Water system jobs</t>
        </is>
      </c>
      <c r="O1032" s="120" t="n">
        <v>1</v>
      </c>
      <c r="P1032" s="119" t="inlineStr">
        <is>
          <t>Grundfos Pump (Type CR 10-22) 7.5 Kw.
Description: CR 10-22 A-FJ-A-E-HQQE
Scope of Work
- Remove Old Pump
- Install New Pump
- Test Run</t>
        </is>
      </c>
      <c r="Q1032" s="277" t="n">
        <v>1</v>
      </c>
      <c r="R1032" s="5" t="inlineStr">
        <is>
          <t>EA.</t>
        </is>
      </c>
      <c r="S1032" s="292">
        <f>RawDataGenPO[[#This Row],[Total price]]/RawDataGenPO[[#This Row],[Qty'']]</f>
        <v/>
      </c>
      <c r="T1032" s="278" t="n">
        <v>168000</v>
      </c>
      <c r="U1032" s="291" t="n"/>
      <c r="V1032" s="7" t="inlineStr">
        <is>
          <t>V1000659 - SRP Maintenance and Service Co.,Ltd.</t>
        </is>
      </c>
      <c r="W1032" s="30" t="inlineStr">
        <is>
          <t>Recive bill and GRN already</t>
        </is>
      </c>
      <c r="X1032" s="112" t="inlineStr">
        <is>
          <t>GRN2526-0000401</t>
        </is>
      </c>
      <c r="Y1032" s="113" t="n">
        <v>45770</v>
      </c>
      <c r="Z1032" s="113" t="n"/>
      <c r="AA1032" s="17">
        <f>IF(RawDataGenPO[[#This Row],[Date Gen PO]]="","",RawDataGenPO[[#This Row],[Date recive bill]]-RawDataGenPO[[#This Row],[Date Gen PO]])</f>
        <v/>
      </c>
      <c r="AB1032" s="16">
        <f>IF(RawDataGenPO[[#This Row],[GRN-PO date]]&gt;RawDataGenPO[[#This Row],[Lead time delivery (day)]],"over deliverry","Ontime")</f>
        <v/>
      </c>
      <c r="AC1032" s="22" t="n"/>
    </row>
    <row r="1033" ht="19.20000076293945" customHeight="1">
      <c r="A1033" s="5">
        <f>ROW()-ROW(RawDataGenPO[[#Headers],[No.]])</f>
        <v/>
      </c>
      <c r="B1033" s="73" t="inlineStr">
        <is>
          <t>CAPEX  (Budget)</t>
        </is>
      </c>
      <c r="C1033" s="343" t="n">
        <v>45744</v>
      </c>
      <c r="F1033" s="281" t="n">
        <v>45744</v>
      </c>
      <c r="G1033" s="5" t="inlineStr">
        <is>
          <t>PR2425-06297</t>
        </is>
      </c>
      <c r="H1033" s="5" t="inlineStr">
        <is>
          <t>PO2526-00048</t>
        </is>
      </c>
      <c r="I1033" s="290" t="n">
        <v>45757</v>
      </c>
      <c r="J1033" s="290" t="n"/>
      <c r="K1033" s="20" t="n">
        <v>45</v>
      </c>
      <c r="L1033" s="112" t="inlineStr">
        <is>
          <t>SFST82000004</t>
        </is>
      </c>
      <c r="M1033" s="73" t="inlineStr">
        <is>
          <t>Civill jobs (Floor-Wall-Celling-roof)</t>
        </is>
      </c>
      <c r="N1033" s="73" t="inlineStr">
        <is>
          <t>Cevil jobs</t>
        </is>
      </c>
      <c r="O1033" s="120" t="n">
        <v>1</v>
      </c>
      <c r="P1033" s="119" t="inlineStr">
        <is>
          <t>Wstainless steel sizeroom 780x338 cm</t>
        </is>
      </c>
      <c r="Q1033" s="277" t="n">
        <v>1</v>
      </c>
      <c r="R1033" s="5" t="inlineStr">
        <is>
          <t>JOB</t>
        </is>
      </c>
      <c r="S1033" s="292">
        <f>RawDataGenPO[[#This Row],[Total price]]/RawDataGenPO[[#This Row],[Qty'']]</f>
        <v/>
      </c>
      <c r="T1033" s="278" t="n">
        <v>53500</v>
      </c>
      <c r="U1033" s="291" t="n"/>
      <c r="V1033" s="7" t="inlineStr">
        <is>
          <t>V1000798 - MGO SERVICE LIMITED PARTNERSHIP</t>
        </is>
      </c>
      <c r="W1033" s="30" t="inlineStr">
        <is>
          <t>Recive bill and GRN already</t>
        </is>
      </c>
      <c r="X1033" s="112" t="inlineStr">
        <is>
          <t>GRN2526-0001087</t>
        </is>
      </c>
      <c r="Y1033" s="113" t="n">
        <v>45799</v>
      </c>
      <c r="Z1033" s="113" t="n"/>
      <c r="AA1033" s="17">
        <f>IF(RawDataGenPO[[#This Row],[Date Gen PO]]="","",RawDataGenPO[[#This Row],[Date recive bill]]-RawDataGenPO[[#This Row],[Date Gen PO]])</f>
        <v/>
      </c>
      <c r="AB1033" s="16">
        <f>IF(RawDataGenPO[[#This Row],[GRN-PO date]]&gt;RawDataGenPO[[#This Row],[Lead time delivery (day)]],"over deliverry","Ontime")</f>
        <v/>
      </c>
      <c r="AC1033" s="22" t="n"/>
    </row>
    <row r="1034" ht="19.20000076293945" customHeight="1">
      <c r="A1034" s="5">
        <f>ROW()-ROW(RawDataGenPO[[#Headers],[No.]])</f>
        <v/>
      </c>
      <c r="B1034" s="73" t="inlineStr">
        <is>
          <t>CAPEX  (Budget)</t>
        </is>
      </c>
      <c r="C1034" s="343" t="n">
        <v>45744</v>
      </c>
      <c r="F1034" s="281" t="n">
        <v>45744</v>
      </c>
      <c r="G1034" s="5" t="inlineStr">
        <is>
          <t>PR2425-06297</t>
        </is>
      </c>
      <c r="H1034" s="5" t="inlineStr">
        <is>
          <t>PO2526-00048</t>
        </is>
      </c>
      <c r="I1034" s="344" t="n">
        <v>45747</v>
      </c>
      <c r="J1034" s="344" t="n">
        <v>45747</v>
      </c>
      <c r="K1034" s="20" t="n">
        <v>60</v>
      </c>
      <c r="L1034" s="112" t="inlineStr">
        <is>
          <t>SFST82000004</t>
        </is>
      </c>
      <c r="M1034" s="73" t="inlineStr">
        <is>
          <t>Civill jobs (Floor-Wall-Celling-roof)</t>
        </is>
      </c>
      <c r="N1034" s="73" t="inlineStr">
        <is>
          <t>Cevil jobs</t>
        </is>
      </c>
      <c r="O1034" s="120" t="n">
        <v>2</v>
      </c>
      <c r="P1034" s="119" t="inlineStr">
        <is>
          <t>Wstainless steel sizeroom 140x338 cm</t>
        </is>
      </c>
      <c r="Q1034" s="277" t="n">
        <v>1</v>
      </c>
      <c r="R1034" s="5" t="inlineStr">
        <is>
          <t>JOB</t>
        </is>
      </c>
      <c r="S1034" s="292">
        <f>RawDataGenPO[[#This Row],[Total price]]/RawDataGenPO[[#This Row],[Qty'']]</f>
        <v/>
      </c>
      <c r="T1034" s="278" t="n">
        <v>23500</v>
      </c>
      <c r="U1034" s="291" t="n"/>
      <c r="V1034" s="7" t="inlineStr">
        <is>
          <t>V1000798 - MGO SERVICE LIMITED PARTNERSHIP</t>
        </is>
      </c>
      <c r="W1034" s="30" t="inlineStr">
        <is>
          <t>Recive bill and GRN already</t>
        </is>
      </c>
      <c r="X1034" s="112" t="inlineStr">
        <is>
          <t>GRN2526-0001087</t>
        </is>
      </c>
      <c r="Y1034" s="113" t="n">
        <v>45799</v>
      </c>
      <c r="Z1034" s="113" t="n"/>
      <c r="AA1034" s="17">
        <f>IF(RawDataGenPO[[#This Row],[Date Gen PO]]="","",RawDataGenPO[[#This Row],[Date recive bill]]-RawDataGenPO[[#This Row],[Date Gen PO]])</f>
        <v/>
      </c>
      <c r="AB1034" s="16">
        <f>IF(RawDataGenPO[[#This Row],[GRN-PO date]]&gt;RawDataGenPO[[#This Row],[Lead time delivery (day)]],"over deliverry","Ontime")</f>
        <v/>
      </c>
      <c r="AC1034" s="22" t="n"/>
    </row>
    <row r="1035" ht="19.20000076293945" customHeight="1">
      <c r="A1035" s="5">
        <f>ROW()-ROW(RawDataGenPO[[#Headers],[No.]])</f>
        <v/>
      </c>
      <c r="B1035" s="73" t="inlineStr">
        <is>
          <t>CAPEX  (Budget)</t>
        </is>
      </c>
      <c r="C1035" s="343" t="n">
        <v>45744</v>
      </c>
      <c r="F1035" s="281" t="n">
        <v>45744</v>
      </c>
      <c r="G1035" s="5" t="inlineStr">
        <is>
          <t>PR2425-06297</t>
        </is>
      </c>
      <c r="H1035" s="5" t="inlineStr">
        <is>
          <t>PO2526-00048</t>
        </is>
      </c>
      <c r="I1035" s="344" t="n">
        <v>45747</v>
      </c>
      <c r="J1035" s="344" t="n">
        <v>45747</v>
      </c>
      <c r="K1035" s="20" t="n">
        <v>60</v>
      </c>
      <c r="L1035" s="112" t="inlineStr">
        <is>
          <t>SFST82000004</t>
        </is>
      </c>
      <c r="M1035" s="73" t="inlineStr">
        <is>
          <t>Civill jobs (Floor-Wall-Celling-roof)</t>
        </is>
      </c>
      <c r="N1035" s="73" t="inlineStr">
        <is>
          <t>Cevil jobs</t>
        </is>
      </c>
      <c r="O1035" s="120" t="n">
        <v>3</v>
      </c>
      <c r="P1035" s="119" t="inlineStr">
        <is>
          <t>labor costinstall Wstainless steel</t>
        </is>
      </c>
      <c r="Q1035" s="277" t="n">
        <v>1</v>
      </c>
      <c r="R1035" s="5" t="inlineStr">
        <is>
          <t>JOB</t>
        </is>
      </c>
      <c r="S1035" s="292">
        <f>RawDataGenPO[[#This Row],[Total price]]/RawDataGenPO[[#This Row],[Qty'']]</f>
        <v/>
      </c>
      <c r="T1035" s="278" t="n">
        <v>66500</v>
      </c>
      <c r="U1035" s="291" t="n"/>
      <c r="V1035" s="7" t="inlineStr">
        <is>
          <t>V1000798 - MGO SERVICE LIMITED PARTNERSHIP</t>
        </is>
      </c>
      <c r="W1035" s="30" t="inlineStr">
        <is>
          <t>Recive bill and GRN already</t>
        </is>
      </c>
      <c r="X1035" s="112" t="inlineStr">
        <is>
          <t>GRN2526-0001087</t>
        </is>
      </c>
      <c r="Y1035" s="113" t="n">
        <v>45799</v>
      </c>
      <c r="Z1035" s="113" t="n"/>
      <c r="AA1035" s="17">
        <f>IF(RawDataGenPO[[#This Row],[Date Gen PO]]="","",RawDataGenPO[[#This Row],[Date recive bill]]-RawDataGenPO[[#This Row],[Date Gen PO]])</f>
        <v/>
      </c>
      <c r="AB1035" s="16">
        <f>IF(RawDataGenPO[[#This Row],[GRN-PO date]]&gt;RawDataGenPO[[#This Row],[Lead time delivery (day)]],"over deliverry","Ontime")</f>
        <v/>
      </c>
      <c r="AC1035" s="22" t="n"/>
    </row>
    <row r="1036" ht="38.40000152587891" customHeight="1">
      <c r="A1036" s="5">
        <f>ROW()-ROW(RawDataGenPO[[#Headers],[No.]])</f>
        <v/>
      </c>
      <c r="B1036" s="73" t="inlineStr">
        <is>
          <t>CAPEX  (Budget)</t>
        </is>
      </c>
      <c r="C1036" s="343" t="n">
        <v>45744</v>
      </c>
      <c r="F1036" s="281" t="n">
        <v>45744</v>
      </c>
      <c r="G1036" s="5" t="inlineStr">
        <is>
          <t>PR2425-06298</t>
        </is>
      </c>
      <c r="H1036" s="5" t="inlineStr">
        <is>
          <t>PO2526-00040</t>
        </is>
      </c>
      <c r="I1036" s="344" t="n">
        <v>45747</v>
      </c>
      <c r="J1036" s="344" t="n">
        <v>45747</v>
      </c>
      <c r="K1036" s="20" t="n">
        <v>20</v>
      </c>
      <c r="L1036" s="112" t="inlineStr">
        <is>
          <t>SFST82000009</t>
        </is>
      </c>
      <c r="M1036" s="73" t="inlineStr">
        <is>
          <t>Tool and Equipment PD M/C</t>
        </is>
      </c>
      <c r="N1036" s="73" t="inlineStr">
        <is>
          <t>Tool and Equipment</t>
        </is>
      </c>
      <c r="O1036" s="120" t="n">
        <v>1</v>
      </c>
      <c r="P1036" s="119" t="inlineStr">
        <is>
          <t>Air Curtain frontwidth 900 mm
- Air flow 900 mm (m³/h) Diamond FM-3509S-L</t>
        </is>
      </c>
      <c r="Q1036" s="277" t="n">
        <v>1</v>
      </c>
      <c r="R1036" s="5" t="inlineStr">
        <is>
          <t>EA.</t>
        </is>
      </c>
      <c r="S1036" s="292">
        <f>RawDataGenPO[[#This Row],[Total price]]/RawDataGenPO[[#This Row],[Qty'']]</f>
        <v/>
      </c>
      <c r="T1036" s="278" t="n">
        <v>12400</v>
      </c>
      <c r="U1036" s="291" t="n"/>
      <c r="V1036" s="7" t="inlineStr">
        <is>
          <t>V1000281 - P B S PRODUCTS (THAILAND) CO.,LTD.</t>
        </is>
      </c>
      <c r="W1036" s="30" t="inlineStr">
        <is>
          <t>Recive bill and GRN already</t>
        </is>
      </c>
      <c r="X1036" s="112" t="inlineStr">
        <is>
          <t>GRN2526-0000027</t>
        </is>
      </c>
      <c r="Y1036" s="113" t="n">
        <v>45749</v>
      </c>
      <c r="Z1036" s="113" t="n"/>
      <c r="AA1036" s="17">
        <f>IF(RawDataGenPO[[#This Row],[Date Gen PO]]="","",RawDataGenPO[[#This Row],[Date recive bill]]-RawDataGenPO[[#This Row],[Date Gen PO]])</f>
        <v/>
      </c>
      <c r="AB1036" s="16">
        <f>IF(RawDataGenPO[[#This Row],[GRN-PO date]]&gt;RawDataGenPO[[#This Row],[Lead time delivery (day)]],"over deliverry","Ontime")</f>
        <v/>
      </c>
      <c r="AC1036" s="22" t="n"/>
    </row>
    <row r="1037" ht="38.40000152587891" customHeight="1">
      <c r="A1037" s="5">
        <f>ROW()-ROW(RawDataGenPO[[#Headers],[No.]])</f>
        <v/>
      </c>
      <c r="B1037" s="73" t="inlineStr">
        <is>
          <t>CAPEX  (Budget)</t>
        </is>
      </c>
      <c r="C1037" s="343" t="n">
        <v>45744</v>
      </c>
      <c r="F1037" s="281" t="n">
        <v>45744</v>
      </c>
      <c r="G1037" s="5" t="inlineStr">
        <is>
          <t>PR2425-06298</t>
        </is>
      </c>
      <c r="H1037" s="5" t="inlineStr">
        <is>
          <t>PO2526-00040</t>
        </is>
      </c>
      <c r="I1037" s="344" t="n">
        <v>45747</v>
      </c>
      <c r="J1037" s="344" t="n">
        <v>45747</v>
      </c>
      <c r="K1037" s="20" t="n">
        <v>20</v>
      </c>
      <c r="L1037" s="112" t="inlineStr">
        <is>
          <t>SFST82000009</t>
        </is>
      </c>
      <c r="M1037" s="73" t="inlineStr">
        <is>
          <t>Tool and Equipment PD M/C</t>
        </is>
      </c>
      <c r="N1037" s="73" t="inlineStr">
        <is>
          <t>Tool and Equipment</t>
        </is>
      </c>
      <c r="O1037" s="120" t="n">
        <v>2</v>
      </c>
      <c r="P1037" s="119" t="inlineStr">
        <is>
          <t>Air Curtain frontwidth 1200 mm
- Air flow 1200 mm (m³/h) Diamond FM - 3512S-L</t>
        </is>
      </c>
      <c r="Q1037" s="277" t="n">
        <v>1</v>
      </c>
      <c r="R1037" s="5" t="inlineStr">
        <is>
          <t>EA.</t>
        </is>
      </c>
      <c r="S1037" s="292">
        <f>RawDataGenPO[[#This Row],[Total price]]/RawDataGenPO[[#This Row],[Qty'']]</f>
        <v/>
      </c>
      <c r="T1037" s="278" t="n">
        <v>14600</v>
      </c>
      <c r="U1037" s="291" t="n"/>
      <c r="V1037" s="7" t="inlineStr">
        <is>
          <t>V1000281 - P B S PRODUCTS (THAILAND) CO.,LTD.</t>
        </is>
      </c>
      <c r="W1037" s="30" t="inlineStr">
        <is>
          <t>Recive bill and GRN already</t>
        </is>
      </c>
      <c r="X1037" s="112" t="inlineStr">
        <is>
          <t>GRN2526-0000027</t>
        </is>
      </c>
      <c r="Y1037" s="113" t="n">
        <v>45749</v>
      </c>
      <c r="Z1037" s="113" t="n"/>
      <c r="AA1037" s="17">
        <f>IF(RawDataGenPO[[#This Row],[Date Gen PO]]="","",RawDataGenPO[[#This Row],[Date recive bill]]-RawDataGenPO[[#This Row],[Date Gen PO]])</f>
        <v/>
      </c>
      <c r="AB1037" s="16">
        <f>IF(RawDataGenPO[[#This Row],[GRN-PO date]]&gt;RawDataGenPO[[#This Row],[Lead time delivery (day)]],"over deliverry","Ontime")</f>
        <v/>
      </c>
      <c r="AC1037" s="22" t="n"/>
    </row>
    <row r="1038" ht="38.40000152587891" customHeight="1">
      <c r="A1038" s="5">
        <f>ROW()-ROW(RawDataGenPO[[#Headers],[No.]])</f>
        <v/>
      </c>
      <c r="B1038" s="73" t="inlineStr">
        <is>
          <t>CAPEX  (Budget)</t>
        </is>
      </c>
      <c r="C1038" s="343" t="n">
        <v>45744</v>
      </c>
      <c r="F1038" s="281" t="n">
        <v>45744</v>
      </c>
      <c r="G1038" s="5" t="inlineStr">
        <is>
          <t>PR2425-06298</t>
        </is>
      </c>
      <c r="H1038" s="5" t="inlineStr">
        <is>
          <t>PO2526-00040</t>
        </is>
      </c>
      <c r="I1038" s="344" t="n">
        <v>45747</v>
      </c>
      <c r="J1038" s="344" t="n">
        <v>45747</v>
      </c>
      <c r="K1038" s="20" t="n">
        <v>20</v>
      </c>
      <c r="L1038" s="112" t="inlineStr">
        <is>
          <t>SFST82000009</t>
        </is>
      </c>
      <c r="M1038" s="73" t="inlineStr">
        <is>
          <t>Tool and Equipment PD M/C</t>
        </is>
      </c>
      <c r="N1038" s="73" t="inlineStr">
        <is>
          <t>Tool and Equipment</t>
        </is>
      </c>
      <c r="O1038" s="120" t="n">
        <v>3</v>
      </c>
      <c r="P1038" s="119" t="inlineStr">
        <is>
          <t>Air Curtain frontwidth 900 mm
- Air flow 900 mm (m³/h) Diamond FM-3509S-L</t>
        </is>
      </c>
      <c r="Q1038" s="277" t="n">
        <v>1</v>
      </c>
      <c r="R1038" s="5" t="inlineStr">
        <is>
          <t>EA.</t>
        </is>
      </c>
      <c r="S1038" s="292">
        <f>RawDataGenPO[[#This Row],[Total price]]/RawDataGenPO[[#This Row],[Qty'']]</f>
        <v/>
      </c>
      <c r="T1038" s="278" t="n">
        <v>12400</v>
      </c>
      <c r="U1038" s="291" t="n"/>
      <c r="V1038" s="7" t="inlineStr">
        <is>
          <t>V1000281 - P B S PRODUCTS (THAILAND) CO.,LTD.</t>
        </is>
      </c>
      <c r="W1038" s="30" t="inlineStr">
        <is>
          <t>Recive bill and GRN already</t>
        </is>
      </c>
      <c r="X1038" s="112" t="inlineStr">
        <is>
          <t>GRN2526-0000027</t>
        </is>
      </c>
      <c r="Y1038" s="113" t="n">
        <v>45749</v>
      </c>
      <c r="Z1038" s="113" t="n"/>
      <c r="AA1038" s="17">
        <f>IF(RawDataGenPO[[#This Row],[Date Gen PO]]="","",RawDataGenPO[[#This Row],[Date recive bill]]-RawDataGenPO[[#This Row],[Date Gen PO]])</f>
        <v/>
      </c>
      <c r="AB1038" s="16">
        <f>IF(RawDataGenPO[[#This Row],[GRN-PO date]]&gt;RawDataGenPO[[#This Row],[Lead time delivery (day)]],"over deliverry","Ontime")</f>
        <v/>
      </c>
      <c r="AC1038" s="22" t="n"/>
    </row>
    <row r="1039" ht="38.40000152587891" customHeight="1">
      <c r="A1039" s="5">
        <f>ROW()-ROW(RawDataGenPO[[#Headers],[No.]])</f>
        <v/>
      </c>
      <c r="B1039" s="73" t="inlineStr">
        <is>
          <t>CAPEX  (Budget)</t>
        </is>
      </c>
      <c r="C1039" s="343" t="n">
        <v>45744</v>
      </c>
      <c r="F1039" s="281" t="n">
        <v>45744</v>
      </c>
      <c r="G1039" s="5" t="inlineStr">
        <is>
          <t>PR2425-06298</t>
        </is>
      </c>
      <c r="H1039" s="5" t="inlineStr">
        <is>
          <t>PO2526-00040</t>
        </is>
      </c>
      <c r="I1039" s="344" t="n">
        <v>45747</v>
      </c>
      <c r="J1039" s="344" t="n">
        <v>45747</v>
      </c>
      <c r="K1039" s="20" t="n">
        <v>20</v>
      </c>
      <c r="L1039" s="112" t="inlineStr">
        <is>
          <t>SFST82000009</t>
        </is>
      </c>
      <c r="M1039" s="73" t="inlineStr">
        <is>
          <t>Tool and Equipment PD M/C</t>
        </is>
      </c>
      <c r="N1039" s="73" t="inlineStr">
        <is>
          <t>Tool and Equipment</t>
        </is>
      </c>
      <c r="O1039" s="120" t="n">
        <v>4</v>
      </c>
      <c r="P1039" s="119" t="inlineStr">
        <is>
          <t>Air Curtain frontwidth 1200 mm
- Air flow 1200 mm (m³/h) Diamond FM - 3512S-L</t>
        </is>
      </c>
      <c r="Q1039" s="277" t="n">
        <v>1</v>
      </c>
      <c r="R1039" s="5" t="inlineStr">
        <is>
          <t>EA.</t>
        </is>
      </c>
      <c r="S1039" s="292">
        <f>RawDataGenPO[[#This Row],[Total price]]/RawDataGenPO[[#This Row],[Qty'']]</f>
        <v/>
      </c>
      <c r="T1039" s="278" t="n">
        <v>14600</v>
      </c>
      <c r="U1039" s="291" t="n"/>
      <c r="V1039" s="7" t="inlineStr">
        <is>
          <t>V1000281 - P B S PRODUCTS (THAILAND) CO.,LTD.</t>
        </is>
      </c>
      <c r="W1039" s="30" t="inlineStr">
        <is>
          <t>Recive bill and GRN already</t>
        </is>
      </c>
      <c r="X1039" s="112" t="inlineStr">
        <is>
          <t>GRN2526-0000027</t>
        </is>
      </c>
      <c r="Y1039" s="113" t="n">
        <v>45749</v>
      </c>
      <c r="Z1039" s="113" t="n"/>
      <c r="AA1039" s="17">
        <f>IF(RawDataGenPO[[#This Row],[Date Gen PO]]="","",RawDataGenPO[[#This Row],[Date recive bill]]-RawDataGenPO[[#This Row],[Date Gen PO]])</f>
        <v/>
      </c>
      <c r="AB1039" s="16">
        <f>IF(RawDataGenPO[[#This Row],[GRN-PO date]]&gt;RawDataGenPO[[#This Row],[Lead time delivery (day)]],"over deliverry","Ontime")</f>
        <v/>
      </c>
      <c r="AC1039" s="22" t="n"/>
    </row>
    <row r="1040" ht="38.40000152587891" customHeight="1">
      <c r="A1040" s="5">
        <f>ROW()-ROW(RawDataGenPO[[#Headers],[No.]])</f>
        <v/>
      </c>
      <c r="B1040" s="73" t="inlineStr">
        <is>
          <t>CAPEX  (Budget)</t>
        </is>
      </c>
      <c r="C1040" s="343" t="n">
        <v>45744</v>
      </c>
      <c r="F1040" s="281" t="n">
        <v>45744</v>
      </c>
      <c r="G1040" s="5" t="inlineStr">
        <is>
          <t>PR2425-06298</t>
        </is>
      </c>
      <c r="H1040" s="5" t="inlineStr">
        <is>
          <t>PO2526-00040</t>
        </is>
      </c>
      <c r="I1040" s="344" t="n">
        <v>45747</v>
      </c>
      <c r="J1040" s="344" t="n">
        <v>45747</v>
      </c>
      <c r="K1040" s="20" t="n">
        <v>20</v>
      </c>
      <c r="L1040" s="112" t="inlineStr">
        <is>
          <t>SFST82000009</t>
        </is>
      </c>
      <c r="M1040" s="73" t="inlineStr">
        <is>
          <t>Tool and Equipment PD M/C</t>
        </is>
      </c>
      <c r="N1040" s="73" t="inlineStr">
        <is>
          <t>Tool and Equipment</t>
        </is>
      </c>
      <c r="O1040" s="120" t="n">
        <v>5</v>
      </c>
      <c r="P1040" s="119" t="inlineStr">
        <is>
          <t>Air Curtain frontwidth 1200 mm
- Air flow 1200 mm (m³/h) Diamond FM - 3512S-L</t>
        </is>
      </c>
      <c r="Q1040" s="277" t="n">
        <v>1</v>
      </c>
      <c r="R1040" s="5" t="inlineStr">
        <is>
          <t>EA.</t>
        </is>
      </c>
      <c r="S1040" s="292">
        <f>RawDataGenPO[[#This Row],[Total price]]/RawDataGenPO[[#This Row],[Qty'']]</f>
        <v/>
      </c>
      <c r="T1040" s="278" t="n">
        <v>14600</v>
      </c>
      <c r="U1040" s="291" t="n"/>
      <c r="V1040" s="7" t="inlineStr">
        <is>
          <t>V1000281 - P B S PRODUCTS (THAILAND) CO.,LTD.</t>
        </is>
      </c>
      <c r="W1040" s="30" t="inlineStr">
        <is>
          <t>Recive bill and GRN already</t>
        </is>
      </c>
      <c r="X1040" s="112" t="inlineStr">
        <is>
          <t>GRN2526-0000027</t>
        </is>
      </c>
      <c r="Y1040" s="113" t="n">
        <v>45749</v>
      </c>
      <c r="Z1040" s="113" t="n"/>
      <c r="AA1040" s="17">
        <f>IF(RawDataGenPO[[#This Row],[Date Gen PO]]="","",RawDataGenPO[[#This Row],[Date recive bill]]-RawDataGenPO[[#This Row],[Date Gen PO]])</f>
        <v/>
      </c>
      <c r="AB1040" s="16">
        <f>IF(RawDataGenPO[[#This Row],[GRN-PO date]]&gt;RawDataGenPO[[#This Row],[Lead time delivery (day)]],"over deliverry","Ontime")</f>
        <v/>
      </c>
      <c r="AC1040" s="22" t="n"/>
    </row>
    <row r="1041" ht="38.40000152587891" customHeight="1">
      <c r="A1041" s="5">
        <f>ROW()-ROW(RawDataGenPO[[#Headers],[No.]])</f>
        <v/>
      </c>
      <c r="B1041" s="73" t="inlineStr">
        <is>
          <t>CAPEX  (Budget)</t>
        </is>
      </c>
      <c r="C1041" s="343" t="n">
        <v>45744</v>
      </c>
      <c r="F1041" s="281" t="n">
        <v>45744</v>
      </c>
      <c r="G1041" s="5" t="inlineStr">
        <is>
          <t>PR2425-06298</t>
        </is>
      </c>
      <c r="H1041" s="5" t="inlineStr">
        <is>
          <t>PO2526-00040</t>
        </is>
      </c>
      <c r="I1041" s="344" t="n">
        <v>45747</v>
      </c>
      <c r="J1041" s="344" t="n">
        <v>45747</v>
      </c>
      <c r="K1041" s="20" t="n">
        <v>20</v>
      </c>
      <c r="L1041" s="112" t="inlineStr">
        <is>
          <t>SFST82000009</t>
        </is>
      </c>
      <c r="M1041" s="73" t="inlineStr">
        <is>
          <t>Tool and Equipment PD M/C</t>
        </is>
      </c>
      <c r="N1041" s="73" t="inlineStr">
        <is>
          <t>Tool and Equipment</t>
        </is>
      </c>
      <c r="O1041" s="120" t="n">
        <v>6</v>
      </c>
      <c r="P1041" s="119" t="inlineStr">
        <is>
          <t>Air Curtain frontwidth 1200 mm
- Air flow 1200 mm (m³/h) Diamond FM - 3512S-L</t>
        </is>
      </c>
      <c r="Q1041" s="277" t="n">
        <v>1</v>
      </c>
      <c r="R1041" s="5" t="inlineStr">
        <is>
          <t>EA.</t>
        </is>
      </c>
      <c r="S1041" s="292">
        <f>RawDataGenPO[[#This Row],[Total price]]/RawDataGenPO[[#This Row],[Qty'']]</f>
        <v/>
      </c>
      <c r="T1041" s="278" t="n">
        <v>14600</v>
      </c>
      <c r="U1041" s="291" t="n"/>
      <c r="V1041" s="7" t="inlineStr">
        <is>
          <t>V1000281 - P B S PRODUCTS (THAILAND) CO.,LTD.</t>
        </is>
      </c>
      <c r="W1041" s="30" t="inlineStr">
        <is>
          <t>Recive bill and GRN already</t>
        </is>
      </c>
      <c r="X1041" s="112" t="inlineStr">
        <is>
          <t>GRN2526-0000027</t>
        </is>
      </c>
      <c r="Y1041" s="113" t="n">
        <v>45749</v>
      </c>
      <c r="Z1041" s="113" t="n"/>
      <c r="AA1041" s="17">
        <f>IF(RawDataGenPO[[#This Row],[Date Gen PO]]="","",RawDataGenPO[[#This Row],[Date recive bill]]-RawDataGenPO[[#This Row],[Date Gen PO]])</f>
        <v/>
      </c>
      <c r="AB1041" s="16">
        <f>IF(RawDataGenPO[[#This Row],[GRN-PO date]]&gt;RawDataGenPO[[#This Row],[Lead time delivery (day)]],"over deliverry","Ontime")</f>
        <v/>
      </c>
      <c r="AC1041" s="22" t="n"/>
    </row>
    <row r="1042" ht="326.3999938964844" customHeight="1">
      <c r="A1042" s="5">
        <f>ROW()-ROW(RawDataGenPO[[#Headers],[No.]])</f>
        <v/>
      </c>
      <c r="B1042" s="73" t="inlineStr">
        <is>
          <t>CAPEX  (Budget)</t>
        </is>
      </c>
      <c r="C1042" s="343" t="n">
        <v>45744</v>
      </c>
      <c r="F1042" s="281" t="n">
        <v>45744</v>
      </c>
      <c r="G1042" s="5" t="inlineStr">
        <is>
          <t>PR2425-06299</t>
        </is>
      </c>
      <c r="H1042" s="5" t="inlineStr">
        <is>
          <t>PO2526-00043</t>
        </is>
      </c>
      <c r="I1042" s="345" t="n">
        <v>45747</v>
      </c>
      <c r="J1042" s="345" t="n">
        <v>45747</v>
      </c>
      <c r="K1042" s="20" t="n">
        <v>120</v>
      </c>
      <c r="L1042" s="112" t="inlineStr">
        <is>
          <t>SFST82000007</t>
        </is>
      </c>
      <c r="M1042" s="7" t="inlineStr">
        <is>
          <t>Tool and Equipment  Engineering</t>
        </is>
      </c>
      <c r="N1042" s="73" t="inlineStr">
        <is>
          <t>Water system jobs</t>
        </is>
      </c>
      <c r="O1042" s="112" t="n">
        <v>1</v>
      </c>
      <c r="P1042" s="119" t="inlineStr">
        <is>
          <t>workcontrol cabinetWmm
- PLC Mitsubishi FX-35 CPU 220 VAC with program
- Temperature control ANLY AT-502
- Main power 50 A
- Motor Breaker 7.5 kw
- Breaker control 24 vdc 5A
- Breaker control 5 A (Ac)
- Magnetic 7.5 kw 3
- Power supply dc 24 v 10A
- Thermocouple + cable
- Inverter 7.5 kw
- Switch 3 Position with contact 2 No
- Emergency Stop with contact NC
- electrical cablelight blue , , Phillips size 1.5 sqmm.
- light blue size 80×80
- pairWmlight bluesize 600×300×600 mm.
-</t>
        </is>
      </c>
      <c r="Q1042" s="277" t="n">
        <v>1</v>
      </c>
      <c r="R1042" s="5" t="inlineStr">
        <is>
          <t>JOB.</t>
        </is>
      </c>
      <c r="S1042" s="292">
        <f>RawDataGenPO[[#This Row],[Total price]]/RawDataGenPO[[#This Row],[Qty'']]</f>
        <v/>
      </c>
      <c r="T1042" s="278" t="n">
        <v>149940</v>
      </c>
      <c r="U1042" s="291" t="n"/>
      <c r="V1042" s="7" t="inlineStr">
        <is>
          <t>V1000743 - Waratep Nongpue</t>
        </is>
      </c>
      <c r="W1042" s="30" t="inlineStr">
        <is>
          <t>Recive bill and GRN already</t>
        </is>
      </c>
      <c r="X1042" s="112" t="inlineStr">
        <is>
          <t>GRN2526-0000860</t>
        </is>
      </c>
      <c r="Y1042" s="113" t="n">
        <v>45791</v>
      </c>
      <c r="Z1042" s="113" t="n"/>
      <c r="AA1042" s="17">
        <f>IF(RawDataGenPO[[#This Row],[Date Gen PO]]="","",RawDataGenPO[[#This Row],[Date recive bill]]-RawDataGenPO[[#This Row],[Date Gen PO]])</f>
        <v/>
      </c>
      <c r="AB1042" s="16">
        <f>IF(RawDataGenPO[[#This Row],[GRN-PO date]]&gt;RawDataGenPO[[#This Row],[Lead time delivery (day)]],"over deliverry","Ontime")</f>
        <v/>
      </c>
      <c r="AC1042" s="22" t="n"/>
    </row>
    <row r="1043" ht="19.20000076293945" customHeight="1">
      <c r="A1043" s="5">
        <f>ROW()-ROW(RawDataGenPO[[#Headers],[No.]])</f>
        <v/>
      </c>
      <c r="B1043" s="7" t="inlineStr">
        <is>
          <t>Expent  cost</t>
        </is>
      </c>
      <c r="C1043" s="343" t="n">
        <v>45747</v>
      </c>
      <c r="F1043" s="281" t="n">
        <v>45747</v>
      </c>
      <c r="G1043" s="5" t="inlineStr">
        <is>
          <t>PR2425-06309</t>
        </is>
      </c>
      <c r="H1043" s="5" t="inlineStr">
        <is>
          <t>PO2526-00158</t>
        </is>
      </c>
      <c r="I1043" s="114" t="n">
        <v>45757</v>
      </c>
      <c r="J1043" s="114" t="n"/>
      <c r="K1043" s="20" t="n">
        <v>21</v>
      </c>
      <c r="L1043" s="5" t="inlineStr">
        <is>
          <t>SFST11000260</t>
        </is>
      </c>
      <c r="M1043" s="7" t="inlineStr">
        <is>
          <t>Tool and Equipment  Engineering</t>
        </is>
      </c>
      <c r="N1043" s="73" t="inlineStr">
        <is>
          <t>Water system jobs</t>
        </is>
      </c>
      <c r="O1043" s="11" t="n">
        <v>1</v>
      </c>
      <c r="P1043" s="80" t="inlineStr">
        <is>
          <t>sodium 10%  + COA</t>
        </is>
      </c>
      <c r="Q1043" s="277" t="n">
        <v>200</v>
      </c>
      <c r="R1043" s="5" t="inlineStr">
        <is>
          <t>Kg.</t>
        </is>
      </c>
      <c r="S1043" s="292">
        <f>RawDataGenPO[[#This Row],[Total price]]/RawDataGenPO[[#This Row],[Qty'']]</f>
        <v/>
      </c>
      <c r="T1043" s="278" t="n">
        <v>1112</v>
      </c>
      <c r="U1043" s="291" t="n"/>
      <c r="V1043" s="7" t="inlineStr">
        <is>
          <t>V1000205 - INTERPRETIVE CO.,LTD.</t>
        </is>
      </c>
      <c r="W1043" s="30" t="inlineStr">
        <is>
          <t>Recive bill and GRN already</t>
        </is>
      </c>
      <c r="X1043" s="5" t="inlineStr">
        <is>
          <t>GRN2526-0000199</t>
        </is>
      </c>
      <c r="Y1043" s="3" t="n">
        <v>45757</v>
      </c>
      <c r="AA1043" s="17">
        <f>IF(RawDataGenPO[[#This Row],[Date Gen PO]]="","",RawDataGenPO[[#This Row],[Date recive bill]]-RawDataGenPO[[#This Row],[Date Gen PO]])</f>
        <v/>
      </c>
      <c r="AB1043" s="16">
        <f>IF(RawDataGenPO[[#This Row],[GRN-PO date]]&gt;RawDataGenPO[[#This Row],[Lead time delivery (day)]],"over deliverry","Ontime")</f>
        <v/>
      </c>
      <c r="AC1043" s="22" t="n"/>
    </row>
    <row r="1044" ht="19.20000076293945" customHeight="1">
      <c r="A1044" s="5">
        <f>ROW()-ROW(RawDataGenPO[[#Headers],[No.]])</f>
        <v/>
      </c>
      <c r="B1044" s="7" t="inlineStr">
        <is>
          <t>Expent  cost</t>
        </is>
      </c>
      <c r="C1044" s="343" t="n">
        <v>45747</v>
      </c>
      <c r="F1044" s="281" t="n">
        <v>45747</v>
      </c>
      <c r="G1044" s="5" t="inlineStr">
        <is>
          <t>PR2425-06309</t>
        </is>
      </c>
      <c r="H1044" s="5" t="inlineStr">
        <is>
          <t>PO2526-00157</t>
        </is>
      </c>
      <c r="I1044" s="114" t="n">
        <v>45757</v>
      </c>
      <c r="J1044" s="114" t="n"/>
      <c r="K1044" s="20" t="n">
        <v>21</v>
      </c>
      <c r="L1044" s="5" t="inlineStr">
        <is>
          <t>SFST11000256</t>
        </is>
      </c>
      <c r="M1044" s="7" t="inlineStr">
        <is>
          <t xml:space="preserve">Waste water </t>
        </is>
      </c>
      <c r="N1044" s="73" t="inlineStr">
        <is>
          <t>Water system jobs</t>
        </is>
      </c>
      <c r="O1044" s="11" t="n">
        <v>1</v>
      </c>
      <c r="P1044" s="80" t="inlineStr">
        <is>
          <t>Bio Solution 1 lit</t>
        </is>
      </c>
      <c r="Q1044" s="277" t="n">
        <v>4</v>
      </c>
      <c r="R1044" s="5" t="inlineStr">
        <is>
          <t>BOT.</t>
        </is>
      </c>
      <c r="S1044" s="292">
        <f>RawDataGenPO[[#This Row],[Total price]]/RawDataGenPO[[#This Row],[Qty'']]</f>
        <v/>
      </c>
      <c r="T1044" s="278" t="n">
        <v>3200</v>
      </c>
      <c r="U1044" s="291" t="n"/>
      <c r="V1044" s="7" t="inlineStr">
        <is>
          <t>V1000206 - TECHMAN (THAILAND) CO.,LTD.</t>
        </is>
      </c>
      <c r="W1044" s="30" t="inlineStr">
        <is>
          <t>Recive bill and GRN already</t>
        </is>
      </c>
      <c r="X1044" s="5" t="inlineStr">
        <is>
          <t>GRN2526-0000200</t>
        </is>
      </c>
      <c r="Y1044" s="3" t="n">
        <v>45757</v>
      </c>
      <c r="AA1044" s="17">
        <f>IF(RawDataGenPO[[#This Row],[Date Gen PO]]="","",RawDataGenPO[[#This Row],[Date recive bill]]-RawDataGenPO[[#This Row],[Date Gen PO]])</f>
        <v/>
      </c>
      <c r="AB1044" s="16">
        <f>IF(RawDataGenPO[[#This Row],[GRN-PO date]]&gt;RawDataGenPO[[#This Row],[Lead time delivery (day)]],"over deliverry","Ontime")</f>
        <v/>
      </c>
      <c r="AC1044" s="22" t="n"/>
    </row>
    <row r="1045" ht="172.8000030517578" customHeight="1">
      <c r="A1045" s="5">
        <f>ROW()-ROW(RawDataGenPO[[#Headers],[No.]])</f>
        <v/>
      </c>
      <c r="B1045" s="73" t="inlineStr">
        <is>
          <t>CAPEX  (Budget)</t>
        </is>
      </c>
      <c r="C1045" s="343" t="n">
        <v>45744</v>
      </c>
      <c r="F1045" s="281" t="n">
        <v>45744</v>
      </c>
      <c r="G1045" s="5" t="inlineStr">
        <is>
          <t>PR2425-06312</t>
        </is>
      </c>
      <c r="H1045" s="5" t="inlineStr">
        <is>
          <t>PO2526-00049</t>
        </is>
      </c>
      <c r="I1045" s="345" t="n">
        <v>45747</v>
      </c>
      <c r="J1045" s="345" t="n">
        <v>45747</v>
      </c>
      <c r="K1045" s="20" t="n">
        <v>300</v>
      </c>
      <c r="L1045" s="112" t="inlineStr">
        <is>
          <t>SFST82000015</t>
        </is>
      </c>
      <c r="M1045" s="73" t="inlineStr">
        <is>
          <t>Civill jobs (Floor-Wall-Celling-roof)</t>
        </is>
      </c>
      <c r="N1045" s="73" t="inlineStr">
        <is>
          <t>Cevil jobs</t>
        </is>
      </c>
      <c r="O1045" s="120" t="n">
        <v>1</v>
      </c>
      <c r="P1045" s="119" t="inlineStr">
        <is>
          <t>Demolishing work
-Take off existng overhead sectional door 2.00 x 2.30 m.
-Take off existng dock sheter and take off existing pvc curain 2 x 2.30 m.
-Take off existng siding sheet &amp; Flashing
-Demolishing Existing concrete pavement
-Demolishing Existing concrete wall 0.20x0.50 m.
-Demolishing iso wall partition
-Disposal concrete scarp out working area</t>
        </is>
      </c>
      <c r="Q1045" s="277" t="n">
        <v>1</v>
      </c>
      <c r="R1045" s="5" t="inlineStr">
        <is>
          <t>JOB.</t>
        </is>
      </c>
      <c r="S1045" s="292">
        <f>RawDataGenPO[[#This Row],[Total price]]/RawDataGenPO[[#This Row],[Qty'']]</f>
        <v/>
      </c>
      <c r="T1045" s="278" t="n">
        <v>219400</v>
      </c>
      <c r="U1045" s="291" t="n"/>
      <c r="V1045" s="7" t="inlineStr">
        <is>
          <t>V1000711 - THAI OBAYASHI CORPORATION LIMITED.</t>
        </is>
      </c>
      <c r="W1045" s="30" t="inlineStr">
        <is>
          <t>Recive bill and GRN already</t>
        </is>
      </c>
      <c r="X1045" s="112" t="inlineStr">
        <is>
          <t>GRN2526-0006409</t>
        </is>
      </c>
      <c r="Y1045" s="113" t="n">
        <v>46013</v>
      </c>
      <c r="Z1045" s="113" t="n"/>
      <c r="AA1045" s="17">
        <f>IF(RawDataGenPO[[#This Row],[Date Gen PO]]="","",RawDataGenPO[[#This Row],[Date recive bill]]-RawDataGenPO[[#This Row],[Date Gen PO]])</f>
        <v/>
      </c>
      <c r="AB1045" s="16">
        <f>IF(RawDataGenPO[[#This Row],[GRN-PO date]]&gt;RawDataGenPO[[#This Row],[Lead time delivery (day)]],"over deliverry","Ontime")</f>
        <v/>
      </c>
      <c r="AC1045" s="22" t="n"/>
    </row>
    <row r="1046" ht="384" customHeight="1">
      <c r="A1046" s="5">
        <f>ROW()-ROW(RawDataGenPO[[#Headers],[No.]])</f>
        <v/>
      </c>
      <c r="B1046" s="73" t="inlineStr">
        <is>
          <t>CAPEX  (Budget)</t>
        </is>
      </c>
      <c r="C1046" s="343" t="n">
        <v>45744</v>
      </c>
      <c r="F1046" s="281" t="n">
        <v>45744</v>
      </c>
      <c r="G1046" s="5" t="inlineStr">
        <is>
          <t>PR2425-06312</t>
        </is>
      </c>
      <c r="H1046" s="5" t="inlineStr">
        <is>
          <t>PO2526-00049</t>
        </is>
      </c>
      <c r="I1046" s="345" t="n">
        <v>45747</v>
      </c>
      <c r="J1046" s="345" t="n">
        <v>45747</v>
      </c>
      <c r="K1046" s="20" t="n">
        <v>300</v>
      </c>
      <c r="L1046" s="112" t="inlineStr">
        <is>
          <t>SFST82000015</t>
        </is>
      </c>
      <c r="M1046" s="73" t="inlineStr">
        <is>
          <t>Civill jobs (Floor-Wall-Celling-roof)</t>
        </is>
      </c>
      <c r="N1046" s="73" t="inlineStr">
        <is>
          <t>Cevil jobs</t>
        </is>
      </c>
      <c r="O1046" s="120" t="n">
        <v>2</v>
      </c>
      <c r="P1046" s="119" t="inlineStr">
        <is>
          <t>New loading work
-Temporary fence protection wprking area H-2.40 m. for Outside
-Temporary iso wall partition for inside factory
-Soil exvacation
-Soil disposal
-New steel guard rail dai 150 H1,500 mm.w/condrete fill &amp; OP paint
-New overhead sectional door 2.70 x 3.00 m.
-New dock shelter 3.5 x 3.7 m.
-New pvc curtain 2.70 x 3.00 m.
-Leveling w/compaction existing soil
-Crushed stone w/compaction T = 200 mm.
-New concrete pavement T-200 mm.
-New concrete gutter w/Galvanized Grating w-400 mm.
-New concrete wall 0.20x0.50 m.
-Repainting wall concrete
-Modify siding sheet &amp; flafhing
-Modify iso wall partition
-Overhead</t>
        </is>
      </c>
      <c r="Q1046" s="346" t="n">
        <v>1</v>
      </c>
      <c r="R1046" s="112" t="inlineStr">
        <is>
          <t>JOB.</t>
        </is>
      </c>
      <c r="S1046" s="292">
        <f>RawDataGenPO[[#This Row],[Total price]]/RawDataGenPO[[#This Row],[Qty'']]</f>
        <v/>
      </c>
      <c r="T1046" s="347" t="n">
        <v>783784</v>
      </c>
      <c r="U1046" s="291" t="n"/>
      <c r="V1046" s="7" t="inlineStr">
        <is>
          <t>V1000711 - THAI OBAYASHI CORPORATION LIMITED.</t>
        </is>
      </c>
      <c r="W1046" s="30" t="inlineStr">
        <is>
          <t>Recive bill and GRN already</t>
        </is>
      </c>
      <c r="X1046" s="112" t="inlineStr">
        <is>
          <t>GRN2526-0006409</t>
        </is>
      </c>
      <c r="Y1046" s="113" t="n">
        <v>46013</v>
      </c>
      <c r="Z1046" s="113" t="n"/>
      <c r="AA1046" s="17">
        <f>IF(RawDataGenPO[[#This Row],[Date Gen PO]]="","",RawDataGenPO[[#This Row],[Date recive bill]]-RawDataGenPO[[#This Row],[Date Gen PO]])</f>
        <v/>
      </c>
      <c r="AB1046" s="16">
        <f>IF(RawDataGenPO[[#This Row],[GRN-PO date]]&gt;RawDataGenPO[[#This Row],[Lead time delivery (day)]],"over deliverry","Ontime")</f>
        <v/>
      </c>
      <c r="AC1046" s="22" t="n"/>
    </row>
    <row r="1047" ht="38.40000152587891" customHeight="1">
      <c r="A1047" s="5">
        <f>ROW()-ROW(RawDataGenPO[[#Headers],[No.]])</f>
        <v/>
      </c>
      <c r="B1047" s="73" t="inlineStr">
        <is>
          <t>Expent  cost</t>
        </is>
      </c>
      <c r="C1047" s="343" t="n">
        <v>45744</v>
      </c>
      <c r="F1047" s="281" t="n">
        <v>45748</v>
      </c>
      <c r="G1047" s="5" t="inlineStr">
        <is>
          <t>PR2425-06316</t>
        </is>
      </c>
      <c r="H1047" s="5" t="inlineStr">
        <is>
          <t>PO2526-00169</t>
        </is>
      </c>
      <c r="I1047" s="114" t="n">
        <v>45757</v>
      </c>
      <c r="J1047" s="114" t="n"/>
      <c r="K1047" s="20" t="n">
        <v>21</v>
      </c>
      <c r="L1047" s="112" t="inlineStr">
        <is>
          <t>SFST81000078</t>
        </is>
      </c>
      <c r="M1047" s="73" t="inlineStr">
        <is>
          <t>Civill jobs (Floor-Wall-Celling-roof)</t>
        </is>
      </c>
      <c r="N1047" s="73" t="inlineStr">
        <is>
          <t>Cevil jobs</t>
        </is>
      </c>
      <c r="O1047" s="120" t="n">
        <v>1</v>
      </c>
      <c r="P1047" s="119" t="inlineStr">
        <is>
          <t>floor coating work Polyurethane (PU HF 10-12 mm.)
- work area Blast2 (24 Sq.m)</t>
        </is>
      </c>
      <c r="Q1047" s="346" t="n">
        <v>1</v>
      </c>
      <c r="R1047" s="112" t="inlineStr">
        <is>
          <t>JOB.</t>
        </is>
      </c>
      <c r="S1047" s="292">
        <f>RawDataGenPO[[#This Row],[Total price]]/RawDataGenPO[[#This Row],[Qty'']]</f>
        <v/>
      </c>
      <c r="T1047" s="347" t="n">
        <v>50000</v>
      </c>
      <c r="U1047" s="291" t="n"/>
      <c r="V1047" s="5" t="inlineStr">
        <is>
          <t>V1000731 - PHUTEWA DEVELOPMENT CO., LTD.</t>
        </is>
      </c>
      <c r="W1047" s="30" t="inlineStr">
        <is>
          <t>Recive bill and GRN already</t>
        </is>
      </c>
      <c r="X1047" s="112" t="inlineStr">
        <is>
          <t>GRN2526-0000434</t>
        </is>
      </c>
      <c r="Y1047" s="113" t="n">
        <v>45770</v>
      </c>
      <c r="Z1047" s="113" t="n"/>
      <c r="AA1047" s="17">
        <f>IF(RawDataGenPO[[#This Row],[Date Gen PO]]="","",RawDataGenPO[[#This Row],[Date recive bill]]-RawDataGenPO[[#This Row],[Date Gen PO]])</f>
        <v/>
      </c>
      <c r="AB1047" s="16">
        <f>IF(RawDataGenPO[[#This Row],[GRN-PO date]]&gt;RawDataGenPO[[#This Row],[Lead time delivery (day)]],"over deliverry","Ontime")</f>
        <v/>
      </c>
      <c r="AC1047" s="22" t="n"/>
    </row>
    <row r="1048" ht="19.20000076293945" customHeight="1">
      <c r="A1048" s="5">
        <f>ROW()-ROW(RawDataGenPO[[#Headers],[No.]])</f>
        <v/>
      </c>
      <c r="B1048" s="73" t="inlineStr">
        <is>
          <t>Expent  cost</t>
        </is>
      </c>
      <c r="C1048" s="343" t="n">
        <v>45744</v>
      </c>
      <c r="F1048" s="281" t="n">
        <v>45748</v>
      </c>
      <c r="G1048" s="5" t="inlineStr">
        <is>
          <t>PR2425-06316</t>
        </is>
      </c>
      <c r="H1048" s="5" t="inlineStr">
        <is>
          <t>PO2526-00169</t>
        </is>
      </c>
      <c r="I1048" s="114" t="n">
        <v>45757</v>
      </c>
      <c r="J1048" s="114" t="n"/>
      <c r="K1048" s="20" t="n">
        <v>21</v>
      </c>
      <c r="L1048" s="112" t="inlineStr">
        <is>
          <t>SFST81000078</t>
        </is>
      </c>
      <c r="M1048" s="73" t="inlineStr">
        <is>
          <t>Civill jobs (Floor-Wall-Celling-roof)</t>
        </is>
      </c>
      <c r="N1048" s="73" t="inlineStr">
        <is>
          <t>Cevil jobs</t>
        </is>
      </c>
      <c r="O1048" s="120" t="n">
        <v>2</v>
      </c>
      <c r="P1048" s="119" t="inlineStr">
        <is>
          <t>workroom Anti (3.8 Sq.m)</t>
        </is>
      </c>
      <c r="Q1048" s="346" t="n">
        <v>1</v>
      </c>
      <c r="R1048" s="112" t="inlineStr">
        <is>
          <t>JOB.</t>
        </is>
      </c>
      <c r="S1048" s="292">
        <f>RawDataGenPO[[#This Row],[Total price]]/RawDataGenPO[[#This Row],[Qty'']]</f>
        <v/>
      </c>
      <c r="T1048" s="347" t="n">
        <v>8000</v>
      </c>
      <c r="U1048" s="291" t="n"/>
      <c r="V1048" s="5" t="inlineStr">
        <is>
          <t>V1000731 - PHUTEWA DEVELOPMENT CO., LTD.</t>
        </is>
      </c>
      <c r="W1048" s="30" t="inlineStr">
        <is>
          <t>Recive bill and GRN already</t>
        </is>
      </c>
      <c r="X1048" s="112" t="inlineStr">
        <is>
          <t>GRN2526-0000434</t>
        </is>
      </c>
      <c r="Y1048" s="113" t="n">
        <v>45770</v>
      </c>
      <c r="Z1048" s="113" t="n"/>
      <c r="AA1048" s="17">
        <f>IF(RawDataGenPO[[#This Row],[Date Gen PO]]="","",RawDataGenPO[[#This Row],[Date recive bill]]-RawDataGenPO[[#This Row],[Date Gen PO]])</f>
        <v/>
      </c>
      <c r="AB1048" s="16">
        <f>IF(RawDataGenPO[[#This Row],[GRN-PO date]]&gt;RawDataGenPO[[#This Row],[Lead time delivery (day)]],"over deliverry","Ontime")</f>
        <v/>
      </c>
      <c r="AC1048" s="22" t="n"/>
    </row>
    <row r="1049" ht="19.20000076293945" customHeight="1">
      <c r="A1049" s="5">
        <f>ROW()-ROW(RawDataGenPO[[#Headers],[No.]])</f>
        <v/>
      </c>
      <c r="B1049" s="73" t="inlineStr">
        <is>
          <t>Expent  cost</t>
        </is>
      </c>
      <c r="C1049" s="343" t="n">
        <v>45744</v>
      </c>
      <c r="F1049" s="281" t="n">
        <v>45748</v>
      </c>
      <c r="G1049" s="5" t="inlineStr">
        <is>
          <t>PR2425-06316</t>
        </is>
      </c>
      <c r="H1049" s="5" t="inlineStr">
        <is>
          <t>PO2526-00169</t>
        </is>
      </c>
      <c r="I1049" s="114" t="n">
        <v>45757</v>
      </c>
      <c r="J1049" s="114" t="n"/>
      <c r="K1049" s="20" t="n">
        <v>21</v>
      </c>
      <c r="L1049" s="112" t="inlineStr">
        <is>
          <t>SFST81000078</t>
        </is>
      </c>
      <c r="M1049" s="73" t="inlineStr">
        <is>
          <t>Civill jobs (Floor-Wall-Celling-roof)</t>
        </is>
      </c>
      <c r="N1049" s="73" t="inlineStr">
        <is>
          <t>Cevil jobs</t>
        </is>
      </c>
      <c r="O1049" s="120" t="n">
        <v>3</v>
      </c>
      <c r="P1049" s="119" t="inlineStr">
        <is>
          <t>workroom Blast Chill 1 (12.6 Sq.m)</t>
        </is>
      </c>
      <c r="Q1049" s="346" t="n">
        <v>1</v>
      </c>
      <c r="R1049" s="112" t="inlineStr">
        <is>
          <t>JOB.</t>
        </is>
      </c>
      <c r="S1049" s="292">
        <f>RawDataGenPO[[#This Row],[Total price]]/RawDataGenPO[[#This Row],[Qty'']]</f>
        <v/>
      </c>
      <c r="T1049" s="347" t="n">
        <v>25000</v>
      </c>
      <c r="U1049" s="291" t="n"/>
      <c r="V1049" s="5" t="inlineStr">
        <is>
          <t>V1000731 - PHUTEWA DEVELOPMENT CO., LTD.</t>
        </is>
      </c>
      <c r="W1049" s="30" t="inlineStr">
        <is>
          <t>Recive bill and GRN already</t>
        </is>
      </c>
      <c r="X1049" s="112" t="inlineStr">
        <is>
          <t>GRN2526-0000434</t>
        </is>
      </c>
      <c r="Y1049" s="113" t="n">
        <v>45770</v>
      </c>
      <c r="Z1049" s="113" t="n"/>
      <c r="AA1049" s="17">
        <f>IF(RawDataGenPO[[#This Row],[Date Gen PO]]="","",RawDataGenPO[[#This Row],[Date recive bill]]-RawDataGenPO[[#This Row],[Date Gen PO]])</f>
        <v/>
      </c>
      <c r="AB1049" s="16">
        <f>IF(RawDataGenPO[[#This Row],[GRN-PO date]]&gt;RawDataGenPO[[#This Row],[Lead time delivery (day)]],"over deliverry","Ontime")</f>
        <v/>
      </c>
      <c r="AC1049" s="22" t="n"/>
    </row>
    <row r="1050" ht="19.20000076293945" customHeight="1">
      <c r="A1050" s="5">
        <f>ROW()-ROW(RawDataGenPO[[#Headers],[No.]])</f>
        <v/>
      </c>
      <c r="B1050" s="73" t="inlineStr">
        <is>
          <t>Expent  cost</t>
        </is>
      </c>
      <c r="C1050" s="343" t="n">
        <v>45744</v>
      </c>
      <c r="F1050" s="281" t="n">
        <v>45748</v>
      </c>
      <c r="G1050" s="5" t="inlineStr">
        <is>
          <t>PR2425-06316</t>
        </is>
      </c>
      <c r="H1050" s="5" t="inlineStr">
        <is>
          <t>PO2526-00169</t>
        </is>
      </c>
      <c r="I1050" s="114" t="n">
        <v>45757</v>
      </c>
      <c r="J1050" s="114" t="n"/>
      <c r="K1050" s="20" t="n">
        <v>21</v>
      </c>
      <c r="L1050" s="112" t="inlineStr">
        <is>
          <t>SFST81000078</t>
        </is>
      </c>
      <c r="M1050" s="73" t="inlineStr">
        <is>
          <t>Civill jobs (Floor-Wall-Celling-roof)</t>
        </is>
      </c>
      <c r="N1050" s="73" t="inlineStr">
        <is>
          <t>Cevil jobs</t>
        </is>
      </c>
      <c r="O1050" s="120" t="n">
        <v>4</v>
      </c>
      <c r="P1050" s="119" t="inlineStr">
        <is>
          <t>workroom Blast Chill 2 (12.6 Sq.m)</t>
        </is>
      </c>
      <c r="Q1050" s="346" t="n">
        <v>1</v>
      </c>
      <c r="R1050" s="112" t="inlineStr">
        <is>
          <t>JOB.</t>
        </is>
      </c>
      <c r="S1050" s="292">
        <f>RawDataGenPO[[#This Row],[Total price]]/RawDataGenPO[[#This Row],[Qty'']]</f>
        <v/>
      </c>
      <c r="T1050" s="347" t="n">
        <v>25000</v>
      </c>
      <c r="U1050" s="291" t="n"/>
      <c r="V1050" s="5" t="inlineStr">
        <is>
          <t>V1000731 - PHUTEWA DEVELOPMENT CO., LTD.</t>
        </is>
      </c>
      <c r="W1050" s="30" t="inlineStr">
        <is>
          <t>Recive bill and GRN already</t>
        </is>
      </c>
      <c r="X1050" s="112" t="inlineStr">
        <is>
          <t>GRN2526-0000434</t>
        </is>
      </c>
      <c r="Y1050" s="113" t="n">
        <v>45770</v>
      </c>
      <c r="Z1050" s="113" t="n"/>
      <c r="AA1050" s="17">
        <f>IF(RawDataGenPO[[#This Row],[Date Gen PO]]="","",RawDataGenPO[[#This Row],[Date recive bill]]-RawDataGenPO[[#This Row],[Date Gen PO]])</f>
        <v/>
      </c>
      <c r="AB1050" s="16">
        <f>IF(RawDataGenPO[[#This Row],[GRN-PO date]]&gt;RawDataGenPO[[#This Row],[Lead time delivery (day)]],"over deliverry","Ontime")</f>
        <v/>
      </c>
      <c r="AC1050" s="22" t="n"/>
    </row>
    <row r="1051" ht="96" customHeight="1">
      <c r="A1051" s="5">
        <f>ROW()-ROW(RawDataGenPO[[#Headers],[No.]])</f>
        <v/>
      </c>
      <c r="B1051" s="73" t="inlineStr">
        <is>
          <t>Expent  cost</t>
        </is>
      </c>
      <c r="C1051" s="343" t="n">
        <v>45744</v>
      </c>
      <c r="F1051" s="281" t="n">
        <v>45748</v>
      </c>
      <c r="G1051" s="5" t="inlineStr">
        <is>
          <t>PR2425-06316</t>
        </is>
      </c>
      <c r="H1051" s="5" t="inlineStr">
        <is>
          <t>PO2526-00169</t>
        </is>
      </c>
      <c r="I1051" s="114" t="n">
        <v>45757</v>
      </c>
      <c r="J1051" s="114" t="n"/>
      <c r="K1051" s="20" t="n">
        <v>21</v>
      </c>
      <c r="L1051" s="112" t="inlineStr">
        <is>
          <t>SFST81000078</t>
        </is>
      </c>
      <c r="M1051" s="73" t="inlineStr">
        <is>
          <t>Civill jobs (Floor-Wall-Celling-roof)</t>
        </is>
      </c>
      <c r="N1051" s="73" t="inlineStr">
        <is>
          <t>Cevil jobs</t>
        </is>
      </c>
      <c r="O1051" s="120" t="n">
        <v>5</v>
      </c>
      <c r="P1051" s="119" t="inlineStr">
        <is>
          <t>workW
- room Blast2 quantity 21 m
- room Ante quantity 4 m
- room Blast chill 1 quantity 11 m
- room Blast chill 2</t>
        </is>
      </c>
      <c r="Q1051" s="346" t="n">
        <v>1</v>
      </c>
      <c r="R1051" s="112" t="inlineStr">
        <is>
          <t>JOB.</t>
        </is>
      </c>
      <c r="S1051" s="292">
        <f>RawDataGenPO[[#This Row],[Total price]]/RawDataGenPO[[#This Row],[Qty'']]</f>
        <v/>
      </c>
      <c r="T1051" s="347" t="n">
        <v>15000</v>
      </c>
      <c r="U1051" s="291" t="n"/>
      <c r="V1051" s="5" t="inlineStr">
        <is>
          <t>V1000731 - PHUTEWA DEVELOPMENT CO., LTD.</t>
        </is>
      </c>
      <c r="W1051" s="30" t="inlineStr">
        <is>
          <t>Recive bill and GRN already</t>
        </is>
      </c>
      <c r="X1051" s="112" t="inlineStr">
        <is>
          <t>GRN2526-0000434</t>
        </is>
      </c>
      <c r="Y1051" s="113" t="n">
        <v>45770</v>
      </c>
      <c r="Z1051" s="113" t="n"/>
      <c r="AA1051" s="17">
        <f>IF(RawDataGenPO[[#This Row],[Date Gen PO]]="","",RawDataGenPO[[#This Row],[Date recive bill]]-RawDataGenPO[[#This Row],[Date Gen PO]])</f>
        <v/>
      </c>
      <c r="AB1051" s="16">
        <f>IF(RawDataGenPO[[#This Row],[GRN-PO date]]&gt;RawDataGenPO[[#This Row],[Lead time delivery (day)]],"over deliverry","Ontime")</f>
        <v/>
      </c>
      <c r="AC1051" s="22" t="n"/>
    </row>
    <row r="1052" ht="19.20000076293945" customHeight="1">
      <c r="A1052" s="5">
        <f>ROW()-ROW(RawDataGenPO[[#Headers],[No.]])</f>
        <v/>
      </c>
      <c r="B1052" s="73" t="inlineStr">
        <is>
          <t>Expent  cost</t>
        </is>
      </c>
      <c r="C1052" s="343" t="n">
        <v>45744</v>
      </c>
      <c r="F1052" s="281" t="n">
        <v>45748</v>
      </c>
      <c r="G1052" s="5" t="inlineStr">
        <is>
          <t>PR2425-06316</t>
        </is>
      </c>
      <c r="H1052" s="5" t="inlineStr">
        <is>
          <t>PO2526-00169</t>
        </is>
      </c>
      <c r="I1052" s="114" t="n">
        <v>45765</v>
      </c>
      <c r="J1052" s="114" t="n"/>
      <c r="K1052" s="20" t="n">
        <v>21</v>
      </c>
      <c r="L1052" s="112" t="inlineStr">
        <is>
          <t>SFST81000078</t>
        </is>
      </c>
      <c r="M1052" s="73" t="inlineStr">
        <is>
          <t>Civill jobs (Floor-Wall-Celling-roof)</t>
        </is>
      </c>
      <c r="N1052" s="73" t="inlineStr">
        <is>
          <t>Cevil jobs</t>
        </is>
      </c>
      <c r="O1052" s="120" t="n">
        <v>6</v>
      </c>
      <c r="P1052" s="119" t="inlineStr">
        <is>
          <t>Service chargepcs</t>
        </is>
      </c>
      <c r="Q1052" s="346" t="n">
        <v>1</v>
      </c>
      <c r="R1052" s="112" t="inlineStr">
        <is>
          <t>JOB.</t>
        </is>
      </c>
      <c r="S1052" s="292">
        <f>RawDataGenPO[[#This Row],[Total price]]/RawDataGenPO[[#This Row],[Qty'']]</f>
        <v/>
      </c>
      <c r="T1052" s="347" t="n">
        <v>28000</v>
      </c>
      <c r="U1052" s="291" t="n"/>
      <c r="V1052" s="5" t="inlineStr">
        <is>
          <t>V1000731 - PHUTEWA DEVELOPMENT CO., LTD.</t>
        </is>
      </c>
      <c r="W1052" s="30" t="inlineStr">
        <is>
          <t>Recive bill and GRN already</t>
        </is>
      </c>
      <c r="X1052" s="112" t="inlineStr">
        <is>
          <t>GRN2526-0000434</t>
        </is>
      </c>
      <c r="Y1052" s="113" t="n">
        <v>45770</v>
      </c>
      <c r="Z1052" s="113" t="n"/>
      <c r="AA1052" s="17">
        <f>IF(RawDataGenPO[[#This Row],[Date Gen PO]]="","",RawDataGenPO[[#This Row],[Date recive bill]]-RawDataGenPO[[#This Row],[Date Gen PO]])</f>
        <v/>
      </c>
      <c r="AB1052" s="16">
        <f>IF(RawDataGenPO[[#This Row],[GRN-PO date]]&gt;RawDataGenPO[[#This Row],[Lead time delivery (day)]],"over deliverry","Ontime")</f>
        <v/>
      </c>
      <c r="AC1052" s="22" t="n"/>
    </row>
    <row r="1053" ht="19.20000076293945" customHeight="1">
      <c r="A1053" s="5">
        <f>ROW()-ROW(RawDataGenPO[[#Headers],[No.]])</f>
        <v/>
      </c>
      <c r="B1053" s="73" t="inlineStr">
        <is>
          <t>Expent  cost</t>
        </is>
      </c>
      <c r="C1053" s="343" t="n">
        <v>45744</v>
      </c>
      <c r="F1053" s="281" t="n">
        <v>45748</v>
      </c>
      <c r="G1053" s="5" t="inlineStr">
        <is>
          <t>PR2425-06317</t>
        </is>
      </c>
      <c r="H1053" s="5" t="inlineStr">
        <is>
          <t>PO2526-00160</t>
        </is>
      </c>
      <c r="I1053" s="344" t="n">
        <v>45757</v>
      </c>
      <c r="J1053" s="344" t="n">
        <v>45757</v>
      </c>
      <c r="K1053" s="20" t="n">
        <v>30</v>
      </c>
      <c r="L1053" s="112" t="inlineStr">
        <is>
          <t>SFST81000048</t>
        </is>
      </c>
      <c r="M1053" s="73" t="inlineStr">
        <is>
          <t>Tool and Equipment PD M/C</t>
        </is>
      </c>
      <c r="N1053" s="73" t="inlineStr">
        <is>
          <t>Eletrical part</t>
        </is>
      </c>
      <c r="O1053" s="120" t="n">
        <v>1</v>
      </c>
      <c r="P1053" s="119" t="inlineStr">
        <is>
          <t>plugplugconnectorcable RTD, PT100 pcsmale M + pcsfemale F typepinround 3 pin</t>
        </is>
      </c>
      <c r="Q1053" s="346" t="n">
        <v>10</v>
      </c>
      <c r="R1053" s="112" t="inlineStr">
        <is>
          <t>PCS.</t>
        </is>
      </c>
      <c r="S1053" s="292">
        <f>RawDataGenPO[[#This Row],[Total price]]/RawDataGenPO[[#This Row],[Qty'']]</f>
        <v/>
      </c>
      <c r="T1053" s="347" t="n">
        <v>9560</v>
      </c>
      <c r="U1053" s="291" t="n"/>
      <c r="V1053" s="7" t="inlineStr">
        <is>
          <t>V1000481 - Company JW Tech Ltd.</t>
        </is>
      </c>
      <c r="W1053" s="30" t="inlineStr">
        <is>
          <t>Recive bill and GRN already</t>
        </is>
      </c>
      <c r="X1053" s="112" t="inlineStr">
        <is>
          <t>GRN2526-0000747</t>
        </is>
      </c>
      <c r="Y1053" s="113" t="n">
        <v>45785</v>
      </c>
      <c r="Z1053" s="113" t="n"/>
      <c r="AA1053" s="17">
        <f>IF(RawDataGenPO[[#This Row],[Date Gen PO]]="","",RawDataGenPO[[#This Row],[Date recive bill]]-RawDataGenPO[[#This Row],[Date Gen PO]])</f>
        <v/>
      </c>
      <c r="AB1053" s="16">
        <f>IF(RawDataGenPO[[#This Row],[GRN-PO date]]&gt;RawDataGenPO[[#This Row],[Lead time delivery (day)]],"over deliverry","Ontime")</f>
        <v/>
      </c>
      <c r="AC1053" s="22" t="n"/>
    </row>
    <row r="1054" ht="30" customHeight="1">
      <c r="A1054" s="5">
        <f>ROW()-ROW(RawDataGenPO[[#Headers],[No.]])</f>
        <v/>
      </c>
      <c r="B1054" s="73" t="inlineStr">
        <is>
          <t>Expent  cost</t>
        </is>
      </c>
      <c r="C1054" s="343" t="n">
        <v>45744</v>
      </c>
      <c r="F1054" s="281" t="n">
        <v>45748</v>
      </c>
      <c r="G1054" s="5" t="inlineStr">
        <is>
          <t>PR2425-06317</t>
        </is>
      </c>
      <c r="H1054" s="5" t="inlineStr">
        <is>
          <t>PO2526-00161</t>
        </is>
      </c>
      <c r="I1054" s="114" t="n">
        <v>45765</v>
      </c>
      <c r="J1054" s="344" t="n">
        <v>45757</v>
      </c>
      <c r="K1054" s="20" t="n">
        <v>21</v>
      </c>
      <c r="L1054" s="112" t="inlineStr">
        <is>
          <t>SFST81000048</t>
        </is>
      </c>
      <c r="M1054" s="73" t="inlineStr">
        <is>
          <t>Tool and Equipment PD M/C</t>
        </is>
      </c>
      <c r="N1054" s="73" t="inlineStr">
        <is>
          <t>Eletrical part</t>
        </is>
      </c>
      <c r="O1054" s="120" t="n">
        <v>2</v>
      </c>
      <c r="P1054" s="119" t="inlineStr">
        <is>
          <t>plugplugconnectorcable Thermocouple pcsmale M + pcsfemale F typepinround 2 pin</t>
        </is>
      </c>
      <c r="Q1054" s="346" t="n">
        <v>10</v>
      </c>
      <c r="R1054" s="112" t="inlineStr">
        <is>
          <t>PCS.</t>
        </is>
      </c>
      <c r="S1054" s="292">
        <f>RawDataGenPO[[#This Row],[Total price]]/RawDataGenPO[[#This Row],[Qty'']]</f>
        <v/>
      </c>
      <c r="T1054" s="347" t="n">
        <v>9200</v>
      </c>
      <c r="U1054" s="291" t="n"/>
      <c r="V1054" s="33" t="inlineStr">
        <is>
          <t xml:space="preserve">V1000259 - JJP SUPPLY CO., LTD
</t>
        </is>
      </c>
      <c r="W1054" s="30" t="inlineStr">
        <is>
          <t>Recive bill and GRN already</t>
        </is>
      </c>
      <c r="X1054" s="112" t="inlineStr">
        <is>
          <t>GRN2526-0000424</t>
        </is>
      </c>
      <c r="Y1054" s="113" t="n">
        <v>45770</v>
      </c>
      <c r="Z1054" s="113" t="n"/>
      <c r="AA1054" s="17">
        <f>IF(RawDataGenPO[[#This Row],[Date Gen PO]]="","",RawDataGenPO[[#This Row],[Date recive bill]]-RawDataGenPO[[#This Row],[Date Gen PO]])</f>
        <v/>
      </c>
      <c r="AB1054" s="16">
        <f>IF(RawDataGenPO[[#This Row],[GRN-PO date]]&gt;RawDataGenPO[[#This Row],[Lead time delivery (day)]],"over deliverry","Ontime")</f>
        <v/>
      </c>
      <c r="AC1054" s="22" t="n"/>
    </row>
    <row r="1055" ht="38.40000152587891" customHeight="1">
      <c r="A1055" s="5">
        <f>ROW()-ROW(RawDataGenPO[[#Headers],[No.]])</f>
        <v/>
      </c>
      <c r="B1055" s="73" t="inlineStr">
        <is>
          <t>Expent  cost</t>
        </is>
      </c>
      <c r="C1055" s="343" t="n">
        <v>45748</v>
      </c>
      <c r="F1055" s="281" t="n">
        <v>45748</v>
      </c>
      <c r="G1055" s="5" t="inlineStr">
        <is>
          <t>PR2425-06317</t>
        </is>
      </c>
      <c r="H1055" s="5" t="inlineStr">
        <is>
          <t>PO2526-00162</t>
        </is>
      </c>
      <c r="I1055" s="114" t="n">
        <v>45765</v>
      </c>
      <c r="J1055" s="344" t="n">
        <v>45757</v>
      </c>
      <c r="K1055" s="20" t="n">
        <v>21</v>
      </c>
      <c r="L1055" s="112" t="inlineStr">
        <is>
          <t>SFST81000048</t>
        </is>
      </c>
      <c r="M1055" s="73" t="inlineStr">
        <is>
          <t>Tool and Equipment PD M/C</t>
        </is>
      </c>
      <c r="N1055" s="73" t="inlineStr">
        <is>
          <t>Eletrical part</t>
        </is>
      </c>
      <c r="O1055" s="120" t="n">
        <v>3</v>
      </c>
      <c r="P1055" s="119" t="inlineStr">
        <is>
          <t>RKC Thermocouple Controller Model: CB900FD-M*AN-NN/A/Y</t>
        </is>
      </c>
      <c r="Q1055" s="346" t="n">
        <v>2</v>
      </c>
      <c r="R1055" s="112" t="inlineStr">
        <is>
          <t>PCS.</t>
        </is>
      </c>
      <c r="S1055" s="292">
        <f>RawDataGenPO[[#This Row],[Total price]]/RawDataGenPO[[#This Row],[Qty'']]</f>
        <v/>
      </c>
      <c r="T1055" s="347" t="n">
        <v>15000</v>
      </c>
      <c r="U1055" s="291" t="n"/>
      <c r="V1055" s="33" t="inlineStr">
        <is>
          <t xml:space="preserve">V1000276 - SN. ELECTRIC AND SUPPLY CO., LTD.
</t>
        </is>
      </c>
      <c r="W1055" s="30" t="inlineStr">
        <is>
          <t>Recive bill and GRN already</t>
        </is>
      </c>
      <c r="X1055" s="112" t="inlineStr">
        <is>
          <t>GRN2526-0000318</t>
        </is>
      </c>
      <c r="Y1055" s="113" t="n">
        <v>45766</v>
      </c>
      <c r="Z1055" s="113" t="n"/>
      <c r="AA1055" s="17">
        <f>IF(RawDataGenPO[[#This Row],[Date Gen PO]]="","",RawDataGenPO[[#This Row],[Date recive bill]]-RawDataGenPO[[#This Row],[Date Gen PO]])</f>
        <v/>
      </c>
      <c r="AB1055" s="16">
        <f>IF(RawDataGenPO[[#This Row],[GRN-PO date]]&gt;RawDataGenPO[[#This Row],[Lead time delivery (day)]],"over deliverry","Ontime")</f>
        <v/>
      </c>
      <c r="AC1055" s="22" t="n"/>
    </row>
    <row r="1056" ht="38.40000152587891" customHeight="1">
      <c r="A1056" s="5">
        <f>ROW()-ROW(RawDataGenPO[[#Headers],[No.]])</f>
        <v/>
      </c>
      <c r="B1056" s="73" t="inlineStr">
        <is>
          <t>Expent  cost</t>
        </is>
      </c>
      <c r="C1056" s="343" t="n">
        <v>45748</v>
      </c>
      <c r="F1056" s="281" t="n">
        <v>45748</v>
      </c>
      <c r="G1056" s="5" t="inlineStr">
        <is>
          <t>PR2425-06318</t>
        </is>
      </c>
      <c r="H1056" s="5" t="inlineStr">
        <is>
          <t>PO2526-00163</t>
        </is>
      </c>
      <c r="I1056" s="344" t="n">
        <v>45757</v>
      </c>
      <c r="J1056" s="344" t="n">
        <v>45757</v>
      </c>
      <c r="K1056" s="20" t="n">
        <v>30</v>
      </c>
      <c r="L1056" s="112" t="inlineStr">
        <is>
          <t>SFST81000009</t>
        </is>
      </c>
      <c r="M1056" s="73" t="inlineStr">
        <is>
          <t>Civill jobs (Floor-Wall-Celling-roof)</t>
        </is>
      </c>
      <c r="N1056" s="73" t="inlineStr">
        <is>
          <t>Cevil jobs</t>
        </is>
      </c>
      <c r="O1056" s="120" t="n">
        <v>1</v>
      </c>
      <c r="P1056" s="119" t="inlineStr">
        <is>
          <t>pcsstainless steel SS304 model XS-43
- size 4' x 8' thick 3.2 mm.</t>
        </is>
      </c>
      <c r="Q1056" s="346" t="n">
        <v>2</v>
      </c>
      <c r="R1056" s="112" t="inlineStr">
        <is>
          <t>PCS.</t>
        </is>
      </c>
      <c r="S1056" s="292">
        <f>RawDataGenPO[[#This Row],[Total price]]/RawDataGenPO[[#This Row],[Qty'']]</f>
        <v/>
      </c>
      <c r="T1056" s="347" t="n">
        <v>8060</v>
      </c>
      <c r="U1056" s="291" t="n"/>
      <c r="V1056" s="7" t="inlineStr">
        <is>
          <t>V1000307 - M.C.K.STEEL CENTER CO., LTD.</t>
        </is>
      </c>
      <c r="W1056" s="30" t="inlineStr">
        <is>
          <t>Recive bill and GRN already</t>
        </is>
      </c>
      <c r="X1056" s="112" t="inlineStr">
        <is>
          <t>GRN2526-0000618</t>
        </is>
      </c>
      <c r="Y1056" s="113" t="n">
        <v>45779</v>
      </c>
      <c r="Z1056" s="113" t="n"/>
      <c r="AA1056" s="17">
        <f>IF(RawDataGenPO[[#This Row],[Date Gen PO]]="","",RawDataGenPO[[#This Row],[Date recive bill]]-RawDataGenPO[[#This Row],[Date Gen PO]])</f>
        <v/>
      </c>
      <c r="AB1056" s="16">
        <f>IF(RawDataGenPO[[#This Row],[GRN-PO date]]&gt;RawDataGenPO[[#This Row],[Lead time delivery (day)]],"over deliverry","Ontime")</f>
        <v/>
      </c>
      <c r="AC1056" s="22" t="n"/>
    </row>
    <row r="1057" ht="96" customHeight="1">
      <c r="A1057" s="5">
        <f>ROW()-ROW(RawDataGenPO[[#Headers],[No.]])</f>
        <v/>
      </c>
      <c r="B1057" s="73" t="inlineStr">
        <is>
          <t>Expent  cost</t>
        </is>
      </c>
      <c r="C1057" s="343" t="n">
        <v>45748</v>
      </c>
      <c r="F1057" s="281" t="n">
        <v>45748</v>
      </c>
      <c r="G1057" s="5" t="inlineStr">
        <is>
          <t>PR2425-06319</t>
        </is>
      </c>
      <c r="H1057" s="5" t="inlineStr">
        <is>
          <t>PO2526-000164</t>
        </is>
      </c>
      <c r="I1057" s="114" t="n">
        <v>45765</v>
      </c>
      <c r="J1057" s="344" t="n">
        <v>45757</v>
      </c>
      <c r="K1057" s="20" t="n">
        <v>21</v>
      </c>
      <c r="L1057" s="112" t="inlineStr">
        <is>
          <t>SFST81000009</t>
        </is>
      </c>
      <c r="M1057" s="73" t="inlineStr">
        <is>
          <t>Civill jobs (Floor-Wall-Celling-roof)</t>
        </is>
      </c>
      <c r="N1057" s="73" t="inlineStr">
        <is>
          <t>Cevil jobs</t>
        </is>
      </c>
      <c r="O1057" s="120" t="n">
        <v>1</v>
      </c>
      <c r="P1057" s="119" t="inlineStr">
        <is>
          <t>Cover Stainless Passbox Allogen andreplacenew
- stainless steel 304 thick 1.5 mm
- size 690x1055x1330 mm
- replacechemical
- weld mtype withinstall</t>
        </is>
      </c>
      <c r="Q1057" s="346" t="n">
        <v>2</v>
      </c>
      <c r="R1057" s="112" t="inlineStr">
        <is>
          <t>SET.</t>
        </is>
      </c>
      <c r="S1057" s="292">
        <f>RawDataGenPO[[#This Row],[Total price]]/RawDataGenPO[[#This Row],[Qty'']]</f>
        <v/>
      </c>
      <c r="T1057" s="347" t="n">
        <v>37000</v>
      </c>
      <c r="U1057" s="291" t="n"/>
      <c r="V1057" s="7" t="inlineStr">
        <is>
          <t>V1000798 - MGO SERVICE LIMITED PARTNERSHIP</t>
        </is>
      </c>
      <c r="W1057" s="30" t="inlineStr">
        <is>
          <t>Recive bill and GRN already</t>
        </is>
      </c>
      <c r="X1057" s="112" t="inlineStr">
        <is>
          <t>GRN2526-0000467</t>
        </is>
      </c>
      <c r="Y1057" s="113" t="n">
        <v>45772</v>
      </c>
      <c r="Z1057" s="113" t="n"/>
      <c r="AA1057" s="17">
        <f>IF(RawDataGenPO[[#This Row],[Date Gen PO]]="","",RawDataGenPO[[#This Row],[Date recive bill]]-RawDataGenPO[[#This Row],[Date Gen PO]])</f>
        <v/>
      </c>
      <c r="AB1057" s="16">
        <f>IF(RawDataGenPO[[#This Row],[GRN-PO date]]&gt;RawDataGenPO[[#This Row],[Lead time delivery (day)]],"over deliverry","Ontime")</f>
        <v/>
      </c>
      <c r="AC1057" s="22" t="n"/>
    </row>
    <row r="1058" ht="19.20000076293945" customHeight="1">
      <c r="A1058" s="5">
        <f>ROW()-ROW(RawDataGenPO[[#Headers],[No.]])</f>
        <v/>
      </c>
      <c r="B1058" s="73" t="inlineStr">
        <is>
          <t>Expent  cost</t>
        </is>
      </c>
      <c r="C1058" s="343" t="n">
        <v>45748</v>
      </c>
      <c r="F1058" s="281" t="n">
        <v>45748</v>
      </c>
      <c r="G1058" s="5" t="inlineStr">
        <is>
          <t>PR2425-06320</t>
        </is>
      </c>
      <c r="H1058" s="5" t="inlineStr">
        <is>
          <t>PO2526-00165</t>
        </is>
      </c>
      <c r="I1058" s="114" t="n">
        <v>45765</v>
      </c>
      <c r="J1058" s="344" t="n">
        <v>45757</v>
      </c>
      <c r="K1058" s="20" t="n">
        <v>21</v>
      </c>
      <c r="L1058" s="112" t="inlineStr">
        <is>
          <t>SFST81000009</t>
        </is>
      </c>
      <c r="M1058" s="73" t="inlineStr">
        <is>
          <t>Safety equipment</t>
        </is>
      </c>
      <c r="N1058" s="73" t="inlineStr">
        <is>
          <t>Safety equipment</t>
        </is>
      </c>
      <c r="O1058" s="120" t="n">
        <v>1</v>
      </c>
      <c r="P1058" s="119" t="inlineStr">
        <is>
          <t>Battery ACCU AC1250 12V. 5AH</t>
        </is>
      </c>
      <c r="Q1058" s="346" t="n">
        <v>30</v>
      </c>
      <c r="R1058" s="112" t="inlineStr">
        <is>
          <t>PCS.</t>
        </is>
      </c>
      <c r="S1058" s="284">
        <f>RawDataGenPO[[#This Row],[Total price]]/RawDataGenPO[[#This Row],[Qty'']]</f>
        <v/>
      </c>
      <c r="T1058" s="347" t="n">
        <v>11100</v>
      </c>
      <c r="U1058" s="291" t="n"/>
      <c r="V1058" s="7" t="inlineStr">
        <is>
          <t>V1000276 - SN. ELECTRIC AND SUPPLY CO., LTD.</t>
        </is>
      </c>
      <c r="W1058" s="30" t="inlineStr">
        <is>
          <t>Recive bill and GRN already</t>
        </is>
      </c>
      <c r="X1058" s="112" t="inlineStr">
        <is>
          <t>GRN2526-0000315</t>
        </is>
      </c>
      <c r="Y1058" s="113" t="n">
        <v>45766</v>
      </c>
      <c r="Z1058" s="113" t="n"/>
      <c r="AA1058" s="17">
        <f>IF(RawDataGenPO[[#This Row],[Date Gen PO]]="","",RawDataGenPO[[#This Row],[Date recive bill]]-RawDataGenPO[[#This Row],[Date Gen PO]])</f>
        <v/>
      </c>
      <c r="AB1058" s="16">
        <f>IF(RawDataGenPO[[#This Row],[GRN-PO date]]&gt;RawDataGenPO[[#This Row],[Lead time delivery (day)]],"over deliverry","Ontime")</f>
        <v/>
      </c>
      <c r="AC1058" s="22" t="n"/>
    </row>
    <row r="1059" ht="19.20000076293945" customHeight="1">
      <c r="A1059" s="5">
        <f>ROW()-ROW(RawDataGenPO[[#Headers],[No.]])</f>
        <v/>
      </c>
      <c r="B1059" s="73" t="inlineStr">
        <is>
          <t>Expent  cost</t>
        </is>
      </c>
      <c r="C1059" s="343" t="n">
        <v>45748</v>
      </c>
      <c r="F1059" s="281" t="n">
        <v>45748</v>
      </c>
      <c r="G1059" s="5" t="inlineStr">
        <is>
          <t>PR2425-06320</t>
        </is>
      </c>
      <c r="H1059" s="5" t="inlineStr">
        <is>
          <t>PO2526-00165</t>
        </is>
      </c>
      <c r="I1059" s="114" t="n">
        <v>45765</v>
      </c>
      <c r="J1059" s="344" t="n">
        <v>45757</v>
      </c>
      <c r="K1059" s="20" t="n">
        <v>21</v>
      </c>
      <c r="L1059" s="112" t="inlineStr">
        <is>
          <t>SFST81000009</t>
        </is>
      </c>
      <c r="M1059" s="73" t="inlineStr">
        <is>
          <t>Safety equipment</t>
        </is>
      </c>
      <c r="N1059" s="73" t="inlineStr">
        <is>
          <t>Safety equipment</t>
        </is>
      </c>
      <c r="O1059" s="120" t="n">
        <v>2</v>
      </c>
      <c r="P1059" s="119" t="inlineStr">
        <is>
          <t>Battery NV MP18.0A-12V. 18Ah</t>
        </is>
      </c>
      <c r="Q1059" s="346" t="n">
        <v>2</v>
      </c>
      <c r="R1059" s="112" t="inlineStr">
        <is>
          <t>PCS.</t>
        </is>
      </c>
      <c r="S1059" s="284">
        <f>RawDataGenPO[[#This Row],[Total price]]/RawDataGenPO[[#This Row],[Qty'']]</f>
        <v/>
      </c>
      <c r="T1059" s="347" t="n">
        <v>16000</v>
      </c>
      <c r="U1059" s="291" t="n"/>
      <c r="V1059" s="7" t="inlineStr">
        <is>
          <t>V1000276 - SN. ELECTRIC AND SUPPLY CO., LTD.</t>
        </is>
      </c>
      <c r="W1059" s="30" t="inlineStr">
        <is>
          <t>Recive bill and GRN already</t>
        </is>
      </c>
      <c r="X1059" s="112" t="inlineStr">
        <is>
          <t>GRN2526-0000315</t>
        </is>
      </c>
      <c r="Y1059" s="113" t="n">
        <v>45766</v>
      </c>
      <c r="Z1059" s="113" t="n"/>
      <c r="AA1059" s="17">
        <f>IF(RawDataGenPO[[#This Row],[Date Gen PO]]="","",RawDataGenPO[[#This Row],[Date recive bill]]-RawDataGenPO[[#This Row],[Date Gen PO]])</f>
        <v/>
      </c>
      <c r="AB1059" s="16">
        <f>IF(RawDataGenPO[[#This Row],[GRN-PO date]]&gt;RawDataGenPO[[#This Row],[Lead time delivery (day)]],"over deliverry","Ontime")</f>
        <v/>
      </c>
      <c r="AC1059" s="22" t="n"/>
    </row>
    <row r="1060" ht="38.40000152587891" customHeight="1">
      <c r="A1060" s="5">
        <f>ROW()-ROW(RawDataGenPO[[#Headers],[No.]])</f>
        <v/>
      </c>
      <c r="B1060" s="73" t="inlineStr">
        <is>
          <t>Expent  cost</t>
        </is>
      </c>
      <c r="C1060" s="343" t="n">
        <v>45748</v>
      </c>
      <c r="F1060" s="281" t="n">
        <v>45748</v>
      </c>
      <c r="G1060" s="5" t="inlineStr">
        <is>
          <t>PR2425-06321</t>
        </is>
      </c>
      <c r="H1060" s="5" t="inlineStr">
        <is>
          <t>PO2526-00166</t>
        </is>
      </c>
      <c r="I1060" s="344" t="n">
        <v>45757</v>
      </c>
      <c r="J1060" s="344" t="n">
        <v>45757</v>
      </c>
      <c r="K1060" s="20" t="n">
        <v>40</v>
      </c>
      <c r="L1060" s="112" t="inlineStr">
        <is>
          <t>SFST81000050</t>
        </is>
      </c>
      <c r="M1060" s="73" t="inlineStr">
        <is>
          <t>Safety equipment</t>
        </is>
      </c>
      <c r="N1060" s="73" t="inlineStr">
        <is>
          <t>Safety equipment</t>
        </is>
      </c>
      <c r="O1060" s="120" t="n">
        <v>1</v>
      </c>
      <c r="P1060" s="119" t="inlineStr">
        <is>
          <t>msupport back ERGOZO Heavy Duty
- Size: M = 3line, L = 11line, XL = 2line</t>
        </is>
      </c>
      <c r="Q1060" s="346" t="n">
        <v>16</v>
      </c>
      <c r="R1060" s="112" t="inlineStr">
        <is>
          <t>PCS.</t>
        </is>
      </c>
      <c r="S1060" s="284">
        <f>RawDataGenPO[[#This Row],[Total price]]/RawDataGenPO[[#This Row],[Qty'']]</f>
        <v/>
      </c>
      <c r="T1060" s="347" t="n">
        <v>5120</v>
      </c>
      <c r="U1060" s="291" t="n"/>
      <c r="V1060" s="7" t="inlineStr">
        <is>
          <t>V1000224 - PHOL DHANYA PUBLIC CO.,LTD.</t>
        </is>
      </c>
      <c r="W1060" s="30" t="inlineStr">
        <is>
          <t>Recive bill and GRN already</t>
        </is>
      </c>
      <c r="X1060" s="112" t="inlineStr">
        <is>
          <t>GRN2526-0000926</t>
        </is>
      </c>
      <c r="Y1060" s="113" t="n">
        <v>45793</v>
      </c>
      <c r="Z1060" s="113" t="n"/>
      <c r="AA1060" s="17">
        <f>IF(RawDataGenPO[[#This Row],[Date Gen PO]]="","",RawDataGenPO[[#This Row],[Date recive bill]]-RawDataGenPO[[#This Row],[Date Gen PO]])</f>
        <v/>
      </c>
      <c r="AB1060" s="16">
        <f>IF(RawDataGenPO[[#This Row],[GRN-PO date]]&gt;RawDataGenPO[[#This Row],[Lead time delivery (day)]],"over deliverry","Ontime")</f>
        <v/>
      </c>
      <c r="AC1060" s="22" t="n"/>
    </row>
    <row r="1061" ht="21" customHeight="1">
      <c r="A1061" s="5">
        <f>ROW()-ROW(RawDataGenPO[[#Headers],[No.]])</f>
        <v/>
      </c>
      <c r="B1061" s="73" t="inlineStr">
        <is>
          <t>Expent  cost</t>
        </is>
      </c>
      <c r="C1061" s="343" t="n">
        <v>45748</v>
      </c>
      <c r="F1061" s="281" t="n">
        <v>45748</v>
      </c>
      <c r="G1061" s="5" t="inlineStr">
        <is>
          <t>PR2425-06321</t>
        </is>
      </c>
      <c r="H1061" s="5" t="inlineStr">
        <is>
          <t>PO2526-00168</t>
        </is>
      </c>
      <c r="I1061" s="344" t="n">
        <v>45757</v>
      </c>
      <c r="J1061" s="344" t="n">
        <v>45757</v>
      </c>
      <c r="K1061" s="20" t="n">
        <v>30</v>
      </c>
      <c r="L1061" s="112" t="inlineStr">
        <is>
          <t>SFST81000050</t>
        </is>
      </c>
      <c r="M1061" s="73" t="inlineStr">
        <is>
          <t>Safety equipment</t>
        </is>
      </c>
      <c r="N1061" s="73" t="inlineStr">
        <is>
          <t>Safety equipment</t>
        </is>
      </c>
      <c r="O1061" s="120" t="n">
        <v>2</v>
      </c>
      <c r="P1061" s="119" t="inlineStr">
        <is>
          <t>round RANGER SAFETY mcable blue</t>
        </is>
      </c>
      <c r="Q1061" s="346" t="n">
        <v>10</v>
      </c>
      <c r="R1061" s="112" t="inlineStr">
        <is>
          <t>PCS.</t>
        </is>
      </c>
      <c r="S1061" s="284">
        <f>RawDataGenPO[[#This Row],[Total price]]/RawDataGenPO[[#This Row],[Qty'']]</f>
        <v/>
      </c>
      <c r="T1061" s="347" t="n">
        <v>1500</v>
      </c>
      <c r="U1061" s="291" t="n"/>
      <c r="V1061" s="7" t="inlineStr">
        <is>
          <t>V1000556 - Team Safety Sales Co., Ltd.</t>
        </is>
      </c>
      <c r="W1061" s="30" t="inlineStr">
        <is>
          <t>Recive bill and GRN already</t>
        </is>
      </c>
      <c r="X1061" s="112" t="inlineStr">
        <is>
          <t>GRN2526-0000614</t>
        </is>
      </c>
      <c r="Y1061" s="113" t="n">
        <v>45779</v>
      </c>
      <c r="Z1061" s="113" t="n"/>
      <c r="AA1061" s="17">
        <f>IF(RawDataGenPO[[#This Row],[Date Gen PO]]="","",RawDataGenPO[[#This Row],[Date recive bill]]-RawDataGenPO[[#This Row],[Date Gen PO]])</f>
        <v/>
      </c>
      <c r="AB1061" s="16">
        <f>IF(RawDataGenPO[[#This Row],[GRN-PO date]]&gt;RawDataGenPO[[#This Row],[Lead time delivery (day)]],"over deliverry","Ontime")</f>
        <v/>
      </c>
      <c r="AC1061" s="22" t="n"/>
    </row>
    <row r="1062" ht="19.20000076293945" customHeight="1">
      <c r="A1062" s="5">
        <f>ROW()-ROW(RawDataGenPO[[#Headers],[No.]])</f>
        <v/>
      </c>
      <c r="B1062" s="73" t="inlineStr">
        <is>
          <t>Expent  cost</t>
        </is>
      </c>
      <c r="C1062" s="343" t="n">
        <v>45748</v>
      </c>
      <c r="F1062" s="281" t="n">
        <v>45748</v>
      </c>
      <c r="G1062" s="5" t="inlineStr">
        <is>
          <t>PR2425-06321</t>
        </is>
      </c>
      <c r="H1062" s="5" t="inlineStr">
        <is>
          <t>PO2526-00167</t>
        </is>
      </c>
      <c r="I1062" s="114" t="n">
        <v>45765</v>
      </c>
      <c r="J1062" s="114" t="n"/>
      <c r="K1062" s="20" t="n">
        <v>21</v>
      </c>
      <c r="L1062" s="112" t="inlineStr">
        <is>
          <t>SFST81000050</t>
        </is>
      </c>
      <c r="M1062" s="73" t="inlineStr">
        <is>
          <t>Safety equipment</t>
        </is>
      </c>
      <c r="N1062" s="73" t="inlineStr">
        <is>
          <t>Safety equipment</t>
        </is>
      </c>
      <c r="O1062" s="120" t="n">
        <v>3</v>
      </c>
      <c r="P1062" s="119" t="inlineStr"/>
      <c r="Q1062" s="346" t="n">
        <v>10</v>
      </c>
      <c r="R1062" s="112" t="inlineStr">
        <is>
          <t>PCS.</t>
        </is>
      </c>
      <c r="S1062" s="284">
        <f>RawDataGenPO[[#This Row],[Total price]]/RawDataGenPO[[#This Row],[Qty'']]</f>
        <v/>
      </c>
      <c r="T1062" s="347" t="n">
        <v>475</v>
      </c>
      <c r="U1062" s="291" t="n"/>
      <c r="V1062" s="7" t="inlineStr">
        <is>
          <t>V1000065 - JENBUNJERD CO.,LTD</t>
        </is>
      </c>
      <c r="W1062" s="30" t="inlineStr">
        <is>
          <t>Recive bill and GRN already</t>
        </is>
      </c>
      <c r="X1062" s="112" t="inlineStr">
        <is>
          <t>GRN2526-0000495</t>
        </is>
      </c>
      <c r="Y1062" s="113" t="n">
        <v>45772</v>
      </c>
      <c r="Z1062" s="113" t="n"/>
      <c r="AA1062" s="17">
        <f>IF(RawDataGenPO[[#This Row],[Date Gen PO]]="","",RawDataGenPO[[#This Row],[Date recive bill]]-RawDataGenPO[[#This Row],[Date Gen PO]])</f>
        <v/>
      </c>
      <c r="AB1062" s="16">
        <f>IF(RawDataGenPO[[#This Row],[GRN-PO date]]&gt;RawDataGenPO[[#This Row],[Lead time delivery (day)]],"over deliverry","Ontime")</f>
        <v/>
      </c>
      <c r="AC1062" s="22" t="n"/>
    </row>
    <row r="1063" ht="19.20000076293945" customHeight="1">
      <c r="A1063" s="5">
        <f>ROW()-ROW(RawDataGenPO[[#Headers],[No.]])</f>
        <v/>
      </c>
      <c r="B1063" s="73" t="inlineStr">
        <is>
          <t>Expent  cost</t>
        </is>
      </c>
      <c r="C1063" s="343" t="n">
        <v>45748</v>
      </c>
      <c r="F1063" s="281" t="n">
        <v>45748</v>
      </c>
      <c r="G1063" s="5" t="inlineStr">
        <is>
          <t>PR2425-06321</t>
        </is>
      </c>
      <c r="H1063" s="5" t="inlineStr">
        <is>
          <t>PO2526-00168</t>
        </is>
      </c>
      <c r="I1063" s="344" t="n">
        <v>45757</v>
      </c>
      <c r="J1063" s="344" t="n">
        <v>45757</v>
      </c>
      <c r="K1063" s="20" t="n">
        <v>30</v>
      </c>
      <c r="L1063" s="112" t="inlineStr">
        <is>
          <t>SFST81000050</t>
        </is>
      </c>
      <c r="M1063" s="73" t="inlineStr">
        <is>
          <t>Safety equipment</t>
        </is>
      </c>
      <c r="N1063" s="73" t="inlineStr">
        <is>
          <t>Safety equipment</t>
        </is>
      </c>
      <c r="O1063" s="120" t="n">
        <v>4</v>
      </c>
      <c r="P1063" s="119" t="inlineStr">
        <is>
          <t>gloves 300 °C</t>
        </is>
      </c>
      <c r="Q1063" s="346" t="n">
        <v>2</v>
      </c>
      <c r="R1063" s="112" t="inlineStr">
        <is>
          <t>PCS.</t>
        </is>
      </c>
      <c r="S1063" s="284">
        <f>RawDataGenPO[[#This Row],[Total price]]/RawDataGenPO[[#This Row],[Qty'']]</f>
        <v/>
      </c>
      <c r="T1063" s="347" t="n">
        <v>500</v>
      </c>
      <c r="U1063" s="291" t="n"/>
      <c r="V1063" s="7" t="inlineStr">
        <is>
          <t>V1000556 - Team Safety Sales Co., Ltd.</t>
        </is>
      </c>
      <c r="W1063" s="30" t="inlineStr">
        <is>
          <t>Recive bill and GRN already</t>
        </is>
      </c>
      <c r="X1063" s="112" t="inlineStr">
        <is>
          <t>GRN2526-0000614</t>
        </is>
      </c>
      <c r="Y1063" s="113" t="n">
        <v>45779</v>
      </c>
      <c r="Z1063" s="113" t="n"/>
      <c r="AA1063" s="17">
        <f>IF(RawDataGenPO[[#This Row],[Date Gen PO]]="","",RawDataGenPO[[#This Row],[Date recive bill]]-RawDataGenPO[[#This Row],[Date Gen PO]])</f>
        <v/>
      </c>
      <c r="AB1063" s="16">
        <f>IF(RawDataGenPO[[#This Row],[GRN-PO date]]&gt;RawDataGenPO[[#This Row],[Lead time delivery (day)]],"over deliverry","Ontime")</f>
        <v/>
      </c>
      <c r="AC1063" s="22" t="n"/>
    </row>
    <row r="1064" ht="19.20000076293945" customHeight="1">
      <c r="A1064" s="5">
        <f>ROW()-ROW(RawDataGenPO[[#Headers],[No.]])</f>
        <v/>
      </c>
      <c r="B1064" s="73" t="inlineStr">
        <is>
          <t>Expent  cost</t>
        </is>
      </c>
      <c r="C1064" s="343" t="n">
        <v>45748</v>
      </c>
      <c r="F1064" s="281" t="n">
        <v>45748</v>
      </c>
      <c r="G1064" s="5" t="inlineStr">
        <is>
          <t>PR2425-06321</t>
        </is>
      </c>
      <c r="H1064" s="5" t="inlineStr">
        <is>
          <t>PO2526-00168</t>
        </is>
      </c>
      <c r="I1064" s="344" t="n">
        <v>45757</v>
      </c>
      <c r="J1064" s="344" t="n">
        <v>45757</v>
      </c>
      <c r="K1064" s="20" t="n">
        <v>30</v>
      </c>
      <c r="L1064" s="112" t="inlineStr">
        <is>
          <t>SFST81000050</t>
        </is>
      </c>
      <c r="M1064" s="73" t="inlineStr">
        <is>
          <t>Safety equipment</t>
        </is>
      </c>
      <c r="N1064" s="73" t="inlineStr">
        <is>
          <t>Safety equipment</t>
        </is>
      </c>
      <c r="O1064" s="120" t="n">
        <v>5</v>
      </c>
      <c r="P1064" s="119" t="inlineStr">
        <is>
          <t>gloves 5 m Best safe model cut5 D00</t>
        </is>
      </c>
      <c r="Q1064" s="346" t="n">
        <v>5</v>
      </c>
      <c r="R1064" s="112" t="inlineStr">
        <is>
          <t>Pair</t>
        </is>
      </c>
      <c r="S1064" s="284">
        <f>RawDataGenPO[[#This Row],[Total price]]/RawDataGenPO[[#This Row],[Qty'']]</f>
        <v/>
      </c>
      <c r="T1064" s="347" t="n">
        <v>450</v>
      </c>
      <c r="U1064" s="291" t="n"/>
      <c r="V1064" s="7" t="inlineStr">
        <is>
          <t>V1000556 - Team Safety Sales Co., Ltd.</t>
        </is>
      </c>
      <c r="W1064" s="30" t="inlineStr">
        <is>
          <t>Recive bill and GRN already</t>
        </is>
      </c>
      <c r="X1064" s="112" t="inlineStr">
        <is>
          <t>GRN2526-0000614</t>
        </is>
      </c>
      <c r="Y1064" s="113" t="n">
        <v>45779</v>
      </c>
      <c r="Z1064" s="113" t="n"/>
      <c r="AA1064" s="17">
        <f>IF(RawDataGenPO[[#This Row],[Date Gen PO]]="","",RawDataGenPO[[#This Row],[Date recive bill]]-RawDataGenPO[[#This Row],[Date Gen PO]])</f>
        <v/>
      </c>
      <c r="AB1064" s="16">
        <f>IF(RawDataGenPO[[#This Row],[GRN-PO date]]&gt;RawDataGenPO[[#This Row],[Lead time delivery (day)]],"over deliverry","Ontime")</f>
        <v/>
      </c>
      <c r="AC1064" s="22" t="n"/>
    </row>
    <row r="1065" ht="19.20000076293945" customHeight="1">
      <c r="A1065" s="5">
        <f>ROW()-ROW(RawDataGenPO[[#Headers],[No.]])</f>
        <v/>
      </c>
      <c r="B1065" s="73" t="inlineStr">
        <is>
          <t>Expent  cost</t>
        </is>
      </c>
      <c r="C1065" s="343" t="n">
        <v>45748</v>
      </c>
      <c r="F1065" s="281" t="n">
        <v>45748</v>
      </c>
      <c r="G1065" s="5" t="inlineStr">
        <is>
          <t>PR2425-06321</t>
        </is>
      </c>
      <c r="H1065" s="5" t="inlineStr">
        <is>
          <t>PO2526-00168</t>
        </is>
      </c>
      <c r="I1065" s="344" t="n">
        <v>45757</v>
      </c>
      <c r="J1065" s="344" t="n">
        <v>45757</v>
      </c>
      <c r="K1065" s="20" t="n">
        <v>30</v>
      </c>
      <c r="L1065" s="112" t="inlineStr">
        <is>
          <t>SFST81000050</t>
        </is>
      </c>
      <c r="M1065" s="73" t="inlineStr">
        <is>
          <t>Safety equipment</t>
        </is>
      </c>
      <c r="N1065" s="73" t="inlineStr">
        <is>
          <t>Safety equipment</t>
        </is>
      </c>
      <c r="O1065" s="120" t="n">
        <v>6</v>
      </c>
      <c r="P1065" s="119" t="inlineStr">
        <is>
          <t>with</t>
        </is>
      </c>
      <c r="Q1065" s="346" t="n">
        <v>4</v>
      </c>
      <c r="R1065" s="112" t="inlineStr">
        <is>
          <t>PCS.</t>
        </is>
      </c>
      <c r="S1065" s="284">
        <f>RawDataGenPO[[#This Row],[Total price]]/RawDataGenPO[[#This Row],[Qty'']]</f>
        <v/>
      </c>
      <c r="T1065" s="347" t="n">
        <v>720</v>
      </c>
      <c r="U1065" s="291" t="n"/>
      <c r="V1065" s="7" t="inlineStr">
        <is>
          <t>V1000556 - Team Safety Sales Co., Ltd.</t>
        </is>
      </c>
      <c r="W1065" s="30" t="inlineStr">
        <is>
          <t>Recive bill and GRN already</t>
        </is>
      </c>
      <c r="X1065" s="112" t="inlineStr">
        <is>
          <t>GRN2526-0000614</t>
        </is>
      </c>
      <c r="Y1065" s="113" t="n">
        <v>45779</v>
      </c>
      <c r="Z1065" s="113" t="n"/>
      <c r="AA1065" s="17">
        <f>IF(RawDataGenPO[[#This Row],[Date Gen PO]]="","",RawDataGenPO[[#This Row],[Date recive bill]]-RawDataGenPO[[#This Row],[Date Gen PO]])</f>
        <v/>
      </c>
      <c r="AB1065" s="16">
        <f>IF(RawDataGenPO[[#This Row],[GRN-PO date]]&gt;RawDataGenPO[[#This Row],[Lead time delivery (day)]],"over deliverry","Ontime")</f>
        <v/>
      </c>
      <c r="AC1065" s="22" t="n"/>
    </row>
    <row r="1066" ht="38.40000152587891" customHeight="1">
      <c r="A1066" s="5">
        <f>ROW()-ROW(RawDataGenPO[[#Headers],[No.]])</f>
        <v/>
      </c>
      <c r="B1066" s="73" t="inlineStr">
        <is>
          <t>Expent  cost</t>
        </is>
      </c>
      <c r="C1066" s="343" t="n">
        <v>45749</v>
      </c>
      <c r="F1066" s="281" t="n">
        <v>45749</v>
      </c>
      <c r="G1066" s="5" t="inlineStr">
        <is>
          <t>PR2425-06366</t>
        </is>
      </c>
      <c r="H1066" s="5" t="inlineStr">
        <is>
          <t>PO2526-00170</t>
        </is>
      </c>
      <c r="I1066" s="344" t="n">
        <v>45759</v>
      </c>
      <c r="J1066" s="344" t="n">
        <v>45759</v>
      </c>
      <c r="K1066" s="20" t="n">
        <v>40</v>
      </c>
      <c r="L1066" s="112" t="inlineStr">
        <is>
          <t>SFST81000064</t>
        </is>
      </c>
      <c r="M1066" s="73" t="inlineStr">
        <is>
          <t>Cooling machine for PD line</t>
        </is>
      </c>
      <c r="N1066" s="73" t="inlineStr">
        <is>
          <t>Condencer Unit No.33 (Ice Maker)</t>
        </is>
      </c>
      <c r="O1066" s="120" t="n">
        <v>1</v>
      </c>
      <c r="P1066" s="119" t="inlineStr">
        <is>
          <t>Inspection service chargemachineflake iceincluding repair and round-trip travel cost</t>
        </is>
      </c>
      <c r="Q1066" s="346" t="n">
        <v>1</v>
      </c>
      <c r="R1066" s="112" t="inlineStr">
        <is>
          <t>JOB</t>
        </is>
      </c>
      <c r="S1066" s="284">
        <f>RawDataGenPO[[#This Row],[Total price]]/RawDataGenPO[[#This Row],[Qty'']]</f>
        <v/>
      </c>
      <c r="T1066" s="347" t="n">
        <v>6000</v>
      </c>
      <c r="U1066" s="348" t="n"/>
      <c r="V1066" s="73" t="inlineStr">
        <is>
          <t>V1000654 - A AND B REFRIGERATION CO., LTD.</t>
        </is>
      </c>
      <c r="W1066" s="30" t="inlineStr">
        <is>
          <t>Recive bill and GRN already</t>
        </is>
      </c>
      <c r="X1066" s="112" t="inlineStr">
        <is>
          <t>GRN2526-0000806</t>
        </is>
      </c>
      <c r="Y1066" s="113" t="n">
        <v>45790</v>
      </c>
      <c r="Z1066" s="113" t="n"/>
      <c r="AA1066" s="17">
        <f>IF(RawDataGenPO[[#This Row],[Date Gen PO]]="","",RawDataGenPO[[#This Row],[Date recive bill]]-RawDataGenPO[[#This Row],[Date Gen PO]])</f>
        <v/>
      </c>
      <c r="AB1066" s="16">
        <f>IF(RawDataGenPO[[#This Row],[GRN-PO date]]&gt;RawDataGenPO[[#This Row],[Lead time delivery (day)]],"over deliverry","Ontime")</f>
        <v/>
      </c>
      <c r="AC1066" s="22" t="n"/>
    </row>
    <row r="1067" ht="19.20000076293945" customHeight="1">
      <c r="A1067" s="5">
        <f>ROW()-ROW(RawDataGenPO[[#Headers],[No.]])</f>
        <v/>
      </c>
      <c r="B1067" s="73" t="inlineStr">
        <is>
          <t>Expent  cost</t>
        </is>
      </c>
      <c r="C1067" s="343" t="n">
        <v>45750</v>
      </c>
      <c r="F1067" s="281" t="n">
        <v>45750</v>
      </c>
      <c r="G1067" s="5" t="inlineStr">
        <is>
          <t>PR2526-00005</t>
        </is>
      </c>
      <c r="H1067" s="5" t="inlineStr">
        <is>
          <t>PO2526-00156</t>
        </is>
      </c>
      <c r="I1067" s="114" t="n">
        <v>45748</v>
      </c>
      <c r="J1067" s="114" t="n"/>
      <c r="K1067" s="20" t="n">
        <v>50</v>
      </c>
      <c r="L1067" s="112" t="inlineStr">
        <is>
          <t>SFST34000054</t>
        </is>
      </c>
      <c r="M1067" s="7" t="inlineStr">
        <is>
          <t>Consumable part for MN</t>
        </is>
      </c>
      <c r="N1067" s="7" t="inlineStr">
        <is>
          <t>Refrigerant</t>
        </is>
      </c>
      <c r="O1067" s="120" t="n">
        <v>1</v>
      </c>
      <c r="P1067" s="124" t="inlineStr">
        <is>
          <t>R507 Refrigerant,(1 Tank 11.3 kg/Tank)</t>
        </is>
      </c>
      <c r="Q1067" s="349" t="n">
        <v>15</v>
      </c>
      <c r="R1067" s="122" t="inlineStr">
        <is>
          <t>DRUM.</t>
        </is>
      </c>
      <c r="S1067" s="350">
        <f>RawDataGenPO[[#This Row],[Total price]]/RawDataGenPO[[#This Row],[Qty'']]</f>
        <v/>
      </c>
      <c r="T1067" s="335" t="n">
        <v>39900</v>
      </c>
      <c r="U1067" s="348" t="n"/>
      <c r="V1067" s="73" t="inlineStr">
        <is>
          <t>V1000271 - 395 Shop Limited Partnership</t>
        </is>
      </c>
      <c r="W1067" s="30" t="inlineStr">
        <is>
          <t>Recive bill and GRN already</t>
        </is>
      </c>
      <c r="X1067" s="112" t="inlineStr">
        <is>
          <t>GRN2526-0000140</t>
        </is>
      </c>
      <c r="Y1067" s="113" t="n">
        <v>45755</v>
      </c>
      <c r="Z1067" s="113" t="n"/>
      <c r="AA1067" s="17">
        <f>IF(RawDataGenPO[[#This Row],[Date Gen PO]]="","",RawDataGenPO[[#This Row],[Date recive bill]]-RawDataGenPO[[#This Row],[Date Gen PO]])</f>
        <v/>
      </c>
      <c r="AB1067" s="16">
        <f>IF(RawDataGenPO[[#This Row],[GRN-PO date]]&gt;RawDataGenPO[[#This Row],[Lead time delivery (day)]],"over deliverry","Ontime")</f>
        <v/>
      </c>
      <c r="AC1067" s="22" t="n"/>
    </row>
    <row r="1068" ht="115.1999969482422" customHeight="1">
      <c r="A1068" s="5">
        <f>ROW()-ROW(RawDataGenPO[[#Headers],[No.]])</f>
        <v/>
      </c>
      <c r="B1068" s="73" t="inlineStr">
        <is>
          <t>Expent  cost</t>
        </is>
      </c>
      <c r="C1068" s="343" t="n">
        <v>45752</v>
      </c>
      <c r="F1068" s="281" t="n">
        <v>45752</v>
      </c>
      <c r="G1068" s="5" t="inlineStr">
        <is>
          <t>PR2526-00025</t>
        </is>
      </c>
      <c r="H1068" s="5" t="inlineStr">
        <is>
          <t>PO2526-00203</t>
        </is>
      </c>
      <c r="I1068" s="344" t="n">
        <v>45759</v>
      </c>
      <c r="J1068" s="344" t="n">
        <v>45759</v>
      </c>
      <c r="K1068" s="20" t="n">
        <v>40</v>
      </c>
      <c r="L1068" s="112" t="inlineStr">
        <is>
          <t>SFST81000048</t>
        </is>
      </c>
      <c r="M1068" s="7" t="inlineStr">
        <is>
          <t>Utility Jobs  (Boiler-Air compress-Transformer-LPG)</t>
        </is>
      </c>
      <c r="N1068" s="73" t="inlineStr">
        <is>
          <t>Cooling system jobs</t>
        </is>
      </c>
      <c r="O1068" s="120" t="n">
        <v>1</v>
      </c>
      <c r="P1068" s="119" t="inlineStr">
        <is>
          <t>Repair workmreplacespare part Air Blast Freezer No.1
- workweldreplace Ball valve size 1 1/8" for Main Liquid
- workweldreplace Rotalock valve size 7/8" for Eco port Compressor
- work Test Leak and Vacuum
- workrunmachinemwaterchemicaloperationwork</t>
        </is>
      </c>
      <c r="Q1068" s="346" t="n">
        <v>1</v>
      </c>
      <c r="R1068" s="112" t="n"/>
      <c r="S1068" s="284">
        <f>RawDataGenPO[[#This Row],[Total price]]/RawDataGenPO[[#This Row],[Qty'']]</f>
        <v/>
      </c>
      <c r="T1068" s="347" t="n">
        <v>22000</v>
      </c>
      <c r="U1068" s="348" t="n"/>
      <c r="V1068" s="73" t="inlineStr">
        <is>
          <t>V1000762 - PORNNARIN P N SERVICE LIMITED PARTNERSHIP</t>
        </is>
      </c>
      <c r="W1068" s="30" t="inlineStr">
        <is>
          <t>Recive bill and GRN already</t>
        </is>
      </c>
      <c r="X1068" s="112" t="inlineStr">
        <is>
          <t>GRN2526-0000802</t>
        </is>
      </c>
      <c r="Y1068" s="113" t="n">
        <v>45790</v>
      </c>
      <c r="Z1068" s="113" t="n"/>
      <c r="AA1068" s="17">
        <f>IF(RawDataGenPO[[#This Row],[Date Gen PO]]="","",RawDataGenPO[[#This Row],[Date recive bill]]-RawDataGenPO[[#This Row],[Date Gen PO]])</f>
        <v/>
      </c>
      <c r="AB1068" s="16">
        <f>IF(RawDataGenPO[[#This Row],[GRN-PO date]]&gt;RawDataGenPO[[#This Row],[Lead time delivery (day)]],"over deliverry","Ontime")</f>
        <v/>
      </c>
      <c r="AC1068" s="22" t="n"/>
    </row>
    <row r="1069" ht="19.20000076293945" customHeight="1">
      <c r="A1069" s="5">
        <f>ROW()-ROW(RawDataGenPO[[#Headers],[No.]])</f>
        <v/>
      </c>
      <c r="B1069" s="73" t="inlineStr">
        <is>
          <t>Expent  cost</t>
        </is>
      </c>
      <c r="C1069" s="343" t="n">
        <v>45752</v>
      </c>
      <c r="F1069" s="281" t="n">
        <v>45752</v>
      </c>
      <c r="G1069" s="5" t="inlineStr">
        <is>
          <t>PR2526-00025</t>
        </is>
      </c>
      <c r="H1069" s="5" t="inlineStr">
        <is>
          <t>PO2526-00203</t>
        </is>
      </c>
      <c r="I1069" s="344" t="n">
        <v>45759</v>
      </c>
      <c r="J1069" s="344" t="n">
        <v>45759</v>
      </c>
      <c r="K1069" s="20" t="n">
        <v>40</v>
      </c>
      <c r="L1069" s="112" t="inlineStr">
        <is>
          <t>SFST81000048</t>
        </is>
      </c>
      <c r="M1069" s="7" t="inlineStr">
        <is>
          <t>Utility Jobs  (Boiler-Air compress-Transformer-LPG)</t>
        </is>
      </c>
      <c r="N1069" s="73" t="inlineStr">
        <is>
          <t>Cooling system jobs</t>
        </is>
      </c>
      <c r="O1069" s="120" t="n">
        <v>2</v>
      </c>
      <c r="P1069" s="119" t="inlineStr">
        <is>
          <t>Ball valve size 1 1/8" for Main Liquid</t>
        </is>
      </c>
      <c r="Q1069" s="346" t="n">
        <v>1</v>
      </c>
      <c r="R1069" s="112" t="n"/>
      <c r="S1069" s="284">
        <f>RawDataGenPO[[#This Row],[Total price]]/RawDataGenPO[[#This Row],[Qty'']]</f>
        <v/>
      </c>
      <c r="T1069" s="347" t="n">
        <v>2400</v>
      </c>
      <c r="U1069" s="348" t="n"/>
      <c r="V1069" s="73" t="inlineStr">
        <is>
          <t>V1000762 - PORNNARIN P N SERVICE LIMITED PARTNERSHIP</t>
        </is>
      </c>
      <c r="W1069" s="30" t="inlineStr">
        <is>
          <t>Recive bill and GRN already</t>
        </is>
      </c>
      <c r="X1069" s="112" t="inlineStr">
        <is>
          <t>GRN2526-0000801</t>
        </is>
      </c>
      <c r="Y1069" s="113" t="n">
        <v>45790</v>
      </c>
      <c r="Z1069" s="113" t="n"/>
      <c r="AA1069" s="17">
        <f>IF(RawDataGenPO[[#This Row],[Date Gen PO]]="","",RawDataGenPO[[#This Row],[Date recive bill]]-RawDataGenPO[[#This Row],[Date Gen PO]])</f>
        <v/>
      </c>
      <c r="AB1069" s="16">
        <f>IF(RawDataGenPO[[#This Row],[GRN-PO date]]&gt;RawDataGenPO[[#This Row],[Lead time delivery (day)]],"over deliverry","Ontime")</f>
        <v/>
      </c>
      <c r="AC1069" s="22" t="n"/>
    </row>
    <row r="1070" ht="19.20000076293945" customHeight="1">
      <c r="A1070" s="5">
        <f>ROW()-ROW(RawDataGenPO[[#Headers],[No.]])</f>
        <v/>
      </c>
      <c r="B1070" s="73" t="inlineStr">
        <is>
          <t>Expent  cost</t>
        </is>
      </c>
      <c r="C1070" s="343" t="n">
        <v>45752</v>
      </c>
      <c r="F1070" s="281" t="n">
        <v>45752</v>
      </c>
      <c r="G1070" s="5" t="inlineStr">
        <is>
          <t>PR2526-00025</t>
        </is>
      </c>
      <c r="H1070" s="5" t="inlineStr">
        <is>
          <t>PO2526-00203</t>
        </is>
      </c>
      <c r="I1070" s="344" t="n">
        <v>45759</v>
      </c>
      <c r="J1070" s="344" t="n">
        <v>45759</v>
      </c>
      <c r="K1070" s="20" t="n">
        <v>40</v>
      </c>
      <c r="L1070" s="112" t="inlineStr">
        <is>
          <t>SFST81000048</t>
        </is>
      </c>
      <c r="M1070" s="7" t="inlineStr">
        <is>
          <t>Utility Jobs  (Boiler-Air compress-Transformer-LPG)</t>
        </is>
      </c>
      <c r="N1070" s="73" t="inlineStr">
        <is>
          <t>Cooling system jobs</t>
        </is>
      </c>
      <c r="O1070" s="120" t="n">
        <v>3</v>
      </c>
      <c r="P1070" s="119" t="inlineStr">
        <is>
          <t>Rotalock valve size 7/8" for Eco port Compressor</t>
        </is>
      </c>
      <c r="Q1070" s="346" t="n">
        <v>1</v>
      </c>
      <c r="R1070" s="112" t="n"/>
      <c r="S1070" s="284">
        <f>RawDataGenPO[[#This Row],[Total price]]/RawDataGenPO[[#This Row],[Qty'']]</f>
        <v/>
      </c>
      <c r="T1070" s="347" t="n">
        <v>1500</v>
      </c>
      <c r="U1070" s="348" t="n"/>
      <c r="V1070" s="73" t="inlineStr">
        <is>
          <t>V1000762 - PORNNARIN P N SERVICE LIMITED PARTNERSHIP</t>
        </is>
      </c>
      <c r="W1070" s="30" t="inlineStr">
        <is>
          <t>Recive bill and GRN already</t>
        </is>
      </c>
      <c r="X1070" s="112" t="inlineStr">
        <is>
          <t>GRN2526-0000801</t>
        </is>
      </c>
      <c r="Y1070" s="113" t="n">
        <v>45790</v>
      </c>
      <c r="Z1070" s="113" t="n"/>
      <c r="AA1070" s="17">
        <f>IF(RawDataGenPO[[#This Row],[Date Gen PO]]="","",RawDataGenPO[[#This Row],[Date recive bill]]-RawDataGenPO[[#This Row],[Date Gen PO]])</f>
        <v/>
      </c>
      <c r="AB1070" s="16">
        <f>IF(RawDataGenPO[[#This Row],[GRN-PO date]]&gt;RawDataGenPO[[#This Row],[Lead time delivery (day)]],"over deliverry","Ontime")</f>
        <v/>
      </c>
      <c r="AC1070" s="22" t="n"/>
    </row>
    <row r="1071" ht="134.3999938964844" customHeight="1">
      <c r="A1071" s="5">
        <f>ROW()-ROW(RawDataGenPO[[#Headers],[No.]])</f>
        <v/>
      </c>
      <c r="B1071" s="73" t="inlineStr">
        <is>
          <t>Expent  cost</t>
        </is>
      </c>
      <c r="C1071" s="343" t="n">
        <v>45752</v>
      </c>
      <c r="F1071" s="281" t="n">
        <v>45752</v>
      </c>
      <c r="G1071" s="5" t="inlineStr">
        <is>
          <t>PR2526-00026</t>
        </is>
      </c>
      <c r="H1071" s="5" t="inlineStr">
        <is>
          <t>PO2526-00204</t>
        </is>
      </c>
      <c r="I1071" s="344" t="n">
        <v>45759</v>
      </c>
      <c r="J1071" s="344" t="n">
        <v>45759</v>
      </c>
      <c r="K1071" s="20" t="n">
        <v>40</v>
      </c>
      <c r="L1071" s="112" t="inlineStr">
        <is>
          <t>SFST81000009</t>
        </is>
      </c>
      <c r="M1071" s="73" t="inlineStr">
        <is>
          <t>Civill jobs (Floor-Wall-Celling-roof)</t>
        </is>
      </c>
      <c r="N1071" s="73" t="inlineStr">
        <is>
          <t>Cevil jobs</t>
        </is>
      </c>
      <c r="O1071" s="120" t="n">
        <v>1</v>
      </c>
      <c r="P1071" s="119" t="inlineStr">
        <is>
          <t>Manhole Cover Size: 1700mm x 2950mm.
- L-3" x 3" x 6MM
- 2.5" x 2.5" x 3mm
- PL-4.5MM ()
- 12MM.
- Buch 1.5"</t>
        </is>
      </c>
      <c r="Q1071" s="346" t="n">
        <v>1</v>
      </c>
      <c r="R1071" s="351" t="inlineStr">
        <is>
          <t>JOB.</t>
        </is>
      </c>
      <c r="S1071" s="284">
        <f>RawDataGenPO[[#This Row],[Total price]]/RawDataGenPO[[#This Row],[Qty'']]</f>
        <v/>
      </c>
      <c r="T1071" s="347" t="n">
        <v>70000</v>
      </c>
      <c r="U1071" s="348" t="n"/>
      <c r="V1071" s="73" t="inlineStr">
        <is>
          <t>V1000655 - SRM ENGINEERING 1991 CO., LTD.</t>
        </is>
      </c>
      <c r="W1071" s="30" t="inlineStr">
        <is>
          <t>Recive bill and GRN already</t>
        </is>
      </c>
      <c r="X1071" s="5" t="inlineStr">
        <is>
          <t>GRN2526-0000622</t>
        </is>
      </c>
      <c r="Y1071" s="113" t="n">
        <v>45779</v>
      </c>
      <c r="Z1071" s="113" t="n"/>
      <c r="AA1071" s="17">
        <f>IF(RawDataGenPO[[#This Row],[Date Gen PO]]="","",RawDataGenPO[[#This Row],[Date recive bill]]-RawDataGenPO[[#This Row],[Date Gen PO]])</f>
        <v/>
      </c>
      <c r="AB1071" s="16">
        <f>IF(RawDataGenPO[[#This Row],[GRN-PO date]]&gt;RawDataGenPO[[#This Row],[Lead time delivery (day)]],"over deliverry","Ontime")</f>
        <v/>
      </c>
      <c r="AC1071" s="22" t="n"/>
    </row>
    <row r="1072" ht="19.20000076293945" customHeight="1">
      <c r="A1072" s="5">
        <f>ROW()-ROW(RawDataGenPO[[#Headers],[No.]])</f>
        <v/>
      </c>
      <c r="B1072" s="73" t="inlineStr">
        <is>
          <t>Expent  cost</t>
        </is>
      </c>
      <c r="C1072" s="343" t="n">
        <v>45752</v>
      </c>
      <c r="F1072" s="281" t="n">
        <v>45752</v>
      </c>
      <c r="G1072" s="5" t="inlineStr">
        <is>
          <t>PR2526-00026</t>
        </is>
      </c>
      <c r="H1072" s="5" t="inlineStr">
        <is>
          <t>PO2526-00204</t>
        </is>
      </c>
      <c r="I1072" s="344" t="n">
        <v>45759</v>
      </c>
      <c r="J1072" s="344" t="n">
        <v>45759</v>
      </c>
      <c r="K1072" s="20" t="n">
        <v>40</v>
      </c>
      <c r="L1072" s="112" t="inlineStr">
        <is>
          <t>SFST81000009</t>
        </is>
      </c>
      <c r="M1072" s="73" t="inlineStr">
        <is>
          <t>Civill jobs (Floor-Wall-Celling-roof)</t>
        </is>
      </c>
      <c r="N1072" s="73" t="inlineStr">
        <is>
          <t>Cevil jobs</t>
        </is>
      </c>
      <c r="O1072" s="120" t="n">
        <v>2</v>
      </c>
      <c r="P1072" s="119" t="inlineStr">
        <is>
          <t>Dismantling workandinstall</t>
        </is>
      </c>
      <c r="Q1072" s="346" t="n">
        <v>1</v>
      </c>
      <c r="R1072" s="351" t="inlineStr">
        <is>
          <t>JOB.</t>
        </is>
      </c>
      <c r="S1072" s="284">
        <f>RawDataGenPO[[#This Row],[Total price]]/RawDataGenPO[[#This Row],[Qty'']]</f>
        <v/>
      </c>
      <c r="T1072" s="347" t="n">
        <v>25000</v>
      </c>
      <c r="U1072" s="348" t="n"/>
      <c r="V1072" s="73" t="inlineStr">
        <is>
          <t>V1000655 - SRM ENGINEERING 1991 CO., LTD.</t>
        </is>
      </c>
      <c r="W1072" s="30" t="inlineStr">
        <is>
          <t>Recive bill and GRN already</t>
        </is>
      </c>
      <c r="X1072" s="112" t="inlineStr">
        <is>
          <t>GRN2526-0000622</t>
        </is>
      </c>
      <c r="Y1072" s="113" t="n">
        <v>45779</v>
      </c>
      <c r="Z1072" s="113" t="n"/>
      <c r="AA1072" s="17">
        <f>IF(RawDataGenPO[[#This Row],[Date Gen PO]]="","",RawDataGenPO[[#This Row],[Date recive bill]]-RawDataGenPO[[#This Row],[Date Gen PO]])</f>
        <v/>
      </c>
      <c r="AB1072" s="16">
        <f>IF(RawDataGenPO[[#This Row],[GRN-PO date]]&gt;RawDataGenPO[[#This Row],[Lead time delivery (day)]],"over deliverry","Ontime")</f>
        <v/>
      </c>
      <c r="AC1072" s="22" t="n"/>
    </row>
    <row r="1073" ht="38.40000152587891" customHeight="1">
      <c r="A1073" s="5">
        <f>ROW()-ROW(RawDataGenPO[[#Headers],[No.]])</f>
        <v/>
      </c>
      <c r="B1073" s="73" t="inlineStr">
        <is>
          <t>Expent  cost</t>
        </is>
      </c>
      <c r="C1073" s="343" t="n">
        <v>45752</v>
      </c>
      <c r="F1073" s="281" t="n">
        <v>45752</v>
      </c>
      <c r="G1073" s="5" t="inlineStr">
        <is>
          <t>PR2526-00027</t>
        </is>
      </c>
      <c r="H1073" s="5" t="inlineStr">
        <is>
          <t>PO2526-00205</t>
        </is>
      </c>
      <c r="I1073" s="114" t="n">
        <v>45766</v>
      </c>
      <c r="J1073" s="114" t="n"/>
      <c r="K1073" s="20" t="n">
        <v>21</v>
      </c>
      <c r="L1073" s="112" t="inlineStr">
        <is>
          <t>SFST81000048</t>
        </is>
      </c>
      <c r="M1073" s="73" t="inlineStr">
        <is>
          <t>Machanical part</t>
        </is>
      </c>
      <c r="N1073" s="73" t="inlineStr">
        <is>
          <t>Machanical jobs</t>
        </is>
      </c>
      <c r="O1073" s="120" t="n">
        <v>1</v>
      </c>
      <c r="P1073" s="119" t="inlineStr">
        <is>
          <t>Replacevalvepipem
- quantity 5 pcs</t>
        </is>
      </c>
      <c r="Q1073" s="346" t="n">
        <v>1</v>
      </c>
      <c r="R1073" s="351" t="inlineStr">
        <is>
          <t>JOB.</t>
        </is>
      </c>
      <c r="S1073" s="284">
        <f>RawDataGenPO[[#This Row],[Total price]]/RawDataGenPO[[#This Row],[Qty'']]</f>
        <v/>
      </c>
      <c r="T1073" s="347" t="n">
        <v>15000</v>
      </c>
      <c r="U1073" s="348" t="n"/>
      <c r="V1073" s="73" t="inlineStr">
        <is>
          <t>V1000793 - PANCHA LAPH INTER SUPPLY CO., LTD.</t>
        </is>
      </c>
      <c r="W1073" s="30" t="inlineStr">
        <is>
          <t>Recive bill and GRN already</t>
        </is>
      </c>
      <c r="X1073" s="112" t="inlineStr">
        <is>
          <t>GRN2526-0000353</t>
        </is>
      </c>
      <c r="Y1073" s="113" t="n">
        <v>45769</v>
      </c>
      <c r="Z1073" s="113" t="n"/>
      <c r="AA1073" s="17">
        <f>IF(RawDataGenPO[[#This Row],[Date Gen PO]]="","",RawDataGenPO[[#This Row],[Date recive bill]]-RawDataGenPO[[#This Row],[Date Gen PO]])</f>
        <v/>
      </c>
      <c r="AB1073" s="16">
        <f>IF(RawDataGenPO[[#This Row],[GRN-PO date]]&gt;RawDataGenPO[[#This Row],[Lead time delivery (day)]],"over deliverry","Ontime")</f>
        <v/>
      </c>
      <c r="AC1073" s="22" t="n"/>
    </row>
    <row r="1074" ht="134.3999938964844" customHeight="1">
      <c r="A1074" s="5">
        <f>ROW()-ROW(RawDataGenPO[[#Headers],[No.]])</f>
        <v/>
      </c>
      <c r="B1074" s="73" t="inlineStr">
        <is>
          <t>Expent  cost</t>
        </is>
      </c>
      <c r="C1074" s="343" t="n">
        <v>45752</v>
      </c>
      <c r="F1074" s="281" t="n">
        <v>45752</v>
      </c>
      <c r="G1074" s="5" t="inlineStr">
        <is>
          <t>PR2526-00029</t>
        </is>
      </c>
      <c r="H1074" s="5" t="inlineStr">
        <is>
          <t>PO2526-00241</t>
        </is>
      </c>
      <c r="I1074" s="114" t="n">
        <v>45766</v>
      </c>
      <c r="J1074" s="114" t="n"/>
      <c r="K1074" s="20" t="n">
        <v>21</v>
      </c>
      <c r="L1074" s="112" t="inlineStr">
        <is>
          <t>SFST81000048</t>
        </is>
      </c>
      <c r="M1074" s="73" t="inlineStr">
        <is>
          <t>Machanical part</t>
        </is>
      </c>
      <c r="N1074" s="73" t="inlineStr">
        <is>
          <t>Machanical jobs</t>
        </is>
      </c>
      <c r="O1074" s="120" t="n">
        <v>1</v>
      </c>
      <c r="P1074" s="119" t="inlineStr">
        <is>
          <t>relocate Hood
- remove Hood outlet
- slot ISO WALL andconnectorwithstainless steelthick 2 mm
- Hood new
- connectorpipe Hood
- relocateandinstall Hood new
- adjustconnectorpipe Hood</t>
        </is>
      </c>
      <c r="Q1074" s="346" t="n">
        <v>1</v>
      </c>
      <c r="R1074" s="351" t="inlineStr">
        <is>
          <t>JOB.</t>
        </is>
      </c>
      <c r="S1074" s="284">
        <f>RawDataGenPO[[#This Row],[Total price]]/RawDataGenPO[[#This Row],[Qty'']]</f>
        <v/>
      </c>
      <c r="T1074" s="347" t="n">
        <v>73000</v>
      </c>
      <c r="U1074" s="348" t="n"/>
      <c r="V1074" s="73" t="inlineStr">
        <is>
          <t>V1000798 - MGO SERVICE LIMITED PARTNERSHIP</t>
        </is>
      </c>
      <c r="W1074" s="30" t="inlineStr">
        <is>
          <t>Recive bill and GRN already</t>
        </is>
      </c>
      <c r="X1074" s="112" t="inlineStr">
        <is>
          <t>GRN2526-0000468</t>
        </is>
      </c>
      <c r="Y1074" s="113" t="n">
        <v>45772</v>
      </c>
      <c r="Z1074" s="113" t="n"/>
      <c r="AA1074" s="17">
        <f>IF(RawDataGenPO[[#This Row],[Date Gen PO]]="","",RawDataGenPO[[#This Row],[Date recive bill]]-RawDataGenPO[[#This Row],[Date Gen PO]])</f>
        <v/>
      </c>
      <c r="AB1074" s="16">
        <f>IF(RawDataGenPO[[#This Row],[GRN-PO date]]&gt;RawDataGenPO[[#This Row],[Lead time delivery (day)]],"over deliverry","Ontime")</f>
        <v/>
      </c>
      <c r="AC1074" s="22" t="n"/>
    </row>
    <row r="1075" ht="96" customHeight="1">
      <c r="A1075" s="5">
        <f>ROW()-ROW(RawDataGenPO[[#Headers],[No.]])</f>
        <v/>
      </c>
      <c r="B1075" s="73" t="inlineStr">
        <is>
          <t>Expent  cost</t>
        </is>
      </c>
      <c r="C1075" s="343" t="n">
        <v>45752</v>
      </c>
      <c r="F1075" s="281" t="n">
        <v>45752</v>
      </c>
      <c r="G1075" s="5" t="inlineStr">
        <is>
          <t>PR2526-00043</t>
        </is>
      </c>
      <c r="H1075" s="5" t="inlineStr">
        <is>
          <t>PO2526-00242</t>
        </is>
      </c>
      <c r="I1075" s="114" t="n">
        <v>45766</v>
      </c>
      <c r="J1075" s="114" t="n"/>
      <c r="K1075" s="20" t="n">
        <v>21</v>
      </c>
      <c r="L1075" s="112" t="inlineStr">
        <is>
          <t>SFST81000048</t>
        </is>
      </c>
      <c r="M1075" s="73" t="inlineStr">
        <is>
          <t>Machanical part</t>
        </is>
      </c>
      <c r="N1075" s="73" t="inlineStr">
        <is>
          <t>Machanical jobs</t>
        </is>
      </c>
      <c r="O1075" s="120" t="n">
        <v>1</v>
      </c>
      <c r="P1075" s="119" t="inlineStr">
        <is>
          <t>FLEXIBLE HOSE STAINLESS STEEL SS304 FMA304-3/4"
SIZE: 3/4"
END TO END: 1 M.
CONNECTION #1: FLANG PN16 SS304 3/4" (FIX)
CONNECTION #2 : SOCKET female thread SS304 3/4" - BSP</t>
        </is>
      </c>
      <c r="Q1075" s="346" t="n">
        <v>1</v>
      </c>
      <c r="R1075" s="112" t="inlineStr">
        <is>
          <t>PCS.</t>
        </is>
      </c>
      <c r="S1075" s="284">
        <f>RawDataGenPO[[#This Row],[Total price]]/RawDataGenPO[[#This Row],[Qty'']]</f>
        <v/>
      </c>
      <c r="T1075" s="347" t="n">
        <v>4400</v>
      </c>
      <c r="U1075" s="348" t="n"/>
      <c r="V1075" s="73" t="inlineStr">
        <is>
          <t>V1000655 - SRM ENGINEERING 1991 CO., LTD.</t>
        </is>
      </c>
      <c r="W1075" s="30" t="inlineStr">
        <is>
          <t>Recive bill and GRN already</t>
        </is>
      </c>
      <c r="X1075" s="115" t="inlineStr">
        <is>
          <t>GRN2526-0000403</t>
        </is>
      </c>
      <c r="Y1075" s="113" t="n">
        <v>45770</v>
      </c>
      <c r="Z1075" s="113" t="n"/>
      <c r="AA1075" s="17">
        <f>IF(RawDataGenPO[[#This Row],[Date Gen PO]]="","",RawDataGenPO[[#This Row],[Date recive bill]]-RawDataGenPO[[#This Row],[Date Gen PO]])</f>
        <v/>
      </c>
      <c r="AB1075" s="16">
        <f>IF(RawDataGenPO[[#This Row],[GRN-PO date]]&gt;RawDataGenPO[[#This Row],[Lead time delivery (day)]],"over deliverry","Ontime")</f>
        <v/>
      </c>
      <c r="AC1075" s="22" t="n"/>
    </row>
    <row r="1076" ht="105" customHeight="1">
      <c r="A1076" s="5">
        <f>ROW()-ROW(RawDataGenPO[[#Headers],[No.]])</f>
        <v/>
      </c>
      <c r="B1076" s="73" t="inlineStr">
        <is>
          <t>Expent  cost</t>
        </is>
      </c>
      <c r="C1076" s="343" t="n">
        <v>45759</v>
      </c>
      <c r="F1076" s="281" t="n">
        <v>45759</v>
      </c>
      <c r="G1076" s="5" t="inlineStr">
        <is>
          <t>PR2526-00128</t>
        </is>
      </c>
      <c r="H1076" s="5" t="inlineStr">
        <is>
          <t>PO2526-00297</t>
        </is>
      </c>
      <c r="I1076" s="344" t="n">
        <v>45759</v>
      </c>
      <c r="J1076" s="344" t="n">
        <v>45759</v>
      </c>
      <c r="K1076" s="20" t="n">
        <v>180</v>
      </c>
      <c r="L1076" s="5" t="inlineStr">
        <is>
          <t>SFST81000078</t>
        </is>
      </c>
      <c r="M1076" s="7" t="inlineStr">
        <is>
          <t>Civill jobs (Floor-Wall-Celling-roof)</t>
        </is>
      </c>
      <c r="N1076" s="7" t="inlineStr">
        <is>
          <t>Cevil jobs</t>
        </is>
      </c>
      <c r="O1076" s="11" t="n">
        <v>1</v>
      </c>
      <c r="P1076" s="80" t="inlineStr">
        <is>
          <t>Repair workfloor PU
-Front Blast chill room No.1
(packing room/Highs risk zone)
-Fix crack in holding chill (hight risk zone)
-Cold room no.6 (Fix kurb and pain color)
-Fix pu floor, slope in-front of entrants
Air blast freezer no.2</t>
        </is>
      </c>
      <c r="Q1076" s="277" t="n">
        <v>1</v>
      </c>
      <c r="R1076" s="5" t="inlineStr">
        <is>
          <t>JOB.</t>
        </is>
      </c>
      <c r="S1076" s="284">
        <f>RawDataGenPO[[#This Row],[Total price]]/RawDataGenPO[[#This Row],[Qty'']]</f>
        <v/>
      </c>
      <c r="T1076" s="278" t="n">
        <v>20000</v>
      </c>
      <c r="U1076" s="291" t="n"/>
      <c r="V1076" s="7" t="inlineStr">
        <is>
          <t>V1000731 - PHUTEWA DEVELOPMENT CO., LTD.</t>
        </is>
      </c>
      <c r="W1076" s="30" t="inlineStr">
        <is>
          <t>Recive bill and GRN already</t>
        </is>
      </c>
      <c r="X1076" s="5" t="inlineStr">
        <is>
          <t>GRN2526-0002916</t>
        </is>
      </c>
      <c r="Y1076" s="113" t="n">
        <v>45874</v>
      </c>
      <c r="Z1076" s="113" t="n"/>
      <c r="AA1076" s="17">
        <f>IF(RawDataGenPO[[#This Row],[Date Gen PO]]="","",RawDataGenPO[[#This Row],[Date recive bill]]-RawDataGenPO[[#This Row],[Date Gen PO]])</f>
        <v/>
      </c>
      <c r="AB1076" s="16">
        <f>IF(RawDataGenPO[[#This Row],[GRN-PO date]]&gt;RawDataGenPO[[#This Row],[Lead time delivery (day)]],"over deliverry","Ontime")</f>
        <v/>
      </c>
      <c r="AC1076" s="22" t="n"/>
    </row>
    <row r="1077" ht="19.20000076293945" customHeight="1">
      <c r="A1077" s="5">
        <f>ROW()-ROW(RawDataGenPO[[#Headers],[No.]])</f>
        <v/>
      </c>
      <c r="B1077" s="73" t="inlineStr">
        <is>
          <t>Expent  cost</t>
        </is>
      </c>
      <c r="C1077" s="343" t="n">
        <v>45759</v>
      </c>
      <c r="F1077" s="281" t="n">
        <v>45759</v>
      </c>
      <c r="G1077" s="5" t="inlineStr">
        <is>
          <t>PR2526-00128</t>
        </is>
      </c>
      <c r="H1077" s="5" t="inlineStr">
        <is>
          <t>PO2526-00297</t>
        </is>
      </c>
      <c r="I1077" s="344" t="n">
        <v>45759</v>
      </c>
      <c r="J1077" s="344" t="n">
        <v>45759</v>
      </c>
      <c r="K1077" s="20" t="n">
        <v>180</v>
      </c>
      <c r="L1077" s="5" t="inlineStr">
        <is>
          <t>SFST81000078</t>
        </is>
      </c>
      <c r="M1077" s="7" t="inlineStr">
        <is>
          <t>Civill jobs (Floor-Wall-Celling-roof)</t>
        </is>
      </c>
      <c r="N1077" s="7" t="inlineStr">
        <is>
          <t>Cevil jobs</t>
        </is>
      </c>
      <c r="O1077" s="11" t="n">
        <v>2</v>
      </c>
      <c r="P1077" s="80" t="inlineStr"/>
      <c r="Q1077" s="277" t="n">
        <v>1</v>
      </c>
      <c r="R1077" s="5" t="inlineStr">
        <is>
          <t>JOB.</t>
        </is>
      </c>
      <c r="S1077" s="284">
        <f>RawDataGenPO[[#This Row],[Total price]]/RawDataGenPO[[#This Row],[Qty'']]</f>
        <v/>
      </c>
      <c r="T1077" s="278" t="n">
        <v>5000</v>
      </c>
      <c r="U1077" s="291" t="n"/>
      <c r="V1077" s="7" t="inlineStr">
        <is>
          <t>V1000731 - PHUTEWA DEVELOPMENT CO., LTD.</t>
        </is>
      </c>
      <c r="W1077" s="30" t="inlineStr">
        <is>
          <t>Recive bill and GRN already</t>
        </is>
      </c>
      <c r="X1077" s="5" t="inlineStr">
        <is>
          <t>GRN2526-0002916</t>
        </is>
      </c>
      <c r="Y1077" s="113" t="n">
        <v>45874</v>
      </c>
      <c r="Z1077" s="113" t="n"/>
      <c r="AA1077" s="17">
        <f>IF(RawDataGenPO[[#This Row],[Date Gen PO]]="","",RawDataGenPO[[#This Row],[Date recive bill]]-RawDataGenPO[[#This Row],[Date Gen PO]])</f>
        <v/>
      </c>
      <c r="AB1077" s="16">
        <f>IF(RawDataGenPO[[#This Row],[GRN-PO date]]&gt;RawDataGenPO[[#This Row],[Lead time delivery (day)]],"over deliverry","Ontime")</f>
        <v/>
      </c>
      <c r="AC1077" s="22" t="n"/>
    </row>
    <row r="1078" ht="19.20000076293945" customHeight="1">
      <c r="A1078" s="5">
        <f>ROW()-ROW(RawDataGenPO[[#Headers],[No.]])</f>
        <v/>
      </c>
      <c r="B1078" s="73" t="inlineStr">
        <is>
          <t>Expent  cost</t>
        </is>
      </c>
      <c r="C1078" s="343" t="n">
        <v>45759</v>
      </c>
      <c r="F1078" s="281" t="n">
        <v>45759</v>
      </c>
      <c r="G1078" s="5" t="inlineStr">
        <is>
          <t>PR2526-00130</t>
        </is>
      </c>
      <c r="H1078" s="5" t="inlineStr">
        <is>
          <t>PO2526-00298</t>
        </is>
      </c>
      <c r="I1078" s="114" t="n">
        <v>45766</v>
      </c>
      <c r="J1078" s="114" t="n"/>
      <c r="K1078" s="20" t="n">
        <v>21</v>
      </c>
      <c r="L1078" s="5" t="inlineStr">
        <is>
          <t>SFST34000054</t>
        </is>
      </c>
      <c r="M1078" s="7" t="inlineStr">
        <is>
          <t>Consumable part for MN</t>
        </is>
      </c>
      <c r="N1078" s="7" t="inlineStr">
        <is>
          <t>Refrigerant</t>
        </is>
      </c>
      <c r="O1078" s="11" t="n">
        <v>1</v>
      </c>
      <c r="P1078" s="83" t="inlineStr">
        <is>
          <t>R507 Refrigerant,(1 Tank 11.3 kg/Tank)</t>
        </is>
      </c>
      <c r="Q1078" s="333" t="n">
        <v>20</v>
      </c>
      <c r="R1078" s="64" t="inlineStr">
        <is>
          <t>DRUM.</t>
        </is>
      </c>
      <c r="S1078" s="350">
        <f>RawDataGenPO[[#This Row],[Total price]]/RawDataGenPO[[#This Row],[Qty'']]</f>
        <v/>
      </c>
      <c r="T1078" s="335" t="n">
        <v>52600</v>
      </c>
      <c r="U1078" s="291" t="n"/>
      <c r="V1078" s="7" t="inlineStr">
        <is>
          <t>V1000312 - Colder Solution Co., Ltd.</t>
        </is>
      </c>
      <c r="W1078" s="30" t="inlineStr">
        <is>
          <t>Recive bill and GRN already</t>
        </is>
      </c>
      <c r="X1078" s="5" t="inlineStr">
        <is>
          <t>GRN2526-0000454</t>
        </is>
      </c>
      <c r="Y1078" s="113" t="n">
        <v>45771</v>
      </c>
      <c r="Z1078" s="113" t="n"/>
      <c r="AA1078" s="17">
        <f>IF(RawDataGenPO[[#This Row],[Date Gen PO]]="","",RawDataGenPO[[#This Row],[Date recive bill]]-RawDataGenPO[[#This Row],[Date Gen PO]])</f>
        <v/>
      </c>
      <c r="AB1078" s="16">
        <f>IF(RawDataGenPO[[#This Row],[GRN-PO date]]&gt;RawDataGenPO[[#This Row],[Lead time delivery (day)]],"over deliverry","Ontime")</f>
        <v/>
      </c>
      <c r="AC1078" s="22" t="n"/>
    </row>
    <row r="1079" ht="19.20000076293945" customHeight="1">
      <c r="A1079" s="5">
        <f>ROW()-ROW(RawDataGenPO[[#Headers],[No.]])</f>
        <v/>
      </c>
      <c r="B1079" s="73" t="inlineStr">
        <is>
          <t>Expent  cost</t>
        </is>
      </c>
      <c r="C1079" s="343" t="n">
        <v>45759</v>
      </c>
      <c r="F1079" s="281" t="n">
        <v>45759</v>
      </c>
      <c r="G1079" s="5" t="inlineStr">
        <is>
          <t>PR2526-00131</t>
        </is>
      </c>
      <c r="H1079" s="5" t="inlineStr">
        <is>
          <t>PO2526-00299</t>
        </is>
      </c>
      <c r="I1079" s="114" t="n">
        <v>45766</v>
      </c>
      <c r="J1079" s="114" t="n"/>
      <c r="K1079" s="20" t="n">
        <v>21</v>
      </c>
      <c r="L1079" s="5" t="inlineStr">
        <is>
          <t>SFST81000048</t>
        </is>
      </c>
      <c r="M1079" s="7" t="inlineStr">
        <is>
          <t>PD Machine</t>
        </is>
      </c>
      <c r="N1079" s="7" t="inlineStr">
        <is>
          <t>Steam Bratt pan No.2</t>
        </is>
      </c>
      <c r="O1079" s="11" t="n">
        <v>1</v>
      </c>
      <c r="P1079" s="80" t="inlineStr">
        <is>
          <t>Mini-controler, programmable MKA 120, 18-36 VDC</t>
        </is>
      </c>
      <c r="Q1079" s="277" t="n">
        <v>1</v>
      </c>
      <c r="R1079" s="5" t="inlineStr">
        <is>
          <t>EA.</t>
        </is>
      </c>
      <c r="S1079" s="284">
        <f>RawDataGenPO[[#This Row],[Total price]]/RawDataGenPO[[#This Row],[Qty'']]</f>
        <v/>
      </c>
      <c r="T1079" s="278" t="n">
        <v>43677</v>
      </c>
      <c r="U1079" s="291" t="n"/>
      <c r="V1079" s="7" t="inlineStr">
        <is>
          <t>V1000189 - FPT FOOD PROCESS TECHNOLOGY CO., LTD.</t>
        </is>
      </c>
      <c r="W1079" s="30" t="inlineStr">
        <is>
          <t>Recive bill and GRN already</t>
        </is>
      </c>
      <c r="X1079" s="5" t="inlineStr">
        <is>
          <t>GRN2526-0000494</t>
        </is>
      </c>
      <c r="Y1079" s="113" t="n">
        <v>45772</v>
      </c>
      <c r="Z1079" s="113" t="n"/>
      <c r="AA1079" s="17">
        <f>IF(RawDataGenPO[[#This Row],[Date Gen PO]]="","",RawDataGenPO[[#This Row],[Date recive bill]]-RawDataGenPO[[#This Row],[Date Gen PO]])</f>
        <v/>
      </c>
      <c r="AB1079" s="16">
        <f>IF(RawDataGenPO[[#This Row],[GRN-PO date]]&gt;RawDataGenPO[[#This Row],[Lead time delivery (day)]],"over deliverry","Ontime")</f>
        <v/>
      </c>
      <c r="AC1079" s="22" t="n"/>
    </row>
    <row r="1080" ht="19.20000076293945" customHeight="1">
      <c r="A1080" s="5">
        <f>ROW()-ROW(RawDataGenPO[[#Headers],[No.]])</f>
        <v/>
      </c>
      <c r="B1080" s="73" t="inlineStr">
        <is>
          <t>Expent  cost</t>
        </is>
      </c>
      <c r="C1080" s="343" t="n">
        <v>45759</v>
      </c>
      <c r="F1080" s="281" t="n">
        <v>45759</v>
      </c>
      <c r="G1080" s="5" t="inlineStr">
        <is>
          <t>PR2526-00132</t>
        </is>
      </c>
      <c r="H1080" s="5" t="inlineStr">
        <is>
          <t>PO2526-00300</t>
        </is>
      </c>
      <c r="I1080" s="344" t="n">
        <v>45759</v>
      </c>
      <c r="J1080" s="344" t="n">
        <v>45759</v>
      </c>
      <c r="K1080" s="20" t="n">
        <v>40</v>
      </c>
      <c r="L1080" s="5" t="inlineStr">
        <is>
          <t>SFST81000009</t>
        </is>
      </c>
      <c r="M1080" s="7" t="inlineStr">
        <is>
          <t>Civill jobs (Floor-Wall-Celling-roof)</t>
        </is>
      </c>
      <c r="N1080" s="7" t="inlineStr">
        <is>
          <t>Cevil jobs</t>
        </is>
      </c>
      <c r="O1080" s="11" t="n">
        <v>1</v>
      </c>
      <c r="P1080" s="80" t="inlineStr">
        <is>
          <t>Epoxy coating, Green (Part A / Part B)</t>
        </is>
      </c>
      <c r="Q1080" s="277" t="n">
        <v>2</v>
      </c>
      <c r="R1080" s="5" t="inlineStr">
        <is>
          <t>DRUM.</t>
        </is>
      </c>
      <c r="S1080" s="284">
        <f>RawDataGenPO[[#This Row],[Total price]]/RawDataGenPO[[#This Row],[Qty'']]</f>
        <v/>
      </c>
      <c r="T1080" s="278" t="n">
        <v>4175</v>
      </c>
      <c r="U1080" s="291" t="n"/>
      <c r="V1080" s="7" t="inlineStr">
        <is>
          <t>V1000198 - APEX ASIA CONSTRUCTION CO.,LTD.</t>
        </is>
      </c>
      <c r="W1080" s="30" t="inlineStr">
        <is>
          <t>Recive bill and GRN already</t>
        </is>
      </c>
      <c r="X1080" s="5" t="inlineStr">
        <is>
          <t>GRN2526-0000623</t>
        </is>
      </c>
      <c r="Y1080" s="113" t="n">
        <v>45779</v>
      </c>
      <c r="Z1080" s="113" t="n"/>
      <c r="AA1080" s="17">
        <f>IF(RawDataGenPO[[#This Row],[Date Gen PO]]="","",RawDataGenPO[[#This Row],[Date recive bill]]-RawDataGenPO[[#This Row],[Date Gen PO]])</f>
        <v/>
      </c>
      <c r="AB1080" s="16">
        <f>IF(RawDataGenPO[[#This Row],[GRN-PO date]]&gt;RawDataGenPO[[#This Row],[Lead time delivery (day)]],"over deliverry","Ontime")</f>
        <v/>
      </c>
      <c r="AC1080" s="22" t="n"/>
    </row>
    <row r="1081" ht="19.20000076293945" customHeight="1">
      <c r="A1081" s="5">
        <f>ROW()-ROW(RawDataGenPO[[#Headers],[No.]])</f>
        <v/>
      </c>
      <c r="B1081" s="73" t="inlineStr">
        <is>
          <t>Expent  cost</t>
        </is>
      </c>
      <c r="C1081" s="343" t="n">
        <v>45759</v>
      </c>
      <c r="F1081" s="281" t="n">
        <v>45759</v>
      </c>
      <c r="G1081" s="5" t="inlineStr">
        <is>
          <t>PR2526-00132</t>
        </is>
      </c>
      <c r="H1081" s="5" t="inlineStr">
        <is>
          <t>PO2526-00300</t>
        </is>
      </c>
      <c r="I1081" s="344" t="n">
        <v>45777</v>
      </c>
      <c r="J1081" s="344" t="n">
        <v>45777</v>
      </c>
      <c r="K1081" s="20" t="n">
        <v>20</v>
      </c>
      <c r="L1081" s="5" t="inlineStr">
        <is>
          <t>SFST81000009</t>
        </is>
      </c>
      <c r="M1081" s="7" t="inlineStr">
        <is>
          <t>Civill jobs (Floor-Wall-Celling-roof)</t>
        </is>
      </c>
      <c r="N1081" s="7" t="inlineStr">
        <is>
          <t>Cevil jobs</t>
        </is>
      </c>
      <c r="O1081" s="11" t="n">
        <v>2</v>
      </c>
      <c r="P1081" s="80" t="inlineStr">
        <is>
          <t>Epoxy coating, Yellow (Part A / Part B)</t>
        </is>
      </c>
      <c r="Q1081" s="277" t="n">
        <v>2</v>
      </c>
      <c r="R1081" s="5" t="inlineStr">
        <is>
          <t>DRUM.</t>
        </is>
      </c>
      <c r="S1081" s="284">
        <f>RawDataGenPO[[#This Row],[Total price]]/RawDataGenPO[[#This Row],[Qty'']]</f>
        <v/>
      </c>
      <c r="T1081" s="278" t="n">
        <v>4175</v>
      </c>
      <c r="U1081" s="291" t="n"/>
      <c r="V1081" s="7" t="inlineStr">
        <is>
          <t>V1000198 - APEX ASIA CONSTRUCTION CO.,LTD.</t>
        </is>
      </c>
      <c r="W1081" s="30" t="inlineStr">
        <is>
          <t>Recive bill and GRN already</t>
        </is>
      </c>
      <c r="X1081" s="5" t="inlineStr">
        <is>
          <t>GRN2526-0000623</t>
        </is>
      </c>
      <c r="Y1081" s="113" t="n">
        <v>45779</v>
      </c>
      <c r="Z1081" s="113" t="n"/>
      <c r="AA1081" s="17">
        <f>IF(RawDataGenPO[[#This Row],[Date Gen PO]]="","",RawDataGenPO[[#This Row],[Date recive bill]]-RawDataGenPO[[#This Row],[Date Gen PO]])</f>
        <v/>
      </c>
      <c r="AB1081" s="16">
        <f>IF(RawDataGenPO[[#This Row],[GRN-PO date]]&gt;RawDataGenPO[[#This Row],[Lead time delivery (day)]],"over deliverry","Ontime")</f>
        <v/>
      </c>
      <c r="AC1081" s="22" t="n"/>
    </row>
    <row r="1082" ht="19.20000076293945" customHeight="1">
      <c r="A1082" s="5">
        <f>ROW()-ROW(RawDataGenPO[[#Headers],[No.]])</f>
        <v/>
      </c>
      <c r="B1082" s="73" t="inlineStr">
        <is>
          <t>Expent  cost</t>
        </is>
      </c>
      <c r="C1082" s="343" t="n">
        <v>45769</v>
      </c>
      <c r="F1082" s="281" t="n">
        <v>45769</v>
      </c>
      <c r="G1082" s="5" t="inlineStr">
        <is>
          <t>PR2526-00234</t>
        </is>
      </c>
      <c r="H1082" s="5" t="inlineStr">
        <is>
          <t>PO2526-00413</t>
        </is>
      </c>
      <c r="I1082" s="344" t="n">
        <v>45777</v>
      </c>
      <c r="J1082" s="344" t="n">
        <v>45777</v>
      </c>
      <c r="K1082" s="20" t="n">
        <v>20</v>
      </c>
      <c r="L1082" s="5" t="inlineStr">
        <is>
          <t>SFST34000004</t>
        </is>
      </c>
      <c r="M1082" s="7" t="inlineStr">
        <is>
          <t>Consumable part for MN</t>
        </is>
      </c>
      <c r="N1082" s="7" t="inlineStr">
        <is>
          <t>Consumable part</t>
        </is>
      </c>
      <c r="O1082" s="11" t="n">
        <v>1</v>
      </c>
      <c r="P1082" s="80" t="inlineStr">
        <is>
          <t>fittingconnectormale thread(PVC), 1/2"</t>
        </is>
      </c>
      <c r="Q1082" s="277" t="n">
        <v>10</v>
      </c>
      <c r="R1082" s="112" t="inlineStr">
        <is>
          <t>PCS.</t>
        </is>
      </c>
      <c r="S1082" s="284">
        <f>RawDataGenPO[[#This Row],[Total price]]/RawDataGenPO[[#This Row],[Qty'']]</f>
        <v/>
      </c>
      <c r="T1082" s="278" t="n">
        <v>30</v>
      </c>
      <c r="U1082" s="291" t="n"/>
      <c r="V1082" s="7" t="inlineStr">
        <is>
          <t>V1000306 - Inter Supply (1992) Co., Ltd.</t>
        </is>
      </c>
      <c r="W1082" s="30" t="inlineStr">
        <is>
          <t>Recive bill and GRN already</t>
        </is>
      </c>
      <c r="X1082" s="5" t="inlineStr">
        <is>
          <t>GRN2526-0000745</t>
        </is>
      </c>
      <c r="Y1082" s="113" t="n">
        <v>45785</v>
      </c>
      <c r="Z1082" s="113" t="n"/>
      <c r="AA1082" s="17">
        <f>IF(RawDataGenPO[[#This Row],[Date Gen PO]]="","",RawDataGenPO[[#This Row],[Date recive bill]]-RawDataGenPO[[#This Row],[Date Gen PO]])</f>
        <v/>
      </c>
      <c r="AB1082" s="16">
        <f>IF(RawDataGenPO[[#This Row],[GRN-PO date]]&gt;RawDataGenPO[[#This Row],[Lead time delivery (day)]],"over deliverry","Ontime")</f>
        <v/>
      </c>
      <c r="AC1082" s="22" t="n"/>
    </row>
    <row r="1083" ht="19.20000076293945" customHeight="1">
      <c r="A1083" s="5">
        <f>ROW()-ROW(RawDataGenPO[[#Headers],[No.]])</f>
        <v/>
      </c>
      <c r="B1083" s="73" t="inlineStr">
        <is>
          <t>Expent  cost</t>
        </is>
      </c>
      <c r="C1083" s="343" t="n">
        <v>45769</v>
      </c>
      <c r="F1083" s="281" t="n">
        <v>45769</v>
      </c>
      <c r="G1083" s="5" t="inlineStr">
        <is>
          <t>PR2526-00234</t>
        </is>
      </c>
      <c r="H1083" s="5" t="inlineStr">
        <is>
          <t>PO2526-00413</t>
        </is>
      </c>
      <c r="I1083" s="344" t="n">
        <v>45777</v>
      </c>
      <c r="J1083" s="344" t="n">
        <v>45777</v>
      </c>
      <c r="K1083" s="20" t="n">
        <v>20</v>
      </c>
      <c r="L1083" s="5" t="inlineStr">
        <is>
          <t>SFST34000016</t>
        </is>
      </c>
      <c r="M1083" s="7" t="inlineStr">
        <is>
          <t>Consumable part for MN</t>
        </is>
      </c>
      <c r="N1083" s="7" t="inlineStr">
        <is>
          <t>Consumable part</t>
        </is>
      </c>
      <c r="O1083" s="11" t="n">
        <v>2</v>
      </c>
      <c r="P1083" s="80" t="inlineStr">
        <is>
          <t>fittingstraight couplingPVC, 1/2"</t>
        </is>
      </c>
      <c r="Q1083" s="277" t="n">
        <v>10</v>
      </c>
      <c r="R1083" s="112" t="inlineStr">
        <is>
          <t>PCS.</t>
        </is>
      </c>
      <c r="S1083" s="284">
        <f>RawDataGenPO[[#This Row],[Total price]]/RawDataGenPO[[#This Row],[Qty'']]</f>
        <v/>
      </c>
      <c r="T1083" s="278" t="n">
        <v>30</v>
      </c>
      <c r="U1083" s="291" t="n"/>
      <c r="V1083" s="7" t="inlineStr">
        <is>
          <t>V1000306 - Inter Supply (1992) Co., Ltd.</t>
        </is>
      </c>
      <c r="W1083" s="30" t="inlineStr">
        <is>
          <t>Recive bill and GRN already</t>
        </is>
      </c>
      <c r="X1083" s="5" t="inlineStr">
        <is>
          <t>GRN2526-0000745</t>
        </is>
      </c>
      <c r="Y1083" s="113" t="n">
        <v>45785</v>
      </c>
      <c r="Z1083" s="113" t="n"/>
      <c r="AA1083" s="17">
        <f>IF(RawDataGenPO[[#This Row],[Date Gen PO]]="","",RawDataGenPO[[#This Row],[Date recive bill]]-RawDataGenPO[[#This Row],[Date Gen PO]])</f>
        <v/>
      </c>
      <c r="AB1083" s="16">
        <f>IF(RawDataGenPO[[#This Row],[GRN-PO date]]&gt;RawDataGenPO[[#This Row],[Lead time delivery (day)]],"over deliverry","Ontime")</f>
        <v/>
      </c>
      <c r="AC1083" s="22" t="n"/>
    </row>
    <row r="1084" ht="19.20000076293945" customHeight="1">
      <c r="A1084" s="5">
        <f>ROW()-ROW(RawDataGenPO[[#Headers],[No.]])</f>
        <v/>
      </c>
      <c r="B1084" s="73" t="inlineStr">
        <is>
          <t>Expent  cost</t>
        </is>
      </c>
      <c r="C1084" s="343" t="n">
        <v>45769</v>
      </c>
      <c r="F1084" s="281" t="n">
        <v>45769</v>
      </c>
      <c r="G1084" s="5" t="inlineStr">
        <is>
          <t>PR2526-00234</t>
        </is>
      </c>
      <c r="H1084" s="5" t="inlineStr">
        <is>
          <t>PO2526-00413</t>
        </is>
      </c>
      <c r="I1084" s="344" t="n">
        <v>45777</v>
      </c>
      <c r="J1084" s="344" t="n">
        <v>45777</v>
      </c>
      <c r="K1084" s="20" t="n">
        <v>20</v>
      </c>
      <c r="L1084" s="5" t="inlineStr">
        <is>
          <t>SFST34000019</t>
        </is>
      </c>
      <c r="M1084" s="7" t="inlineStr">
        <is>
          <t>Consumable part for MN</t>
        </is>
      </c>
      <c r="N1084" s="7" t="inlineStr">
        <is>
          <t>Consumable part</t>
        </is>
      </c>
      <c r="O1084" s="11" t="n">
        <v>3</v>
      </c>
      <c r="P1084" s="80" t="inlineStr">
        <is>
          <t>elbow 90 PVC,1/2 "</t>
        </is>
      </c>
      <c r="Q1084" s="277" t="n">
        <v>10</v>
      </c>
      <c r="R1084" s="112" t="inlineStr">
        <is>
          <t>PCS.</t>
        </is>
      </c>
      <c r="S1084" s="284">
        <f>RawDataGenPO[[#This Row],[Total price]]/RawDataGenPO[[#This Row],[Qty'']]</f>
        <v/>
      </c>
      <c r="T1084" s="278" t="n">
        <v>100</v>
      </c>
      <c r="U1084" s="291" t="n"/>
      <c r="V1084" s="7" t="inlineStr">
        <is>
          <t>V1000306 - Inter Supply (1992) Co., Ltd.</t>
        </is>
      </c>
      <c r="W1084" s="30" t="inlineStr">
        <is>
          <t>Recive bill and GRN already</t>
        </is>
      </c>
      <c r="X1084" s="5" t="inlineStr">
        <is>
          <t>GRN2526-0000745</t>
        </is>
      </c>
      <c r="Y1084" s="113" t="n">
        <v>45785</v>
      </c>
      <c r="Z1084" s="113" t="n"/>
      <c r="AA1084" s="17">
        <f>IF(RawDataGenPO[[#This Row],[Date Gen PO]]="","",RawDataGenPO[[#This Row],[Date recive bill]]-RawDataGenPO[[#This Row],[Date Gen PO]])</f>
        <v/>
      </c>
      <c r="AB1084" s="16">
        <f>IF(RawDataGenPO[[#This Row],[GRN-PO date]]&gt;RawDataGenPO[[#This Row],[Lead time delivery (day)]],"over deliverry","Ontime")</f>
        <v/>
      </c>
      <c r="AC1084" s="22" t="n"/>
    </row>
    <row r="1085" ht="19.20000076293945" customHeight="1">
      <c r="A1085" s="5">
        <f>ROW()-ROW(RawDataGenPO[[#Headers],[No.]])</f>
        <v/>
      </c>
      <c r="B1085" s="73" t="inlineStr">
        <is>
          <t>Expent  cost</t>
        </is>
      </c>
      <c r="C1085" s="343" t="n">
        <v>45769</v>
      </c>
      <c r="F1085" s="281" t="n">
        <v>45769</v>
      </c>
      <c r="G1085" s="5" t="inlineStr">
        <is>
          <t>PR2526-00234</t>
        </is>
      </c>
      <c r="H1085" s="5" t="inlineStr">
        <is>
          <t>PO2526-00413</t>
        </is>
      </c>
      <c r="I1085" s="344" t="n">
        <v>45777</v>
      </c>
      <c r="J1085" s="344" t="n">
        <v>45777</v>
      </c>
      <c r="K1085" s="20" t="n">
        <v>20</v>
      </c>
      <c r="L1085" s="5" t="inlineStr">
        <is>
          <t>SFST34000020</t>
        </is>
      </c>
      <c r="M1085" s="7" t="inlineStr">
        <is>
          <t>Consumable part for MN</t>
        </is>
      </c>
      <c r="N1085" s="7" t="inlineStr">
        <is>
          <t>Consumable part</t>
        </is>
      </c>
      <c r="O1085" s="11" t="n">
        <v>4</v>
      </c>
      <c r="P1085" s="80" t="inlineStr">
        <is>
          <t>elbow 90 PVC,3/4 "</t>
        </is>
      </c>
      <c r="Q1085" s="277" t="n">
        <v>10</v>
      </c>
      <c r="R1085" s="112" t="inlineStr">
        <is>
          <t>PCS.</t>
        </is>
      </c>
      <c r="S1085" s="284">
        <f>RawDataGenPO[[#This Row],[Total price]]/RawDataGenPO[[#This Row],[Qty'']]</f>
        <v/>
      </c>
      <c r="T1085" s="278" t="n">
        <v>150</v>
      </c>
      <c r="U1085" s="291" t="n"/>
      <c r="V1085" s="7" t="inlineStr">
        <is>
          <t>V1000306 - Inter Supply (1992) Co., Ltd.</t>
        </is>
      </c>
      <c r="W1085" s="30" t="inlineStr">
        <is>
          <t>Recive bill and GRN already</t>
        </is>
      </c>
      <c r="X1085" s="5" t="inlineStr">
        <is>
          <t>GRN2526-0000745</t>
        </is>
      </c>
      <c r="Y1085" s="113" t="n">
        <v>45785</v>
      </c>
      <c r="Z1085" s="113" t="n"/>
      <c r="AA1085" s="17">
        <f>IF(RawDataGenPO[[#This Row],[Date Gen PO]]="","",RawDataGenPO[[#This Row],[Date recive bill]]-RawDataGenPO[[#This Row],[Date Gen PO]])</f>
        <v/>
      </c>
      <c r="AB1085" s="16">
        <f>IF(RawDataGenPO[[#This Row],[GRN-PO date]]&gt;RawDataGenPO[[#This Row],[Lead time delivery (day)]],"over deliverry","Ontime")</f>
        <v/>
      </c>
      <c r="AC1085" s="22" t="n"/>
    </row>
    <row r="1086" ht="19.20000076293945" customHeight="1">
      <c r="A1086" s="5">
        <f>ROW()-ROW(RawDataGenPO[[#Headers],[No.]])</f>
        <v/>
      </c>
      <c r="B1086" s="73" t="inlineStr">
        <is>
          <t>Expent  cost</t>
        </is>
      </c>
      <c r="C1086" s="343" t="n">
        <v>45769</v>
      </c>
      <c r="F1086" s="281" t="n">
        <v>45769</v>
      </c>
      <c r="G1086" s="5" t="inlineStr">
        <is>
          <t>PR2526-00234</t>
        </is>
      </c>
      <c r="H1086" s="5" t="inlineStr">
        <is>
          <t>PO2526-00414</t>
        </is>
      </c>
      <c r="I1086" s="344" t="n">
        <v>45777</v>
      </c>
      <c r="J1086" s="344" t="n">
        <v>45777</v>
      </c>
      <c r="K1086" s="20" t="n">
        <v>20</v>
      </c>
      <c r="L1086" s="5" t="inlineStr">
        <is>
          <t>SFST34000092</t>
        </is>
      </c>
      <c r="M1086" s="7" t="inlineStr">
        <is>
          <t>Consumable part for MN</t>
        </is>
      </c>
      <c r="N1086" s="7" t="inlineStr">
        <is>
          <t>Consumable part</t>
        </is>
      </c>
      <c r="O1086" s="11" t="n">
        <v>1</v>
      </c>
      <c r="P1086" s="80" t="inlineStr">
        <is>
          <t>tapethreadSCG 12mm.x0.1mm.x10m. brand​SCG tapepipe</t>
        </is>
      </c>
      <c r="Q1086" s="277" t="n">
        <v>20</v>
      </c>
      <c r="R1086" s="112" t="inlineStr">
        <is>
          <t>PCS.</t>
        </is>
      </c>
      <c r="S1086" s="284">
        <f>RawDataGenPO[[#This Row],[Total price]]/RawDataGenPO[[#This Row],[Qty'']]</f>
        <v/>
      </c>
      <c r="T1086" s="278" t="n">
        <v>600</v>
      </c>
      <c r="U1086" s="291" t="n"/>
      <c r="V1086" s="7" t="inlineStr">
        <is>
          <t>V1000259 - JJP SUPPLY CO., LTD</t>
        </is>
      </c>
      <c r="W1086" s="30" t="inlineStr">
        <is>
          <t>Recive bill and GRN already</t>
        </is>
      </c>
      <c r="X1086" s="5" t="inlineStr">
        <is>
          <t>GRN2526-0001024</t>
        </is>
      </c>
      <c r="Y1086" s="113" t="n">
        <v>45797</v>
      </c>
      <c r="Z1086" s="113" t="n"/>
      <c r="AA1086" s="17">
        <f>IF(RawDataGenPO[[#This Row],[Date Gen PO]]="","",RawDataGenPO[[#This Row],[Date recive bill]]-RawDataGenPO[[#This Row],[Date Gen PO]])</f>
        <v/>
      </c>
      <c r="AB1086" s="16">
        <f>IF(RawDataGenPO[[#This Row],[GRN-PO date]]&gt;RawDataGenPO[[#This Row],[Lead time delivery (day)]],"over deliverry","Ontime")</f>
        <v/>
      </c>
      <c r="AC1086" s="22" t="n"/>
    </row>
    <row r="1087" ht="19.20000076293945" customHeight="1">
      <c r="A1087" s="5">
        <f>ROW()-ROW(RawDataGenPO[[#Headers],[No.]])</f>
        <v/>
      </c>
      <c r="B1087" s="73" t="inlineStr">
        <is>
          <t>Expent  cost</t>
        </is>
      </c>
      <c r="C1087" s="343" t="n">
        <v>45769</v>
      </c>
      <c r="F1087" s="281" t="n">
        <v>45769</v>
      </c>
      <c r="G1087" s="5" t="inlineStr">
        <is>
          <t>PR2526-00234</t>
        </is>
      </c>
      <c r="H1087" s="5" t="inlineStr">
        <is>
          <t>PO2526-00413</t>
        </is>
      </c>
      <c r="I1087" s="344" t="n">
        <v>45777</v>
      </c>
      <c r="J1087" s="344" t="n">
        <v>45777</v>
      </c>
      <c r="K1087" s="20" t="n">
        <v>20</v>
      </c>
      <c r="L1087" s="5" t="inlineStr">
        <is>
          <t>SFST34000017</t>
        </is>
      </c>
      <c r="M1087" s="7" t="inlineStr">
        <is>
          <t>Consumable part for MN</t>
        </is>
      </c>
      <c r="N1087" s="7" t="inlineStr">
        <is>
          <t>Consumable part</t>
        </is>
      </c>
      <c r="O1087" s="11" t="n">
        <v>5</v>
      </c>
      <c r="P1087" s="80" t="inlineStr">
        <is>
          <t>fittingstraight couplingPVC, 3/4"</t>
        </is>
      </c>
      <c r="Q1087" s="277" t="n">
        <v>10</v>
      </c>
      <c r="R1087" s="112" t="inlineStr">
        <is>
          <t>PCS.</t>
        </is>
      </c>
      <c r="S1087" s="284">
        <f>RawDataGenPO[[#This Row],[Total price]]/RawDataGenPO[[#This Row],[Qty'']]</f>
        <v/>
      </c>
      <c r="T1087" s="278" t="n">
        <v>38</v>
      </c>
      <c r="U1087" s="291" t="n"/>
      <c r="V1087" s="7" t="inlineStr">
        <is>
          <t>V1000306 - Inter Supply (1992) Co., Ltd.</t>
        </is>
      </c>
      <c r="W1087" s="30" t="inlineStr">
        <is>
          <t>Recive bill and GRN already</t>
        </is>
      </c>
      <c r="X1087" s="5" t="inlineStr">
        <is>
          <t>GRN2526-0000745</t>
        </is>
      </c>
      <c r="Y1087" s="113" t="n">
        <v>45785</v>
      </c>
      <c r="Z1087" s="113" t="n"/>
      <c r="AA1087" s="17">
        <f>IF(RawDataGenPO[[#This Row],[Date Gen PO]]="","",RawDataGenPO[[#This Row],[Date recive bill]]-RawDataGenPO[[#This Row],[Date Gen PO]])</f>
        <v/>
      </c>
      <c r="AB1087" s="16">
        <f>IF(RawDataGenPO[[#This Row],[GRN-PO date]]&gt;RawDataGenPO[[#This Row],[Lead time delivery (day)]],"over deliverry","Ontime")</f>
        <v/>
      </c>
      <c r="AC1087" s="22" t="n"/>
    </row>
    <row r="1088" ht="19.20000076293945" customHeight="1">
      <c r="A1088" s="5">
        <f>ROW()-ROW(RawDataGenPO[[#Headers],[No.]])</f>
        <v/>
      </c>
      <c r="B1088" s="73" t="inlineStr">
        <is>
          <t>Expent  cost</t>
        </is>
      </c>
      <c r="C1088" s="343" t="n">
        <v>45769</v>
      </c>
      <c r="F1088" s="281" t="n">
        <v>45769</v>
      </c>
      <c r="G1088" s="5" t="inlineStr">
        <is>
          <t>PR2526-00236</t>
        </is>
      </c>
      <c r="H1088" s="5" t="inlineStr">
        <is>
          <t>PO2526-00413</t>
        </is>
      </c>
      <c r="I1088" s="344" t="n">
        <v>45777</v>
      </c>
      <c r="J1088" s="344" t="n">
        <v>45777</v>
      </c>
      <c r="K1088" s="20" t="n">
        <v>20</v>
      </c>
      <c r="L1088" s="5" t="inlineStr">
        <is>
          <t>SFST34000160</t>
        </is>
      </c>
      <c r="M1088" s="7" t="inlineStr">
        <is>
          <t>Consumable part for MN</t>
        </is>
      </c>
      <c r="N1088" s="7" t="inlineStr">
        <is>
          <t>Consumable part</t>
        </is>
      </c>
      <c r="O1088" s="11" t="n">
        <v>6</v>
      </c>
      <c r="P1088" s="80" t="inlineStr">
        <is>
          <t>Wgasket (Threebond 1104 NEO PLUS)</t>
        </is>
      </c>
      <c r="Q1088" s="277" t="n">
        <v>6</v>
      </c>
      <c r="R1088" s="112" t="inlineStr">
        <is>
          <t>PCS.</t>
        </is>
      </c>
      <c r="S1088" s="284">
        <f>RawDataGenPO[[#This Row],[Total price]]/RawDataGenPO[[#This Row],[Qty'']]</f>
        <v/>
      </c>
      <c r="T1088" s="278" t="n">
        <v>810</v>
      </c>
      <c r="U1088" s="291" t="n"/>
      <c r="V1088" s="7" t="inlineStr">
        <is>
          <t>V1000306 - Inter Supply (1992) Co., Ltd.</t>
        </is>
      </c>
      <c r="W1088" s="30" t="inlineStr">
        <is>
          <t>Recive bill and GRN already</t>
        </is>
      </c>
      <c r="X1088" s="5" t="inlineStr">
        <is>
          <t>GRN2526-0000745</t>
        </is>
      </c>
      <c r="Y1088" s="113" t="n">
        <v>45785</v>
      </c>
      <c r="Z1088" s="113" t="n"/>
      <c r="AA1088" s="17">
        <f>IF(RawDataGenPO[[#This Row],[Date Gen PO]]="","",RawDataGenPO[[#This Row],[Date recive bill]]-RawDataGenPO[[#This Row],[Date Gen PO]])</f>
        <v/>
      </c>
      <c r="AB1088" s="16">
        <f>IF(RawDataGenPO[[#This Row],[GRN-PO date]]&gt;RawDataGenPO[[#This Row],[Lead time delivery (day)]],"over deliverry","Ontime")</f>
        <v/>
      </c>
      <c r="AC1088" s="22" t="n"/>
    </row>
    <row r="1089" ht="19.20000076293945" customHeight="1">
      <c r="A1089" s="5">
        <f>ROW()-ROW(RawDataGenPO[[#Headers],[No.]])</f>
        <v/>
      </c>
      <c r="B1089" s="73" t="inlineStr">
        <is>
          <t>Expent  cost</t>
        </is>
      </c>
      <c r="C1089" s="343" t="n">
        <v>45769</v>
      </c>
      <c r="F1089" s="281" t="n">
        <v>45769</v>
      </c>
      <c r="G1089" s="5" t="inlineStr">
        <is>
          <t>PR2526-00236</t>
        </is>
      </c>
      <c r="H1089" s="5" t="inlineStr">
        <is>
          <t>PO2526-00414</t>
        </is>
      </c>
      <c r="I1089" s="344" t="n">
        <v>45777</v>
      </c>
      <c r="J1089" s="344" t="n">
        <v>45777</v>
      </c>
      <c r="K1089" s="20" t="n">
        <v>20</v>
      </c>
      <c r="L1089" s="5" t="inlineStr">
        <is>
          <t>SFST34000169</t>
        </is>
      </c>
      <c r="M1089" s="7" t="inlineStr">
        <is>
          <t>Consumable part for MN</t>
        </is>
      </c>
      <c r="N1089" s="7" t="inlineStr">
        <is>
          <t>Consumable part</t>
        </is>
      </c>
      <c r="O1089" s="11" t="n">
        <v>2</v>
      </c>
      <c r="P1089" s="80" t="inlineStr">
        <is>
          <t>gasket sealant Threebond high temperature resistant No. 1 (GREY)</t>
        </is>
      </c>
      <c r="Q1089" s="277" t="n">
        <v>4</v>
      </c>
      <c r="R1089" s="112" t="inlineStr">
        <is>
          <t>PCS.</t>
        </is>
      </c>
      <c r="S1089" s="284">
        <f>RawDataGenPO[[#This Row],[Total price]]/RawDataGenPO[[#This Row],[Qty'']]</f>
        <v/>
      </c>
      <c r="T1089" s="278" t="n">
        <v>1260</v>
      </c>
      <c r="U1089" s="291" t="n"/>
      <c r="V1089" s="7" t="inlineStr">
        <is>
          <t>V1000259 - JJP SUPPLY CO., LTD</t>
        </is>
      </c>
      <c r="W1089" s="30" t="inlineStr">
        <is>
          <t>Recive bill and GRN already</t>
        </is>
      </c>
      <c r="X1089" s="5" t="inlineStr">
        <is>
          <t>GRN2526-0001024</t>
        </is>
      </c>
      <c r="Y1089" s="113" t="n">
        <v>45797</v>
      </c>
      <c r="Z1089" s="113" t="n"/>
      <c r="AA1089" s="17">
        <f>IF(RawDataGenPO[[#This Row],[Date Gen PO]]="","",RawDataGenPO[[#This Row],[Date recive bill]]-RawDataGenPO[[#This Row],[Date Gen PO]])</f>
        <v/>
      </c>
      <c r="AB1089" s="16">
        <f>IF(RawDataGenPO[[#This Row],[GRN-PO date]]&gt;RawDataGenPO[[#This Row],[Lead time delivery (day)]],"over deliverry","Ontime")</f>
        <v/>
      </c>
      <c r="AC1089" s="22" t="n"/>
    </row>
    <row r="1090" ht="19.20000076293945" customHeight="1">
      <c r="A1090" s="5">
        <f>ROW()-ROW(RawDataGenPO[[#Headers],[No.]])</f>
        <v/>
      </c>
      <c r="B1090" s="73" t="inlineStr">
        <is>
          <t>Expent  cost</t>
        </is>
      </c>
      <c r="C1090" s="343" t="n">
        <v>45769</v>
      </c>
      <c r="F1090" s="281" t="n">
        <v>45769</v>
      </c>
      <c r="G1090" s="5" t="inlineStr">
        <is>
          <t xml:space="preserve">PR2526-00237 </t>
        </is>
      </c>
      <c r="H1090" s="5" t="inlineStr">
        <is>
          <t>PO2526-00414</t>
        </is>
      </c>
      <c r="I1090" s="344" t="n">
        <v>45777</v>
      </c>
      <c r="J1090" s="344" t="n">
        <v>45777</v>
      </c>
      <c r="K1090" s="20" t="n">
        <v>20</v>
      </c>
      <c r="L1090" s="5" t="inlineStr">
        <is>
          <t>SFST34000025</t>
        </is>
      </c>
      <c r="M1090" s="7" t="inlineStr">
        <is>
          <t>Consumable part for MN</t>
        </is>
      </c>
      <c r="N1090" s="7" t="inlineStr">
        <is>
          <t>Consumable part</t>
        </is>
      </c>
      <c r="O1090" s="11" t="n">
        <v>3</v>
      </c>
      <c r="P1090" s="80" t="inlineStr">
        <is>
          <t>ball valve stainless steel 304 size 1/2’’ inch (Ball Valve Stainless)</t>
        </is>
      </c>
      <c r="Q1090" s="277" t="n">
        <v>10</v>
      </c>
      <c r="R1090" s="112" t="inlineStr">
        <is>
          <t>PCS.</t>
        </is>
      </c>
      <c r="S1090" s="284">
        <f>RawDataGenPO[[#This Row],[Total price]]/RawDataGenPO[[#This Row],[Qty'']]</f>
        <v/>
      </c>
      <c r="T1090" s="278" t="n">
        <v>1700</v>
      </c>
      <c r="U1090" s="291" t="n"/>
      <c r="V1090" s="7" t="inlineStr">
        <is>
          <t>V1000259 - JJP SUPPLY CO., LTD</t>
        </is>
      </c>
      <c r="W1090" s="30" t="inlineStr">
        <is>
          <t>Recive bill and GRN already</t>
        </is>
      </c>
      <c r="X1090" s="5" t="inlineStr">
        <is>
          <t>GRN2526-0001024</t>
        </is>
      </c>
      <c r="Y1090" s="113" t="n">
        <v>45797</v>
      </c>
      <c r="Z1090" s="113" t="n"/>
      <c r="AA1090" s="17">
        <f>IF(RawDataGenPO[[#This Row],[Date Gen PO]]="","",RawDataGenPO[[#This Row],[Date recive bill]]-RawDataGenPO[[#This Row],[Date Gen PO]])</f>
        <v/>
      </c>
      <c r="AB1090" s="16">
        <f>IF(RawDataGenPO[[#This Row],[GRN-PO date]]&gt;RawDataGenPO[[#This Row],[Lead time delivery (day)]],"over deliverry","Ontime")</f>
        <v/>
      </c>
      <c r="AC1090" s="22" t="n"/>
    </row>
    <row r="1091" ht="19.20000076293945" customHeight="1">
      <c r="A1091" s="5">
        <f>ROW()-ROW(RawDataGenPO[[#Headers],[No.]])</f>
        <v/>
      </c>
      <c r="B1091" s="73" t="inlineStr">
        <is>
          <t>Expent  cost</t>
        </is>
      </c>
      <c r="C1091" s="343" t="n">
        <v>45769</v>
      </c>
      <c r="F1091" s="281" t="n">
        <v>45769</v>
      </c>
      <c r="G1091" s="5" t="inlineStr">
        <is>
          <t>PR2526-00238</t>
        </is>
      </c>
      <c r="H1091" s="5" t="inlineStr">
        <is>
          <t>PO2526-00413</t>
        </is>
      </c>
      <c r="I1091" s="344" t="n">
        <v>45777</v>
      </c>
      <c r="J1091" s="344" t="n">
        <v>45777</v>
      </c>
      <c r="K1091" s="20" t="n">
        <v>20</v>
      </c>
      <c r="L1091" s="5" t="inlineStr">
        <is>
          <t>SFST34000159</t>
        </is>
      </c>
      <c r="M1091" s="7" t="inlineStr">
        <is>
          <t>Consumable part for MN</t>
        </is>
      </c>
      <c r="N1091" s="7" t="inlineStr">
        <is>
          <t>Consumable part</t>
        </is>
      </c>
      <c r="O1091" s="11" t="n">
        <v>7</v>
      </c>
      <c r="P1091" s="80" t="inlineStr">
        <is>
          <t>waterchemical 500 ml. SONAX</t>
        </is>
      </c>
      <c r="Q1091" s="277" t="n">
        <v>12</v>
      </c>
      <c r="R1091" s="112" t="inlineStr">
        <is>
          <t>PCS.</t>
        </is>
      </c>
      <c r="S1091" s="284">
        <f>RawDataGenPO[[#This Row],[Total price]]/RawDataGenPO[[#This Row],[Qty'']]</f>
        <v/>
      </c>
      <c r="T1091" s="278" t="n">
        <v>1560</v>
      </c>
      <c r="U1091" s="291" t="n"/>
      <c r="V1091" s="7" t="inlineStr">
        <is>
          <t>V1000306 - Inter Supply (1992) Co., Ltd.</t>
        </is>
      </c>
      <c r="W1091" s="30" t="inlineStr">
        <is>
          <t>Recive bill and GRN already</t>
        </is>
      </c>
      <c r="X1091" s="5" t="inlineStr">
        <is>
          <t>GRN2526-0000745</t>
        </is>
      </c>
      <c r="Y1091" s="113" t="n">
        <v>45785</v>
      </c>
      <c r="Z1091" s="113" t="n"/>
      <c r="AA1091" s="17">
        <f>IF(RawDataGenPO[[#This Row],[Date Gen PO]]="","",RawDataGenPO[[#This Row],[Date recive bill]]-RawDataGenPO[[#This Row],[Date Gen PO]])</f>
        <v/>
      </c>
      <c r="AB1091" s="16">
        <f>IF(RawDataGenPO[[#This Row],[GRN-PO date]]&gt;RawDataGenPO[[#This Row],[Lead time delivery (day)]],"over deliverry","Ontime")</f>
        <v/>
      </c>
      <c r="AC1091" s="22" t="n"/>
    </row>
    <row r="1092" ht="19.20000076293945" customHeight="1">
      <c r="A1092" s="5">
        <f>ROW()-ROW(RawDataGenPO[[#Headers],[No.]])</f>
        <v/>
      </c>
      <c r="B1092" s="73" t="inlineStr">
        <is>
          <t>Expent  cost</t>
        </is>
      </c>
      <c r="C1092" s="343" t="n">
        <v>45769</v>
      </c>
      <c r="F1092" s="281" t="n">
        <v>45769</v>
      </c>
      <c r="G1092" s="5" t="inlineStr">
        <is>
          <t>PR2526-00240</t>
        </is>
      </c>
      <c r="H1092" s="5" t="inlineStr">
        <is>
          <t>PO2526-00416</t>
        </is>
      </c>
      <c r="I1092" s="344" t="n">
        <v>45777</v>
      </c>
      <c r="J1092" s="344" t="n">
        <v>45777</v>
      </c>
      <c r="K1092" s="20" t="n">
        <v>20</v>
      </c>
      <c r="L1092" s="5" t="inlineStr">
        <is>
          <t>SFST34000043</t>
        </is>
      </c>
      <c r="M1092" s="7" t="inlineStr">
        <is>
          <t>Consumable part for MN</t>
        </is>
      </c>
      <c r="N1092" s="7" t="inlineStr">
        <is>
          <t>Electrical jobs</t>
        </is>
      </c>
      <c r="O1092" s="11" t="n">
        <v>1</v>
      </c>
      <c r="P1092" s="80" t="inlineStr">
        <is>
          <t>Philip, TLD36/865, 36W, fluorescent tube</t>
        </is>
      </c>
      <c r="Q1092" s="277" t="n">
        <v>30</v>
      </c>
      <c r="R1092" s="112" t="inlineStr">
        <is>
          <t>PCS.</t>
        </is>
      </c>
      <c r="S1092" s="284">
        <f>RawDataGenPO[[#This Row],[Total price]]/RawDataGenPO[[#This Row],[Qty'']]</f>
        <v/>
      </c>
      <c r="T1092" s="278" t="n">
        <v>1890</v>
      </c>
      <c r="U1092" s="291" t="n"/>
      <c r="V1092" s="7" t="inlineStr">
        <is>
          <t>V1000276 - SN. ELECTRIC AND SUPPLY CO., LTD.</t>
        </is>
      </c>
      <c r="W1092" s="30" t="inlineStr">
        <is>
          <t>Recive bill and GRN already</t>
        </is>
      </c>
      <c r="X1092" s="5" t="inlineStr">
        <is>
          <t>GRN2526-0000642</t>
        </is>
      </c>
      <c r="Y1092" s="113" t="n">
        <v>45780</v>
      </c>
      <c r="Z1092" s="113" t="n"/>
      <c r="AA1092" s="17">
        <f>IF(RawDataGenPO[[#This Row],[Date Gen PO]]="","",RawDataGenPO[[#This Row],[Date recive bill]]-RawDataGenPO[[#This Row],[Date Gen PO]])</f>
        <v/>
      </c>
      <c r="AB1092" s="16">
        <f>IF(RawDataGenPO[[#This Row],[GRN-PO date]]&gt;RawDataGenPO[[#This Row],[Lead time delivery (day)]],"over deliverry","Ontime")</f>
        <v/>
      </c>
      <c r="AC1092" s="22" t="n"/>
    </row>
    <row r="1093" ht="19.20000076293945" customHeight="1">
      <c r="A1093" s="5">
        <f>ROW()-ROW(RawDataGenPO[[#Headers],[No.]])</f>
        <v/>
      </c>
      <c r="B1093" s="73" t="inlineStr">
        <is>
          <t>Expent  cost</t>
        </is>
      </c>
      <c r="C1093" s="343" t="n">
        <v>45769</v>
      </c>
      <c r="F1093" s="281" t="n">
        <v>45769</v>
      </c>
      <c r="G1093" s="5" t="inlineStr">
        <is>
          <t>PR2526-00240</t>
        </is>
      </c>
      <c r="H1093" s="5" t="inlineStr">
        <is>
          <t>PO2526-00415</t>
        </is>
      </c>
      <c r="I1093" s="344" t="n">
        <v>45777</v>
      </c>
      <c r="J1093" s="344" t="n">
        <v>45777</v>
      </c>
      <c r="K1093" s="20" t="n">
        <v>20</v>
      </c>
      <c r="L1093" s="5" t="inlineStr">
        <is>
          <t>SFST34000044</t>
        </is>
      </c>
      <c r="M1093" s="7" t="inlineStr">
        <is>
          <t>Consumable part for MN</t>
        </is>
      </c>
      <c r="N1093" s="73" t="inlineStr">
        <is>
          <t>Electrical jobs</t>
        </is>
      </c>
      <c r="O1093" s="11" t="n">
        <v>1</v>
      </c>
      <c r="P1093" s="80" t="inlineStr">
        <is>
          <t>"Philip",T8,20W, 2100lm, ECO SOFT HO LED</t>
        </is>
      </c>
      <c r="Q1093" s="277" t="n">
        <v>40</v>
      </c>
      <c r="R1093" s="112" t="inlineStr">
        <is>
          <t>PCS.</t>
        </is>
      </c>
      <c r="S1093" s="284">
        <f>RawDataGenPO[[#This Row],[Total price]]/RawDataGenPO[[#This Row],[Qty'']]</f>
        <v/>
      </c>
      <c r="T1093" s="278" t="n">
        <v>7400</v>
      </c>
      <c r="U1093" s="291" t="n"/>
      <c r="V1093" s="7" t="inlineStr">
        <is>
          <t>V1000603 - TM SUKSAP TRADING LIMITED PARTNERSHIP</t>
        </is>
      </c>
      <c r="W1093" s="30" t="inlineStr">
        <is>
          <t>Recive bill and GRN already</t>
        </is>
      </c>
      <c r="X1093" s="5" t="inlineStr">
        <is>
          <t>GRN2526-0000748</t>
        </is>
      </c>
      <c r="Y1093" s="113" t="n">
        <v>45785</v>
      </c>
      <c r="Z1093" s="113" t="n"/>
      <c r="AA1093" s="17">
        <f>IF(RawDataGenPO[[#This Row],[Date Gen PO]]="","",RawDataGenPO[[#This Row],[Date recive bill]]-RawDataGenPO[[#This Row],[Date Gen PO]])</f>
        <v/>
      </c>
      <c r="AB1093" s="16">
        <f>IF(RawDataGenPO[[#This Row],[GRN-PO date]]&gt;RawDataGenPO[[#This Row],[Lead time delivery (day)]],"over deliverry","Ontime")</f>
        <v/>
      </c>
      <c r="AC1093" s="22" t="n"/>
    </row>
    <row r="1094" ht="19.20000076293945" customHeight="1">
      <c r="A1094" s="5">
        <f>ROW()-ROW(RawDataGenPO[[#Headers],[No.]])</f>
        <v/>
      </c>
      <c r="B1094" s="73" t="inlineStr">
        <is>
          <t>Expent  cost</t>
        </is>
      </c>
      <c r="C1094" s="343" t="n">
        <v>45769</v>
      </c>
      <c r="F1094" s="281" t="n">
        <v>45769</v>
      </c>
      <c r="G1094" s="5" t="inlineStr">
        <is>
          <t>PR2526-00240</t>
        </is>
      </c>
      <c r="H1094" s="5" t="inlineStr">
        <is>
          <t>PO2526-00415</t>
        </is>
      </c>
      <c r="I1094" s="344" t="n">
        <v>45777</v>
      </c>
      <c r="J1094" s="344" t="n">
        <v>45777</v>
      </c>
      <c r="K1094" s="20" t="n">
        <v>20</v>
      </c>
      <c r="L1094" s="5" t="inlineStr">
        <is>
          <t>SFST34000091</t>
        </is>
      </c>
      <c r="M1094" s="7" t="inlineStr">
        <is>
          <t>Consumable part for MN</t>
        </is>
      </c>
      <c r="N1094" s="7" t="inlineStr">
        <is>
          <t>Electrical jobs</t>
        </is>
      </c>
      <c r="O1094" s="11" t="n">
        <v>1</v>
      </c>
      <c r="P1094" s="80" t="inlineStr">
        <is>
          <t>3M tapeelectrical cable model Temflex Plus size 3/4inch - black</t>
        </is>
      </c>
      <c r="Q1094" s="277" t="n">
        <v>20</v>
      </c>
      <c r="R1094" s="112" t="inlineStr">
        <is>
          <t>PCS.</t>
        </is>
      </c>
      <c r="S1094" s="284">
        <f>RawDataGenPO[[#This Row],[Total price]]/RawDataGenPO[[#This Row],[Qty'']]</f>
        <v/>
      </c>
      <c r="T1094" s="278" t="n">
        <v>280</v>
      </c>
      <c r="U1094" s="291" t="n"/>
      <c r="V1094" s="7" t="inlineStr">
        <is>
          <t>V1000603 - TM SUKSAP TRADING LIMITED PARTNERSHIP</t>
        </is>
      </c>
      <c r="W1094" s="30" t="inlineStr">
        <is>
          <t>Recive bill and GRN already</t>
        </is>
      </c>
      <c r="X1094" s="5" t="inlineStr">
        <is>
          <t>GRN2526-0000748</t>
        </is>
      </c>
      <c r="Y1094" s="113" t="n">
        <v>45785</v>
      </c>
      <c r="Z1094" s="113" t="n"/>
      <c r="AA1094" s="17">
        <f>IF(RawDataGenPO[[#This Row],[Date Gen PO]]="","",RawDataGenPO[[#This Row],[Date recive bill]]-RawDataGenPO[[#This Row],[Date Gen PO]])</f>
        <v/>
      </c>
      <c r="AB1094" s="16">
        <f>IF(RawDataGenPO[[#This Row],[GRN-PO date]]&gt;RawDataGenPO[[#This Row],[Lead time delivery (day)]],"over deliverry","Ontime")</f>
        <v/>
      </c>
      <c r="AC1094" s="22" t="n"/>
    </row>
    <row r="1095" ht="19.20000076293945" customHeight="1">
      <c r="A1095" s="5">
        <f>ROW()-ROW(RawDataGenPO[[#Headers],[No.]])</f>
        <v/>
      </c>
      <c r="B1095" s="73" t="inlineStr">
        <is>
          <t>Expent  cost</t>
        </is>
      </c>
      <c r="C1095" s="343" t="n">
        <v>45769</v>
      </c>
      <c r="F1095" s="281" t="n">
        <v>45769</v>
      </c>
      <c r="G1095" s="5" t="inlineStr">
        <is>
          <t>PR2526-00240</t>
        </is>
      </c>
      <c r="H1095" s="5" t="inlineStr">
        <is>
          <t>PO2526-00416</t>
        </is>
      </c>
      <c r="I1095" s="344" t="n">
        <v>45777</v>
      </c>
      <c r="J1095" s="344" t="n">
        <v>45777</v>
      </c>
      <c r="K1095" s="20" t="n">
        <v>20</v>
      </c>
      <c r="L1095" s="5" t="inlineStr">
        <is>
          <t>SFST34000161</t>
        </is>
      </c>
      <c r="M1095" s="7" t="inlineStr">
        <is>
          <t>Consumable part for MN</t>
        </is>
      </c>
      <c r="N1095" s="73" t="inlineStr">
        <is>
          <t>Electrical jobs</t>
        </is>
      </c>
      <c r="O1095" s="11" t="n">
        <v>1</v>
      </c>
      <c r="P1095" s="80" t="inlineStr">
        <is>
          <t>BTICINO" 25501,grey,size 1 slot,boxwaterproof IP55</t>
        </is>
      </c>
      <c r="Q1095" s="277" t="n">
        <v>5</v>
      </c>
      <c r="R1095" s="112" t="inlineStr">
        <is>
          <t>PCS.</t>
        </is>
      </c>
      <c r="S1095" s="284">
        <f>RawDataGenPO[[#This Row],[Total price]]/RawDataGenPO[[#This Row],[Qty'']]</f>
        <v/>
      </c>
      <c r="T1095" s="278" t="n">
        <v>1600</v>
      </c>
      <c r="U1095" s="291" t="n"/>
      <c r="V1095" s="7" t="inlineStr">
        <is>
          <t>V1000276 - SN. ELECTRIC AND SUPPLY CO., LTD.</t>
        </is>
      </c>
      <c r="W1095" s="30" t="inlineStr">
        <is>
          <t>Recive bill and GRN already</t>
        </is>
      </c>
      <c r="X1095" s="5" t="inlineStr">
        <is>
          <t>GRN2526-0000642</t>
        </is>
      </c>
      <c r="Y1095" s="113" t="n">
        <v>45780</v>
      </c>
      <c r="Z1095" s="113" t="n"/>
      <c r="AA1095" s="17">
        <f>IF(RawDataGenPO[[#This Row],[Date Gen PO]]="","",RawDataGenPO[[#This Row],[Date recive bill]]-RawDataGenPO[[#This Row],[Date Gen PO]])</f>
        <v/>
      </c>
      <c r="AB1095" s="16">
        <f>IF(RawDataGenPO[[#This Row],[GRN-PO date]]&gt;RawDataGenPO[[#This Row],[Lead time delivery (day)]],"over deliverry","Ontime")</f>
        <v/>
      </c>
      <c r="AC1095" s="22" t="n"/>
    </row>
    <row r="1096" ht="19.20000076293945" customHeight="1">
      <c r="A1096" s="5">
        <f>ROW()-ROW(RawDataGenPO[[#Headers],[No.]])</f>
        <v/>
      </c>
      <c r="B1096" s="73" t="inlineStr">
        <is>
          <t>Expent  cost</t>
        </is>
      </c>
      <c r="C1096" s="343" t="n">
        <v>45769</v>
      </c>
      <c r="F1096" s="281" t="n">
        <v>45769</v>
      </c>
      <c r="G1096" s="5" t="inlineStr">
        <is>
          <t>PR2526-00240</t>
        </is>
      </c>
      <c r="H1096" s="5" t="inlineStr">
        <is>
          <t>PO2526-00416</t>
        </is>
      </c>
      <c r="I1096" s="344" t="n">
        <v>45777</v>
      </c>
      <c r="J1096" s="344" t="n">
        <v>45777</v>
      </c>
      <c r="K1096" s="20" t="n">
        <v>20</v>
      </c>
      <c r="L1096" s="5" t="inlineStr">
        <is>
          <t>SFST34000162</t>
        </is>
      </c>
      <c r="M1096" s="7" t="inlineStr">
        <is>
          <t>Consumable part for MN</t>
        </is>
      </c>
      <c r="N1096" s="73" t="inlineStr">
        <is>
          <t>Electrical jobs</t>
        </is>
      </c>
      <c r="O1096" s="11" t="n">
        <v>1</v>
      </c>
      <c r="P1096" s="80" t="inlineStr">
        <is>
          <t>BTICINO" 25502 ,grey,size 2 slot,boxwaterproof IP55</t>
        </is>
      </c>
      <c r="Q1096" s="277" t="n">
        <v>5</v>
      </c>
      <c r="R1096" s="112" t="inlineStr">
        <is>
          <t>PCS.</t>
        </is>
      </c>
      <c r="S1096" s="284">
        <f>RawDataGenPO[[#This Row],[Total price]]/RawDataGenPO[[#This Row],[Qty'']]</f>
        <v/>
      </c>
      <c r="T1096" s="278" t="n">
        <v>1600</v>
      </c>
      <c r="U1096" s="291" t="n"/>
      <c r="V1096" s="7" t="inlineStr">
        <is>
          <t>V1000276 - SN. ELECTRIC AND SUPPLY CO., LTD.</t>
        </is>
      </c>
      <c r="W1096" s="30" t="inlineStr">
        <is>
          <t>Recive bill and GRN already</t>
        </is>
      </c>
      <c r="X1096" s="5" t="inlineStr">
        <is>
          <t>GRN2526-0000642</t>
        </is>
      </c>
      <c r="Y1096" s="113" t="n">
        <v>45780</v>
      </c>
      <c r="Z1096" s="113" t="n"/>
      <c r="AA1096" s="17">
        <f>IF(RawDataGenPO[[#This Row],[Date Gen PO]]="","",RawDataGenPO[[#This Row],[Date recive bill]]-RawDataGenPO[[#This Row],[Date Gen PO]])</f>
        <v/>
      </c>
      <c r="AB1096" s="16">
        <f>IF(RawDataGenPO[[#This Row],[GRN-PO date]]&gt;RawDataGenPO[[#This Row],[Lead time delivery (day)]],"over deliverry","Ontime")</f>
        <v/>
      </c>
      <c r="AC1096" s="22" t="n"/>
    </row>
    <row r="1097" ht="19.20000076293945" customHeight="1">
      <c r="A1097" s="5">
        <f>ROW()-ROW(RawDataGenPO[[#Headers],[No.]])</f>
        <v/>
      </c>
      <c r="B1097" s="73" t="inlineStr">
        <is>
          <t>Expent  cost</t>
        </is>
      </c>
      <c r="C1097" s="343" t="n">
        <v>45769</v>
      </c>
      <c r="F1097" s="281" t="n">
        <v>45769</v>
      </c>
      <c r="G1097" s="5" t="inlineStr">
        <is>
          <t>PR2526-00241</t>
        </is>
      </c>
      <c r="H1097" s="5" t="inlineStr">
        <is>
          <t>PO2526-00407</t>
        </is>
      </c>
      <c r="I1097" s="344" t="n">
        <v>45777</v>
      </c>
      <c r="J1097" s="344" t="n">
        <v>45777</v>
      </c>
      <c r="K1097" s="20" t="n">
        <v>20</v>
      </c>
      <c r="L1097" s="5" t="inlineStr">
        <is>
          <t>SFST34000180</t>
        </is>
      </c>
      <c r="M1097" s="7" t="inlineStr">
        <is>
          <t>Consumable part for MN</t>
        </is>
      </c>
      <c r="N1097" s="7" t="inlineStr">
        <is>
          <t>Tool and Equipment</t>
        </is>
      </c>
      <c r="O1097" s="11" t="n">
        <v>1</v>
      </c>
      <c r="P1097" s="80" t="inlineStr">
        <is>
          <t>Compressor oil  Solest LT32 (3.782 L.)</t>
        </is>
      </c>
      <c r="Q1097" s="277" t="n">
        <v>4</v>
      </c>
      <c r="R1097" s="112" t="inlineStr">
        <is>
          <t>PCS.</t>
        </is>
      </c>
      <c r="S1097" s="284">
        <f>RawDataGenPO[[#This Row],[Total price]]/RawDataGenPO[[#This Row],[Qty'']]</f>
        <v/>
      </c>
      <c r="T1097" s="278" t="n">
        <v>14400</v>
      </c>
      <c r="U1097" s="291" t="n"/>
      <c r="V1097" s="7" t="inlineStr">
        <is>
          <t>V1000312 - Colder Solution Co., Ltd.</t>
        </is>
      </c>
      <c r="W1097" s="30" t="inlineStr">
        <is>
          <t>Recive bill and GRN already</t>
        </is>
      </c>
      <c r="X1097" s="5" t="inlineStr">
        <is>
          <t>GRN2526-0000625</t>
        </is>
      </c>
      <c r="Y1097" s="113" t="n">
        <v>45779</v>
      </c>
      <c r="Z1097" s="113" t="n"/>
      <c r="AA1097" s="17">
        <f>IF(RawDataGenPO[[#This Row],[Date Gen PO]]="","",RawDataGenPO[[#This Row],[Date recive bill]]-RawDataGenPO[[#This Row],[Date Gen PO]])</f>
        <v/>
      </c>
      <c r="AB1097" s="16">
        <f>IF(RawDataGenPO[[#This Row],[GRN-PO date]]&gt;RawDataGenPO[[#This Row],[Lead time delivery (day)]],"over deliverry","Ontime")</f>
        <v/>
      </c>
      <c r="AC1097" s="22" t="n"/>
    </row>
    <row r="1098" ht="19.20000076293945" customHeight="1">
      <c r="A1098" s="5">
        <f>ROW()-ROW(RawDataGenPO[[#Headers],[No.]])</f>
        <v/>
      </c>
      <c r="B1098" s="73" t="inlineStr">
        <is>
          <t>Expent  cost</t>
        </is>
      </c>
      <c r="C1098" s="343" t="n">
        <v>45769</v>
      </c>
      <c r="F1098" s="281" t="n">
        <v>45769</v>
      </c>
      <c r="G1098" s="5" t="inlineStr">
        <is>
          <t>PR2526-00242</t>
        </is>
      </c>
      <c r="H1098" s="5" t="inlineStr">
        <is>
          <t xml:space="preserve">PO2526-00406 </t>
        </is>
      </c>
      <c r="I1098" s="344" t="n">
        <v>45777</v>
      </c>
      <c r="J1098" s="344" t="n">
        <v>45777</v>
      </c>
      <c r="K1098" s="20" t="n">
        <v>20</v>
      </c>
      <c r="L1098" s="5" t="inlineStr">
        <is>
          <t>SFST11000260</t>
        </is>
      </c>
      <c r="M1098" s="7" t="inlineStr">
        <is>
          <t>Water plant</t>
        </is>
      </c>
      <c r="N1098" s="7" t="inlineStr">
        <is>
          <t>Water system jobs</t>
        </is>
      </c>
      <c r="O1098" s="11" t="n">
        <v>1</v>
      </c>
      <c r="P1098" s="80" t="inlineStr">
        <is>
          <t>sodium 10%  + COA</t>
        </is>
      </c>
      <c r="Q1098" s="277" t="n">
        <v>200</v>
      </c>
      <c r="R1098" s="5" t="inlineStr">
        <is>
          <t>KG.</t>
        </is>
      </c>
      <c r="S1098" s="284">
        <f>RawDataGenPO[[#This Row],[Total price]]/RawDataGenPO[[#This Row],[Qty'']]</f>
        <v/>
      </c>
      <c r="T1098" s="278" t="n">
        <v>1040</v>
      </c>
      <c r="U1098" s="291" t="n"/>
      <c r="V1098" s="7" t="inlineStr">
        <is>
          <t>V1000205 - INTERPRETIVE CO.,LTD.</t>
        </is>
      </c>
      <c r="W1098" s="30" t="inlineStr">
        <is>
          <t>Recive bill and GRN already</t>
        </is>
      </c>
      <c r="X1098" s="5" t="inlineStr">
        <is>
          <t>GRN2526-0000686</t>
        </is>
      </c>
      <c r="Y1098" s="113" t="n">
        <v>45783</v>
      </c>
      <c r="Z1098" s="113" t="n"/>
      <c r="AA1098" s="17">
        <f>IF(RawDataGenPO[[#This Row],[Date Gen PO]]="","",RawDataGenPO[[#This Row],[Date recive bill]]-RawDataGenPO[[#This Row],[Date Gen PO]])</f>
        <v/>
      </c>
      <c r="AB1098" s="16">
        <f>IF(RawDataGenPO[[#This Row],[GRN-PO date]]&gt;RawDataGenPO[[#This Row],[Lead time delivery (day)]],"over deliverry","Ontime")</f>
        <v/>
      </c>
      <c r="AC1098" s="22" t="n"/>
    </row>
    <row r="1099" ht="19.20000076293945" customHeight="1">
      <c r="A1099" s="5">
        <f>ROW()-ROW(RawDataGenPO[[#Headers],[No.]])</f>
        <v/>
      </c>
      <c r="B1099" s="73" t="inlineStr">
        <is>
          <t>Expent  cost</t>
        </is>
      </c>
      <c r="C1099" s="343" t="n">
        <v>45769</v>
      </c>
      <c r="F1099" s="281" t="n">
        <v>45769</v>
      </c>
      <c r="G1099" s="5" t="inlineStr">
        <is>
          <t>PR2526-00257</t>
        </is>
      </c>
      <c r="H1099" s="5" t="inlineStr">
        <is>
          <t>PO2526-00407</t>
        </is>
      </c>
      <c r="I1099" s="344" t="n">
        <v>45777</v>
      </c>
      <c r="J1099" s="344" t="n">
        <v>45777</v>
      </c>
      <c r="K1099" s="20" t="n">
        <v>20</v>
      </c>
      <c r="L1099" s="5" t="inlineStr">
        <is>
          <t>SFST34000054</t>
        </is>
      </c>
      <c r="M1099" s="7" t="inlineStr">
        <is>
          <t>Consumable part for MN</t>
        </is>
      </c>
      <c r="N1099" s="7" t="inlineStr">
        <is>
          <t>Refrigerant</t>
        </is>
      </c>
      <c r="O1099" s="11" t="n">
        <v>1</v>
      </c>
      <c r="P1099" s="83" t="inlineStr">
        <is>
          <t>R507 Refrigerant,(1 Tank 11.3 kg/Tank)</t>
        </is>
      </c>
      <c r="Q1099" s="333" t="n">
        <v>20</v>
      </c>
      <c r="R1099" s="64" t="inlineStr">
        <is>
          <t>DRUM.</t>
        </is>
      </c>
      <c r="S1099" s="350">
        <f>RawDataGenPO[[#This Row],[Total price]]/RawDataGenPO[[#This Row],[Qty'']]</f>
        <v/>
      </c>
      <c r="T1099" s="335" t="n">
        <v>52600</v>
      </c>
      <c r="U1099" s="291" t="n"/>
      <c r="V1099" s="7" t="inlineStr">
        <is>
          <t xml:space="preserve"> V1000312 - Colder Solution Co., Ltd.</t>
        </is>
      </c>
      <c r="W1099" s="30" t="inlineStr">
        <is>
          <t>Recive bill and GRN already</t>
        </is>
      </c>
      <c r="X1099" s="5" t="inlineStr">
        <is>
          <t>GRN2526-0000625</t>
        </is>
      </c>
      <c r="Y1099" s="113" t="n">
        <v>45779</v>
      </c>
      <c r="Z1099" s="113" t="n"/>
      <c r="AA1099" s="17">
        <f>IF(RawDataGenPO[[#This Row],[Date Gen PO]]="","",RawDataGenPO[[#This Row],[Date recive bill]]-RawDataGenPO[[#This Row],[Date Gen PO]])</f>
        <v/>
      </c>
      <c r="AB1099" s="16">
        <f>IF(RawDataGenPO[[#This Row],[GRN-PO date]]&gt;RawDataGenPO[[#This Row],[Lead time delivery (day)]],"over deliverry","Ontime")</f>
        <v/>
      </c>
      <c r="AC1099" s="22" t="n"/>
    </row>
    <row r="1100" ht="19.20000076293945" customHeight="1">
      <c r="A1100" s="5">
        <f>ROW()-ROW(RawDataGenPO[[#Headers],[No.]])</f>
        <v/>
      </c>
      <c r="B1100" s="73" t="inlineStr">
        <is>
          <t>Expent  cost</t>
        </is>
      </c>
      <c r="C1100" s="343" t="n">
        <v>45772</v>
      </c>
      <c r="F1100" s="281" t="n">
        <v>45772</v>
      </c>
      <c r="G1100" s="5" t="inlineStr">
        <is>
          <t>PR2526-00288</t>
        </is>
      </c>
      <c r="H1100" s="5" t="inlineStr">
        <is>
          <t>PO2526-00592</t>
        </is>
      </c>
      <c r="I1100" s="344" t="n">
        <v>45782</v>
      </c>
      <c r="J1100" s="344" t="n">
        <v>45782</v>
      </c>
      <c r="K1100" s="20" t="n">
        <v>30</v>
      </c>
      <c r="L1100" s="5" t="inlineStr">
        <is>
          <t>SFST81000009</t>
        </is>
      </c>
      <c r="M1100" s="7" t="inlineStr">
        <is>
          <t>Civill jobs (Floor-Wall-Celling-roof)</t>
        </is>
      </c>
      <c r="N1100" s="7" t="inlineStr">
        <is>
          <t>Cevil jobs</t>
        </is>
      </c>
      <c r="O1100" s="11" t="n">
        <v>1</v>
      </c>
      <c r="P1100" s="80" t="inlineStr">
        <is>
          <t>"Rust Oleum" Epoxy 9391+9305 (A+B) white (3.785L.)</t>
        </is>
      </c>
      <c r="Q1100" s="277" t="n">
        <v>4</v>
      </c>
      <c r="R1100" s="5" t="inlineStr">
        <is>
          <t>DRUM.</t>
        </is>
      </c>
      <c r="S1100" s="284">
        <f>RawDataGenPO[[#This Row],[Total price]]/RawDataGenPO[[#This Row],[Qty'']]</f>
        <v/>
      </c>
      <c r="T1100" s="278" t="n">
        <v>6130.84</v>
      </c>
      <c r="U1100" s="291" t="n"/>
      <c r="V1100" s="7" t="inlineStr">
        <is>
          <t>V1000657 - SANGSIAM HARDWARE LTD., PART</t>
        </is>
      </c>
      <c r="W1100" s="30" t="inlineStr">
        <is>
          <t>Recive bill and GRN already</t>
        </is>
      </c>
      <c r="X1100" s="5" t="inlineStr">
        <is>
          <t>GRN2526-0001160</t>
        </is>
      </c>
      <c r="Y1100" s="113" t="n">
        <v>45803</v>
      </c>
      <c r="Z1100" s="113" t="n"/>
      <c r="AA1100" s="17">
        <f>IF(RawDataGenPO[[#This Row],[Date Gen PO]]="","",RawDataGenPO[[#This Row],[Date recive bill]]-RawDataGenPO[[#This Row],[Date Gen PO]])</f>
        <v/>
      </c>
      <c r="AB1100" s="16">
        <f>IF(RawDataGenPO[[#This Row],[GRN-PO date]]&gt;RawDataGenPO[[#This Row],[Lead time delivery (day)]],"over deliverry","Ontime")</f>
        <v/>
      </c>
      <c r="AC1100" s="22" t="n"/>
    </row>
    <row r="1101" ht="19.20000076293945" customHeight="1">
      <c r="A1101" s="5">
        <f>ROW()-ROW(RawDataGenPO[[#Headers],[No.]])</f>
        <v/>
      </c>
      <c r="B1101" s="73" t="inlineStr">
        <is>
          <t>Expent  cost</t>
        </is>
      </c>
      <c r="C1101" s="343" t="n">
        <v>45772</v>
      </c>
      <c r="F1101" s="281" t="n">
        <v>45772</v>
      </c>
      <c r="G1101" s="5" t="inlineStr">
        <is>
          <t>PR2526-00288</t>
        </is>
      </c>
      <c r="H1101" s="5" t="inlineStr">
        <is>
          <t>PO2526-00592</t>
        </is>
      </c>
      <c r="I1101" s="344" t="n">
        <v>45782</v>
      </c>
      <c r="J1101" s="344" t="n">
        <v>45782</v>
      </c>
      <c r="K1101" s="20" t="n">
        <v>30</v>
      </c>
      <c r="L1101" s="5" t="inlineStr">
        <is>
          <t>SFST81000009</t>
        </is>
      </c>
      <c r="M1101" s="7" t="inlineStr">
        <is>
          <t>Civill jobs (Floor-Wall-Celling-roof)</t>
        </is>
      </c>
      <c r="N1101" s="7" t="inlineStr">
        <is>
          <t>Cevil jobs</t>
        </is>
      </c>
      <c r="O1101" s="11" t="n">
        <v>2</v>
      </c>
      <c r="P1101" s="80" t="inlineStr">
        <is>
          <t>"Rust Oleum" Epoxy 9333+9301 (A+B) green (3.785L.)</t>
        </is>
      </c>
      <c r="Q1101" s="277" t="n">
        <v>4</v>
      </c>
      <c r="R1101" s="5" t="inlineStr">
        <is>
          <t>DRUM.</t>
        </is>
      </c>
      <c r="S1101" s="284">
        <f>RawDataGenPO[[#This Row],[Total price]]/RawDataGenPO[[#This Row],[Qty'']]</f>
        <v/>
      </c>
      <c r="T1101" s="278" t="n">
        <v>6579.44</v>
      </c>
      <c r="U1101" s="291" t="n"/>
      <c r="V1101" s="7" t="inlineStr">
        <is>
          <t>V1000657 - SANGSIAM HARDWARE LTD., PART</t>
        </is>
      </c>
      <c r="W1101" s="30" t="inlineStr">
        <is>
          <t>Recive bill and GRN already</t>
        </is>
      </c>
      <c r="X1101" s="5" t="inlineStr">
        <is>
          <t>GRN2526-0001160</t>
        </is>
      </c>
      <c r="Y1101" s="113" t="n">
        <v>45803</v>
      </c>
      <c r="Z1101" s="113" t="n"/>
      <c r="AA1101" s="17">
        <f>IF(RawDataGenPO[[#This Row],[Date Gen PO]]="","",RawDataGenPO[[#This Row],[Date recive bill]]-RawDataGenPO[[#This Row],[Date Gen PO]])</f>
        <v/>
      </c>
      <c r="AB1101" s="16">
        <f>IF(RawDataGenPO[[#This Row],[GRN-PO date]]&gt;RawDataGenPO[[#This Row],[Lead time delivery (day)]],"over deliverry","Ontime")</f>
        <v/>
      </c>
      <c r="AC1101" s="22" t="n"/>
    </row>
    <row r="1102" ht="19.20000076293945" customHeight="1">
      <c r="A1102" s="5">
        <f>ROW()-ROW(RawDataGenPO[[#Headers],[No.]])</f>
        <v/>
      </c>
      <c r="B1102" s="73" t="inlineStr">
        <is>
          <t>Expent  cost</t>
        </is>
      </c>
      <c r="C1102" s="343" t="n">
        <v>45772</v>
      </c>
      <c r="F1102" s="281" t="n">
        <v>45772</v>
      </c>
      <c r="G1102" s="5" t="inlineStr">
        <is>
          <t>PR2526-00288</t>
        </is>
      </c>
      <c r="H1102" s="5" t="inlineStr">
        <is>
          <t>PO2526-00592</t>
        </is>
      </c>
      <c r="I1102" s="344" t="n">
        <v>45782</v>
      </c>
      <c r="J1102" s="344" t="n">
        <v>45782</v>
      </c>
      <c r="K1102" s="20" t="n">
        <v>30</v>
      </c>
      <c r="L1102" s="5" t="inlineStr">
        <is>
          <t>SFST81000009</t>
        </is>
      </c>
      <c r="M1102" s="7" t="inlineStr">
        <is>
          <t>Civill jobs (Floor-Wall-Celling-roof)</t>
        </is>
      </c>
      <c r="N1102" s="7" t="inlineStr">
        <is>
          <t>Cevil jobs</t>
        </is>
      </c>
      <c r="O1102" s="11" t="n">
        <v>3</v>
      </c>
      <c r="P1102" s="80" t="inlineStr">
        <is>
          <t>"Rust Oleum" Epoxy 9333+9301 (A+B) green (3.785L.)</t>
        </is>
      </c>
      <c r="Q1102" s="277" t="n">
        <v>1</v>
      </c>
      <c r="R1102" s="5" t="inlineStr">
        <is>
          <t>DRUM.</t>
        </is>
      </c>
      <c r="S1102" s="284">
        <f>RawDataGenPO[[#This Row],[Total price]]/RawDataGenPO[[#This Row],[Qty'']]</f>
        <v/>
      </c>
      <c r="T1102" s="278" t="n">
        <v>6542.06</v>
      </c>
      <c r="U1102" s="291" t="n"/>
      <c r="V1102" s="7" t="inlineStr">
        <is>
          <t>V1000657 - SANGSIAM HARDWARE LTD., PART</t>
        </is>
      </c>
      <c r="W1102" s="30" t="inlineStr">
        <is>
          <t>Recive bill and GRN already</t>
        </is>
      </c>
      <c r="X1102" s="5" t="inlineStr">
        <is>
          <t>GRN2526-0001160</t>
        </is>
      </c>
      <c r="Y1102" s="113" t="n">
        <v>45803</v>
      </c>
      <c r="Z1102" s="113" t="n"/>
      <c r="AA1102" s="17">
        <f>IF(RawDataGenPO[[#This Row],[Date Gen PO]]="","",RawDataGenPO[[#This Row],[Date recive bill]]-RawDataGenPO[[#This Row],[Date Gen PO]])</f>
        <v/>
      </c>
      <c r="AB1102" s="16">
        <f>IF(RawDataGenPO[[#This Row],[GRN-PO date]]&gt;RawDataGenPO[[#This Row],[Lead time delivery (day)]],"over deliverry","Ontime")</f>
        <v/>
      </c>
      <c r="AC1102" s="22" t="n"/>
    </row>
    <row r="1103" ht="19.20000076293945" customHeight="1">
      <c r="A1103" s="5">
        <f>ROW()-ROW(RawDataGenPO[[#Headers],[No.]])</f>
        <v/>
      </c>
      <c r="B1103" s="73" t="inlineStr">
        <is>
          <t>Expent  cost</t>
        </is>
      </c>
      <c r="C1103" s="343" t="n">
        <v>45772</v>
      </c>
      <c r="F1103" s="281" t="n">
        <v>45772</v>
      </c>
      <c r="G1103" s="5" t="inlineStr">
        <is>
          <t>PR2526-00288</t>
        </is>
      </c>
      <c r="H1103" s="5" t="inlineStr">
        <is>
          <t>PO2526-00592</t>
        </is>
      </c>
      <c r="I1103" s="344" t="n">
        <v>45782</v>
      </c>
      <c r="J1103" s="344" t="n">
        <v>45782</v>
      </c>
      <c r="K1103" s="20" t="n">
        <v>30</v>
      </c>
      <c r="L1103" s="5" t="inlineStr">
        <is>
          <t>SFST81000009</t>
        </is>
      </c>
      <c r="M1103" s="7" t="inlineStr">
        <is>
          <t>Civill jobs (Floor-Wall-Celling-roof)</t>
        </is>
      </c>
      <c r="N1103" s="7" t="inlineStr">
        <is>
          <t>Cevil jobs</t>
        </is>
      </c>
      <c r="O1103" s="11" t="n">
        <v>4</v>
      </c>
      <c r="P1103" s="80" t="inlineStr">
        <is>
          <t>"Rust Oleum" Thinner No.160 (3.785L.)</t>
        </is>
      </c>
      <c r="Q1103" s="277" t="n">
        <v>3</v>
      </c>
      <c r="R1103" s="5" t="inlineStr">
        <is>
          <t>DRUM.</t>
        </is>
      </c>
      <c r="S1103" s="284">
        <f>RawDataGenPO[[#This Row],[Total price]]/RawDataGenPO[[#This Row],[Qty'']]</f>
        <v/>
      </c>
      <c r="T1103" s="278" t="n">
        <v>1738.32</v>
      </c>
      <c r="U1103" s="291" t="n"/>
      <c r="V1103" s="7" t="inlineStr">
        <is>
          <t>V1000657 - SANGSIAM HARDWARE LTD., PART</t>
        </is>
      </c>
      <c r="W1103" s="30" t="inlineStr">
        <is>
          <t>Recive bill and GRN already</t>
        </is>
      </c>
      <c r="X1103" s="5" t="inlineStr">
        <is>
          <t>GRN2526-0001160</t>
        </is>
      </c>
      <c r="Y1103" s="113" t="n">
        <v>45803</v>
      </c>
      <c r="Z1103" s="113" t="n"/>
      <c r="AA1103" s="17">
        <f>IF(RawDataGenPO[[#This Row],[Date Gen PO]]="","",RawDataGenPO[[#This Row],[Date recive bill]]-RawDataGenPO[[#This Row],[Date Gen PO]])</f>
        <v/>
      </c>
      <c r="AB1103" s="16">
        <f>IF(RawDataGenPO[[#This Row],[GRN-PO date]]&gt;RawDataGenPO[[#This Row],[Lead time delivery (day)]],"over deliverry","Ontime")</f>
        <v/>
      </c>
      <c r="AC1103" s="22" t="n"/>
    </row>
    <row r="1104" ht="33.75" customHeight="1">
      <c r="A1104" s="5">
        <f>ROW()-ROW(RawDataGenPO[[#Headers],[No.]])</f>
        <v/>
      </c>
      <c r="B1104" s="73" t="inlineStr">
        <is>
          <t>Expent  cost</t>
        </is>
      </c>
      <c r="C1104" s="343" t="n">
        <v>45772</v>
      </c>
      <c r="F1104" s="281" t="n">
        <v>45772</v>
      </c>
      <c r="G1104" s="5" t="inlineStr">
        <is>
          <t>PR2526-00288</t>
        </is>
      </c>
      <c r="H1104" s="5" t="inlineStr">
        <is>
          <t>PO2526-00592</t>
        </is>
      </c>
      <c r="I1104" s="344" t="n">
        <v>45782</v>
      </c>
      <c r="J1104" s="344" t="n">
        <v>45782</v>
      </c>
      <c r="K1104" s="20" t="n">
        <v>30</v>
      </c>
      <c r="L1104" s="5" t="inlineStr">
        <is>
          <t>SFST81000009</t>
        </is>
      </c>
      <c r="M1104" s="7" t="inlineStr">
        <is>
          <t>Civill jobs (Floor-Wall-Celling-roof)</t>
        </is>
      </c>
      <c r="N1104" s="7" t="inlineStr">
        <is>
          <t>Cevil jobs</t>
        </is>
      </c>
      <c r="O1104" s="11" t="n">
        <v>1</v>
      </c>
      <c r="P1104" s="80" t="inlineStr">
        <is>
          <t>TOA #AG2005 typepolished external-internal Soft Linen 3.785 L</t>
        </is>
      </c>
      <c r="Q1104" s="277" t="n">
        <v>4</v>
      </c>
      <c r="R1104" s="5" t="inlineStr">
        <is>
          <t>DRUM.</t>
        </is>
      </c>
      <c r="S1104" s="284">
        <f>RawDataGenPO[[#This Row],[Total price]]/RawDataGenPO[[#This Row],[Qty'']]</f>
        <v/>
      </c>
      <c r="T1104" s="278" t="n">
        <v>2168.24</v>
      </c>
      <c r="U1104" s="291" t="n"/>
      <c r="V1104" s="7" t="inlineStr">
        <is>
          <t>V1000657 - SANGSIAM HARDWARE LTD., PART</t>
        </is>
      </c>
      <c r="W1104" s="30" t="inlineStr">
        <is>
          <t>Recive bill and GRN already</t>
        </is>
      </c>
      <c r="X1104" s="5" t="inlineStr">
        <is>
          <t>GRN2526-0001160</t>
        </is>
      </c>
      <c r="Y1104" s="113" t="n">
        <v>45803</v>
      </c>
      <c r="Z1104" s="113" t="n"/>
      <c r="AA1104" s="17">
        <f>IF(RawDataGenPO[[#This Row],[Date Gen PO]]="","",RawDataGenPO[[#This Row],[Date recive bill]]-RawDataGenPO[[#This Row],[Date Gen PO]])</f>
        <v/>
      </c>
      <c r="AB1104" s="16">
        <f>IF(RawDataGenPO[[#This Row],[GRN-PO date]]&gt;RawDataGenPO[[#This Row],[Lead time delivery (day)]],"over deliverry","Ontime")</f>
        <v/>
      </c>
      <c r="AC1104" s="22" t="n"/>
    </row>
    <row r="1105" ht="30" customHeight="1">
      <c r="A1105" s="5">
        <f>ROW()-ROW(RawDataGenPO[[#Headers],[No.]])</f>
        <v/>
      </c>
      <c r="B1105" s="73" t="inlineStr">
        <is>
          <t>Expent  cost</t>
        </is>
      </c>
      <c r="C1105" s="343" t="n">
        <v>45772</v>
      </c>
      <c r="F1105" s="281" t="n">
        <v>45772</v>
      </c>
      <c r="G1105" s="5" t="inlineStr">
        <is>
          <t>PR2526-00289</t>
        </is>
      </c>
      <c r="H1105" s="5" t="inlineStr">
        <is>
          <t>PO2526-00593</t>
        </is>
      </c>
      <c r="I1105" s="344" t="n">
        <v>45782</v>
      </c>
      <c r="J1105" s="344" t="n">
        <v>45782</v>
      </c>
      <c r="K1105" s="20" t="n">
        <v>30</v>
      </c>
      <c r="L1105" s="5" t="inlineStr">
        <is>
          <t>SFST81000048</t>
        </is>
      </c>
      <c r="M1105" s="7" t="inlineStr">
        <is>
          <t>PD Machine</t>
        </is>
      </c>
      <c r="N1105" s="7" t="inlineStr">
        <is>
          <t>Combi oven No.3</t>
        </is>
      </c>
      <c r="O1105" s="11" t="n">
        <v>1</v>
      </c>
      <c r="P1105" s="80" t="inlineStr">
        <is>
          <t>Service charge Combi Oven No.3
- Service chargeinspection/replacespare part</t>
        </is>
      </c>
      <c r="Q1105" s="277" t="n">
        <v>1</v>
      </c>
      <c r="R1105" s="5" t="inlineStr">
        <is>
          <t>JOB.</t>
        </is>
      </c>
      <c r="S1105" s="284">
        <f>RawDataGenPO[[#This Row],[Total price]]/RawDataGenPO[[#This Row],[Qty'']]</f>
        <v/>
      </c>
      <c r="T1105" s="278" t="n">
        <v>3000</v>
      </c>
      <c r="U1105" s="291" t="n"/>
      <c r="V1105" s="7" t="inlineStr">
        <is>
          <t>V1000460 - FIX EVOLUTION CO., LTD.</t>
        </is>
      </c>
      <c r="W1105" s="30" t="inlineStr">
        <is>
          <t>Recive bill and GRN already</t>
        </is>
      </c>
      <c r="X1105" s="5" t="inlineStr">
        <is>
          <t>GRN2526-0001167</t>
        </is>
      </c>
      <c r="Y1105" s="113" t="n">
        <v>45803</v>
      </c>
      <c r="Z1105" s="113" t="n"/>
      <c r="AA1105" s="17">
        <f>IF(RawDataGenPO[[#This Row],[Date Gen PO]]="","",RawDataGenPO[[#This Row],[Date recive bill]]-RawDataGenPO[[#This Row],[Date Gen PO]])</f>
        <v/>
      </c>
      <c r="AB1105" s="16">
        <f>IF(RawDataGenPO[[#This Row],[GRN-PO date]]&gt;RawDataGenPO[[#This Row],[Lead time delivery (day)]],"over deliverry","Ontime")</f>
        <v/>
      </c>
      <c r="AC1105" s="22" t="n"/>
    </row>
    <row r="1106" ht="30" customHeight="1">
      <c r="A1106" s="5">
        <f>ROW()-ROW(RawDataGenPO[[#Headers],[No.]])</f>
        <v/>
      </c>
      <c r="B1106" s="73" t="inlineStr">
        <is>
          <t>Expent  cost</t>
        </is>
      </c>
      <c r="C1106" s="343" t="n">
        <v>45772</v>
      </c>
      <c r="F1106" s="281" t="n">
        <v>45772</v>
      </c>
      <c r="G1106" s="5" t="inlineStr">
        <is>
          <t>PR2526-00377</t>
        </is>
      </c>
      <c r="H1106" s="5" t="inlineStr">
        <is>
          <t>PO2526-00590</t>
        </is>
      </c>
      <c r="I1106" s="344" t="n">
        <v>45782</v>
      </c>
      <c r="J1106" s="344" t="n">
        <v>45782</v>
      </c>
      <c r="K1106" s="20" t="n">
        <v>30</v>
      </c>
      <c r="L1106" s="5" t="inlineStr">
        <is>
          <t>SFST81000078</t>
        </is>
      </c>
      <c r="M1106" s="7" t="inlineStr">
        <is>
          <t>Civill jobs (Floor-Wall-Celling-roof)</t>
        </is>
      </c>
      <c r="N1106" s="7" t="inlineStr">
        <is>
          <t>Cevil jobs</t>
        </is>
      </c>
      <c r="O1106" s="11" t="n">
        <v>1</v>
      </c>
      <c r="P1106" s="80" t="inlineStr">
        <is>
          <t>Replacerearm andreplacewall
lengthpcs 1.45 m floorrear 44 m</t>
        </is>
      </c>
      <c r="Q1106" s="277" t="n">
        <v>1</v>
      </c>
      <c r="R1106" s="5" t="inlineStr">
        <is>
          <t>JOB.</t>
        </is>
      </c>
      <c r="S1106" s="284">
        <f>RawDataGenPO[[#This Row],[Total price]]/RawDataGenPO[[#This Row],[Qty'']]</f>
        <v/>
      </c>
      <c r="T1106" s="278" t="n">
        <v>58000</v>
      </c>
      <c r="U1106" s="291" t="n"/>
      <c r="V1106" s="7" t="inlineStr">
        <is>
          <t>V1000655 - SRM ENGINEERING 1991 CO., LTD.</t>
        </is>
      </c>
      <c r="W1106" s="30" t="inlineStr">
        <is>
          <t>Recive bill and GRN already</t>
        </is>
      </c>
      <c r="X1106" s="5" t="inlineStr">
        <is>
          <t>GRN2526-0001048</t>
        </is>
      </c>
      <c r="Y1106" s="3" t="n">
        <v>45797</v>
      </c>
      <c r="AA1106" s="17">
        <f>IF(RawDataGenPO[[#This Row],[Date Gen PO]]="","",RawDataGenPO[[#This Row],[Date recive bill]]-RawDataGenPO[[#This Row],[Date Gen PO]])</f>
        <v/>
      </c>
      <c r="AB1106" s="16">
        <f>IF(RawDataGenPO[[#This Row],[GRN-PO date]]&gt;RawDataGenPO[[#This Row],[Lead time delivery (day)]],"over deliverry","Ontime")</f>
        <v/>
      </c>
      <c r="AC1106" s="22" t="n"/>
    </row>
    <row r="1107" ht="19.20000076293945" customHeight="1">
      <c r="A1107" s="5">
        <f>ROW()-ROW(RawDataGenPO[[#Headers],[No.]])</f>
        <v/>
      </c>
      <c r="B1107" s="73" t="inlineStr">
        <is>
          <t>Expent  cost</t>
        </is>
      </c>
      <c r="C1107" s="343" t="n">
        <v>45777</v>
      </c>
      <c r="F1107" s="281" t="n">
        <v>45777</v>
      </c>
      <c r="G1107" s="5" t="inlineStr">
        <is>
          <t>PR2526-00378</t>
        </is>
      </c>
      <c r="H1107" s="5" t="inlineStr">
        <is>
          <t>PO2526-00591</t>
        </is>
      </c>
      <c r="I1107" s="344" t="n">
        <v>45787</v>
      </c>
      <c r="J1107" s="344" t="n">
        <v>45787</v>
      </c>
      <c r="K1107" s="20" t="n">
        <v>30</v>
      </c>
      <c r="L1107" s="5" t="inlineStr">
        <is>
          <t>SFST81000064</t>
        </is>
      </c>
      <c r="M1107" s="7" t="inlineStr">
        <is>
          <t>Tool and Equipment  Engineering</t>
        </is>
      </c>
      <c r="N1107" s="7" t="inlineStr">
        <is>
          <t>Cooling system jobs</t>
        </is>
      </c>
      <c r="O1107" s="11" t="n">
        <v>1</v>
      </c>
      <c r="P1107" s="80" t="inlineStr">
        <is>
          <t>labor costworkinspectionwaterchemicalmmsystemmm</t>
        </is>
      </c>
      <c r="Q1107" s="277" t="n">
        <v>1</v>
      </c>
      <c r="R1107" s="5" t="inlineStr">
        <is>
          <t>JOB.</t>
        </is>
      </c>
      <c r="S1107" s="284">
        <f>RawDataGenPO[[#This Row],[Total price]]/RawDataGenPO[[#This Row],[Qty'']]</f>
        <v/>
      </c>
      <c r="T1107" s="278" t="n">
        <v>8500</v>
      </c>
      <c r="U1107" s="291" t="n"/>
      <c r="V1107" s="7" t="inlineStr">
        <is>
          <t>V1000762 - PORNNARIN P N SERVICE LIMITED PARTNERSHIP</t>
        </is>
      </c>
      <c r="W1107" s="30" t="inlineStr">
        <is>
          <t>Recive bill and GRN already</t>
        </is>
      </c>
      <c r="X1107" s="5" t="inlineStr">
        <is>
          <t>GRN2526-0000803</t>
        </is>
      </c>
      <c r="Y1107" s="3" t="n">
        <v>45790</v>
      </c>
      <c r="AA1107" s="17">
        <f>IF(RawDataGenPO[[#This Row],[Date Gen PO]]="","",RawDataGenPO[[#This Row],[Date recive bill]]-RawDataGenPO[[#This Row],[Date Gen PO]])</f>
        <v/>
      </c>
      <c r="AB1107" s="16">
        <f>IF(RawDataGenPO[[#This Row],[GRN-PO date]]&gt;RawDataGenPO[[#This Row],[Lead time delivery (day)]],"over deliverry","Ontime")</f>
        <v/>
      </c>
      <c r="AC1107" s="22" t="n"/>
    </row>
    <row r="1108" ht="19.20000076293945" customHeight="1">
      <c r="A1108" s="5">
        <f>ROW()-ROW(RawDataGenPO[[#Headers],[No.]])</f>
        <v/>
      </c>
      <c r="B1108" s="73" t="inlineStr">
        <is>
          <t>Expent  cost</t>
        </is>
      </c>
      <c r="C1108" s="343" t="n">
        <v>45777</v>
      </c>
      <c r="F1108" s="281" t="n">
        <v>45777</v>
      </c>
      <c r="G1108" s="5" t="inlineStr">
        <is>
          <t>PR2526-00379</t>
        </is>
      </c>
      <c r="H1108" s="5" t="inlineStr">
        <is>
          <t>PO2526-00585</t>
        </is>
      </c>
      <c r="I1108" s="344" t="n">
        <v>45778</v>
      </c>
      <c r="J1108" s="344" t="n">
        <v>45787</v>
      </c>
      <c r="K1108" s="20" t="n">
        <v>10</v>
      </c>
      <c r="L1108" s="5" t="inlineStr">
        <is>
          <t>SFST81000009</t>
        </is>
      </c>
      <c r="M1108" s="7" t="inlineStr">
        <is>
          <t>Tool and Equipment  Engineering</t>
        </is>
      </c>
      <c r="N1108" s="7" t="inlineStr">
        <is>
          <t>Tool and Equipment</t>
        </is>
      </c>
      <c r="O1108" s="11" t="n">
        <v>1</v>
      </c>
      <c r="P1108" s="80" t="inlineStr">
        <is>
          <t>pipe repair clamp HDPE repair clamp 2-1/2 inch (75mm.)</t>
        </is>
      </c>
      <c r="Q1108" s="277" t="n">
        <v>10</v>
      </c>
      <c r="R1108" s="112" t="inlineStr">
        <is>
          <t>PCS.</t>
        </is>
      </c>
      <c r="S1108" s="284">
        <f>RawDataGenPO[[#This Row],[Total price]]/RawDataGenPO[[#This Row],[Qty'']]</f>
        <v/>
      </c>
      <c r="T1108" s="278" t="n">
        <v>4600</v>
      </c>
      <c r="U1108" s="291" t="n"/>
      <c r="V1108" s="7" t="inlineStr">
        <is>
          <t>V1000529 - 168 Supply</t>
        </is>
      </c>
      <c r="W1108" s="30" t="inlineStr">
        <is>
          <t>Recive bill and GRN already</t>
        </is>
      </c>
      <c r="X1108" s="5" t="inlineStr">
        <is>
          <t>GRN2526-0000749</t>
        </is>
      </c>
      <c r="Y1108" s="3" t="n">
        <v>45785</v>
      </c>
      <c r="AA1108" s="17">
        <f>IF(RawDataGenPO[[#This Row],[Date Gen PO]]="","",RawDataGenPO[[#This Row],[Date recive bill]]-RawDataGenPO[[#This Row],[Date Gen PO]])</f>
        <v/>
      </c>
      <c r="AB1108" s="16">
        <f>IF(RawDataGenPO[[#This Row],[GRN-PO date]]&gt;RawDataGenPO[[#This Row],[Lead time delivery (day)]],"over deliverry","Ontime")</f>
        <v/>
      </c>
      <c r="AC1108" s="22" t="n"/>
    </row>
    <row r="1109" ht="19.20000076293945" customHeight="1">
      <c r="A1109" s="5">
        <f>ROW()-ROW(RawDataGenPO[[#Headers],[No.]])</f>
        <v/>
      </c>
      <c r="B1109" s="73" t="inlineStr">
        <is>
          <t>Expent  cost</t>
        </is>
      </c>
      <c r="C1109" s="343" t="n">
        <v>45777</v>
      </c>
      <c r="F1109" s="281" t="n">
        <v>45777</v>
      </c>
      <c r="G1109" s="5" t="inlineStr">
        <is>
          <t>PR2526-00379</t>
        </is>
      </c>
      <c r="H1109" s="5" t="inlineStr">
        <is>
          <t>PO2526-00585</t>
        </is>
      </c>
      <c r="I1109" s="344" t="n">
        <v>45778</v>
      </c>
      <c r="J1109" s="344" t="n">
        <v>45787</v>
      </c>
      <c r="K1109" s="20" t="n">
        <v>10</v>
      </c>
      <c r="L1109" s="5" t="inlineStr">
        <is>
          <t>SFST81000009</t>
        </is>
      </c>
      <c r="M1109" s="7" t="inlineStr">
        <is>
          <t>Tool and Equipment  Engineering</t>
        </is>
      </c>
      <c r="N1109" s="7" t="inlineStr">
        <is>
          <t>Tool and Equipment</t>
        </is>
      </c>
      <c r="O1109" s="11" t="n">
        <v>2</v>
      </c>
      <c r="P1109" s="80" t="inlineStr">
        <is>
          <t>pipe repair clamp HDPE repair clamp 2-1/2 inch (75mm.)</t>
        </is>
      </c>
      <c r="Q1109" s="277" t="n">
        <v>5</v>
      </c>
      <c r="R1109" s="112" t="inlineStr">
        <is>
          <t>PCS.</t>
        </is>
      </c>
      <c r="S1109" s="284">
        <f>RawDataGenPO[[#This Row],[Total price]]/RawDataGenPO[[#This Row],[Qty'']]</f>
        <v/>
      </c>
      <c r="T1109" s="278" t="n">
        <v>2650</v>
      </c>
      <c r="U1109" s="291" t="n"/>
      <c r="V1109" s="7" t="inlineStr">
        <is>
          <t>V1000529 - 168 Supply</t>
        </is>
      </c>
      <c r="W1109" s="30" t="inlineStr">
        <is>
          <t>Recive bill and GRN already</t>
        </is>
      </c>
      <c r="X1109" s="5" t="inlineStr">
        <is>
          <t>GRN2526-0000749</t>
        </is>
      </c>
      <c r="Y1109" s="3" t="n">
        <v>45785</v>
      </c>
      <c r="AA1109" s="17">
        <f>IF(RawDataGenPO[[#This Row],[Date Gen PO]]="","",RawDataGenPO[[#This Row],[Date recive bill]]-RawDataGenPO[[#This Row],[Date Gen PO]])</f>
        <v/>
      </c>
      <c r="AB1109" s="16">
        <f>IF(RawDataGenPO[[#This Row],[GRN-PO date]]&gt;RawDataGenPO[[#This Row],[Lead time delivery (day)]],"over deliverry","Ontime")</f>
        <v/>
      </c>
      <c r="AC1109" s="22" t="n"/>
    </row>
    <row r="1110" ht="19.20000076293945" customHeight="1">
      <c r="A1110" s="5">
        <f>ROW()-ROW(RawDataGenPO[[#Headers],[No.]])</f>
        <v/>
      </c>
      <c r="B1110" s="73" t="inlineStr">
        <is>
          <t>Expent  cost</t>
        </is>
      </c>
      <c r="C1110" s="343" t="n">
        <v>45777</v>
      </c>
      <c r="F1110" s="281" t="n">
        <v>45777</v>
      </c>
      <c r="G1110" s="5" t="inlineStr">
        <is>
          <t>PR2526-00379</t>
        </is>
      </c>
      <c r="H1110" s="5" t="inlineStr">
        <is>
          <t>PO2526-00585</t>
        </is>
      </c>
      <c r="I1110" s="344" t="n">
        <v>45778</v>
      </c>
      <c r="J1110" s="344" t="n">
        <v>45787</v>
      </c>
      <c r="K1110" s="20" t="n">
        <v>10</v>
      </c>
      <c r="L1110" s="5" t="inlineStr">
        <is>
          <t>SFST81000009</t>
        </is>
      </c>
      <c r="M1110" s="7" t="inlineStr">
        <is>
          <t>Tool and Equipment  Engineering</t>
        </is>
      </c>
      <c r="N1110" s="7" t="inlineStr">
        <is>
          <t>Tool and Equipment</t>
        </is>
      </c>
      <c r="O1110" s="11" t="n">
        <v>3</v>
      </c>
      <c r="P1110" s="80" t="inlineStr">
        <is>
          <t>pipe repair clamp HDPE repair clamp 3 inch (90mm.)</t>
        </is>
      </c>
      <c r="Q1110" s="277" t="n">
        <v>5</v>
      </c>
      <c r="R1110" s="112" t="inlineStr">
        <is>
          <t>PCS.</t>
        </is>
      </c>
      <c r="S1110" s="284">
        <f>RawDataGenPO[[#This Row],[Total price]]/RawDataGenPO[[#This Row],[Qty'']]</f>
        <v/>
      </c>
      <c r="T1110" s="278" t="n">
        <v>3600</v>
      </c>
      <c r="U1110" s="291" t="n"/>
      <c r="V1110" s="7" t="inlineStr">
        <is>
          <t>V1000529 - 168 Supply</t>
        </is>
      </c>
      <c r="W1110" s="30" t="inlineStr">
        <is>
          <t>Recive bill and GRN already</t>
        </is>
      </c>
      <c r="X1110" s="5" t="inlineStr">
        <is>
          <t>GRN2526-0000749</t>
        </is>
      </c>
      <c r="Y1110" s="3" t="n">
        <v>45785</v>
      </c>
      <c r="AA1110" s="17">
        <f>IF(RawDataGenPO[[#This Row],[Date Gen PO]]="","",RawDataGenPO[[#This Row],[Date recive bill]]-RawDataGenPO[[#This Row],[Date Gen PO]])</f>
        <v/>
      </c>
      <c r="AB1110" s="16">
        <f>IF(RawDataGenPO[[#This Row],[GRN-PO date]]&gt;RawDataGenPO[[#This Row],[Lead time delivery (day)]],"over deliverry","Ontime")</f>
        <v/>
      </c>
      <c r="AC1110" s="22" t="n"/>
    </row>
    <row r="1111" ht="30" customHeight="1">
      <c r="A1111" s="5">
        <f>ROW()-ROW(RawDataGenPO[[#Headers],[No.]])</f>
        <v/>
      </c>
      <c r="B1111" s="73" t="inlineStr">
        <is>
          <t>Expent  cost</t>
        </is>
      </c>
      <c r="C1111" s="343" t="n">
        <v>45777</v>
      </c>
      <c r="F1111" s="281" t="n">
        <v>45777</v>
      </c>
      <c r="G1111" s="5" t="inlineStr">
        <is>
          <t>PR2526-00380</t>
        </is>
      </c>
      <c r="H1111" s="5" t="inlineStr">
        <is>
          <t>PO2526-00586</t>
        </is>
      </c>
      <c r="I1111" s="344" t="n">
        <v>45787</v>
      </c>
      <c r="J1111" s="344" t="n">
        <v>45787</v>
      </c>
      <c r="K1111" s="20" t="n">
        <v>10</v>
      </c>
      <c r="L1111" s="5" t="inlineStr">
        <is>
          <t>SFST81000009</t>
        </is>
      </c>
      <c r="M1111" s="7" t="inlineStr">
        <is>
          <t>Tool and Equipment PD M/C</t>
        </is>
      </c>
      <c r="N1111" s="7" t="inlineStr">
        <is>
          <t>Tool and Equipment</t>
        </is>
      </c>
      <c r="O1111" s="11" t="n">
        <v>1</v>
      </c>
      <c r="P1111" s="80" t="inlineStr">
        <is>
          <t>Japan Kitz 10K Cast Stainless Steel 1/2"
SJ Globe Valves for Steam</t>
        </is>
      </c>
      <c r="Q1111" s="277" t="n">
        <v>2</v>
      </c>
      <c r="R1111" s="112" t="inlineStr">
        <is>
          <t>PCS.</t>
        </is>
      </c>
      <c r="S1111" s="284">
        <f>RawDataGenPO[[#This Row],[Total price]]/RawDataGenPO[[#This Row],[Qty'']]</f>
        <v/>
      </c>
      <c r="T1111" s="278" t="n">
        <v>900</v>
      </c>
      <c r="U1111" s="291" t="n"/>
      <c r="V1111" s="7" t="inlineStr">
        <is>
          <t>V1000259 - JJP SUPPLY CO., LTD</t>
        </is>
      </c>
      <c r="W1111" s="30" t="inlineStr">
        <is>
          <t>Recive bill and GRN already</t>
        </is>
      </c>
      <c r="X1111" s="5" t="inlineStr">
        <is>
          <t>GRN2526-0000925</t>
        </is>
      </c>
      <c r="Y1111" s="3" t="n">
        <v>45793</v>
      </c>
      <c r="AA1111" s="17">
        <f>IF(RawDataGenPO[[#This Row],[Date Gen PO]]="","",RawDataGenPO[[#This Row],[Date recive bill]]-RawDataGenPO[[#This Row],[Date Gen PO]])</f>
        <v/>
      </c>
      <c r="AB1111" s="16">
        <f>IF(RawDataGenPO[[#This Row],[GRN-PO date]]&gt;RawDataGenPO[[#This Row],[Lead time delivery (day)]],"over deliverry","Ontime")</f>
        <v/>
      </c>
      <c r="AC1111" s="22" t="n"/>
    </row>
    <row r="1112" ht="30" customHeight="1">
      <c r="A1112" s="5">
        <f>ROW()-ROW(RawDataGenPO[[#Headers],[No.]])</f>
        <v/>
      </c>
      <c r="B1112" s="73" t="inlineStr">
        <is>
          <t>Expent  cost</t>
        </is>
      </c>
      <c r="C1112" s="343" t="n">
        <v>45777</v>
      </c>
      <c r="F1112" s="281" t="n">
        <v>45777</v>
      </c>
      <c r="G1112" s="5" t="inlineStr">
        <is>
          <t>PR2526-00380</t>
        </is>
      </c>
      <c r="H1112" s="5" t="inlineStr">
        <is>
          <t>PO2526-00586</t>
        </is>
      </c>
      <c r="I1112" s="344" t="n">
        <v>45787</v>
      </c>
      <c r="J1112" s="344" t="n">
        <v>45787</v>
      </c>
      <c r="K1112" s="20" t="n">
        <v>10</v>
      </c>
      <c r="L1112" s="5" t="inlineStr">
        <is>
          <t>SFST81000009</t>
        </is>
      </c>
      <c r="M1112" s="7" t="inlineStr">
        <is>
          <t>Tool and Equipment PD M/C</t>
        </is>
      </c>
      <c r="N1112" s="7" t="inlineStr">
        <is>
          <t>Tool and Equipment</t>
        </is>
      </c>
      <c r="O1112" s="11" t="n">
        <v>2</v>
      </c>
      <c r="P1112" s="80" t="inlineStr">
        <is>
          <t>Japan Kitz 10K Cast Stainless Steel 1/2"
SJ Globe Valves for Steam</t>
        </is>
      </c>
      <c r="Q1112" s="277" t="n">
        <v>2</v>
      </c>
      <c r="R1112" s="112" t="inlineStr">
        <is>
          <t>PCS.</t>
        </is>
      </c>
      <c r="S1112" s="284">
        <f>RawDataGenPO[[#This Row],[Total price]]/RawDataGenPO[[#This Row],[Qty'']]</f>
        <v/>
      </c>
      <c r="T1112" s="278" t="n">
        <v>670</v>
      </c>
      <c r="U1112" s="291" t="n"/>
      <c r="V1112" s="7" t="inlineStr">
        <is>
          <t>V1000259 - JJP SUPPLY CO., LTD</t>
        </is>
      </c>
      <c r="W1112" s="30" t="inlineStr">
        <is>
          <t>Recive bill and GRN already</t>
        </is>
      </c>
      <c r="X1112" s="5" t="inlineStr">
        <is>
          <t>GRN2526-0000925</t>
        </is>
      </c>
      <c r="Y1112" s="3" t="n">
        <v>45793</v>
      </c>
      <c r="AA1112" s="17">
        <f>IF(RawDataGenPO[[#This Row],[Date Gen PO]]="","",RawDataGenPO[[#This Row],[Date recive bill]]-RawDataGenPO[[#This Row],[Date Gen PO]])</f>
        <v/>
      </c>
      <c r="AB1112" s="16">
        <f>IF(RawDataGenPO[[#This Row],[GRN-PO date]]&gt;RawDataGenPO[[#This Row],[Lead time delivery (day)]],"over deliverry","Ontime")</f>
        <v/>
      </c>
      <c r="AC1112" s="22" t="n"/>
    </row>
    <row r="1113" ht="30" customHeight="1">
      <c r="A1113" s="5">
        <f>ROW()-ROW(RawDataGenPO[[#Headers],[No.]])</f>
        <v/>
      </c>
      <c r="B1113" s="73" t="inlineStr">
        <is>
          <t>Expent  cost</t>
        </is>
      </c>
      <c r="C1113" s="343" t="n">
        <v>45777</v>
      </c>
      <c r="F1113" s="281" t="n">
        <v>45777</v>
      </c>
      <c r="G1113" s="5" t="inlineStr">
        <is>
          <t>PR2526-00380</t>
        </is>
      </c>
      <c r="H1113" s="5" t="inlineStr">
        <is>
          <t>PO2526-00586</t>
        </is>
      </c>
      <c r="I1113" s="344" t="n">
        <v>45787</v>
      </c>
      <c r="J1113" s="344" t="n">
        <v>45787</v>
      </c>
      <c r="K1113" s="20" t="n">
        <v>10</v>
      </c>
      <c r="L1113" s="5" t="inlineStr">
        <is>
          <t>SFST81000009</t>
        </is>
      </c>
      <c r="M1113" s="7" t="inlineStr">
        <is>
          <t>Tool and Equipment PD M/C</t>
        </is>
      </c>
      <c r="N1113" s="7" t="inlineStr">
        <is>
          <t>Tool and Equipment</t>
        </is>
      </c>
      <c r="O1113" s="11" t="n">
        <v>3</v>
      </c>
      <c r="P1113" s="80" t="inlineStr">
        <is>
          <t>Japan Kitz 10K Cast Stainless Steel 1"
SJ Globe Valves for Steam</t>
        </is>
      </c>
      <c r="Q1113" s="277" t="n">
        <v>2</v>
      </c>
      <c r="R1113" s="112" t="inlineStr">
        <is>
          <t>PCS.</t>
        </is>
      </c>
      <c r="S1113" s="284">
        <f>RawDataGenPO[[#This Row],[Total price]]/RawDataGenPO[[#This Row],[Qty'']]</f>
        <v/>
      </c>
      <c r="T1113" s="278" t="n">
        <v>830</v>
      </c>
      <c r="U1113" s="291" t="n"/>
      <c r="V1113" s="7" t="inlineStr">
        <is>
          <t>V1000259 - JJP SUPPLY CO., LTD</t>
        </is>
      </c>
      <c r="W1113" s="30" t="inlineStr">
        <is>
          <t>Recive bill and GRN already</t>
        </is>
      </c>
      <c r="X1113" s="5" t="inlineStr">
        <is>
          <t>GRN2526-0000925</t>
        </is>
      </c>
      <c r="Y1113" s="3" t="n">
        <v>45793</v>
      </c>
      <c r="AA1113" s="17">
        <f>IF(RawDataGenPO[[#This Row],[Date Gen PO]]="","",RawDataGenPO[[#This Row],[Date recive bill]]-RawDataGenPO[[#This Row],[Date Gen PO]])</f>
        <v/>
      </c>
      <c r="AB1113" s="16">
        <f>IF(RawDataGenPO[[#This Row],[GRN-PO date]]&gt;RawDataGenPO[[#This Row],[Lead time delivery (day)]],"over deliverry","Ontime")</f>
        <v/>
      </c>
      <c r="AC1113" s="22" t="n"/>
    </row>
    <row r="1114" ht="90" customHeight="1">
      <c r="A1114" s="5">
        <f>ROW()-ROW(RawDataGenPO[[#Headers],[No.]])</f>
        <v/>
      </c>
      <c r="B1114" s="73" t="inlineStr">
        <is>
          <t>Expent  cost</t>
        </is>
      </c>
      <c r="C1114" s="343" t="n">
        <v>45777</v>
      </c>
      <c r="F1114" s="281" t="n">
        <v>45777</v>
      </c>
      <c r="G1114" s="5" t="inlineStr">
        <is>
          <t xml:space="preserve">PR2526-00381 </t>
        </is>
      </c>
      <c r="H1114" s="5" t="inlineStr">
        <is>
          <t>PO2526-00587</t>
        </is>
      </c>
      <c r="I1114" s="344" t="n">
        <v>45787</v>
      </c>
      <c r="J1114" s="344" t="n">
        <v>45787</v>
      </c>
      <c r="K1114" s="20" t="n">
        <v>10</v>
      </c>
      <c r="L1114" s="5" t="inlineStr">
        <is>
          <t>SFST81000009</t>
        </is>
      </c>
      <c r="M1114" s="7" t="inlineStr">
        <is>
          <t>Tool and Equipment  Engineering</t>
        </is>
      </c>
      <c r="N1114" s="7" t="inlineStr">
        <is>
          <t>Tool and Equipment</t>
        </is>
      </c>
      <c r="O1114" s="11" t="n">
        <v>1</v>
      </c>
      <c r="P1114" s="80" t="inlineStr">
        <is>
          <t>headweldgas CHAMP model 19-6H (LPG)
- m CHAMP 19-6
- withsetWmcable
- m CHAMP H-19
- rodweld CHAMP
- mheadweldgas CHAMP No. 1-5</t>
        </is>
      </c>
      <c r="Q1114" s="277" t="n">
        <v>1</v>
      </c>
      <c r="R1114" s="5" t="inlineStr">
        <is>
          <t>SET</t>
        </is>
      </c>
      <c r="S1114" s="284">
        <f>RawDataGenPO[[#This Row],[Total price]]/RawDataGenPO[[#This Row],[Qty'']]</f>
        <v/>
      </c>
      <c r="T1114" s="278" t="n">
        <v>1260</v>
      </c>
      <c r="U1114" s="291" t="n"/>
      <c r="V1114" s="7" t="inlineStr">
        <is>
          <t>V1000259 - JJP SUPPLY CO., LTD</t>
        </is>
      </c>
      <c r="W1114" s="30" t="inlineStr">
        <is>
          <t>Recive bill and GRN already</t>
        </is>
      </c>
      <c r="X1114" s="5" t="inlineStr">
        <is>
          <t>GRN2526-0000927</t>
        </is>
      </c>
      <c r="Y1114" s="3" t="n">
        <v>45793</v>
      </c>
      <c r="AA1114" s="17">
        <f>IF(RawDataGenPO[[#This Row],[Date Gen PO]]="","",RawDataGenPO[[#This Row],[Date recive bill]]-RawDataGenPO[[#This Row],[Date Gen PO]])</f>
        <v/>
      </c>
      <c r="AB1114" s="16">
        <f>IF(RawDataGenPO[[#This Row],[GRN-PO date]]&gt;RawDataGenPO[[#This Row],[Lead time delivery (day)]],"over deliverry","Ontime")</f>
        <v/>
      </c>
      <c r="AC1114" s="22" t="n"/>
    </row>
    <row r="1115" ht="19.20000076293945" customHeight="1">
      <c r="A1115" s="5">
        <f>ROW()-ROW(RawDataGenPO[[#Headers],[No.]])</f>
        <v/>
      </c>
      <c r="B1115" s="73" t="inlineStr">
        <is>
          <t>Expent  cost</t>
        </is>
      </c>
      <c r="C1115" s="343" t="n">
        <v>45777</v>
      </c>
      <c r="F1115" s="281" t="n">
        <v>45777</v>
      </c>
      <c r="G1115" s="5" t="inlineStr">
        <is>
          <t xml:space="preserve">PR2526-00381 </t>
        </is>
      </c>
      <c r="H1115" s="5" t="inlineStr">
        <is>
          <t>PO2526-00588</t>
        </is>
      </c>
      <c r="I1115" s="344" t="n">
        <v>45787</v>
      </c>
      <c r="J1115" s="344" t="n">
        <v>45787</v>
      </c>
      <c r="K1115" s="20" t="n">
        <v>10</v>
      </c>
      <c r="L1115" s="5" t="inlineStr">
        <is>
          <t>SFST81000009</t>
        </is>
      </c>
      <c r="M1115" s="7" t="inlineStr">
        <is>
          <t>Tool and Equipment  Engineering</t>
        </is>
      </c>
      <c r="N1115" s="7" t="inlineStr">
        <is>
          <t>Tool and Equipment</t>
        </is>
      </c>
      <c r="O1115" s="11" t="n">
        <v>1</v>
      </c>
      <c r="P1115" s="80" t="inlineStr">
        <is>
          <t>welding rod 5% (BcuP-3) THE SUN brass type (pack 10 line)</t>
        </is>
      </c>
      <c r="Q1115" s="277" t="n">
        <v>2</v>
      </c>
      <c r="R1115" s="5" t="inlineStr">
        <is>
          <t>PACK.</t>
        </is>
      </c>
      <c r="S1115" s="284">
        <f>RawDataGenPO[[#This Row],[Total price]]/RawDataGenPO[[#This Row],[Qty'']]</f>
        <v/>
      </c>
      <c r="T1115" s="278" t="n">
        <v>1690</v>
      </c>
      <c r="U1115" s="291" t="n"/>
      <c r="V1115" s="7" t="inlineStr">
        <is>
          <t>V1000603 - TM SUKSAP TRADING LIMITED PARTNERSHIP</t>
        </is>
      </c>
      <c r="W1115" s="30" t="inlineStr">
        <is>
          <t>Recive bill and GRN already</t>
        </is>
      </c>
      <c r="X1115" s="5" t="inlineStr">
        <is>
          <t>GRN2526-0000800</t>
        </is>
      </c>
      <c r="Y1115" s="3" t="n">
        <v>45790</v>
      </c>
      <c r="AA1115" s="17">
        <f>IF(RawDataGenPO[[#This Row],[Date Gen PO]]="","",RawDataGenPO[[#This Row],[Date recive bill]]-RawDataGenPO[[#This Row],[Date Gen PO]])</f>
        <v/>
      </c>
      <c r="AB1115" s="16">
        <f>IF(RawDataGenPO[[#This Row],[GRN-PO date]]&gt;RawDataGenPO[[#This Row],[Lead time delivery (day)]],"over deliverry","Ontime")</f>
        <v/>
      </c>
      <c r="AC1115" s="22" t="n"/>
    </row>
    <row r="1116" ht="19.20000076293945" customHeight="1">
      <c r="A1116" s="5">
        <f>ROW()-ROW(RawDataGenPO[[#Headers],[No.]])</f>
        <v/>
      </c>
      <c r="B1116" s="73" t="inlineStr">
        <is>
          <t>Expent  cost</t>
        </is>
      </c>
      <c r="C1116" s="343" t="n">
        <v>45777</v>
      </c>
      <c r="F1116" s="281" t="n">
        <v>45777</v>
      </c>
      <c r="G1116" s="5" t="inlineStr">
        <is>
          <t>PR2526-00382</t>
        </is>
      </c>
      <c r="H1116" s="5" t="inlineStr">
        <is>
          <t>PO2526-00589</t>
        </is>
      </c>
      <c r="I1116" s="344" t="n">
        <v>45778</v>
      </c>
      <c r="J1116" s="344" t="n">
        <v>45787</v>
      </c>
      <c r="K1116" s="20" t="n">
        <v>10</v>
      </c>
      <c r="L1116" s="5" t="inlineStr">
        <is>
          <t>SFST81000009</t>
        </is>
      </c>
      <c r="M1116" s="7" t="inlineStr">
        <is>
          <t>Tool and Equipment  Engineering</t>
        </is>
      </c>
      <c r="N1116" s="7" t="inlineStr">
        <is>
          <t>Tool and Equipment</t>
        </is>
      </c>
      <c r="O1116" s="11" t="n">
        <v>1</v>
      </c>
      <c r="P1116" s="80" t="inlineStr">
        <is>
          <t>Thermodynamic Steam Trap size 1/2"</t>
        </is>
      </c>
      <c r="Q1116" s="277" t="n">
        <v>4</v>
      </c>
      <c r="R1116" s="112" t="inlineStr">
        <is>
          <t>PCS.</t>
        </is>
      </c>
      <c r="S1116" s="284">
        <f>RawDataGenPO[[#This Row],[Total price]]/RawDataGenPO[[#This Row],[Qty'']]</f>
        <v/>
      </c>
      <c r="T1116" s="278" t="n">
        <v>8000</v>
      </c>
      <c r="U1116" s="291" t="n"/>
      <c r="V1116" s="7" t="inlineStr">
        <is>
          <t>V1000655 - SRM ENGINEERING 1991 CO., LTD.</t>
        </is>
      </c>
      <c r="W1116" s="30" t="inlineStr">
        <is>
          <t>Recive bill and GRN already</t>
        </is>
      </c>
      <c r="X1116" s="5" t="inlineStr">
        <is>
          <t>GRN2526-0000687</t>
        </is>
      </c>
      <c r="Y1116" s="3" t="n">
        <v>45783</v>
      </c>
      <c r="AA1116" s="17">
        <f>IF(RawDataGenPO[[#This Row],[Date Gen PO]]="","",RawDataGenPO[[#This Row],[Date recive bill]]-RawDataGenPO[[#This Row],[Date Gen PO]])</f>
        <v/>
      </c>
      <c r="AB1116" s="16">
        <f>IF(RawDataGenPO[[#This Row],[GRN-PO date]]&gt;RawDataGenPO[[#This Row],[Lead time delivery (day)]],"over deliverry","Ontime")</f>
        <v/>
      </c>
      <c r="AC1116" s="22" t="n"/>
    </row>
    <row r="1117" ht="19.20000076293945" customHeight="1">
      <c r="A1117" s="5">
        <f>ROW()-ROW(RawDataGenPO[[#Headers],[No.]])</f>
        <v/>
      </c>
      <c r="B1117" s="73" t="inlineStr">
        <is>
          <t>Expent  cost</t>
        </is>
      </c>
      <c r="C1117" s="343" t="n">
        <v>45777</v>
      </c>
      <c r="F1117" s="281" t="n">
        <v>45777</v>
      </c>
      <c r="G1117" s="5" t="inlineStr">
        <is>
          <t>PR2526-00382</t>
        </is>
      </c>
      <c r="H1117" s="5" t="inlineStr">
        <is>
          <t>PO2526-00589</t>
        </is>
      </c>
      <c r="I1117" s="344" t="n">
        <v>45778</v>
      </c>
      <c r="J1117" s="344" t="n">
        <v>45787</v>
      </c>
      <c r="K1117" s="20" t="n">
        <v>10</v>
      </c>
      <c r="L1117" s="5" t="inlineStr">
        <is>
          <t>SFST81000009</t>
        </is>
      </c>
      <c r="M1117" s="7" t="inlineStr">
        <is>
          <t>Tool and Equipment  Engineering</t>
        </is>
      </c>
      <c r="N1117" s="7" t="inlineStr">
        <is>
          <t>Tool and Equipment</t>
        </is>
      </c>
      <c r="O1117" s="11" t="n">
        <v>2</v>
      </c>
      <c r="P1117" s="80" t="inlineStr">
        <is>
          <t>Thermodynamic Steam Trap size 3/4"</t>
        </is>
      </c>
      <c r="Q1117" s="277" t="n">
        <v>2</v>
      </c>
      <c r="R1117" s="112" t="inlineStr">
        <is>
          <t>PCS.</t>
        </is>
      </c>
      <c r="S1117" s="284">
        <f>RawDataGenPO[[#This Row],[Total price]]/RawDataGenPO[[#This Row],[Qty'']]</f>
        <v/>
      </c>
      <c r="T1117" s="278" t="n">
        <v>4200</v>
      </c>
      <c r="U1117" s="291" t="n"/>
      <c r="V1117" s="7" t="inlineStr">
        <is>
          <t>V1000655 - SRM ENGINEERING 1991 CO., LTD.</t>
        </is>
      </c>
      <c r="W1117" s="30" t="inlineStr">
        <is>
          <t>Recive bill and GRN already</t>
        </is>
      </c>
      <c r="X1117" s="5" t="inlineStr">
        <is>
          <t>GRN2526-0000687</t>
        </is>
      </c>
      <c r="Y1117" s="3" t="n">
        <v>45783</v>
      </c>
      <c r="AA1117" s="17">
        <f>IF(RawDataGenPO[[#This Row],[Date Gen PO]]="","",RawDataGenPO[[#This Row],[Date recive bill]]-RawDataGenPO[[#This Row],[Date Gen PO]])</f>
        <v/>
      </c>
      <c r="AB1117" s="16">
        <f>IF(RawDataGenPO[[#This Row],[GRN-PO date]]&gt;RawDataGenPO[[#This Row],[Lead time delivery (day)]],"over deliverry","Ontime")</f>
        <v/>
      </c>
      <c r="AC1117" s="22" t="n"/>
    </row>
    <row r="1118" ht="19.20000076293945" customHeight="1">
      <c r="A1118" s="5">
        <f>ROW()-ROW(RawDataGenPO[[#Headers],[No.]])</f>
        <v/>
      </c>
      <c r="B1118" s="73" t="inlineStr">
        <is>
          <t>Expent  cost</t>
        </is>
      </c>
      <c r="C1118" s="343" t="n">
        <v>45777</v>
      </c>
      <c r="F1118" s="281" t="n">
        <v>45777</v>
      </c>
      <c r="G1118" s="5" t="inlineStr">
        <is>
          <t>PR2526-00382</t>
        </is>
      </c>
      <c r="H1118" s="5" t="inlineStr">
        <is>
          <t>PO2526-00589</t>
        </is>
      </c>
      <c r="I1118" s="344" t="n">
        <v>45778</v>
      </c>
      <c r="J1118" s="344" t="n">
        <v>45787</v>
      </c>
      <c r="K1118" s="20" t="n">
        <v>10</v>
      </c>
      <c r="L1118" s="5" t="inlineStr">
        <is>
          <t>SFST81000009</t>
        </is>
      </c>
      <c r="M1118" s="7" t="inlineStr">
        <is>
          <t>Tool and Equipment  Engineering</t>
        </is>
      </c>
      <c r="N1118" s="7" t="inlineStr">
        <is>
          <t>Tool and Equipment</t>
        </is>
      </c>
      <c r="O1118" s="11" t="n">
        <v>3</v>
      </c>
      <c r="P1118" s="80" t="inlineStr">
        <is>
          <t>valvestainless steel SUS 316 size 1/2"</t>
        </is>
      </c>
      <c r="Q1118" s="277" t="n">
        <v>2</v>
      </c>
      <c r="R1118" s="112" t="inlineStr">
        <is>
          <t>PCS.</t>
        </is>
      </c>
      <c r="S1118" s="284">
        <f>RawDataGenPO[[#This Row],[Total price]]/RawDataGenPO[[#This Row],[Qty'']]</f>
        <v/>
      </c>
      <c r="T1118" s="278" t="n">
        <v>1300</v>
      </c>
      <c r="U1118" s="291" t="n"/>
      <c r="V1118" s="7" t="inlineStr">
        <is>
          <t>V1000655 - SRM ENGINEERING 1991 CO., LTD.</t>
        </is>
      </c>
      <c r="W1118" s="30" t="inlineStr">
        <is>
          <t>Recive bill and GRN already</t>
        </is>
      </c>
      <c r="X1118" s="5" t="inlineStr">
        <is>
          <t>GRN2526-0000687</t>
        </is>
      </c>
      <c r="Y1118" s="3" t="n">
        <v>45783</v>
      </c>
      <c r="AA1118" s="17">
        <f>IF(RawDataGenPO[[#This Row],[Date Gen PO]]="","",RawDataGenPO[[#This Row],[Date recive bill]]-RawDataGenPO[[#This Row],[Date Gen PO]])</f>
        <v/>
      </c>
      <c r="AB1118" s="16">
        <f>IF(RawDataGenPO[[#This Row],[GRN-PO date]]&gt;RawDataGenPO[[#This Row],[Lead time delivery (day)]],"over deliverry","Ontime")</f>
        <v/>
      </c>
      <c r="AC1118" s="22" t="n"/>
    </row>
    <row r="1119" ht="19.20000076293945" customHeight="1">
      <c r="A1119" s="5">
        <f>ROW()-ROW(RawDataGenPO[[#Headers],[No.]])</f>
        <v/>
      </c>
      <c r="B1119" s="73" t="inlineStr">
        <is>
          <t>Expent  cost</t>
        </is>
      </c>
      <c r="C1119" s="343" t="n">
        <v>45777</v>
      </c>
      <c r="F1119" s="281" t="n">
        <v>45777</v>
      </c>
      <c r="G1119" s="5" t="inlineStr">
        <is>
          <t>PR2526-00382</t>
        </is>
      </c>
      <c r="H1119" s="5" t="inlineStr">
        <is>
          <t>PO2526-00589</t>
        </is>
      </c>
      <c r="I1119" s="344" t="n">
        <v>45778</v>
      </c>
      <c r="J1119" s="344" t="n">
        <v>45787</v>
      </c>
      <c r="K1119" s="20" t="n">
        <v>10</v>
      </c>
      <c r="L1119" s="5" t="inlineStr">
        <is>
          <t>SFST81000009</t>
        </is>
      </c>
      <c r="M1119" s="7" t="inlineStr">
        <is>
          <t>Tool and Equipment  Engineering</t>
        </is>
      </c>
      <c r="N1119" s="7" t="inlineStr">
        <is>
          <t>Tool and Equipment</t>
        </is>
      </c>
      <c r="O1119" s="11" t="n">
        <v>4</v>
      </c>
      <c r="P1119" s="80" t="inlineStr">
        <is>
          <t>valvestainless steel SUS 316 size 3/4"</t>
        </is>
      </c>
      <c r="Q1119" s="277" t="n">
        <v>2</v>
      </c>
      <c r="R1119" s="112" t="inlineStr">
        <is>
          <t>PCS.</t>
        </is>
      </c>
      <c r="S1119" s="284">
        <f>RawDataGenPO[[#This Row],[Total price]]/RawDataGenPO[[#This Row],[Qty'']]</f>
        <v/>
      </c>
      <c r="T1119" s="278" t="n">
        <v>1960</v>
      </c>
      <c r="U1119" s="291" t="n"/>
      <c r="V1119" s="7" t="inlineStr">
        <is>
          <t>V1000655 - SRM ENGINEERING 1991 CO., LTD.</t>
        </is>
      </c>
      <c r="W1119" s="30" t="inlineStr">
        <is>
          <t>Recive bill and GRN already</t>
        </is>
      </c>
      <c r="X1119" s="5" t="inlineStr">
        <is>
          <t>GRN2526-0000687</t>
        </is>
      </c>
      <c r="Y1119" s="3" t="n">
        <v>45783</v>
      </c>
      <c r="AA1119" s="17">
        <f>IF(RawDataGenPO[[#This Row],[Date Gen PO]]="","",RawDataGenPO[[#This Row],[Date recive bill]]-RawDataGenPO[[#This Row],[Date Gen PO]])</f>
        <v/>
      </c>
      <c r="AB1119" s="16">
        <f>IF(RawDataGenPO[[#This Row],[GRN-PO date]]&gt;RawDataGenPO[[#This Row],[Lead time delivery (day)]],"over deliverry","Ontime")</f>
        <v/>
      </c>
      <c r="AC1119" s="22" t="n"/>
    </row>
    <row r="1120" ht="19.20000076293945" customHeight="1">
      <c r="A1120" s="5">
        <f>ROW()-ROW(RawDataGenPO[[#Headers],[No.]])</f>
        <v/>
      </c>
      <c r="B1120" s="73" t="inlineStr">
        <is>
          <t>Expent  cost</t>
        </is>
      </c>
      <c r="C1120" s="343" t="n">
        <v>45777</v>
      </c>
      <c r="F1120" s="281" t="n">
        <v>45777</v>
      </c>
      <c r="G1120" s="5" t="inlineStr">
        <is>
          <t>PR2526-00382</t>
        </is>
      </c>
      <c r="H1120" s="5" t="inlineStr">
        <is>
          <t>PO2526-00589</t>
        </is>
      </c>
      <c r="I1120" s="344" t="n">
        <v>45778</v>
      </c>
      <c r="J1120" s="344" t="n">
        <v>45787</v>
      </c>
      <c r="K1120" s="20" t="n">
        <v>10</v>
      </c>
      <c r="L1120" s="5" t="inlineStr">
        <is>
          <t>SFST81000009</t>
        </is>
      </c>
      <c r="M1120" s="7" t="inlineStr">
        <is>
          <t>Tool and Equipment  Engineering</t>
        </is>
      </c>
      <c r="N1120" s="7" t="inlineStr">
        <is>
          <t>Tool and Equipment</t>
        </is>
      </c>
      <c r="O1120" s="11" t="n">
        <v>5</v>
      </c>
      <c r="P1120" s="80" t="inlineStr">
        <is>
          <t>Check Valve type Inline SUS 316 size 1/2"</t>
        </is>
      </c>
      <c r="Q1120" s="277" t="n">
        <v>2</v>
      </c>
      <c r="R1120" s="112" t="inlineStr">
        <is>
          <t>PCS.</t>
        </is>
      </c>
      <c r="S1120" s="284">
        <f>RawDataGenPO[[#This Row],[Total price]]/RawDataGenPO[[#This Row],[Qty'']]</f>
        <v/>
      </c>
      <c r="T1120" s="278" t="n">
        <v>1360</v>
      </c>
      <c r="U1120" s="291" t="n"/>
      <c r="V1120" s="7" t="inlineStr">
        <is>
          <t>V1000655 - SRM ENGINEERING 1991 CO., LTD.</t>
        </is>
      </c>
      <c r="W1120" s="30" t="inlineStr">
        <is>
          <t>Recive bill and GRN already</t>
        </is>
      </c>
      <c r="X1120" s="5" t="inlineStr">
        <is>
          <t>GRN2526-0000687</t>
        </is>
      </c>
      <c r="Y1120" s="3" t="n">
        <v>45783</v>
      </c>
      <c r="AA1120" s="17">
        <f>IF(RawDataGenPO[[#This Row],[Date Gen PO]]="","",RawDataGenPO[[#This Row],[Date recive bill]]-RawDataGenPO[[#This Row],[Date Gen PO]])</f>
        <v/>
      </c>
      <c r="AB1120" s="16">
        <f>IF(RawDataGenPO[[#This Row],[GRN-PO date]]&gt;RawDataGenPO[[#This Row],[Lead time delivery (day)]],"over deliverry","Ontime")</f>
        <v/>
      </c>
      <c r="AC1120" s="22" t="n"/>
    </row>
    <row r="1121" ht="19.20000076293945" customHeight="1">
      <c r="A1121" s="5">
        <f>ROW()-ROW(RawDataGenPO[[#Headers],[No.]])</f>
        <v/>
      </c>
      <c r="B1121" s="73" t="inlineStr">
        <is>
          <t>Expent  cost</t>
        </is>
      </c>
      <c r="C1121" s="343" t="n">
        <v>45777</v>
      </c>
      <c r="F1121" s="281" t="n">
        <v>45777</v>
      </c>
      <c r="G1121" s="5" t="inlineStr">
        <is>
          <t>PR2526-00382</t>
        </is>
      </c>
      <c r="H1121" s="5" t="inlineStr">
        <is>
          <t>PO2526-00589</t>
        </is>
      </c>
      <c r="I1121" s="344" t="n">
        <v>45778</v>
      </c>
      <c r="J1121" s="344" t="n">
        <v>45787</v>
      </c>
      <c r="K1121" s="20" t="n">
        <v>10</v>
      </c>
      <c r="L1121" s="5" t="inlineStr">
        <is>
          <t>SFST81000009</t>
        </is>
      </c>
      <c r="M1121" s="7" t="inlineStr">
        <is>
          <t>Tool and Equipment  Engineering</t>
        </is>
      </c>
      <c r="N1121" s="7" t="inlineStr">
        <is>
          <t>Tool and Equipment</t>
        </is>
      </c>
      <c r="O1121" s="11" t="n">
        <v>6</v>
      </c>
      <c r="P1121" s="80" t="inlineStr">
        <is>
          <t>Check Valve type Inline SUS 316 size 3/4"</t>
        </is>
      </c>
      <c r="Q1121" s="277" t="n">
        <v>2</v>
      </c>
      <c r="R1121" s="112" t="inlineStr">
        <is>
          <t>PCS.</t>
        </is>
      </c>
      <c r="S1121" s="284">
        <f>RawDataGenPO[[#This Row],[Total price]]/RawDataGenPO[[#This Row],[Qty'']]</f>
        <v/>
      </c>
      <c r="T1121" s="278" t="n">
        <v>1600</v>
      </c>
      <c r="U1121" s="291" t="n"/>
      <c r="V1121" s="7" t="inlineStr">
        <is>
          <t>V1000655 - SRM ENGINEERING 1991 CO., LTD.</t>
        </is>
      </c>
      <c r="W1121" s="30" t="inlineStr">
        <is>
          <t>Recive bill and GRN already</t>
        </is>
      </c>
      <c r="X1121" s="5" t="inlineStr">
        <is>
          <t>GRN2526-0000687</t>
        </is>
      </c>
      <c r="Y1121" s="3" t="n">
        <v>45783</v>
      </c>
      <c r="AA1121" s="17">
        <f>IF(RawDataGenPO[[#This Row],[Date Gen PO]]="","",RawDataGenPO[[#This Row],[Date recive bill]]-RawDataGenPO[[#This Row],[Date Gen PO]])</f>
        <v/>
      </c>
      <c r="AB1121" s="16">
        <f>IF(RawDataGenPO[[#This Row],[GRN-PO date]]&gt;RawDataGenPO[[#This Row],[Lead time delivery (day)]],"over deliverry","Ontime")</f>
        <v/>
      </c>
      <c r="AC1121" s="22" t="n"/>
    </row>
    <row r="1122" ht="19.20000076293945" customHeight="1">
      <c r="A1122" s="5">
        <f>ROW()-ROW(RawDataGenPO[[#Headers],[No.]])</f>
        <v/>
      </c>
      <c r="B1122" s="73" t="inlineStr">
        <is>
          <t>Expent  cost</t>
        </is>
      </c>
      <c r="C1122" s="343" t="n">
        <v>45783</v>
      </c>
      <c r="F1122" s="281" t="n">
        <v>45783</v>
      </c>
      <c r="G1122" s="5" t="inlineStr">
        <is>
          <t>PR2526-00420</t>
        </is>
      </c>
      <c r="H1122" s="5" t="inlineStr">
        <is>
          <t>PO2526-00676</t>
        </is>
      </c>
      <c r="I1122" s="344" t="n">
        <v>45789</v>
      </c>
      <c r="J1122" s="344" t="n">
        <v>45789</v>
      </c>
      <c r="K1122" s="20" t="n">
        <v>30</v>
      </c>
      <c r="L1122" s="5" t="inlineStr">
        <is>
          <t>SFST81000009</t>
        </is>
      </c>
      <c r="M1122" s="7" t="inlineStr">
        <is>
          <t>Tool and Equipment  Engineering</t>
        </is>
      </c>
      <c r="N1122" s="7" t="inlineStr">
        <is>
          <t>Tool and Equipment</t>
        </is>
      </c>
      <c r="O1122" s="11" t="n">
        <v>1</v>
      </c>
      <c r="P1122" s="80" t="inlineStr">
        <is>
          <t>Service charge Conveyor belt</t>
        </is>
      </c>
      <c r="Q1122" s="277" t="n">
        <v>1</v>
      </c>
      <c r="R1122" s="5" t="inlineStr">
        <is>
          <t>JOB.</t>
        </is>
      </c>
      <c r="S1122" s="284">
        <f>RawDataGenPO[[#This Row],[Total price]]/RawDataGenPO[[#This Row],[Qty'']]</f>
        <v/>
      </c>
      <c r="T1122" s="278" t="n">
        <v>6900</v>
      </c>
      <c r="U1122" s="291" t="n"/>
      <c r="V1122" s="7" t="inlineStr">
        <is>
          <t>V1000189 - FPT FOOD PROCESS TECHNOLOGY CO., LTD.</t>
        </is>
      </c>
      <c r="W1122" s="30" t="inlineStr">
        <is>
          <t>Recive bill and GRN already</t>
        </is>
      </c>
      <c r="X1122" s="5" t="inlineStr">
        <is>
          <t>GRN2526-0001517</t>
        </is>
      </c>
      <c r="Y1122" s="3" t="n">
        <v>45817</v>
      </c>
      <c r="AA1122" s="17">
        <f>IF(RawDataGenPO[[#This Row],[Date Gen PO]]="","",RawDataGenPO[[#This Row],[Date recive bill]]-RawDataGenPO[[#This Row],[Date Gen PO]])</f>
        <v/>
      </c>
      <c r="AB1122" s="16">
        <f>IF(RawDataGenPO[[#This Row],[GRN-PO date]]&gt;RawDataGenPO[[#This Row],[Lead time delivery (day)]],"over deliverry","Ontime")</f>
        <v/>
      </c>
      <c r="AC1122" s="22" t="n"/>
    </row>
    <row r="1123" ht="19.20000076293945" customHeight="1">
      <c r="A1123" s="5">
        <f>ROW()-ROW(RawDataGenPO[[#Headers],[No.]])</f>
        <v/>
      </c>
      <c r="B1123" s="73" t="inlineStr">
        <is>
          <t>Expent  cost</t>
        </is>
      </c>
      <c r="C1123" s="343" t="n">
        <v>45784</v>
      </c>
      <c r="F1123" s="281" t="n">
        <v>45784</v>
      </c>
      <c r="G1123" s="5" t="inlineStr">
        <is>
          <t>PR2526-00436</t>
        </is>
      </c>
      <c r="H1123" s="5" t="inlineStr">
        <is>
          <t>PO2526-01188</t>
        </is>
      </c>
      <c r="I1123" s="345" t="n">
        <v>45823</v>
      </c>
      <c r="J1123" s="345" t="n">
        <v>45833</v>
      </c>
      <c r="K1123" s="20" t="n">
        <v>60</v>
      </c>
      <c r="L1123" s="5" t="inlineStr">
        <is>
          <t>SFST81000064</t>
        </is>
      </c>
      <c r="M1123" s="7" t="inlineStr">
        <is>
          <t>Annual cost</t>
        </is>
      </c>
      <c r="N1123" s="7" t="inlineStr">
        <is>
          <t>Inspect cost</t>
        </is>
      </c>
      <c r="O1123" s="11" t="n">
        <v>1</v>
      </c>
      <c r="P1123" s="80" t="inlineStr">
        <is>
          <t>Service chargeWmeasuring machine X-Ray</t>
        </is>
      </c>
      <c r="Q1123" s="277" t="n">
        <v>3</v>
      </c>
      <c r="R1123" s="112" t="inlineStr">
        <is>
          <t>PCS.</t>
        </is>
      </c>
      <c r="S1123" s="284">
        <f>RawDataGenPO[[#This Row],[Total price]]/RawDataGenPO[[#This Row],[Qty'']]</f>
        <v/>
      </c>
      <c r="T1123" s="278" t="n">
        <v>250</v>
      </c>
      <c r="U1123" s="291" t="n"/>
      <c r="V1123" s="7" t="inlineStr">
        <is>
          <t>V1000833 - mWchemical andmachinehand</t>
        </is>
      </c>
      <c r="W1123" s="30" t="inlineStr">
        <is>
          <t>Recive bill and GRN already</t>
        </is>
      </c>
      <c r="X1123" s="5" t="inlineStr">
        <is>
          <t>GRN2526-0001866</t>
        </is>
      </c>
      <c r="Y1123" s="3" t="n">
        <v>45828</v>
      </c>
      <c r="AA1123" s="17">
        <f>IF(RawDataGenPO[[#This Row],[Date Gen PO]]="","",RawDataGenPO[[#This Row],[Date recive bill]]-RawDataGenPO[[#This Row],[Date Gen PO]])</f>
        <v/>
      </c>
      <c r="AB1123" s="16">
        <f>IF(RawDataGenPO[[#This Row],[GRN-PO date]]&gt;RawDataGenPO[[#This Row],[Lead time delivery (day)]],"over deliverry","Ontime")</f>
        <v/>
      </c>
      <c r="AC1123" s="22" t="n"/>
    </row>
    <row r="1124" ht="75" customHeight="1">
      <c r="A1124" s="5">
        <f>ROW()-ROW(RawDataGenPO[[#Headers],[No.]])</f>
        <v/>
      </c>
      <c r="B1124" s="73" t="inlineStr">
        <is>
          <t>Expent  cost</t>
        </is>
      </c>
      <c r="C1124" s="343" t="n">
        <v>45784</v>
      </c>
      <c r="F1124" s="281" t="n">
        <v>45784</v>
      </c>
      <c r="G1124" s="5" t="inlineStr">
        <is>
          <t>PR2526-00438</t>
        </is>
      </c>
      <c r="H1124" s="5" t="inlineStr">
        <is>
          <t>PO2526-00714</t>
        </is>
      </c>
      <c r="I1124" s="344" t="n">
        <v>45789</v>
      </c>
      <c r="J1124" s="344" t="n">
        <v>45789</v>
      </c>
      <c r="K1124" s="20" t="n">
        <v>30</v>
      </c>
      <c r="L1124" s="5" t="inlineStr">
        <is>
          <t>SFST81000064</t>
        </is>
      </c>
      <c r="M1124" s="7" t="inlineStr">
        <is>
          <t>Annual cost</t>
        </is>
      </c>
      <c r="N1124" s="7" t="inlineStr">
        <is>
          <t>Inspect cost</t>
        </is>
      </c>
      <c r="O1124" s="11" t="n">
        <v>1</v>
      </c>
      <c r="P1124" s="80" t="inlineStr">
        <is>
          <t>Wastewater analysis and measurement fee
- m measurement every 3 months
- inlet point
- outlet point
- discharge point in front of factory</t>
        </is>
      </c>
      <c r="Q1124" s="277" t="n">
        <v>1</v>
      </c>
      <c r="R1124" s="5" t="inlineStr">
        <is>
          <t>JOB.</t>
        </is>
      </c>
      <c r="S1124" s="284">
        <f>RawDataGenPO[[#This Row],[Total price]]/RawDataGenPO[[#This Row],[Qty'']]</f>
        <v/>
      </c>
      <c r="T1124" s="278" t="n">
        <v>5250</v>
      </c>
      <c r="U1124" s="291" t="n"/>
      <c r="V1124" s="7" t="inlineStr">
        <is>
          <t>V1000124 - S.P.J. SCIENTIFIC CO., LTD.</t>
        </is>
      </c>
      <c r="W1124" s="30" t="inlineStr">
        <is>
          <t>Recive bill and GRN already</t>
        </is>
      </c>
      <c r="X1124" s="5" t="inlineStr">
        <is>
          <t>GRN2526-0001506</t>
        </is>
      </c>
      <c r="Y1124" s="3" t="n">
        <v>45814</v>
      </c>
      <c r="Z1124" s="23" t="n"/>
      <c r="AA1124" s="17">
        <f>IF(RawDataGenPO[[#This Row],[Date Gen PO]]="","",RawDataGenPO[[#This Row],[Date recive bill]]-RawDataGenPO[[#This Row],[Date Gen PO]])</f>
        <v/>
      </c>
      <c r="AB1124" s="16">
        <f>IF(RawDataGenPO[[#This Row],[GRN-PO date]]&gt;RawDataGenPO[[#This Row],[Lead time delivery (day)]],"over deliverry","Ontime")</f>
        <v/>
      </c>
      <c r="AC1124" s="22" t="n"/>
    </row>
    <row r="1125" ht="19.20000076293945" customHeight="1">
      <c r="A1125" s="5">
        <f>ROW()-ROW(RawDataGenPO[[#Headers],[No.]])</f>
        <v/>
      </c>
      <c r="B1125" s="73" t="inlineStr">
        <is>
          <t>Expent  cost</t>
        </is>
      </c>
      <c r="C1125" s="343" t="n">
        <v>45784</v>
      </c>
      <c r="F1125" s="281" t="n">
        <v>45784</v>
      </c>
      <c r="G1125" s="5" t="inlineStr">
        <is>
          <t>PR2526-00439</t>
        </is>
      </c>
      <c r="H1125" s="5" t="inlineStr">
        <is>
          <t>PO2526-00715</t>
        </is>
      </c>
      <c r="I1125" s="344" t="n">
        <v>45789</v>
      </c>
      <c r="J1125" s="344" t="n">
        <v>45789</v>
      </c>
      <c r="K1125" s="20" t="n">
        <v>30</v>
      </c>
      <c r="L1125" s="5" t="inlineStr">
        <is>
          <t>SFST81000009</t>
        </is>
      </c>
      <c r="M1125" s="7" t="inlineStr">
        <is>
          <t>Tool and Equipment  Engineering</t>
        </is>
      </c>
      <c r="N1125" s="7" t="inlineStr">
        <is>
          <t>Consumable part</t>
        </is>
      </c>
      <c r="O1125" s="11" t="n">
        <v>1</v>
      </c>
      <c r="P1125" s="80" t="inlineStr">
        <is>
          <t>cutting disc 4x1 SUMO SUPER CUT 2class green (1box/50piece)</t>
        </is>
      </c>
      <c r="Q1125" s="277" t="n">
        <v>4</v>
      </c>
      <c r="R1125" s="112" t="inlineStr">
        <is>
          <t>BOX.</t>
        </is>
      </c>
      <c r="S1125" s="284">
        <f>RawDataGenPO[[#This Row],[Total price]]/RawDataGenPO[[#This Row],[Qty'']]</f>
        <v/>
      </c>
      <c r="T1125" s="278" t="n">
        <v>2000</v>
      </c>
      <c r="U1125" s="291" t="n"/>
      <c r="V1125" s="7" t="inlineStr">
        <is>
          <t>V1000306 - Inter Supply (1992) Co., Ltd.</t>
        </is>
      </c>
      <c r="W1125" s="30" t="inlineStr">
        <is>
          <t>Recive bill and GRN already</t>
        </is>
      </c>
      <c r="X1125" s="5" t="inlineStr">
        <is>
          <t>GRN2526-0001313</t>
        </is>
      </c>
      <c r="Y1125" s="3" t="n">
        <v>45810</v>
      </c>
      <c r="AA1125" s="17">
        <f>IF(RawDataGenPO[[#This Row],[Date Gen PO]]="","",RawDataGenPO[[#This Row],[Date recive bill]]-RawDataGenPO[[#This Row],[Date Gen PO]])</f>
        <v/>
      </c>
      <c r="AB1125" s="16">
        <f>IF(RawDataGenPO[[#This Row],[GRN-PO date]]&gt;RawDataGenPO[[#This Row],[Lead time delivery (day)]],"over deliverry","Ontime")</f>
        <v/>
      </c>
      <c r="AC1125" s="22" t="n"/>
    </row>
    <row r="1126" ht="19.20000076293945" customHeight="1">
      <c r="A1126" s="5">
        <f>ROW()-ROW(RawDataGenPO[[#Headers],[No.]])</f>
        <v/>
      </c>
      <c r="B1126" s="73" t="inlineStr">
        <is>
          <t>Expent  cost</t>
        </is>
      </c>
      <c r="C1126" s="343" t="n">
        <v>45784</v>
      </c>
      <c r="F1126" s="281" t="n">
        <v>45784</v>
      </c>
      <c r="G1126" s="5" t="inlineStr">
        <is>
          <t>PR2526-00439</t>
        </is>
      </c>
      <c r="H1126" s="5" t="inlineStr">
        <is>
          <t>PO2526-00715</t>
        </is>
      </c>
      <c r="I1126" s="344" t="n">
        <v>45789</v>
      </c>
      <c r="J1126" s="344" t="n">
        <v>45789</v>
      </c>
      <c r="K1126" s="20" t="n">
        <v>30</v>
      </c>
      <c r="L1126" s="5" t="inlineStr">
        <is>
          <t>SFST81000009</t>
        </is>
      </c>
      <c r="M1126" s="7" t="inlineStr">
        <is>
          <t>Tool and Equipment  Engineering</t>
        </is>
      </c>
      <c r="N1126" s="7" t="inlineStr">
        <is>
          <t>Consumable part</t>
        </is>
      </c>
      <c r="O1126" s="11" t="n">
        <v>2</v>
      </c>
      <c r="P1126" s="80" t="inlineStr">
        <is>
          <t>piece 4 inch SUMO rear steel 100x16mm (1box 10piece)</t>
        </is>
      </c>
      <c r="Q1126" s="277" t="n">
        <v>6</v>
      </c>
      <c r="R1126" s="112" t="inlineStr">
        <is>
          <t>BOX.</t>
        </is>
      </c>
      <c r="S1126" s="284">
        <f>RawDataGenPO[[#This Row],[Total price]]/RawDataGenPO[[#This Row],[Qty'']]</f>
        <v/>
      </c>
      <c r="T1126" s="278" t="n">
        <v>1500</v>
      </c>
      <c r="U1126" s="291" t="n"/>
      <c r="V1126" s="7" t="inlineStr">
        <is>
          <t>V1000306 - Inter Supply (1992) Co., Ltd.</t>
        </is>
      </c>
      <c r="W1126" s="30" t="inlineStr">
        <is>
          <t>Recive bill and GRN already</t>
        </is>
      </c>
      <c r="X1126" s="5" t="inlineStr">
        <is>
          <t>GRN2526-0001313</t>
        </is>
      </c>
      <c r="Y1126" s="3" t="n">
        <v>45810</v>
      </c>
      <c r="AA1126" s="17">
        <f>IF(RawDataGenPO[[#This Row],[Date Gen PO]]="","",RawDataGenPO[[#This Row],[Date recive bill]]-RawDataGenPO[[#This Row],[Date Gen PO]])</f>
        <v/>
      </c>
      <c r="AB1126" s="16">
        <f>IF(RawDataGenPO[[#This Row],[GRN-PO date]]&gt;RawDataGenPO[[#This Row],[Lead time delivery (day)]],"over deliverry","Ontime")</f>
        <v/>
      </c>
      <c r="AC1126" s="22" t="n"/>
    </row>
    <row r="1127" ht="30" customHeight="1">
      <c r="A1127" s="5">
        <f>ROW()-ROW(RawDataGenPO[[#Headers],[No.]])</f>
        <v/>
      </c>
      <c r="B1127" s="73" t="inlineStr">
        <is>
          <t>Expent  cost</t>
        </is>
      </c>
      <c r="C1127" s="343" t="n">
        <v>45784</v>
      </c>
      <c r="F1127" s="281" t="n">
        <v>45784</v>
      </c>
      <c r="G1127" s="5" t="inlineStr">
        <is>
          <t>PR2526-00439</t>
        </is>
      </c>
      <c r="H1127" s="5" t="inlineStr">
        <is>
          <t>PO2526-00715</t>
        </is>
      </c>
      <c r="I1127" s="344" t="n">
        <v>45789</v>
      </c>
      <c r="J1127" s="344" t="n">
        <v>45789</v>
      </c>
      <c r="K1127" s="20" t="n">
        <v>30</v>
      </c>
      <c r="L1127" s="5" t="inlineStr">
        <is>
          <t>SFST81000009</t>
        </is>
      </c>
      <c r="M1127" s="7" t="inlineStr">
        <is>
          <t>Tool and Equipment  Engineering</t>
        </is>
      </c>
      <c r="N1127" s="7" t="inlineStr">
        <is>
          <t>Consumable part</t>
        </is>
      </c>
      <c r="O1127" s="11" t="n">
        <v>3</v>
      </c>
      <c r="P1127" s="80" t="inlineStr">
        <is>
          <t>piecesteel SUMO 4 inch (100x2mmx16mm.) AWC60P (red) (1box25piece)</t>
        </is>
      </c>
      <c r="Q1127" s="277" t="n">
        <v>4</v>
      </c>
      <c r="R1127" s="112" t="inlineStr">
        <is>
          <t>BOX.</t>
        </is>
      </c>
      <c r="S1127" s="284">
        <f>RawDataGenPO[[#This Row],[Total price]]/RawDataGenPO[[#This Row],[Qty'']]</f>
        <v/>
      </c>
      <c r="T1127" s="278" t="n">
        <v>1200</v>
      </c>
      <c r="U1127" s="291" t="n"/>
      <c r="V1127" s="7" t="inlineStr">
        <is>
          <t>V1000306 - Inter Supply (1992) Co., Ltd.</t>
        </is>
      </c>
      <c r="W1127" s="30" t="inlineStr">
        <is>
          <t>Recive bill and GRN already</t>
        </is>
      </c>
      <c r="X1127" s="5" t="inlineStr">
        <is>
          <t>GRN2526-0001313</t>
        </is>
      </c>
      <c r="Y1127" s="3" t="n">
        <v>45810</v>
      </c>
      <c r="AA1127" s="17">
        <f>IF(RawDataGenPO[[#This Row],[Date Gen PO]]="","",RawDataGenPO[[#This Row],[Date recive bill]]-RawDataGenPO[[#This Row],[Date Gen PO]])</f>
        <v/>
      </c>
      <c r="AB1127" s="16">
        <f>IF(RawDataGenPO[[#This Row],[GRN-PO date]]&gt;RawDataGenPO[[#This Row],[Lead time delivery (day)]],"over deliverry","Ontime")</f>
        <v/>
      </c>
      <c r="AC1127" s="22" t="n"/>
    </row>
    <row r="1128" ht="19.20000076293945" customHeight="1">
      <c r="A1128" s="5">
        <f>ROW()-ROW(RawDataGenPO[[#Headers],[No.]])</f>
        <v/>
      </c>
      <c r="B1128" s="73" t="inlineStr">
        <is>
          <t>Expent  cost</t>
        </is>
      </c>
      <c r="C1128" s="343" t="n">
        <v>45784</v>
      </c>
      <c r="F1128" s="281" t="n">
        <v>45784</v>
      </c>
      <c r="G1128" s="5" t="inlineStr">
        <is>
          <t>PR2526-00440</t>
        </is>
      </c>
      <c r="H1128" s="5" t="inlineStr">
        <is>
          <t>PO2526-00716</t>
        </is>
      </c>
      <c r="I1128" s="344" t="n">
        <v>45789</v>
      </c>
      <c r="J1128" s="344" t="n">
        <v>45789</v>
      </c>
      <c r="K1128" s="20" t="n">
        <v>30</v>
      </c>
      <c r="L1128" s="5" t="inlineStr">
        <is>
          <t>SFST81000050</t>
        </is>
      </c>
      <c r="M1128" s="7" t="inlineStr">
        <is>
          <t>Tool and Equipment  Engineering</t>
        </is>
      </c>
      <c r="N1128" s="7" t="inlineStr">
        <is>
          <t>Tool and Equipment</t>
        </is>
      </c>
      <c r="O1128" s="11" t="n">
        <v>1</v>
      </c>
      <c r="P1128" s="80" t="inlineStr">
        <is>
          <t>TASCO model TB120SM II measuringwaterchemicalair withcable for R507</t>
        </is>
      </c>
      <c r="Q1128" s="277" t="n">
        <v>2</v>
      </c>
      <c r="R1128" s="112" t="inlineStr">
        <is>
          <t>PCS.</t>
        </is>
      </c>
      <c r="S1128" s="284">
        <f>RawDataGenPO[[#This Row],[Total price]]/RawDataGenPO[[#This Row],[Qty'']]</f>
        <v/>
      </c>
      <c r="T1128" s="278" t="n">
        <v>6000</v>
      </c>
      <c r="U1128" s="291" t="n"/>
      <c r="V1128" s="7" t="inlineStr">
        <is>
          <t>V1000259 - JJP SUPPLY CO., LTD</t>
        </is>
      </c>
      <c r="W1128" s="30" t="inlineStr">
        <is>
          <t>Recive bill and GRN already</t>
        </is>
      </c>
      <c r="X1128" s="5" t="inlineStr">
        <is>
          <t>GRN2526-0001308</t>
        </is>
      </c>
      <c r="Y1128" s="3" t="n">
        <v>45810</v>
      </c>
      <c r="AA1128" s="17">
        <f>IF(RawDataGenPO[[#This Row],[Date Gen PO]]="","",RawDataGenPO[[#This Row],[Date recive bill]]-RawDataGenPO[[#This Row],[Date Gen PO]])</f>
        <v/>
      </c>
      <c r="AB1128" s="16">
        <f>IF(RawDataGenPO[[#This Row],[GRN-PO date]]&gt;RawDataGenPO[[#This Row],[Lead time delivery (day)]],"over deliverry","Ontime")</f>
        <v/>
      </c>
      <c r="AC1128" s="22" t="n"/>
    </row>
    <row r="1129" ht="30" customHeight="1">
      <c r="A1129" s="5">
        <f>ROW()-ROW(RawDataGenPO[[#Headers],[No.]])</f>
        <v/>
      </c>
      <c r="B1129" s="73" t="inlineStr">
        <is>
          <t>Expent  cost</t>
        </is>
      </c>
      <c r="C1129" s="343" t="n">
        <v>45784</v>
      </c>
      <c r="F1129" s="281" t="n">
        <v>45784</v>
      </c>
      <c r="G1129" s="5" t="inlineStr">
        <is>
          <t>PR2526-00440</t>
        </is>
      </c>
      <c r="H1129" s="5" t="inlineStr">
        <is>
          <t>PO2526-00716</t>
        </is>
      </c>
      <c r="I1129" s="344" t="n">
        <v>45789</v>
      </c>
      <c r="J1129" s="344" t="n">
        <v>45789</v>
      </c>
      <c r="K1129" s="20" t="n">
        <v>30</v>
      </c>
      <c r="L1129" s="5" t="inlineStr">
        <is>
          <t>SFST81000050</t>
        </is>
      </c>
      <c r="M1129" s="7" t="inlineStr">
        <is>
          <t>Tool and Equipment  Engineering</t>
        </is>
      </c>
      <c r="N1129" s="7" t="inlineStr">
        <is>
          <t>Tool and Equipment</t>
        </is>
      </c>
      <c r="O1129" s="11" t="n">
        <v>2</v>
      </c>
      <c r="P1129" s="80" t="inlineStr">
        <is>
          <t>waterchemicalair model R32, R410A, R22, R134A (air)
withcable 72 inch brand IM-TECH (box)</t>
        </is>
      </c>
      <c r="Q1129" s="277" t="n">
        <v>2</v>
      </c>
      <c r="R1129" s="112" t="inlineStr">
        <is>
          <t>PCS.</t>
        </is>
      </c>
      <c r="S1129" s="284">
        <f>RawDataGenPO[[#This Row],[Total price]]/RawDataGenPO[[#This Row],[Qty'']]</f>
        <v/>
      </c>
      <c r="T1129" s="278" t="n">
        <v>3200</v>
      </c>
      <c r="U1129" s="291" t="n"/>
      <c r="V1129" s="7" t="inlineStr">
        <is>
          <t>V1000259 - JJP SUPPLY CO., LTD</t>
        </is>
      </c>
      <c r="W1129" s="30" t="inlineStr">
        <is>
          <t>Recive bill and GRN already</t>
        </is>
      </c>
      <c r="X1129" s="5" t="inlineStr">
        <is>
          <t>GRN2526-0001308</t>
        </is>
      </c>
      <c r="Y1129" s="3" t="n">
        <v>45810</v>
      </c>
      <c r="AA1129" s="17">
        <f>IF(RawDataGenPO[[#This Row],[Date Gen PO]]="","",RawDataGenPO[[#This Row],[Date recive bill]]-RawDataGenPO[[#This Row],[Date Gen PO]])</f>
        <v/>
      </c>
      <c r="AB1129" s="16">
        <f>IF(RawDataGenPO[[#This Row],[GRN-PO date]]&gt;RawDataGenPO[[#This Row],[Lead time delivery (day)]],"over deliverry","Ontime")</f>
        <v/>
      </c>
      <c r="AC1129" s="22" t="n"/>
    </row>
    <row r="1130" ht="19.20000076293945" customHeight="1">
      <c r="A1130" s="5">
        <f>ROW()-ROW(RawDataGenPO[[#Headers],[No.]])</f>
        <v/>
      </c>
      <c r="B1130" s="73" t="inlineStr">
        <is>
          <t>Expent  cost</t>
        </is>
      </c>
      <c r="C1130" s="343" t="n">
        <v>45784</v>
      </c>
      <c r="F1130" s="281" t="n">
        <v>45784</v>
      </c>
      <c r="G1130" s="5" t="inlineStr">
        <is>
          <t>PR2526-00441</t>
        </is>
      </c>
      <c r="H1130" s="5" t="inlineStr">
        <is>
          <t>PO2526-0717</t>
        </is>
      </c>
      <c r="I1130" s="344" t="n">
        <v>45789</v>
      </c>
      <c r="J1130" s="344" t="n">
        <v>45789</v>
      </c>
      <c r="K1130" s="20" t="n">
        <v>30</v>
      </c>
      <c r="L1130" s="5" t="inlineStr">
        <is>
          <t>SFST81000050</t>
        </is>
      </c>
      <c r="M1130" s="7" t="inlineStr">
        <is>
          <t>Tool and Equipment  Engineering</t>
        </is>
      </c>
      <c r="N1130" s="7" t="inlineStr">
        <is>
          <t>Tool and Equipment</t>
        </is>
      </c>
      <c r="O1130" s="11" t="n">
        <v>1</v>
      </c>
      <c r="P1130" s="80" t="inlineStr">
        <is>
          <t>ARGON PS gloves minternal fittinghandchemical</t>
        </is>
      </c>
      <c r="Q1130" s="277" t="n">
        <v>3</v>
      </c>
      <c r="R1130" s="112" t="inlineStr">
        <is>
          <t>PCS.</t>
        </is>
      </c>
      <c r="S1130" s="284">
        <f>RawDataGenPO[[#This Row],[Total price]]/RawDataGenPO[[#This Row],[Qty'']]</f>
        <v/>
      </c>
      <c r="T1130" s="278" t="n">
        <v>660</v>
      </c>
      <c r="U1130" s="291" t="n"/>
      <c r="V1130" s="7" t="inlineStr">
        <is>
          <t>V1000729 - BN SUPPLY 1991 CO., LTD.</t>
        </is>
      </c>
      <c r="W1130" s="30" t="inlineStr">
        <is>
          <t>Recive bill and GRN already</t>
        </is>
      </c>
      <c r="X1130" s="5" t="inlineStr">
        <is>
          <t>GRN2526-0001122</t>
        </is>
      </c>
      <c r="Y1130" s="3" t="n">
        <v>45800</v>
      </c>
      <c r="AA1130" s="17">
        <f>IF(RawDataGenPO[[#This Row],[Date Gen PO]]="","",RawDataGenPO[[#This Row],[Date recive bill]]-RawDataGenPO[[#This Row],[Date Gen PO]])</f>
        <v/>
      </c>
      <c r="AB1130" s="16">
        <f>IF(RawDataGenPO[[#This Row],[GRN-PO date]]&gt;RawDataGenPO[[#This Row],[Lead time delivery (day)]],"over deliverry","Ontime")</f>
        <v/>
      </c>
      <c r="AC1130" s="22" t="n"/>
    </row>
    <row r="1131" ht="19.20000076293945" customHeight="1">
      <c r="A1131" s="5">
        <f>ROW()-ROW(RawDataGenPO[[#Headers],[No.]])</f>
        <v/>
      </c>
      <c r="B1131" s="73" t="inlineStr">
        <is>
          <t>Expent  cost</t>
        </is>
      </c>
      <c r="C1131" s="343" t="n">
        <v>45784</v>
      </c>
      <c r="F1131" s="281" t="n">
        <v>45784</v>
      </c>
      <c r="G1131" s="5" t="inlineStr">
        <is>
          <t>PR2526-00441</t>
        </is>
      </c>
      <c r="H1131" s="5" t="inlineStr">
        <is>
          <t>PO2526-0717</t>
        </is>
      </c>
      <c r="I1131" s="344" t="n">
        <v>45789</v>
      </c>
      <c r="J1131" s="344" t="n">
        <v>45789</v>
      </c>
      <c r="K1131" s="20" t="n">
        <v>30</v>
      </c>
      <c r="L1131" s="5" t="inlineStr">
        <is>
          <t>SFST81000050</t>
        </is>
      </c>
      <c r="M1131" s="7" t="inlineStr">
        <is>
          <t>Tool and Equipment  Engineering</t>
        </is>
      </c>
      <c r="N1131" s="7" t="inlineStr">
        <is>
          <t>Tool and Equipment</t>
        </is>
      </c>
      <c r="O1131" s="11" t="n">
        <v>2</v>
      </c>
      <c r="P1131" s="80" t="inlineStr">
        <is>
          <t>frontcoverweldm S-POWER</t>
        </is>
      </c>
      <c r="Q1131" s="277" t="n">
        <v>1</v>
      </c>
      <c r="R1131" s="112" t="inlineStr">
        <is>
          <t>PCS.</t>
        </is>
      </c>
      <c r="S1131" s="284">
        <f>RawDataGenPO[[#This Row],[Total price]]/RawDataGenPO[[#This Row],[Qty'']]</f>
        <v/>
      </c>
      <c r="T1131" s="278" t="n">
        <v>750</v>
      </c>
      <c r="U1131" s="291" t="n"/>
      <c r="V1131" s="7" t="inlineStr">
        <is>
          <t>V1000729 - BN SUPPLY 1991 CO., LTD.</t>
        </is>
      </c>
      <c r="W1131" s="30" t="inlineStr">
        <is>
          <t>Recive bill and GRN already</t>
        </is>
      </c>
      <c r="X1131" s="5" t="inlineStr">
        <is>
          <t>GRN2526-0001122</t>
        </is>
      </c>
      <c r="Y1131" s="3" t="n">
        <v>45800</v>
      </c>
      <c r="AA1131" s="17">
        <f>IF(RawDataGenPO[[#This Row],[Date Gen PO]]="","",RawDataGenPO[[#This Row],[Date recive bill]]-RawDataGenPO[[#This Row],[Date Gen PO]])</f>
        <v/>
      </c>
      <c r="AB1131" s="16">
        <f>IF(RawDataGenPO[[#This Row],[GRN-PO date]]&gt;RawDataGenPO[[#This Row],[Lead time delivery (day)]],"over deliverry","Ontime")</f>
        <v/>
      </c>
      <c r="AC1131" s="22" t="n"/>
    </row>
    <row r="1132" ht="30" customHeight="1">
      <c r="A1132" s="5">
        <f>ROW()-ROW(RawDataGenPO[[#Headers],[No.]])</f>
        <v/>
      </c>
      <c r="B1132" s="73" t="inlineStr">
        <is>
          <t>Expent  cost</t>
        </is>
      </c>
      <c r="C1132" s="343" t="n">
        <v>45787</v>
      </c>
      <c r="F1132" s="281" t="n">
        <v>45787</v>
      </c>
      <c r="G1132" s="5" t="inlineStr">
        <is>
          <t>PR2526-00479</t>
        </is>
      </c>
      <c r="H1132" s="5" t="inlineStr">
        <is>
          <t>PO2526-00727</t>
        </is>
      </c>
      <c r="I1132" s="344" t="n">
        <v>45797</v>
      </c>
      <c r="J1132" s="344" t="n">
        <v>45797</v>
      </c>
      <c r="K1132" s="20" t="n">
        <v>60</v>
      </c>
      <c r="L1132" s="5" t="inlineStr">
        <is>
          <t>SFST81000048</t>
        </is>
      </c>
      <c r="M1132" s="7" t="inlineStr">
        <is>
          <t>Tool and Equipment PD M/C</t>
        </is>
      </c>
      <c r="N1132" s="7" t="inlineStr">
        <is>
          <t>Tool and Equipment</t>
        </is>
      </c>
      <c r="O1132" s="11" t="n">
        <v>1</v>
      </c>
      <c r="P1132" s="80" t="inlineStr">
        <is>
          <t>BUTTERFLY VALVE MALE PART/LINER&amp;NUT
(EPDM) 316L DN-65</t>
        </is>
      </c>
      <c r="Q1132" s="277" t="n">
        <v>4</v>
      </c>
      <c r="R1132" s="112" t="inlineStr">
        <is>
          <t>PCS.</t>
        </is>
      </c>
      <c r="S1132" s="284">
        <f>RawDataGenPO[[#This Row],[Total price]]/RawDataGenPO[[#This Row],[Qty'']]</f>
        <v/>
      </c>
      <c r="T1132" s="278" t="n">
        <v>22000</v>
      </c>
      <c r="U1132" s="291" t="n"/>
      <c r="V1132" s="7" t="inlineStr">
        <is>
          <t>V1000655 - SRM ENGINEERING 1991 CO., LTD.</t>
        </is>
      </c>
      <c r="W1132" s="30" t="inlineStr">
        <is>
          <t>Recive bill and GRN already</t>
        </is>
      </c>
      <c r="X1132" s="5" t="inlineStr">
        <is>
          <t>GRN2526-0001601</t>
        </is>
      </c>
      <c r="Y1132" s="3" t="n">
        <v>45819</v>
      </c>
      <c r="AA1132" s="17">
        <f>IF(RawDataGenPO[[#This Row],[Date Gen PO]]="","",RawDataGenPO[[#This Row],[Date recive bill]]-RawDataGenPO[[#This Row],[Date Gen PO]])</f>
        <v/>
      </c>
      <c r="AB1132" s="16">
        <f>IF(RawDataGenPO[[#This Row],[GRN-PO date]]&gt;RawDataGenPO[[#This Row],[Lead time delivery (day)]],"over deliverry","Ontime")</f>
        <v/>
      </c>
      <c r="AC1132" s="22" t="n"/>
    </row>
    <row r="1133" ht="19.20000076293945" customHeight="1">
      <c r="A1133" s="5">
        <f>ROW()-ROW(RawDataGenPO[[#Headers],[No.]])</f>
        <v/>
      </c>
      <c r="B1133" s="73" t="inlineStr">
        <is>
          <t>Expent  cost</t>
        </is>
      </c>
      <c r="C1133" s="343" t="n">
        <v>45787</v>
      </c>
      <c r="F1133" s="281" t="n">
        <v>45787</v>
      </c>
      <c r="G1133" s="5" t="inlineStr">
        <is>
          <t>PR2526-00480</t>
        </is>
      </c>
      <c r="H1133" s="5" t="inlineStr">
        <is>
          <t>PO2526-00816</t>
        </is>
      </c>
      <c r="I1133" s="344" t="n">
        <v>45797</v>
      </c>
      <c r="J1133" s="344" t="n">
        <v>45797</v>
      </c>
      <c r="K1133" s="20" t="n">
        <v>10</v>
      </c>
      <c r="L1133" s="5" t="inlineStr">
        <is>
          <t>SFST81000048</t>
        </is>
      </c>
      <c r="M1133" s="7" t="inlineStr">
        <is>
          <t>PD Machine</t>
        </is>
      </c>
      <c r="N1133" s="7" t="inlineStr">
        <is>
          <t>Combi oven No.1</t>
        </is>
      </c>
      <c r="O1133" s="11" t="n">
        <v>1</v>
      </c>
      <c r="P1133" s="7" t="inlineStr">
        <is>
          <t>87.01.953S Recirculation pump UP30: SCC, CMP</t>
        </is>
      </c>
      <c r="Q1133" s="277" t="n">
        <v>1</v>
      </c>
      <c r="R1133" s="112" t="inlineStr">
        <is>
          <t>PCS.</t>
        </is>
      </c>
      <c r="S1133" s="284">
        <f>RawDataGenPO[[#This Row],[Total price]]/RawDataGenPO[[#This Row],[Qty'']]</f>
        <v/>
      </c>
      <c r="T1133" s="278" t="n">
        <v>17000</v>
      </c>
      <c r="U1133" s="291" t="n"/>
      <c r="V1133" s="7" t="inlineStr">
        <is>
          <t>V1000460 - FIX EVOLUTION CO., LTD.</t>
        </is>
      </c>
      <c r="W1133" s="30" t="inlineStr">
        <is>
          <t>Recive bill and GRN already</t>
        </is>
      </c>
      <c r="X1133" s="5" t="inlineStr">
        <is>
          <t>GRN2526-0001165</t>
        </is>
      </c>
      <c r="Y1133" s="3" t="n">
        <v>45803</v>
      </c>
      <c r="AA1133" s="17">
        <f>IF(RawDataGenPO[[#This Row],[Date Gen PO]]="","",RawDataGenPO[[#This Row],[Date recive bill]]-RawDataGenPO[[#This Row],[Date Gen PO]])</f>
        <v/>
      </c>
      <c r="AB1133" s="16">
        <f>IF(RawDataGenPO[[#This Row],[GRN-PO date]]&gt;RawDataGenPO[[#This Row],[Lead time delivery (day)]],"over deliverry","Ontime")</f>
        <v/>
      </c>
      <c r="AC1133" s="22" t="n"/>
    </row>
    <row r="1134" ht="19.20000076293945" customHeight="1">
      <c r="A1134" s="5">
        <f>ROW()-ROW(RawDataGenPO[[#Headers],[No.]])</f>
        <v/>
      </c>
      <c r="B1134" s="73" t="inlineStr">
        <is>
          <t>Expent  cost</t>
        </is>
      </c>
      <c r="C1134" s="343" t="n">
        <v>45787</v>
      </c>
      <c r="F1134" s="281" t="n">
        <v>45787</v>
      </c>
      <c r="G1134" s="5" t="inlineStr">
        <is>
          <t>PR2526-00480</t>
        </is>
      </c>
      <c r="H1134" s="5" t="inlineStr">
        <is>
          <t>PO2526-00816</t>
        </is>
      </c>
      <c r="I1134" s="344" t="n">
        <v>45797</v>
      </c>
      <c r="J1134" s="344" t="n">
        <v>45797</v>
      </c>
      <c r="K1134" s="20" t="n">
        <v>10</v>
      </c>
      <c r="L1134" s="5" t="inlineStr">
        <is>
          <t>SFST81000048</t>
        </is>
      </c>
      <c r="M1134" s="7" t="inlineStr">
        <is>
          <t>PD Machine</t>
        </is>
      </c>
      <c r="N1134" s="7" t="inlineStr">
        <is>
          <t>Combi oven No.1</t>
        </is>
      </c>
      <c r="O1134" s="11" t="n">
        <v>2</v>
      </c>
      <c r="P1134" s="80" t="inlineStr">
        <is>
          <t>56.00.175P Pressure hose f. Cleaning: SCC 201/202</t>
        </is>
      </c>
      <c r="Q1134" s="277" t="n">
        <v>1</v>
      </c>
      <c r="R1134" s="112" t="inlineStr">
        <is>
          <t>PCS.</t>
        </is>
      </c>
      <c r="S1134" s="284">
        <f>RawDataGenPO[[#This Row],[Total price]]/RawDataGenPO[[#This Row],[Qty'']]</f>
        <v/>
      </c>
      <c r="T1134" s="278" t="n">
        <v>650</v>
      </c>
      <c r="U1134" s="291" t="n"/>
      <c r="V1134" s="7" t="inlineStr">
        <is>
          <t>V1000460 - FIX EVOLUTION CO., LTD.</t>
        </is>
      </c>
      <c r="W1134" s="30" t="inlineStr">
        <is>
          <t>Recive bill and GRN already</t>
        </is>
      </c>
      <c r="X1134" s="5" t="inlineStr">
        <is>
          <t>GRN2526-0001165</t>
        </is>
      </c>
      <c r="Y1134" s="3" t="n">
        <v>45803</v>
      </c>
      <c r="AA1134" s="17">
        <f>IF(RawDataGenPO[[#This Row],[Date Gen PO]]="","",RawDataGenPO[[#This Row],[Date recive bill]]-RawDataGenPO[[#This Row],[Date Gen PO]])</f>
        <v/>
      </c>
      <c r="AB1134" s="16">
        <f>IF(RawDataGenPO[[#This Row],[GRN-PO date]]&gt;RawDataGenPO[[#This Row],[Lead time delivery (day)]],"over deliverry","Ontime")</f>
        <v/>
      </c>
      <c r="AC1134" s="22" t="n"/>
    </row>
    <row r="1135" ht="19.20000076293945" customHeight="1">
      <c r="A1135" s="5">
        <f>ROW()-ROW(RawDataGenPO[[#Headers],[No.]])</f>
        <v/>
      </c>
      <c r="B1135" s="73" t="inlineStr">
        <is>
          <t>Expent  cost</t>
        </is>
      </c>
      <c r="C1135" s="343" t="n">
        <v>45787</v>
      </c>
      <c r="F1135" s="281" t="n">
        <v>45787</v>
      </c>
      <c r="G1135" s="5" t="inlineStr">
        <is>
          <t>PR2526-00480</t>
        </is>
      </c>
      <c r="H1135" s="5" t="inlineStr">
        <is>
          <t>PO2526-00816</t>
        </is>
      </c>
      <c r="I1135" s="344" t="n">
        <v>45797</v>
      </c>
      <c r="J1135" s="344" t="n">
        <v>45797</v>
      </c>
      <c r="K1135" s="20" t="n">
        <v>10</v>
      </c>
      <c r="L1135" s="5" t="inlineStr">
        <is>
          <t>SFST81000048</t>
        </is>
      </c>
      <c r="M1135" s="7" t="inlineStr">
        <is>
          <t>PD Machine</t>
        </is>
      </c>
      <c r="N1135" s="7" t="inlineStr">
        <is>
          <t>Combi oven No.1</t>
        </is>
      </c>
      <c r="O1135" s="11" t="n">
        <v>3</v>
      </c>
      <c r="P1135" s="80" t="inlineStr">
        <is>
          <t>56.00.176P Suction hose f. Cleaning: SCC 201/202</t>
        </is>
      </c>
      <c r="Q1135" s="277" t="n">
        <v>1</v>
      </c>
      <c r="R1135" s="112" t="inlineStr">
        <is>
          <t>PCS.</t>
        </is>
      </c>
      <c r="S1135" s="284">
        <f>RawDataGenPO[[#This Row],[Total price]]/RawDataGenPO[[#This Row],[Qty'']]</f>
        <v/>
      </c>
      <c r="T1135" s="278" t="n">
        <v>1200</v>
      </c>
      <c r="U1135" s="291" t="n"/>
      <c r="V1135" s="7" t="inlineStr">
        <is>
          <t>V1000460 - FIX EVOLUTION CO., LTD.</t>
        </is>
      </c>
      <c r="W1135" s="30" t="inlineStr">
        <is>
          <t>Recive bill and GRN already</t>
        </is>
      </c>
      <c r="X1135" s="5" t="inlineStr">
        <is>
          <t>GRN2526-0001165</t>
        </is>
      </c>
      <c r="Y1135" s="3" t="n">
        <v>45803</v>
      </c>
      <c r="AA1135" s="17">
        <f>IF(RawDataGenPO[[#This Row],[Date Gen PO]]="","",RawDataGenPO[[#This Row],[Date recive bill]]-RawDataGenPO[[#This Row],[Date Gen PO]])</f>
        <v/>
      </c>
      <c r="AB1135" s="16">
        <f>IF(RawDataGenPO[[#This Row],[GRN-PO date]]&gt;RawDataGenPO[[#This Row],[Lead time delivery (day)]],"over deliverry","Ontime")</f>
        <v/>
      </c>
      <c r="AC1135" s="22" t="n"/>
    </row>
    <row r="1136" ht="30" customHeight="1">
      <c r="A1136" s="5">
        <f>ROW()-ROW(RawDataGenPO[[#Headers],[No.]])</f>
        <v/>
      </c>
      <c r="B1136" s="73" t="inlineStr">
        <is>
          <t>Expent  cost</t>
        </is>
      </c>
      <c r="C1136" s="343" t="n">
        <v>45787</v>
      </c>
      <c r="F1136" s="281" t="n">
        <v>45787</v>
      </c>
      <c r="G1136" s="5" t="inlineStr">
        <is>
          <t>PR2526-00480</t>
        </is>
      </c>
      <c r="H1136" s="5" t="inlineStr">
        <is>
          <t>PO2526-00816</t>
        </is>
      </c>
      <c r="I1136" s="344" t="n">
        <v>45797</v>
      </c>
      <c r="J1136" s="344" t="n">
        <v>45797</v>
      </c>
      <c r="K1136" s="20" t="n">
        <v>10</v>
      </c>
      <c r="L1136" s="5" t="inlineStr">
        <is>
          <t>SFST81000048</t>
        </is>
      </c>
      <c r="M1136" s="7" t="inlineStr">
        <is>
          <t>PD Machine</t>
        </is>
      </c>
      <c r="N1136" s="7" t="inlineStr">
        <is>
          <t>Combi oven No.1</t>
        </is>
      </c>
      <c r="O1136" s="11" t="n">
        <v>4</v>
      </c>
      <c r="P1136" s="80" t="inlineStr">
        <is>
          <t>56.00.618S Ball valve drain SCC cpl.: SCC 61-202,
SCC_WE 61-202</t>
        </is>
      </c>
      <c r="Q1136" s="277" t="n">
        <v>1</v>
      </c>
      <c r="R1136" s="112" t="inlineStr">
        <is>
          <t>PCS.</t>
        </is>
      </c>
      <c r="S1136" s="284">
        <f>RawDataGenPO[[#This Row],[Total price]]/RawDataGenPO[[#This Row],[Qty'']]</f>
        <v/>
      </c>
      <c r="T1136" s="278" t="n">
        <v>24800</v>
      </c>
      <c r="U1136" s="291" t="n"/>
      <c r="V1136" s="7" t="inlineStr">
        <is>
          <t>V1000460 - FIX EVOLUTION CO., LTD.</t>
        </is>
      </c>
      <c r="W1136" s="30" t="inlineStr">
        <is>
          <t>Recive bill and GRN already</t>
        </is>
      </c>
      <c r="X1136" s="5" t="inlineStr">
        <is>
          <t>GRN2526-0001165</t>
        </is>
      </c>
      <c r="Y1136" s="3" t="n">
        <v>45803</v>
      </c>
      <c r="AA1136" s="17">
        <f>IF(RawDataGenPO[[#This Row],[Date Gen PO]]="","",RawDataGenPO[[#This Row],[Date recive bill]]-RawDataGenPO[[#This Row],[Date Gen PO]])</f>
        <v/>
      </c>
      <c r="AB1136" s="16">
        <f>IF(RawDataGenPO[[#This Row],[GRN-PO date]]&gt;RawDataGenPO[[#This Row],[Lead time delivery (day)]],"over deliverry","Ontime")</f>
        <v/>
      </c>
      <c r="AC1136" s="22" t="n"/>
    </row>
    <row r="1137" ht="19.20000076293945" customHeight="1">
      <c r="A1137" s="5">
        <f>ROW()-ROW(RawDataGenPO[[#Headers],[No.]])</f>
        <v/>
      </c>
      <c r="B1137" s="73" t="inlineStr">
        <is>
          <t>Expent  cost</t>
        </is>
      </c>
      <c r="C1137" s="343" t="n">
        <v>45787</v>
      </c>
      <c r="F1137" s="281" t="n">
        <v>45787</v>
      </c>
      <c r="G1137" s="5" t="inlineStr">
        <is>
          <t>PR2526-00480</t>
        </is>
      </c>
      <c r="H1137" s="5" t="inlineStr">
        <is>
          <t>PO2526-00816</t>
        </is>
      </c>
      <c r="I1137" s="344" t="n">
        <v>45797</v>
      </c>
      <c r="J1137" s="344" t="n">
        <v>45797</v>
      </c>
      <c r="K1137" s="20" t="n">
        <v>10</v>
      </c>
      <c r="L1137" s="5" t="inlineStr">
        <is>
          <t>SFST81000048</t>
        </is>
      </c>
      <c r="M1137" s="7" t="inlineStr">
        <is>
          <t>PD Machine</t>
        </is>
      </c>
      <c r="N1137" s="7" t="inlineStr">
        <is>
          <t>Combi oven No.1</t>
        </is>
      </c>
      <c r="O1137" s="11" t="n">
        <v>5</v>
      </c>
      <c r="P1137" s="80" t="inlineStr">
        <is>
          <t>Service Charge in Sunday</t>
        </is>
      </c>
      <c r="Q1137" s="277" t="n">
        <v>1</v>
      </c>
      <c r="R1137" s="112" t="inlineStr">
        <is>
          <t>PCS.</t>
        </is>
      </c>
      <c r="S1137" s="284">
        <f>RawDataGenPO[[#This Row],[Total price]]/RawDataGenPO[[#This Row],[Qty'']]</f>
        <v/>
      </c>
      <c r="T1137" s="278" t="n">
        <v>2000</v>
      </c>
      <c r="U1137" s="291" t="n"/>
      <c r="V1137" s="7" t="inlineStr">
        <is>
          <t>V1000460 - FIX EVOLUTION CO., LTD.</t>
        </is>
      </c>
      <c r="W1137" s="30" t="inlineStr">
        <is>
          <t>Recive bill and GRN already</t>
        </is>
      </c>
      <c r="X1137" s="5" t="inlineStr">
        <is>
          <t>GRN2526-0001166</t>
        </is>
      </c>
      <c r="Y1137" s="3" t="n">
        <v>45803</v>
      </c>
      <c r="AA1137" s="17">
        <f>IF(RawDataGenPO[[#This Row],[Date Gen PO]]="","",RawDataGenPO[[#This Row],[Date recive bill]]-RawDataGenPO[[#This Row],[Date Gen PO]])</f>
        <v/>
      </c>
      <c r="AB1137" s="16">
        <f>IF(RawDataGenPO[[#This Row],[GRN-PO date]]&gt;RawDataGenPO[[#This Row],[Lead time delivery (day)]],"over deliverry","Ontime")</f>
        <v/>
      </c>
      <c r="AC1137" s="22" t="n"/>
    </row>
    <row r="1138" ht="45" customHeight="1">
      <c r="A1138" s="5">
        <f>ROW()-ROW(RawDataGenPO[[#Headers],[No.]])</f>
        <v/>
      </c>
      <c r="B1138" s="73" t="inlineStr">
        <is>
          <t>Expent  cost</t>
        </is>
      </c>
      <c r="C1138" s="343" t="n">
        <v>45787</v>
      </c>
      <c r="F1138" s="281" t="n">
        <v>45787</v>
      </c>
      <c r="G1138" s="5" t="inlineStr">
        <is>
          <t>PR2526-00481</t>
        </is>
      </c>
      <c r="H1138" s="5" t="inlineStr">
        <is>
          <t>PO2526-00817</t>
        </is>
      </c>
      <c r="I1138" s="344" t="n">
        <v>45797</v>
      </c>
      <c r="J1138" s="344" t="n">
        <v>45797</v>
      </c>
      <c r="K1138" s="20" t="n">
        <v>10</v>
      </c>
      <c r="L1138" s="5" t="inlineStr">
        <is>
          <t>SFST81000048</t>
        </is>
      </c>
      <c r="M1138" s="7" t="inlineStr">
        <is>
          <t>PD Machine</t>
        </is>
      </c>
      <c r="N1138" s="7" t="inlineStr">
        <is>
          <t>Inkjet Stamp  No.1</t>
        </is>
      </c>
      <c r="O1138" s="11" t="n">
        <v>1</v>
      </c>
      <c r="P1138" s="80" t="inlineStr">
        <is>
          <t>Roller Dia 60 x L370 mm.
shaft Dia 15 x L445 mm.
Bearing UFL002 ASAHI 2 EA</t>
        </is>
      </c>
      <c r="Q1138" s="277" t="n">
        <v>1</v>
      </c>
      <c r="R1138" s="5" t="inlineStr">
        <is>
          <t>EA.</t>
        </is>
      </c>
      <c r="S1138" s="284">
        <f>RawDataGenPO[[#This Row],[Total price]]/RawDataGenPO[[#This Row],[Qty'']]</f>
        <v/>
      </c>
      <c r="T1138" s="278" t="n">
        <v>3000</v>
      </c>
      <c r="U1138" s="291" t="n"/>
      <c r="V1138" s="7" t="inlineStr">
        <is>
          <t>V1000792 - G ENGINEERING SUPPLY COMPANY LIMITED</t>
        </is>
      </c>
      <c r="W1138" s="30" t="inlineStr">
        <is>
          <t>Recive bill and GRN already</t>
        </is>
      </c>
      <c r="X1138" s="5" t="inlineStr">
        <is>
          <t>GRN2526-0001121</t>
        </is>
      </c>
      <c r="Y1138" s="3" t="n">
        <v>45800</v>
      </c>
      <c r="AA1138" s="17">
        <f>IF(RawDataGenPO[[#This Row],[Date Gen PO]]="","",RawDataGenPO[[#This Row],[Date recive bill]]-RawDataGenPO[[#This Row],[Date Gen PO]])</f>
        <v/>
      </c>
      <c r="AB1138" s="16">
        <f>IF(RawDataGenPO[[#This Row],[GRN-PO date]]&gt;RawDataGenPO[[#This Row],[Lead time delivery (day)]],"over deliverry","Ontime")</f>
        <v/>
      </c>
      <c r="AC1138" s="22" t="n"/>
    </row>
    <row r="1139" ht="19.20000076293945" customHeight="1">
      <c r="A1139" s="5">
        <f>ROW()-ROW(RawDataGenPO[[#Headers],[No.]])</f>
        <v/>
      </c>
      <c r="B1139" s="73" t="inlineStr">
        <is>
          <t>Expent  cost</t>
        </is>
      </c>
      <c r="C1139" s="343" t="n">
        <v>45787</v>
      </c>
      <c r="F1139" s="281" t="n">
        <v>45787</v>
      </c>
      <c r="G1139" s="5" t="inlineStr">
        <is>
          <t>PR2526-00482</t>
        </is>
      </c>
      <c r="H1139" s="5" t="inlineStr">
        <is>
          <t>PO2526-00818</t>
        </is>
      </c>
      <c r="I1139" s="344" t="n">
        <v>45797</v>
      </c>
      <c r="J1139" s="344" t="n">
        <v>45797</v>
      </c>
      <c r="K1139" s="20" t="n">
        <v>60</v>
      </c>
      <c r="L1139" s="5" t="inlineStr">
        <is>
          <t>SFST81000050</t>
        </is>
      </c>
      <c r="M1139" s="7" t="inlineStr">
        <is>
          <t>Tool and Equipment  Engineering</t>
        </is>
      </c>
      <c r="N1139" s="7" t="inlineStr">
        <is>
          <t>Tool and Equipment</t>
        </is>
      </c>
      <c r="O1139" s="11" t="n">
        <v>1</v>
      </c>
      <c r="P1139" s="80" t="inlineStr">
        <is>
          <t>"TOTAL" THT191005 mstraight 10"</t>
        </is>
      </c>
      <c r="Q1139" s="277" t="n">
        <v>3</v>
      </c>
      <c r="R1139" s="112" t="inlineStr">
        <is>
          <t>PCS.</t>
        </is>
      </c>
      <c r="S1139" s="284">
        <f>RawDataGenPO[[#This Row],[Total price]]/RawDataGenPO[[#This Row],[Qty'']]</f>
        <v/>
      </c>
      <c r="T1139" s="278" t="n">
        <v>548.13</v>
      </c>
      <c r="U1139" s="291" t="n"/>
      <c r="V1139" s="7" t="inlineStr">
        <is>
          <t>V1000567 - KRUEANG MUE RUNG REUNG CO., LTD.</t>
        </is>
      </c>
      <c r="W1139" s="30" t="inlineStr">
        <is>
          <t>Recive bill and GRN already</t>
        </is>
      </c>
      <c r="X1139" s="5" t="inlineStr">
        <is>
          <t>GRN2526-0002060</t>
        </is>
      </c>
      <c r="Y1139" s="3" t="n">
        <v>45839</v>
      </c>
      <c r="AA1139" s="17">
        <f>IF(RawDataGenPO[[#This Row],[Date Gen PO]]="","",RawDataGenPO[[#This Row],[Date recive bill]]-RawDataGenPO[[#This Row],[Date Gen PO]])</f>
        <v/>
      </c>
      <c r="AB1139" s="16">
        <f>IF(RawDataGenPO[[#This Row],[GRN-PO date]]&gt;RawDataGenPO[[#This Row],[Lead time delivery (day)]],"over deliverry","Ontime")</f>
        <v/>
      </c>
      <c r="AC1139" s="22" t="n"/>
    </row>
    <row r="1140" ht="19.20000076293945" customHeight="1">
      <c r="A1140" s="5">
        <f>ROW()-ROW(RawDataGenPO[[#Headers],[No.]])</f>
        <v/>
      </c>
      <c r="B1140" s="73" t="inlineStr">
        <is>
          <t>Expent  cost</t>
        </is>
      </c>
      <c r="C1140" s="343" t="n">
        <v>45787</v>
      </c>
      <c r="F1140" s="281" t="n">
        <v>45787</v>
      </c>
      <c r="G1140" s="5" t="inlineStr">
        <is>
          <t>PR2526-00482</t>
        </is>
      </c>
      <c r="H1140" s="5" t="inlineStr">
        <is>
          <t>PO2526-00818</t>
        </is>
      </c>
      <c r="I1140" s="344" t="n">
        <v>45797</v>
      </c>
      <c r="J1140" s="344" t="n">
        <v>45797</v>
      </c>
      <c r="K1140" s="20" t="n">
        <v>60</v>
      </c>
      <c r="L1140" s="5" t="inlineStr">
        <is>
          <t>SFST81000050</t>
        </is>
      </c>
      <c r="M1140" s="7" t="inlineStr">
        <is>
          <t>Tool and Equipment  Engineering</t>
        </is>
      </c>
      <c r="N1140" s="7" t="inlineStr">
        <is>
          <t>Tool and Equipment</t>
        </is>
      </c>
      <c r="O1140" s="11" t="n">
        <v>2</v>
      </c>
      <c r="P1140" s="80" t="inlineStr">
        <is>
          <t>"TOTAL" THTK1013 6"/8"/10"</t>
        </is>
      </c>
      <c r="Q1140" s="277" t="n">
        <v>2</v>
      </c>
      <c r="R1140" s="112" t="inlineStr">
        <is>
          <t>PCS.</t>
        </is>
      </c>
      <c r="S1140" s="284">
        <f>RawDataGenPO[[#This Row],[Total price]]/RawDataGenPO[[#This Row],[Qty'']]</f>
        <v/>
      </c>
      <c r="T1140" s="278" t="n">
        <v>587.86</v>
      </c>
      <c r="U1140" s="291" t="n"/>
      <c r="V1140" s="7" t="inlineStr">
        <is>
          <t>V1000567 - KRUEANG MUE RUNG REUNG CO., LTD.</t>
        </is>
      </c>
      <c r="W1140" s="30" t="inlineStr">
        <is>
          <t>Recive bill and GRN already</t>
        </is>
      </c>
      <c r="X1140" s="5" t="inlineStr">
        <is>
          <t>GRN2526-0002060</t>
        </is>
      </c>
      <c r="Y1140" s="3" t="n">
        <v>45839</v>
      </c>
      <c r="AA1140" s="17">
        <f>IF(RawDataGenPO[[#This Row],[Date Gen PO]]="","",RawDataGenPO[[#This Row],[Date recive bill]]-RawDataGenPO[[#This Row],[Date Gen PO]])</f>
        <v/>
      </c>
      <c r="AB1140" s="16">
        <f>IF(RawDataGenPO[[#This Row],[GRN-PO date]]&gt;RawDataGenPO[[#This Row],[Lead time delivery (day)]],"over deliverry","Ontime")</f>
        <v/>
      </c>
      <c r="AC1140" s="22" t="n"/>
    </row>
    <row r="1141" ht="19.20000076293945" customHeight="1">
      <c r="A1141" s="5">
        <f>ROW()-ROW(RawDataGenPO[[#Headers],[No.]])</f>
        <v/>
      </c>
      <c r="B1141" s="73" t="inlineStr">
        <is>
          <t>Expent  cost</t>
        </is>
      </c>
      <c r="C1141" s="343" t="n">
        <v>45787</v>
      </c>
      <c r="F1141" s="281" t="n">
        <v>45787</v>
      </c>
      <c r="G1141" s="5" t="inlineStr">
        <is>
          <t>PR2526-00482</t>
        </is>
      </c>
      <c r="H1141" s="5" t="inlineStr">
        <is>
          <t>PO2526-00818</t>
        </is>
      </c>
      <c r="I1141" s="344" t="n">
        <v>45797</v>
      </c>
      <c r="J1141" s="344" t="n">
        <v>45797</v>
      </c>
      <c r="K1141" s="20" t="n">
        <v>60</v>
      </c>
      <c r="L1141" s="5" t="inlineStr">
        <is>
          <t>SFST81000050</t>
        </is>
      </c>
      <c r="M1141" s="7" t="inlineStr">
        <is>
          <t>Tool and Equipment  Engineering</t>
        </is>
      </c>
      <c r="N1141" s="7" t="inlineStr">
        <is>
          <t>Tool and Equipment</t>
        </is>
      </c>
      <c r="O1141" s="11" t="n">
        <v>3</v>
      </c>
      <c r="P1141" s="80" t="inlineStr">
        <is>
          <t>"TOTAL" THT1010123 12"</t>
        </is>
      </c>
      <c r="Q1141" s="277" t="n">
        <v>2</v>
      </c>
      <c r="R1141" s="112" t="inlineStr">
        <is>
          <t>PCS.</t>
        </is>
      </c>
      <c r="S1141" s="284">
        <f>RawDataGenPO[[#This Row],[Total price]]/RawDataGenPO[[#This Row],[Qty'']]</f>
        <v/>
      </c>
      <c r="T1141" s="278" t="n">
        <v>349.54</v>
      </c>
      <c r="U1141" s="291" t="n"/>
      <c r="V1141" s="7" t="inlineStr">
        <is>
          <t>V1000567 - KRUEANG MUE RUNG REUNG CO., LTD.</t>
        </is>
      </c>
      <c r="W1141" s="30" t="inlineStr">
        <is>
          <t>Recive bill and GRN already</t>
        </is>
      </c>
      <c r="X1141" s="5" t="inlineStr">
        <is>
          <t>GRN2526-0002060</t>
        </is>
      </c>
      <c r="Y1141" s="3" t="n">
        <v>45839</v>
      </c>
      <c r="AA1141" s="17">
        <f>IF(RawDataGenPO[[#This Row],[Date Gen PO]]="","",RawDataGenPO[[#This Row],[Date recive bill]]-RawDataGenPO[[#This Row],[Date Gen PO]])</f>
        <v/>
      </c>
      <c r="AB1141" s="16">
        <f>IF(RawDataGenPO[[#This Row],[GRN-PO date]]&gt;RawDataGenPO[[#This Row],[Lead time delivery (day)]],"over deliverry","Ontime")</f>
        <v/>
      </c>
      <c r="AC1141" s="22" t="n"/>
    </row>
    <row r="1142" ht="19.20000076293945" customHeight="1">
      <c r="A1142" s="5">
        <f>ROW()-ROW(RawDataGenPO[[#Headers],[No.]])</f>
        <v/>
      </c>
      <c r="B1142" s="73" t="inlineStr">
        <is>
          <t>Expent  cost</t>
        </is>
      </c>
      <c r="C1142" s="343" t="n">
        <v>45787</v>
      </c>
      <c r="F1142" s="281" t="n">
        <v>45787</v>
      </c>
      <c r="G1142" s="5" t="inlineStr">
        <is>
          <t>PR2526-00483</t>
        </is>
      </c>
      <c r="H1142" s="5" t="inlineStr">
        <is>
          <t>PO2526-00819</t>
        </is>
      </c>
      <c r="I1142" s="344" t="n">
        <v>45797</v>
      </c>
      <c r="J1142" s="344" t="n">
        <v>45797</v>
      </c>
      <c r="K1142" s="20" t="n">
        <v>15</v>
      </c>
      <c r="L1142" s="5" t="inlineStr">
        <is>
          <t>SFST34000118</t>
        </is>
      </c>
      <c r="M1142" s="7" t="inlineStr">
        <is>
          <t>Consumable part for MN</t>
        </is>
      </c>
      <c r="N1142" s="7" t="inlineStr">
        <is>
          <t>Consumable part</t>
        </is>
      </c>
      <c r="O1142" s="11" t="n">
        <v>1</v>
      </c>
      <c r="P1142" s="80" t="inlineStr">
        <is>
          <t>paint brushsize 2 inch</t>
        </is>
      </c>
      <c r="Q1142" s="277" t="n">
        <v>40</v>
      </c>
      <c r="R1142" s="112" t="inlineStr">
        <is>
          <t>PCS.</t>
        </is>
      </c>
      <c r="S1142" s="284">
        <f>RawDataGenPO[[#This Row],[Total price]]/RawDataGenPO[[#This Row],[Qty'']]</f>
        <v/>
      </c>
      <c r="T1142" s="278" t="n">
        <v>480</v>
      </c>
      <c r="U1142" s="291" t="n"/>
      <c r="V1142" s="7" t="inlineStr">
        <is>
          <t>V1000306 - Inter Supply (1992) Co., Ltd.</t>
        </is>
      </c>
      <c r="W1142" s="30" t="inlineStr">
        <is>
          <t>Recive bill and GRN already</t>
        </is>
      </c>
      <c r="X1142" s="5" t="inlineStr">
        <is>
          <t>GRN2526-0001312</t>
        </is>
      </c>
      <c r="Y1142" s="3" t="n">
        <v>45810</v>
      </c>
      <c r="AA1142" s="17">
        <f>IF(RawDataGenPO[[#This Row],[Date Gen PO]]="","",RawDataGenPO[[#This Row],[Date recive bill]]-RawDataGenPO[[#This Row],[Date Gen PO]])</f>
        <v/>
      </c>
      <c r="AB1142" s="16">
        <f>IF(RawDataGenPO[[#This Row],[GRN-PO date]]&gt;RawDataGenPO[[#This Row],[Lead time delivery (day)]],"over deliverry","Ontime")</f>
        <v/>
      </c>
      <c r="AC1142" s="22" t="n"/>
    </row>
    <row r="1143" ht="19.20000076293945" customHeight="1">
      <c r="A1143" s="5">
        <f>ROW()-ROW(RawDataGenPO[[#Headers],[No.]])</f>
        <v/>
      </c>
      <c r="B1143" s="73" t="inlineStr">
        <is>
          <t>Expent  cost</t>
        </is>
      </c>
      <c r="C1143" s="343" t="n">
        <v>45787</v>
      </c>
      <c r="F1143" s="281" t="n">
        <v>45787</v>
      </c>
      <c r="G1143" s="5" t="inlineStr">
        <is>
          <t>PR2526-00483</t>
        </is>
      </c>
      <c r="H1143" s="5" t="inlineStr">
        <is>
          <t>PO2526-00819</t>
        </is>
      </c>
      <c r="I1143" s="344" t="n">
        <v>45797</v>
      </c>
      <c r="J1143" s="344" t="n">
        <v>45797</v>
      </c>
      <c r="K1143" s="20" t="n">
        <v>20</v>
      </c>
      <c r="L1143" s="5" t="inlineStr">
        <is>
          <t>SFST34000120</t>
        </is>
      </c>
      <c r="M1143" s="7" t="inlineStr">
        <is>
          <t>Consumable part for MN</t>
        </is>
      </c>
      <c r="N1143" s="7" t="inlineStr">
        <is>
          <t>Consumable part</t>
        </is>
      </c>
      <c r="O1143" s="11" t="n">
        <v>2</v>
      </c>
      <c r="P1143" s="80" t="inlineStr">
        <is>
          <t>paint roller brush size 4 inch shaftlength</t>
        </is>
      </c>
      <c r="Q1143" s="277" t="n">
        <v>20</v>
      </c>
      <c r="R1143" s="112" t="inlineStr">
        <is>
          <t>PCS.</t>
        </is>
      </c>
      <c r="S1143" s="284">
        <f>RawDataGenPO[[#This Row],[Total price]]/RawDataGenPO[[#This Row],[Qty'']]</f>
        <v/>
      </c>
      <c r="T1143" s="278" t="n">
        <v>96</v>
      </c>
      <c r="U1143" s="291" t="n"/>
      <c r="V1143" s="7" t="inlineStr">
        <is>
          <t>V1000306 - Inter Supply (1992) Co., Ltd.</t>
        </is>
      </c>
      <c r="W1143" s="30" t="inlineStr">
        <is>
          <t>Recive bill and GRN already</t>
        </is>
      </c>
      <c r="X1143" s="5" t="inlineStr">
        <is>
          <t>GRN2526-0001312</t>
        </is>
      </c>
      <c r="Y1143" s="3" t="n">
        <v>45810</v>
      </c>
      <c r="AA1143" s="17">
        <f>IF(RawDataGenPO[[#This Row],[Date Gen PO]]="","",RawDataGenPO[[#This Row],[Date recive bill]]-RawDataGenPO[[#This Row],[Date Gen PO]])</f>
        <v/>
      </c>
      <c r="AB1143" s="16">
        <f>IF(RawDataGenPO[[#This Row],[GRN-PO date]]&gt;RawDataGenPO[[#This Row],[Lead time delivery (day)]],"over deliverry","Ontime")</f>
        <v/>
      </c>
      <c r="AC1143" s="22" t="n"/>
    </row>
    <row r="1144" ht="30" customHeight="1">
      <c r="A1144" s="5">
        <f>ROW()-ROW(RawDataGenPO[[#Headers],[No.]])</f>
        <v/>
      </c>
      <c r="B1144" s="73" t="inlineStr">
        <is>
          <t>Expent  cost</t>
        </is>
      </c>
      <c r="C1144" s="343" t="n">
        <v>45787</v>
      </c>
      <c r="F1144" s="281" t="n">
        <v>45787</v>
      </c>
      <c r="G1144" s="5" t="inlineStr">
        <is>
          <t>PR2526-00483</t>
        </is>
      </c>
      <c r="H1144" s="5" t="inlineStr">
        <is>
          <t>PO2526-00819</t>
        </is>
      </c>
      <c r="I1144" s="344" t="n">
        <v>45797</v>
      </c>
      <c r="J1144" s="344" t="n">
        <v>45797</v>
      </c>
      <c r="K1144" s="20" t="n">
        <v>20</v>
      </c>
      <c r="L1144" s="5" t="inlineStr">
        <is>
          <t>SFST81000009</t>
        </is>
      </c>
      <c r="M1144" s="7" t="inlineStr">
        <is>
          <t>Tool and Equipment  Engineering</t>
        </is>
      </c>
      <c r="N1144" s="7" t="inlineStr">
        <is>
          <t>Consumable part</t>
        </is>
      </c>
      <c r="O1144" s="11" t="n">
        <v>3</v>
      </c>
      <c r="P1144" s="80" t="inlineStr">
        <is>
          <t>pcs size 4 inch "STANLEY" 29-094-8MF
(10pcs/box)</t>
        </is>
      </c>
      <c r="Q1144" s="277" t="n">
        <v>40</v>
      </c>
      <c r="R1144" s="112" t="inlineStr">
        <is>
          <t>PCS.</t>
        </is>
      </c>
      <c r="S1144" s="284">
        <f>RawDataGenPO[[#This Row],[Total price]]/RawDataGenPO[[#This Row],[Qty'']]</f>
        <v/>
      </c>
      <c r="T1144" s="278" t="n">
        <v>720</v>
      </c>
      <c r="U1144" s="291" t="n"/>
      <c r="V1144" s="7" t="inlineStr">
        <is>
          <t>V1000306 - Inter Supply (1992) Co., Ltd.</t>
        </is>
      </c>
      <c r="W1144" s="30" t="inlineStr">
        <is>
          <t>Recive bill and GRN already</t>
        </is>
      </c>
      <c r="X1144" s="5" t="inlineStr">
        <is>
          <t>GRN2526-0001312</t>
        </is>
      </c>
      <c r="Y1144" s="3" t="n">
        <v>45810</v>
      </c>
      <c r="AA1144" s="17">
        <f>IF(RawDataGenPO[[#This Row],[Date Gen PO]]="","",RawDataGenPO[[#This Row],[Date recive bill]]-RawDataGenPO[[#This Row],[Date Gen PO]])</f>
        <v/>
      </c>
      <c r="AB1144" s="16">
        <f>IF(RawDataGenPO[[#This Row],[GRN-PO date]]&gt;RawDataGenPO[[#This Row],[Lead time delivery (day)]],"over deliverry","Ontime")</f>
        <v/>
      </c>
      <c r="AC1144" s="22" t="n"/>
    </row>
    <row r="1145" ht="19.20000076293945" customHeight="1">
      <c r="A1145" s="5">
        <f>ROW()-ROW(RawDataGenPO[[#Headers],[No.]])</f>
        <v/>
      </c>
      <c r="B1145" s="73" t="inlineStr">
        <is>
          <t>Expent  cost</t>
        </is>
      </c>
      <c r="C1145" s="343" t="n">
        <v>45787</v>
      </c>
      <c r="F1145" s="281" t="n">
        <v>45787</v>
      </c>
      <c r="G1145" s="5" t="inlineStr">
        <is>
          <t>PR2526-00484</t>
        </is>
      </c>
      <c r="H1145" s="5" t="inlineStr">
        <is>
          <t>PO2526-00820</t>
        </is>
      </c>
      <c r="I1145" s="344" t="n">
        <v>45797</v>
      </c>
      <c r="J1145" s="344" t="n">
        <v>45797</v>
      </c>
      <c r="K1145" s="20" t="n">
        <v>20</v>
      </c>
      <c r="L1145" s="5" t="inlineStr">
        <is>
          <t>SFST81000009</t>
        </is>
      </c>
      <c r="M1145" s="7" t="inlineStr">
        <is>
          <t>Utility Jobs  (Boiler-Air compress-Transformer-LPG)</t>
        </is>
      </c>
      <c r="N1145" s="7" t="inlineStr">
        <is>
          <t>Cooling  part</t>
        </is>
      </c>
      <c r="O1145" s="11" t="n">
        <v>1</v>
      </c>
      <c r="P1145" s="80" t="inlineStr">
        <is>
          <t>Danfoss DCR Filter Cartridge 48-F 48F 023U1921</t>
        </is>
      </c>
      <c r="Q1145" s="277" t="n">
        <v>6</v>
      </c>
      <c r="R1145" s="112" t="inlineStr">
        <is>
          <t>PCS.</t>
        </is>
      </c>
      <c r="S1145" s="284">
        <f>RawDataGenPO[[#This Row],[Total price]]/RawDataGenPO[[#This Row],[Qty'']]</f>
        <v/>
      </c>
      <c r="T1145" s="278" t="n">
        <v>2322</v>
      </c>
      <c r="U1145" s="291" t="n"/>
      <c r="V1145" s="7" t="inlineStr">
        <is>
          <t>V1000310 - BOONBAWORN ENGINEERING CO., LTD</t>
        </is>
      </c>
      <c r="W1145" s="30" t="inlineStr">
        <is>
          <t>Recive bill and GRN already</t>
        </is>
      </c>
      <c r="X1145" s="5" t="inlineStr">
        <is>
          <t>GRN2526-0001304</t>
        </is>
      </c>
      <c r="Y1145" s="3" t="n">
        <v>45810</v>
      </c>
      <c r="AA1145" s="17">
        <f>IF(RawDataGenPO[[#This Row],[Date Gen PO]]="","",RawDataGenPO[[#This Row],[Date recive bill]]-RawDataGenPO[[#This Row],[Date Gen PO]])</f>
        <v/>
      </c>
      <c r="AB1145" s="16">
        <f>IF(RawDataGenPO[[#This Row],[GRN-PO date]]&gt;RawDataGenPO[[#This Row],[Lead time delivery (day)]],"over deliverry","Ontime")</f>
        <v/>
      </c>
      <c r="AC1145" s="22" t="n"/>
    </row>
    <row r="1146" ht="19.20000076293945" customHeight="1">
      <c r="A1146" s="5">
        <f>ROW()-ROW(RawDataGenPO[[#Headers],[No.]])</f>
        <v/>
      </c>
      <c r="B1146" s="73" t="inlineStr">
        <is>
          <t>Expent  cost</t>
        </is>
      </c>
      <c r="C1146" s="343" t="n">
        <v>45787</v>
      </c>
      <c r="F1146" s="281" t="n">
        <v>45787</v>
      </c>
      <c r="G1146" s="5" t="inlineStr">
        <is>
          <t>PR2526-00484</t>
        </is>
      </c>
      <c r="H1146" s="5" t="inlineStr">
        <is>
          <t>PO2526-00820</t>
        </is>
      </c>
      <c r="I1146" s="344" t="n">
        <v>45797</v>
      </c>
      <c r="J1146" s="344" t="n">
        <v>45797</v>
      </c>
      <c r="K1146" s="20" t="n">
        <v>20</v>
      </c>
      <c r="L1146" s="5" t="inlineStr">
        <is>
          <t>SFST81000009</t>
        </is>
      </c>
      <c r="M1146" s="7" t="inlineStr">
        <is>
          <t>Utility Jobs  (Boiler-Air compress-Transformer-LPG)</t>
        </is>
      </c>
      <c r="N1146" s="7" t="inlineStr">
        <is>
          <t>Cooling  part</t>
        </is>
      </c>
      <c r="O1146" s="11" t="n">
        <v>2</v>
      </c>
      <c r="P1146" s="80" t="inlineStr">
        <is>
          <t>m (Filter drier cores and filters) model UR-48</t>
        </is>
      </c>
      <c r="Q1146" s="277" t="n">
        <v>6</v>
      </c>
      <c r="R1146" s="112" t="inlineStr">
        <is>
          <t>PCS.</t>
        </is>
      </c>
      <c r="S1146" s="284">
        <f>RawDataGenPO[[#This Row],[Total price]]/RawDataGenPO[[#This Row],[Qty'']]</f>
        <v/>
      </c>
      <c r="T1146" s="278" t="n">
        <v>2394</v>
      </c>
      <c r="U1146" s="291" t="n"/>
      <c r="V1146" s="7" t="inlineStr">
        <is>
          <t>V1000310 - BOONBAWORN ENGINEERING CO., LTD</t>
        </is>
      </c>
      <c r="W1146" s="30" t="inlineStr">
        <is>
          <t>Recive bill and GRN already</t>
        </is>
      </c>
      <c r="X1146" s="5" t="inlineStr">
        <is>
          <t>GRN2526-0001304</t>
        </is>
      </c>
      <c r="Y1146" s="3" t="n">
        <v>45810</v>
      </c>
      <c r="AA1146" s="17">
        <f>IF(RawDataGenPO[[#This Row],[Date Gen PO]]="","",RawDataGenPO[[#This Row],[Date recive bill]]-RawDataGenPO[[#This Row],[Date Gen PO]])</f>
        <v/>
      </c>
      <c r="AB1146" s="16">
        <f>IF(RawDataGenPO[[#This Row],[GRN-PO date]]&gt;RawDataGenPO[[#This Row],[Lead time delivery (day)]],"over deliverry","Ontime")</f>
        <v/>
      </c>
      <c r="AC1146" s="22" t="n"/>
    </row>
    <row r="1147" ht="60" customHeight="1">
      <c r="A1147" s="5">
        <f>ROW()-ROW(RawDataGenPO[[#Headers],[No.]])</f>
        <v/>
      </c>
      <c r="B1147" s="7" t="inlineStr">
        <is>
          <t>Expent  cost</t>
        </is>
      </c>
      <c r="C1147" s="343" t="n">
        <v>45790</v>
      </c>
      <c r="F1147" s="301" t="n">
        <v>45790</v>
      </c>
      <c r="G1147" s="5" t="inlineStr">
        <is>
          <t>PR2526-00502</t>
        </is>
      </c>
      <c r="H1147" s="5" t="inlineStr">
        <is>
          <t>PO2526-00821</t>
        </is>
      </c>
      <c r="I1147" s="344" t="n">
        <v>45799</v>
      </c>
      <c r="J1147" s="344" t="n">
        <v>45799</v>
      </c>
      <c r="K1147" s="20" t="n"/>
      <c r="L1147" s="5" t="inlineStr">
        <is>
          <t>SFST81000048</t>
        </is>
      </c>
      <c r="M1147" s="7" t="inlineStr">
        <is>
          <t>Tool and Equipment PD M/C</t>
        </is>
      </c>
      <c r="N1147" s="7" t="inlineStr">
        <is>
          <t>Tool and Equipment</t>
        </is>
      </c>
      <c r="O1147" s="11" t="n">
        <v>1</v>
      </c>
      <c r="P1147" s="80" t="inlineStr">
        <is>
          <t>FLEXIBLE HOSE STAINLESS STEEL SS304 FMA304-3/4"
SIZE: 3/4"
END TO END: 1.20 M.
CONNECTION: SOCKET female thread SS304 3/4" - BSP (BOTH SIDE)</t>
        </is>
      </c>
      <c r="Q1147" s="277" t="n">
        <v>3</v>
      </c>
      <c r="R1147" s="112" t="inlineStr">
        <is>
          <t>PCS.</t>
        </is>
      </c>
      <c r="S1147" s="284">
        <f>RawDataGenPO[[#This Row],[Total price]]/RawDataGenPO[[#This Row],[Qty'']]</f>
        <v/>
      </c>
      <c r="T1147" s="278" t="n">
        <v>7950</v>
      </c>
      <c r="U1147" s="291" t="n"/>
      <c r="V1147" s="7" t="inlineStr">
        <is>
          <t>V1000655 - SRM ENGINEERING 1991 CO., LTD.</t>
        </is>
      </c>
      <c r="W1147" s="30" t="inlineStr">
        <is>
          <t>Recive bill and GRN already</t>
        </is>
      </c>
      <c r="X1147" s="5" t="inlineStr">
        <is>
          <t>GRN2526-0001088</t>
        </is>
      </c>
      <c r="Y1147" s="3" t="n">
        <v>45799</v>
      </c>
      <c r="AA1147" s="17">
        <f>IF(RawDataGenPO[[#This Row],[Date Gen PO]]="","",RawDataGenPO[[#This Row],[Date recive bill]]-RawDataGenPO[[#This Row],[Date Gen PO]])</f>
        <v/>
      </c>
      <c r="AB1147" s="16">
        <f>IF(RawDataGenPO[[#This Row],[GRN-PO date]]&gt;RawDataGenPO[[#This Row],[Lead time delivery (day)]],"over deliverry","Ontime")</f>
        <v/>
      </c>
      <c r="AC1147" s="22" t="n"/>
    </row>
    <row r="1148" ht="19.20000076293945" customHeight="1">
      <c r="A1148" s="5">
        <f>ROW()-ROW(RawDataGenPO[[#Headers],[No.]])</f>
        <v/>
      </c>
      <c r="B1148" s="7" t="inlineStr">
        <is>
          <t>Expent  cost</t>
        </is>
      </c>
      <c r="C1148" s="343" t="n">
        <v>45791</v>
      </c>
      <c r="F1148" s="301" t="n">
        <v>45791</v>
      </c>
      <c r="G1148" s="5" t="inlineStr">
        <is>
          <t>PR2526-00529</t>
        </is>
      </c>
      <c r="H1148" s="5" t="inlineStr">
        <is>
          <t>PO2526-00815</t>
        </is>
      </c>
      <c r="I1148" s="344" t="n">
        <v>45799</v>
      </c>
      <c r="J1148" s="344" t="n">
        <v>45799</v>
      </c>
      <c r="K1148" s="20" t="n">
        <v>30</v>
      </c>
      <c r="L1148" s="5" t="inlineStr">
        <is>
          <t>SFST11000260</t>
        </is>
      </c>
      <c r="M1148" s="7" t="inlineStr">
        <is>
          <t>Water plant</t>
        </is>
      </c>
      <c r="N1148" s="7" t="inlineStr">
        <is>
          <t>Water system jobs</t>
        </is>
      </c>
      <c r="O1148" s="11" t="n">
        <v>1</v>
      </c>
      <c r="P1148" s="80" t="inlineStr">
        <is>
          <t>sodium 10%  + COA</t>
        </is>
      </c>
      <c r="Q1148" s="277" t="n">
        <v>200</v>
      </c>
      <c r="R1148" s="5" t="inlineStr">
        <is>
          <t>KG.</t>
        </is>
      </c>
      <c r="S1148" s="284">
        <f>RawDataGenPO[[#This Row],[Total price]]/RawDataGenPO[[#This Row],[Qty'']]</f>
        <v/>
      </c>
      <c r="T1148" s="278" t="n">
        <v>1040</v>
      </c>
      <c r="U1148" s="291" t="n"/>
      <c r="V1148" s="7" t="inlineStr">
        <is>
          <t>V1000205 - INTERPRETIVE CO.,LTD.</t>
        </is>
      </c>
      <c r="W1148" s="30" t="inlineStr">
        <is>
          <t>Recive bill and GRN already</t>
        </is>
      </c>
      <c r="X1148" s="5" t="inlineStr">
        <is>
          <t>GRN2526-0001635</t>
        </is>
      </c>
      <c r="Y1148" s="3" t="n">
        <v>45821</v>
      </c>
      <c r="AA1148" s="17">
        <f>IF(RawDataGenPO[[#This Row],[Date Gen PO]]="","",RawDataGenPO[[#This Row],[Date recive bill]]-RawDataGenPO[[#This Row],[Date Gen PO]])</f>
        <v/>
      </c>
      <c r="AB1148" s="16">
        <f>IF(RawDataGenPO[[#This Row],[GRN-PO date]]&gt;RawDataGenPO[[#This Row],[Lead time delivery (day)]],"over deliverry","Ontime")</f>
        <v/>
      </c>
      <c r="AC1148" s="22" t="n"/>
    </row>
    <row r="1149" ht="19.20000076293945" customHeight="1">
      <c r="A1149" s="5">
        <f>ROW()-ROW(RawDataGenPO[[#Headers],[No.]])</f>
        <v/>
      </c>
      <c r="B1149" s="7" t="inlineStr">
        <is>
          <t>Expent  cost</t>
        </is>
      </c>
      <c r="C1149" s="343" t="n">
        <v>45791</v>
      </c>
      <c r="F1149" s="301" t="n">
        <v>45791</v>
      </c>
      <c r="G1149" s="5" t="inlineStr">
        <is>
          <t>PR2526-00529</t>
        </is>
      </c>
      <c r="H1149" s="5" t="inlineStr">
        <is>
          <t>PO2526-00814</t>
        </is>
      </c>
      <c r="I1149" s="344" t="n">
        <v>45799</v>
      </c>
      <c r="J1149" s="344" t="n">
        <v>45799</v>
      </c>
      <c r="K1149" s="20" t="n">
        <v>14</v>
      </c>
      <c r="L1149" s="5" t="inlineStr">
        <is>
          <t>SFST11000256</t>
        </is>
      </c>
      <c r="M1149" s="7" t="inlineStr">
        <is>
          <t xml:space="preserve">Waste water </t>
        </is>
      </c>
      <c r="N1149" s="7" t="inlineStr">
        <is>
          <t>Waste water system Jobs</t>
        </is>
      </c>
      <c r="O1149" s="11" t="n">
        <v>2</v>
      </c>
      <c r="P1149" s="80" t="inlineStr">
        <is>
          <t>Bio Solution 1 lit</t>
        </is>
      </c>
      <c r="Q1149" s="277" t="n">
        <v>2</v>
      </c>
      <c r="R1149" s="5" t="inlineStr">
        <is>
          <t>BOT.</t>
        </is>
      </c>
      <c r="S1149" s="284">
        <f>RawDataGenPO[[#This Row],[Total price]]/RawDataGenPO[[#This Row],[Qty'']]</f>
        <v/>
      </c>
      <c r="T1149" s="278" t="n">
        <v>800</v>
      </c>
      <c r="U1149" s="291" t="n"/>
      <c r="V1149" s="7" t="inlineStr">
        <is>
          <t xml:space="preserve"> V1000206 - TECHMAN (THAILAND) CO.,LTD.</t>
        </is>
      </c>
      <c r="W1149" s="30" t="inlineStr">
        <is>
          <t>Recive bill and GRN already</t>
        </is>
      </c>
      <c r="X1149" s="5" t="inlineStr">
        <is>
          <t>GRN2526-0001425</t>
        </is>
      </c>
      <c r="Y1149" s="3" t="n">
        <v>45812</v>
      </c>
      <c r="AA1149" s="17">
        <f>IF(RawDataGenPO[[#This Row],[Date Gen PO]]="","",RawDataGenPO[[#This Row],[Date recive bill]]-RawDataGenPO[[#This Row],[Date Gen PO]])</f>
        <v/>
      </c>
      <c r="AB1149" s="16">
        <f>IF(RawDataGenPO[[#This Row],[GRN-PO date]]&gt;RawDataGenPO[[#This Row],[Lead time delivery (day)]],"over deliverry","Ontime")</f>
        <v/>
      </c>
      <c r="AC1149" s="22" t="n"/>
    </row>
    <row r="1150" ht="60" customHeight="1">
      <c r="A1150" s="5">
        <f>ROW()-ROW(RawDataGenPO[[#Headers],[No.]])</f>
        <v/>
      </c>
      <c r="B1150" s="7" t="inlineStr">
        <is>
          <t>Expent  cost</t>
        </is>
      </c>
      <c r="C1150" s="343" t="n">
        <v>45793</v>
      </c>
      <c r="F1150" s="301" t="n">
        <v>45793</v>
      </c>
      <c r="G1150" s="5" t="inlineStr">
        <is>
          <t>PR2526-00554</t>
        </is>
      </c>
      <c r="H1150" s="5" t="inlineStr">
        <is>
          <t>PO2526-00822</t>
        </is>
      </c>
      <c r="I1150" s="344" t="n">
        <v>45799</v>
      </c>
      <c r="J1150" s="344" t="n">
        <v>45799</v>
      </c>
      <c r="K1150" s="20" t="n">
        <v>60</v>
      </c>
      <c r="L1150" s="5" t="inlineStr">
        <is>
          <t>SFST81000048</t>
        </is>
      </c>
      <c r="M1150" s="7" t="inlineStr">
        <is>
          <t>Utility Jobs  (Boiler-Air compress-Transformer-LPG)</t>
        </is>
      </c>
      <c r="N1150" s="7" t="inlineStr">
        <is>
          <t>Steam Boiler  No.2</t>
        </is>
      </c>
      <c r="O1150" s="11" t="n">
        <v>1</v>
      </c>
      <c r="P1150" s="80" t="inlineStr">
        <is>
          <t>Safety valve DN32/50 PN16 (Flange) (ARI)
Type: 12.902 Open bonnet GG-25, Temp. 300 C +
Gasket 2 set Pressure 10.0 Bar.
boiler 2 ton</t>
        </is>
      </c>
      <c r="Q1150" s="277" t="n">
        <v>1</v>
      </c>
      <c r="R1150" s="112" t="inlineStr">
        <is>
          <t>PCS.</t>
        </is>
      </c>
      <c r="S1150" s="284">
        <f>RawDataGenPO[[#This Row],[Total price]]/RawDataGenPO[[#This Row],[Qty'']]</f>
        <v/>
      </c>
      <c r="T1150" s="278" t="n">
        <v>26460</v>
      </c>
      <c r="U1150" s="291" t="n"/>
      <c r="V1150" s="7" t="inlineStr">
        <is>
          <t>V1000053 - THAI K.BOILER CO.,LTD.</t>
        </is>
      </c>
      <c r="W1150" s="30" t="inlineStr">
        <is>
          <t>Recive bill and GRN already</t>
        </is>
      </c>
      <c r="X1150" s="5" t="inlineStr">
        <is>
          <t>GRN2526-0001887</t>
        </is>
      </c>
      <c r="Y1150" s="3" t="n">
        <v>45831</v>
      </c>
      <c r="AA1150" s="17">
        <f>IF(RawDataGenPO[[#This Row],[Date Gen PO]]="","",RawDataGenPO[[#This Row],[Date recive bill]]-RawDataGenPO[[#This Row],[Date Gen PO]])</f>
        <v/>
      </c>
      <c r="AB1150" s="16">
        <f>IF(RawDataGenPO[[#This Row],[GRN-PO date]]&gt;RawDataGenPO[[#This Row],[Lead time delivery (day)]],"over deliverry","Ontime")</f>
        <v/>
      </c>
      <c r="AC1150" s="22" t="n"/>
    </row>
    <row r="1151" ht="60" customHeight="1">
      <c r="A1151" s="5">
        <f>ROW()-ROW(RawDataGenPO[[#Headers],[No.]])</f>
        <v/>
      </c>
      <c r="B1151" s="7" t="inlineStr">
        <is>
          <t>Expent  cost</t>
        </is>
      </c>
      <c r="C1151" s="343" t="n">
        <v>45793</v>
      </c>
      <c r="F1151" s="301" t="n">
        <v>45793</v>
      </c>
      <c r="G1151" s="5" t="inlineStr">
        <is>
          <t>PR2526-00554</t>
        </is>
      </c>
      <c r="H1151" s="5" t="inlineStr">
        <is>
          <t>PO2526-00822</t>
        </is>
      </c>
      <c r="I1151" s="344" t="n">
        <v>45799</v>
      </c>
      <c r="J1151" s="344" t="n">
        <v>45799</v>
      </c>
      <c r="K1151" s="20" t="n">
        <v>60</v>
      </c>
      <c r="L1151" s="5" t="inlineStr">
        <is>
          <t>SFST81000048</t>
        </is>
      </c>
      <c r="M1151" s="7" t="inlineStr">
        <is>
          <t>Utility Jobs  (Boiler-Air compress-Transformer-LPG)</t>
        </is>
      </c>
      <c r="N1151" s="7" t="inlineStr">
        <is>
          <t>Steam Boiler  No.2</t>
        </is>
      </c>
      <c r="O1151" s="11" t="n">
        <v>2</v>
      </c>
      <c r="P1151" s="80" t="inlineStr">
        <is>
          <t>Safety valve DN32/50 PN16 (Flange) (ARI)
Type: 12.902 Open bonnet GG-25, Temp. 300 C+
Gasket 2 set Pressure 10.0 Bar.
boiler 2 ton</t>
        </is>
      </c>
      <c r="Q1151" s="277" t="n">
        <v>1</v>
      </c>
      <c r="R1151" s="112" t="inlineStr">
        <is>
          <t>PCS.</t>
        </is>
      </c>
      <c r="S1151" s="284">
        <f>RawDataGenPO[[#This Row],[Total price]]/RawDataGenPO[[#This Row],[Qty'']]</f>
        <v/>
      </c>
      <c r="T1151" s="278" t="n">
        <v>26460</v>
      </c>
      <c r="U1151" s="291" t="n"/>
      <c r="V1151" s="7" t="inlineStr">
        <is>
          <t>V1000053 - THAI K.BOILER CO.,LTD.</t>
        </is>
      </c>
      <c r="W1151" s="30" t="inlineStr">
        <is>
          <t>Recive bill and GRN already</t>
        </is>
      </c>
      <c r="X1151" s="5" t="inlineStr">
        <is>
          <t>GRN2526-0001887</t>
        </is>
      </c>
      <c r="Y1151" s="3" t="n">
        <v>45831</v>
      </c>
      <c r="AA1151" s="17">
        <f>IF(RawDataGenPO[[#This Row],[Date Gen PO]]="","",RawDataGenPO[[#This Row],[Date recive bill]]-RawDataGenPO[[#This Row],[Date Gen PO]])</f>
        <v/>
      </c>
      <c r="AB1151" s="16">
        <f>IF(RawDataGenPO[[#This Row],[GRN-PO date]]&gt;RawDataGenPO[[#This Row],[Lead time delivery (day)]],"over deliverry","Ontime")</f>
        <v/>
      </c>
      <c r="AC1151" s="22" t="n"/>
    </row>
    <row r="1152" ht="60" customHeight="1">
      <c r="A1152" s="5">
        <f>ROW()-ROW(RawDataGenPO[[#Headers],[No.]])</f>
        <v/>
      </c>
      <c r="B1152" s="7" t="inlineStr">
        <is>
          <t>Expent  cost</t>
        </is>
      </c>
      <c r="C1152" s="343" t="n">
        <v>45793</v>
      </c>
      <c r="F1152" s="301" t="n">
        <v>45793</v>
      </c>
      <c r="G1152" s="5" t="inlineStr">
        <is>
          <t>PR2526-00554</t>
        </is>
      </c>
      <c r="H1152" s="5" t="inlineStr">
        <is>
          <t>PO2526-00822</t>
        </is>
      </c>
      <c r="I1152" s="344" t="n">
        <v>45799</v>
      </c>
      <c r="J1152" s="344" t="n">
        <v>45799</v>
      </c>
      <c r="K1152" s="20" t="n">
        <v>60</v>
      </c>
      <c r="L1152" s="5" t="inlineStr">
        <is>
          <t>SFST81000048</t>
        </is>
      </c>
      <c r="M1152" s="7" t="inlineStr">
        <is>
          <t>Utility Jobs  (Boiler-Air compress-Transformer-LPG)</t>
        </is>
      </c>
      <c r="N1152" s="7" t="inlineStr">
        <is>
          <t>Steam Boiler  No.2</t>
        </is>
      </c>
      <c r="O1152" s="11" t="n">
        <v>3</v>
      </c>
      <c r="P1152" s="80" t="inlineStr">
        <is>
          <t>Safety valve DN32/50 PN16 (Flange) (ARI)
Type: 12.902 Open bonnet GG-25, Temp. 300 C +
Gasket 2 set Pressure 10.50 Bar.
boiler 2 ton</t>
        </is>
      </c>
      <c r="Q1152" s="277" t="n">
        <v>1</v>
      </c>
      <c r="R1152" s="112" t="inlineStr">
        <is>
          <t>PCS.</t>
        </is>
      </c>
      <c r="S1152" s="284">
        <f>RawDataGenPO[[#This Row],[Total price]]/RawDataGenPO[[#This Row],[Qty'']]</f>
        <v/>
      </c>
      <c r="T1152" s="278" t="n">
        <v>26460</v>
      </c>
      <c r="U1152" s="291" t="n"/>
      <c r="V1152" s="7" t="inlineStr">
        <is>
          <t>V1000053 - THAI K.BOILER CO.,LTD.</t>
        </is>
      </c>
      <c r="W1152" s="30" t="inlineStr">
        <is>
          <t>Recive bill and GRN already</t>
        </is>
      </c>
      <c r="X1152" s="5" t="inlineStr">
        <is>
          <t>GRN2526-0001887</t>
        </is>
      </c>
      <c r="Y1152" s="3" t="n">
        <v>45831</v>
      </c>
      <c r="AA1152" s="17">
        <f>IF(RawDataGenPO[[#This Row],[Date Gen PO]]="","",RawDataGenPO[[#This Row],[Date recive bill]]-RawDataGenPO[[#This Row],[Date Gen PO]])</f>
        <v/>
      </c>
      <c r="AB1152" s="16">
        <f>IF(RawDataGenPO[[#This Row],[GRN-PO date]]&gt;RawDataGenPO[[#This Row],[Lead time delivery (day)]],"over deliverry","Ontime")</f>
        <v/>
      </c>
      <c r="AC1152" s="22" t="n"/>
    </row>
    <row r="1153" ht="19.20000076293945" customHeight="1">
      <c r="A1153" s="5">
        <f>ROW()-ROW(RawDataGenPO[[#Headers],[No.]])</f>
        <v/>
      </c>
      <c r="B1153" s="7" t="inlineStr">
        <is>
          <t>Expent  cost</t>
        </is>
      </c>
      <c r="C1153" s="343" t="n">
        <v>45793</v>
      </c>
      <c r="F1153" s="301" t="n">
        <v>45793</v>
      </c>
      <c r="G1153" s="5" t="inlineStr">
        <is>
          <t>PR2526-00554</t>
        </is>
      </c>
      <c r="H1153" s="5" t="inlineStr">
        <is>
          <t>PO2526-00822</t>
        </is>
      </c>
      <c r="I1153" s="344" t="n">
        <v>45799</v>
      </c>
      <c r="J1153" s="344" t="n">
        <v>45799</v>
      </c>
      <c r="K1153" s="20" t="n">
        <v>60</v>
      </c>
      <c r="L1153" s="5" t="inlineStr">
        <is>
          <t>SFST81000048</t>
        </is>
      </c>
      <c r="M1153" s="7" t="inlineStr">
        <is>
          <t>Utility Jobs  (Boiler-Air compress-Transformer-LPG)</t>
        </is>
      </c>
      <c r="N1153" s="7" t="inlineStr">
        <is>
          <t>Steam Boiler  No.2</t>
        </is>
      </c>
      <c r="O1153" s="11" t="n">
        <v>4</v>
      </c>
      <c r="P1153" s="80" t="inlineStr">
        <is>
          <t>Installation on Sunday</t>
        </is>
      </c>
      <c r="Q1153" s="277" t="n">
        <v>3</v>
      </c>
      <c r="R1153" s="5" t="inlineStr">
        <is>
          <t>JOB.</t>
        </is>
      </c>
      <c r="S1153" s="284">
        <f>RawDataGenPO[[#This Row],[Total price]]/RawDataGenPO[[#This Row],[Qty'']]</f>
        <v/>
      </c>
      <c r="T1153" s="278" t="n">
        <v>13500</v>
      </c>
      <c r="U1153" s="291" t="n"/>
      <c r="V1153" s="7" t="inlineStr">
        <is>
          <t>V1000053 - THAI K.BOILER CO.,LTD.</t>
        </is>
      </c>
      <c r="W1153" s="30" t="inlineStr">
        <is>
          <t>Recive bill and GRN already</t>
        </is>
      </c>
      <c r="X1153" s="5" t="inlineStr">
        <is>
          <t>GRN2526-0001888</t>
        </is>
      </c>
      <c r="Y1153" s="3" t="n">
        <v>45831</v>
      </c>
      <c r="AA1153" s="17">
        <f>IF(RawDataGenPO[[#This Row],[Date Gen PO]]="","",RawDataGenPO[[#This Row],[Date recive bill]]-RawDataGenPO[[#This Row],[Date Gen PO]])</f>
        <v/>
      </c>
      <c r="AB1153" s="16">
        <f>IF(RawDataGenPO[[#This Row],[GRN-PO date]]&gt;RawDataGenPO[[#This Row],[Lead time delivery (day)]],"over deliverry","Ontime")</f>
        <v/>
      </c>
      <c r="AC1153" s="22" t="n"/>
    </row>
    <row r="1154" ht="19.20000076293945" customHeight="1">
      <c r="A1154" s="5">
        <f>ROW()-ROW(RawDataGenPO[[#Headers],[No.]])</f>
        <v/>
      </c>
      <c r="B1154" s="7" t="inlineStr">
        <is>
          <t>Expent  cost</t>
        </is>
      </c>
      <c r="C1154" s="343" t="n">
        <v>45793</v>
      </c>
      <c r="F1154" s="301" t="n">
        <v>45793</v>
      </c>
      <c r="G1154" s="5" t="inlineStr">
        <is>
          <t>PR2526-00555</t>
        </is>
      </c>
      <c r="H1154" s="5" t="inlineStr">
        <is>
          <t>PO2526-00823</t>
        </is>
      </c>
      <c r="I1154" s="344" t="n">
        <v>45799</v>
      </c>
      <c r="J1154" s="344" t="n">
        <v>45799</v>
      </c>
      <c r="K1154" s="20" t="n">
        <v>20</v>
      </c>
      <c r="L1154" s="5" t="inlineStr">
        <is>
          <t>SFST81000009</t>
        </is>
      </c>
      <c r="M1154" s="7" t="inlineStr">
        <is>
          <t>Tool and Equipment  Engineering</t>
        </is>
      </c>
      <c r="N1154" s="7" t="inlineStr">
        <is>
          <t>Tool and Equipment</t>
        </is>
      </c>
      <c r="O1154" s="11" t="n">
        <v>1</v>
      </c>
      <c r="P1154" s="80" t="inlineStr">
        <is>
          <t>Fail Safe Electric Bolt with Magnetic Feature</t>
        </is>
      </c>
      <c r="Q1154" s="277" t="n">
        <v>1</v>
      </c>
      <c r="R1154" s="112" t="inlineStr">
        <is>
          <t>PCS.</t>
        </is>
      </c>
      <c r="S1154" s="284">
        <f>RawDataGenPO[[#This Row],[Total price]]/RawDataGenPO[[#This Row],[Qty'']]</f>
        <v/>
      </c>
      <c r="T1154" s="278" t="n">
        <v>1850</v>
      </c>
      <c r="U1154" s="291" t="n"/>
      <c r="V1154" s="7" t="inlineStr">
        <is>
          <t>V1000292 - Nopachart Intertrade Co., Ltd</t>
        </is>
      </c>
      <c r="W1154" s="30" t="inlineStr">
        <is>
          <t>Recive bill and GRN already</t>
        </is>
      </c>
      <c r="X1154" s="5" t="inlineStr">
        <is>
          <t>GRN2526-0001310</t>
        </is>
      </c>
      <c r="Y1154" s="3" t="n">
        <v>45810</v>
      </c>
      <c r="AA1154" s="17">
        <f>IF(RawDataGenPO[[#This Row],[Date Gen PO]]="","",RawDataGenPO[[#This Row],[Date recive bill]]-RawDataGenPO[[#This Row],[Date Gen PO]])</f>
        <v/>
      </c>
      <c r="AB1154" s="16">
        <f>IF(RawDataGenPO[[#This Row],[GRN-PO date]]&gt;RawDataGenPO[[#This Row],[Lead time delivery (day)]],"over deliverry","Ontime")</f>
        <v/>
      </c>
      <c r="AC1154" s="22" t="n"/>
    </row>
    <row r="1155" ht="19.20000076293945" customHeight="1">
      <c r="A1155" s="5">
        <f>ROW()-ROW(RawDataGenPO[[#Headers],[No.]])</f>
        <v/>
      </c>
      <c r="B1155" s="7" t="inlineStr">
        <is>
          <t>Expent  cost</t>
        </is>
      </c>
      <c r="C1155" s="343" t="n">
        <v>45797</v>
      </c>
      <c r="F1155" s="301" t="n">
        <v>45797</v>
      </c>
      <c r="G1155" s="5" t="inlineStr">
        <is>
          <t>PR2526-00596</t>
        </is>
      </c>
      <c r="H1155" s="5" t="inlineStr">
        <is>
          <t>PO2526-00924</t>
        </is>
      </c>
      <c r="I1155" s="344" t="n">
        <v>45807</v>
      </c>
      <c r="J1155" s="344" t="n">
        <v>45807</v>
      </c>
      <c r="K1155" s="20" t="n">
        <v>20</v>
      </c>
      <c r="L1155" s="5" t="inlineStr">
        <is>
          <t>SFST81000048</t>
        </is>
      </c>
      <c r="M1155" s="7" t="inlineStr">
        <is>
          <t>Tool and Equipment  Engineering</t>
        </is>
      </c>
      <c r="N1155" s="7" t="inlineStr">
        <is>
          <t>Cooling  part</t>
        </is>
      </c>
      <c r="O1155" s="11" t="n">
        <v>1</v>
      </c>
      <c r="P1155" s="80" t="inlineStr">
        <is>
          <t>AEROFIX" UXI100118-112 thick 1 inch 28 mm (1-1/8")</t>
        </is>
      </c>
      <c r="Q1155" s="277" t="n">
        <v>10</v>
      </c>
      <c r="R1155" s="5" t="inlineStr">
        <is>
          <t>PCS.</t>
        </is>
      </c>
      <c r="S1155" s="284">
        <f>RawDataGenPO[[#This Row],[Total price]]/RawDataGenPO[[#This Row],[Qty'']]</f>
        <v/>
      </c>
      <c r="T1155" s="278" t="n">
        <v>950</v>
      </c>
      <c r="U1155" s="291" t="n"/>
      <c r="V1155" s="7" t="inlineStr">
        <is>
          <t>V1000259 - JJP SUPPLY CO., LTD</t>
        </is>
      </c>
      <c r="W1155" s="30" t="inlineStr">
        <is>
          <t>Recive bill and GRN already</t>
        </is>
      </c>
      <c r="X1155" s="5" t="inlineStr">
        <is>
          <t>GRN2526-0001599</t>
        </is>
      </c>
      <c r="Y1155" s="3" t="n">
        <v>45819</v>
      </c>
      <c r="AA1155" s="17">
        <f>IF(RawDataGenPO[[#This Row],[Date Gen PO]]="","",RawDataGenPO[[#This Row],[Date recive bill]]-RawDataGenPO[[#This Row],[Date Gen PO]])</f>
        <v/>
      </c>
      <c r="AB1155" s="16">
        <f>IF(RawDataGenPO[[#This Row],[GRN-PO date]]&gt;RawDataGenPO[[#This Row],[Lead time delivery (day)]],"over deliverry","Ontime")</f>
        <v/>
      </c>
      <c r="AC1155" s="22" t="n"/>
    </row>
    <row r="1156" ht="19.20000076293945" customHeight="1">
      <c r="A1156" s="5">
        <f>ROW()-ROW(RawDataGenPO[[#Headers],[No.]])</f>
        <v/>
      </c>
      <c r="B1156" s="7" t="inlineStr">
        <is>
          <t>Expent  cost</t>
        </is>
      </c>
      <c r="C1156" s="343" t="n">
        <v>45797</v>
      </c>
      <c r="F1156" s="301" t="n">
        <v>45797</v>
      </c>
      <c r="G1156" s="5" t="inlineStr">
        <is>
          <t>PR2526-00599</t>
        </is>
      </c>
      <c r="H1156" s="5" t="inlineStr">
        <is>
          <t>PO2526-00925</t>
        </is>
      </c>
      <c r="I1156" s="344" t="n">
        <v>45807</v>
      </c>
      <c r="J1156" s="344" t="n">
        <v>45807</v>
      </c>
      <c r="K1156" s="20" t="n">
        <v>20</v>
      </c>
      <c r="L1156" s="5" t="inlineStr">
        <is>
          <t>SFST81000009</t>
        </is>
      </c>
      <c r="M1156" s="7" t="inlineStr">
        <is>
          <t>Tool and Equipment  Engineering</t>
        </is>
      </c>
      <c r="N1156" s="7" t="inlineStr">
        <is>
          <t>Consumable part</t>
        </is>
      </c>
      <c r="O1156" s="11" t="n">
        <v>1</v>
      </c>
      <c r="P1156" s="111" t="inlineStr">
        <is>
          <t>elbow 90 degree weldstainless steel m 1-1/2inch SCH.10 SUS 304</t>
        </is>
      </c>
      <c r="Q1156" s="277" t="n">
        <v>10</v>
      </c>
      <c r="R1156" s="5" t="inlineStr">
        <is>
          <t>PCS.</t>
        </is>
      </c>
      <c r="S1156" s="284">
        <f>RawDataGenPO[[#This Row],[Total price]]/RawDataGenPO[[#This Row],[Qty'']]</f>
        <v/>
      </c>
      <c r="T1156" s="278" t="n">
        <v>620</v>
      </c>
      <c r="U1156" s="291" t="n"/>
      <c r="V1156" s="110" t="inlineStr">
        <is>
          <t>V1000259 - JJP SUPPLY CO., LTD</t>
        </is>
      </c>
      <c r="W1156" s="30" t="inlineStr">
        <is>
          <t>Recive bill and GRN already</t>
        </is>
      </c>
      <c r="X1156" s="5" t="inlineStr">
        <is>
          <t>GRN2526-0001598</t>
        </is>
      </c>
      <c r="Y1156" s="3" t="n">
        <v>45819</v>
      </c>
      <c r="AA1156" s="17" t="n">
        <v>10</v>
      </c>
      <c r="AB1156" s="16">
        <f>IF(RawDataGenPO[[#This Row],[GRN-PO date]]&gt;RawDataGenPO[[#This Row],[Lead time delivery (day)]],"over deliverry","Ontime")</f>
        <v/>
      </c>
      <c r="AC1156" s="22" t="n"/>
    </row>
    <row r="1157" ht="19.20000076293945" customHeight="1">
      <c r="A1157" s="5">
        <f>ROW()-ROW(RawDataGenPO[[#Headers],[No.]])</f>
        <v/>
      </c>
      <c r="B1157" s="7" t="inlineStr">
        <is>
          <t>Expent  cost</t>
        </is>
      </c>
      <c r="C1157" s="343" t="n">
        <v>45797</v>
      </c>
      <c r="F1157" s="301" t="n">
        <v>45797</v>
      </c>
      <c r="G1157" s="5" t="inlineStr">
        <is>
          <t>PR2526-00599</t>
        </is>
      </c>
      <c r="H1157" s="5" t="inlineStr">
        <is>
          <t>PO2526-00926</t>
        </is>
      </c>
      <c r="I1157" s="344" t="n">
        <v>45807</v>
      </c>
      <c r="J1157" s="344" t="n">
        <v>45807</v>
      </c>
      <c r="K1157" s="20" t="n">
        <v>20</v>
      </c>
      <c r="L1157" s="5" t="inlineStr">
        <is>
          <t>SFST81000009</t>
        </is>
      </c>
      <c r="M1157" s="7" t="inlineStr">
        <is>
          <t>Tool and Equipment  Engineering</t>
        </is>
      </c>
      <c r="N1157" s="7" t="inlineStr">
        <is>
          <t>Consumable part</t>
        </is>
      </c>
      <c r="O1157" s="11" t="n">
        <v>2</v>
      </c>
      <c r="P1157" s="91" t="inlineStr">
        <is>
          <t>elbow 90 degree weldstainless steel m 1inch SCH.10 SUS 304</t>
        </is>
      </c>
      <c r="Q1157" s="277" t="n">
        <v>10</v>
      </c>
      <c r="R1157" s="5" t="inlineStr">
        <is>
          <t>PCS.</t>
        </is>
      </c>
      <c r="S1157" s="284">
        <f>RawDataGenPO[[#This Row],[Total price]]/RawDataGenPO[[#This Row],[Qty'']]</f>
        <v/>
      </c>
      <c r="T1157" s="278" t="n">
        <v>400</v>
      </c>
      <c r="U1157" s="291" t="n"/>
      <c r="V1157" s="90" t="inlineStr">
        <is>
          <t>V1000306 - Inter Supply (1992) Co., Ltd.</t>
        </is>
      </c>
      <c r="W1157" s="30" t="inlineStr">
        <is>
          <t>Recive bill and GRN already</t>
        </is>
      </c>
      <c r="X1157" s="5" t="inlineStr">
        <is>
          <t>GRN2526-0001571</t>
        </is>
      </c>
      <c r="Y1157" s="3" t="n">
        <v>45819</v>
      </c>
      <c r="AA1157" s="17">
        <f>IF(RawDataGenPO[[#This Row],[Date Gen PO]]="","",RawDataGenPO[[#This Row],[Date recive bill]]-RawDataGenPO[[#This Row],[Date Gen PO]])</f>
        <v/>
      </c>
      <c r="AB1157" s="16">
        <f>IF(RawDataGenPO[[#This Row],[GRN-PO date]]&gt;RawDataGenPO[[#This Row],[Lead time delivery (day)]],"over deliverry","Ontime")</f>
        <v/>
      </c>
      <c r="AC1157" s="22" t="n"/>
    </row>
    <row r="1158" ht="19.20000076293945" customHeight="1">
      <c r="A1158" s="5">
        <f>ROW()-ROW(RawDataGenPO[[#Headers],[No.]])</f>
        <v/>
      </c>
      <c r="B1158" s="7" t="inlineStr">
        <is>
          <t>Expent  cost</t>
        </is>
      </c>
      <c r="C1158" s="343" t="n">
        <v>45797</v>
      </c>
      <c r="F1158" s="301" t="n">
        <v>45797</v>
      </c>
      <c r="G1158" s="5" t="inlineStr">
        <is>
          <t>PR2526-00599</t>
        </is>
      </c>
      <c r="H1158" s="5" t="inlineStr">
        <is>
          <t>PO2526-00925</t>
        </is>
      </c>
      <c r="I1158" s="344" t="n">
        <v>45807</v>
      </c>
      <c r="J1158" s="344" t="n">
        <v>45807</v>
      </c>
      <c r="K1158" s="20" t="n">
        <v>20</v>
      </c>
      <c r="L1158" s="5" t="inlineStr">
        <is>
          <t>SFST81000009</t>
        </is>
      </c>
      <c r="M1158" s="7" t="inlineStr">
        <is>
          <t>Tool and Equipment  Engineering</t>
        </is>
      </c>
      <c r="N1158" s="7" t="inlineStr">
        <is>
          <t>Consumable part</t>
        </is>
      </c>
      <c r="O1158" s="11" t="n">
        <v>3</v>
      </c>
      <c r="P1158" s="111" t="inlineStr">
        <is>
          <t>elbow 90 degree weldstainless steel m 3/4inch SCH.10 SUS 304</t>
        </is>
      </c>
      <c r="Q1158" s="277" t="n">
        <v>10</v>
      </c>
      <c r="R1158" s="5" t="inlineStr">
        <is>
          <t>PCS.</t>
        </is>
      </c>
      <c r="S1158" s="284">
        <f>RawDataGenPO[[#This Row],[Total price]]/RawDataGenPO[[#This Row],[Qty'']]</f>
        <v/>
      </c>
      <c r="T1158" s="278" t="n">
        <v>380</v>
      </c>
      <c r="U1158" s="291" t="n"/>
      <c r="V1158" s="110" t="inlineStr">
        <is>
          <t>V1000259 - JJP SUPPLY CO., LTD</t>
        </is>
      </c>
      <c r="W1158" s="30" t="inlineStr">
        <is>
          <t>Recive bill and GRN already</t>
        </is>
      </c>
      <c r="X1158" s="5" t="inlineStr">
        <is>
          <t>GRN2526-0001598</t>
        </is>
      </c>
      <c r="Y1158" s="3" t="n">
        <v>45819</v>
      </c>
      <c r="AA1158" s="17" t="n">
        <v>10</v>
      </c>
      <c r="AB1158" s="16">
        <f>IF(RawDataGenPO[[#This Row],[GRN-PO date]]&gt;RawDataGenPO[[#This Row],[Lead time delivery (day)]],"over deliverry","Ontime")</f>
        <v/>
      </c>
      <c r="AC1158" s="22" t="n"/>
    </row>
    <row r="1159" ht="19.20000076293945" customHeight="1">
      <c r="A1159" s="5">
        <f>ROW()-ROW(RawDataGenPO[[#Headers],[No.]])</f>
        <v/>
      </c>
      <c r="B1159" s="7" t="inlineStr">
        <is>
          <t>Expent  cost</t>
        </is>
      </c>
      <c r="C1159" s="343" t="n">
        <v>45797</v>
      </c>
      <c r="F1159" s="301" t="n">
        <v>45797</v>
      </c>
      <c r="G1159" s="5" t="inlineStr">
        <is>
          <t>PR2526-00599</t>
        </is>
      </c>
      <c r="H1159" s="5" t="inlineStr">
        <is>
          <t>PO2526-00926</t>
        </is>
      </c>
      <c r="I1159" s="344" t="n">
        <v>45807</v>
      </c>
      <c r="J1159" s="344" t="n">
        <v>45807</v>
      </c>
      <c r="K1159" s="20" t="n">
        <v>20</v>
      </c>
      <c r="L1159" s="5" t="inlineStr">
        <is>
          <t>SFST81000009</t>
        </is>
      </c>
      <c r="M1159" s="7" t="inlineStr">
        <is>
          <t>Tool and Equipment  Engineering</t>
        </is>
      </c>
      <c r="N1159" s="7" t="inlineStr">
        <is>
          <t>Consumable part</t>
        </is>
      </c>
      <c r="O1159" s="11" t="n">
        <v>4</v>
      </c>
      <c r="P1159" s="91" t="inlineStr">
        <is>
          <t>elbow 90 degree weldstainless steel m 1/2inch SCH.10 SUS 304</t>
        </is>
      </c>
      <c r="Q1159" s="277" t="n">
        <v>10</v>
      </c>
      <c r="R1159" s="5" t="inlineStr">
        <is>
          <t>PCS.</t>
        </is>
      </c>
      <c r="S1159" s="284">
        <f>RawDataGenPO[[#This Row],[Total price]]/RawDataGenPO[[#This Row],[Qty'']]</f>
        <v/>
      </c>
      <c r="T1159" s="278" t="n">
        <v>380</v>
      </c>
      <c r="U1159" s="291" t="n"/>
      <c r="V1159" s="90" t="inlineStr">
        <is>
          <t>V1000306 - Inter Supply (1992) Co., Ltd.</t>
        </is>
      </c>
      <c r="W1159" s="30" t="inlineStr">
        <is>
          <t>Recive bill and GRN already</t>
        </is>
      </c>
      <c r="X1159" s="5" t="inlineStr">
        <is>
          <t>GRN2526-0001571</t>
        </is>
      </c>
      <c r="Y1159" s="3" t="n">
        <v>45819</v>
      </c>
      <c r="AA1159" s="17">
        <f>IF(RawDataGenPO[[#This Row],[Date Gen PO]]="","",RawDataGenPO[[#This Row],[Date recive bill]]-RawDataGenPO[[#This Row],[Date Gen PO]])</f>
        <v/>
      </c>
      <c r="AB1159" s="16">
        <f>IF(RawDataGenPO[[#This Row],[GRN-PO date]]&gt;RawDataGenPO[[#This Row],[Lead time delivery (day)]],"over deliverry","Ontime")</f>
        <v/>
      </c>
      <c r="AC1159" s="22" t="n"/>
    </row>
    <row r="1160" ht="19.20000076293945" customHeight="1">
      <c r="A1160" s="5">
        <f>ROW()-ROW(RawDataGenPO[[#Headers],[No.]])</f>
        <v/>
      </c>
      <c r="B1160" s="7" t="inlineStr">
        <is>
          <t>Expent  cost</t>
        </is>
      </c>
      <c r="C1160" s="343" t="n">
        <v>45797</v>
      </c>
      <c r="F1160" s="301" t="n">
        <v>45797</v>
      </c>
      <c r="G1160" s="5" t="inlineStr">
        <is>
          <t>PR2526-00599</t>
        </is>
      </c>
      <c r="H1160" s="5" t="inlineStr">
        <is>
          <t>PO2526-00925</t>
        </is>
      </c>
      <c r="I1160" s="344" t="n">
        <v>45807</v>
      </c>
      <c r="J1160" s="344" t="n">
        <v>45807</v>
      </c>
      <c r="K1160" s="20" t="n">
        <v>20</v>
      </c>
      <c r="L1160" s="5" t="inlineStr">
        <is>
          <t>SFST81000009</t>
        </is>
      </c>
      <c r="M1160" s="7" t="inlineStr">
        <is>
          <t>Tool and Equipment  Engineering</t>
        </is>
      </c>
      <c r="N1160" s="7" t="inlineStr">
        <is>
          <t>Consumable part</t>
        </is>
      </c>
      <c r="O1160" s="11" t="n">
        <v>5</v>
      </c>
      <c r="P1160" s="111" t="inlineStr">
        <is>
          <t>elbow 90 degree stainless steel female thread 1-1/2inch SUS 304</t>
        </is>
      </c>
      <c r="Q1160" s="277" t="n">
        <v>10</v>
      </c>
      <c r="R1160" s="5" t="inlineStr">
        <is>
          <t>PCS.</t>
        </is>
      </c>
      <c r="S1160" s="284">
        <f>RawDataGenPO[[#This Row],[Total price]]/RawDataGenPO[[#This Row],[Qty'']]</f>
        <v/>
      </c>
      <c r="T1160" s="278" t="n">
        <v>1250</v>
      </c>
      <c r="U1160" s="291" t="n"/>
      <c r="V1160" s="110" t="inlineStr">
        <is>
          <t>V1000259 - JJP SUPPLY CO., LTD</t>
        </is>
      </c>
      <c r="W1160" s="30" t="inlineStr">
        <is>
          <t>Recive bill and GRN already</t>
        </is>
      </c>
      <c r="X1160" s="5" t="inlineStr">
        <is>
          <t>GRN2526-0001598</t>
        </is>
      </c>
      <c r="Y1160" s="3" t="n">
        <v>45819</v>
      </c>
      <c r="AA1160" s="17" t="n">
        <v>10</v>
      </c>
      <c r="AB1160" s="16">
        <f>IF(RawDataGenPO[[#This Row],[GRN-PO date]]&gt;RawDataGenPO[[#This Row],[Lead time delivery (day)]],"over deliverry","Ontime")</f>
        <v/>
      </c>
      <c r="AC1160" s="22" t="n"/>
    </row>
    <row r="1161" ht="19.20000076293945" customHeight="1">
      <c r="A1161" s="5">
        <f>ROW()-ROW(RawDataGenPO[[#Headers],[No.]])</f>
        <v/>
      </c>
      <c r="B1161" s="7" t="inlineStr">
        <is>
          <t>Expent  cost</t>
        </is>
      </c>
      <c r="C1161" s="343" t="n">
        <v>45797</v>
      </c>
      <c r="F1161" s="301" t="n">
        <v>45797</v>
      </c>
      <c r="G1161" s="5" t="inlineStr">
        <is>
          <t>PR2526-00599</t>
        </is>
      </c>
      <c r="H1161" s="5" t="inlineStr">
        <is>
          <t>PO2526-00926</t>
        </is>
      </c>
      <c r="I1161" s="344" t="n">
        <v>45807</v>
      </c>
      <c r="J1161" s="344" t="n">
        <v>45807</v>
      </c>
      <c r="K1161" s="20" t="n">
        <v>20</v>
      </c>
      <c r="L1161" s="5" t="inlineStr">
        <is>
          <t>SFST81000009</t>
        </is>
      </c>
      <c r="M1161" s="7" t="inlineStr">
        <is>
          <t>Tool and Equipment  Engineering</t>
        </is>
      </c>
      <c r="N1161" s="7" t="inlineStr">
        <is>
          <t>Consumable part</t>
        </is>
      </c>
      <c r="O1161" s="11" t="n">
        <v>6</v>
      </c>
      <c r="P1161" s="91" t="inlineStr">
        <is>
          <t>elbow 90 degree stainless steel female thread 1inch SUS 304</t>
        </is>
      </c>
      <c r="Q1161" s="277" t="n">
        <v>10</v>
      </c>
      <c r="R1161" s="5" t="inlineStr">
        <is>
          <t>PCS.</t>
        </is>
      </c>
      <c r="S1161" s="284">
        <f>RawDataGenPO[[#This Row],[Total price]]/RawDataGenPO[[#This Row],[Qty'']]</f>
        <v/>
      </c>
      <c r="T1161" s="278" t="n">
        <v>650</v>
      </c>
      <c r="U1161" s="291" t="n"/>
      <c r="V1161" s="90" t="inlineStr">
        <is>
          <t>V1000306 - Inter Supply (1992) Co., Ltd.</t>
        </is>
      </c>
      <c r="W1161" s="30" t="inlineStr">
        <is>
          <t>Recive bill and GRN already</t>
        </is>
      </c>
      <c r="X1161" s="5" t="inlineStr">
        <is>
          <t>GRN2526-0001571</t>
        </is>
      </c>
      <c r="Y1161" s="3" t="n">
        <v>45819</v>
      </c>
      <c r="AA1161" s="17">
        <f>IF(RawDataGenPO[[#This Row],[Date Gen PO]]="","",RawDataGenPO[[#This Row],[Date recive bill]]-RawDataGenPO[[#This Row],[Date Gen PO]])</f>
        <v/>
      </c>
      <c r="AB1161" s="16">
        <f>IF(RawDataGenPO[[#This Row],[GRN-PO date]]&gt;RawDataGenPO[[#This Row],[Lead time delivery (day)]],"over deliverry","Ontime")</f>
        <v/>
      </c>
      <c r="AC1161" s="22" t="n"/>
    </row>
    <row r="1162" ht="19.20000076293945" customHeight="1">
      <c r="A1162" s="5">
        <f>ROW()-ROW(RawDataGenPO[[#Headers],[No.]])</f>
        <v/>
      </c>
      <c r="B1162" s="7" t="inlineStr">
        <is>
          <t>Expent  cost</t>
        </is>
      </c>
      <c r="C1162" s="343" t="n">
        <v>45797</v>
      </c>
      <c r="F1162" s="301" t="n">
        <v>45797</v>
      </c>
      <c r="G1162" s="5" t="inlineStr">
        <is>
          <t>PR2526-00599</t>
        </is>
      </c>
      <c r="H1162" s="5" t="inlineStr">
        <is>
          <t>PO2526-00926</t>
        </is>
      </c>
      <c r="I1162" s="344" t="n">
        <v>45807</v>
      </c>
      <c r="J1162" s="344" t="n">
        <v>45807</v>
      </c>
      <c r="K1162" s="20" t="n">
        <v>20</v>
      </c>
      <c r="L1162" s="5" t="inlineStr">
        <is>
          <t>SFST81000009</t>
        </is>
      </c>
      <c r="M1162" s="7" t="inlineStr">
        <is>
          <t>Tool and Equipment  Engineering</t>
        </is>
      </c>
      <c r="N1162" s="7" t="inlineStr">
        <is>
          <t>Consumable part</t>
        </is>
      </c>
      <c r="O1162" s="11" t="n">
        <v>7</v>
      </c>
      <c r="P1162" s="91" t="inlineStr">
        <is>
          <t>elbow 90 degree stainless steel female thread 3/4inch SUS 304</t>
        </is>
      </c>
      <c r="Q1162" s="277" t="n">
        <v>10</v>
      </c>
      <c r="R1162" s="5" t="inlineStr">
        <is>
          <t>PCS.</t>
        </is>
      </c>
      <c r="S1162" s="284">
        <f>RawDataGenPO[[#This Row],[Total price]]/RawDataGenPO[[#This Row],[Qty'']]</f>
        <v/>
      </c>
      <c r="T1162" s="278" t="n">
        <v>470</v>
      </c>
      <c r="U1162" s="291" t="n"/>
      <c r="V1162" s="90" t="inlineStr">
        <is>
          <t>V1000306 - Inter Supply (1992) Co., Ltd.</t>
        </is>
      </c>
      <c r="W1162" s="30" t="inlineStr">
        <is>
          <t>Recive bill and GRN already</t>
        </is>
      </c>
      <c r="X1162" s="5" t="inlineStr">
        <is>
          <t>GRN2526-0001571</t>
        </is>
      </c>
      <c r="Y1162" s="3" t="n">
        <v>45819</v>
      </c>
      <c r="AA1162" s="17">
        <f>IF(RawDataGenPO[[#This Row],[Date Gen PO]]="","",RawDataGenPO[[#This Row],[Date recive bill]]-RawDataGenPO[[#This Row],[Date Gen PO]])</f>
        <v/>
      </c>
      <c r="AB1162" s="16">
        <f>IF(RawDataGenPO[[#This Row],[GRN-PO date]]&gt;RawDataGenPO[[#This Row],[Lead time delivery (day)]],"over deliverry","Ontime")</f>
        <v/>
      </c>
      <c r="AC1162" s="22" t="n"/>
    </row>
    <row r="1163" ht="19.20000076293945" customHeight="1">
      <c r="A1163" s="5">
        <f>ROW()-ROW(RawDataGenPO[[#Headers],[No.]])</f>
        <v/>
      </c>
      <c r="B1163" s="7" t="inlineStr">
        <is>
          <t>Expent  cost</t>
        </is>
      </c>
      <c r="C1163" s="343" t="n">
        <v>45797</v>
      </c>
      <c r="F1163" s="301" t="n">
        <v>45797</v>
      </c>
      <c r="G1163" s="5" t="inlineStr">
        <is>
          <t>PR2526-00599</t>
        </is>
      </c>
      <c r="H1163" s="5" t="inlineStr">
        <is>
          <t>PO2526-00926</t>
        </is>
      </c>
      <c r="I1163" s="344" t="n">
        <v>45807</v>
      </c>
      <c r="J1163" s="344" t="n">
        <v>45807</v>
      </c>
      <c r="K1163" s="20" t="n">
        <v>20</v>
      </c>
      <c r="L1163" s="5" t="inlineStr">
        <is>
          <t>SFST81000009</t>
        </is>
      </c>
      <c r="M1163" s="7" t="inlineStr">
        <is>
          <t>Tool and Equipment  Engineering</t>
        </is>
      </c>
      <c r="N1163" s="7" t="inlineStr">
        <is>
          <t>Consumable part</t>
        </is>
      </c>
      <c r="O1163" s="11" t="n">
        <v>8</v>
      </c>
      <c r="P1163" s="91" t="inlineStr">
        <is>
          <t>elbow 90 degree stainless steel female thread 1/2inch SUS 304</t>
        </is>
      </c>
      <c r="Q1163" s="277" t="n">
        <v>10</v>
      </c>
      <c r="R1163" s="5" t="inlineStr">
        <is>
          <t>PCS.</t>
        </is>
      </c>
      <c r="S1163" s="284">
        <f>RawDataGenPO[[#This Row],[Total price]]/RawDataGenPO[[#This Row],[Qty'']]</f>
        <v/>
      </c>
      <c r="T1163" s="278" t="n">
        <v>320</v>
      </c>
      <c r="U1163" s="291" t="n"/>
      <c r="V1163" s="90" t="inlineStr">
        <is>
          <t>V1000306 - Inter Supply (1992) Co., Ltd.</t>
        </is>
      </c>
      <c r="W1163" s="30" t="inlineStr">
        <is>
          <t>Recive bill and GRN already</t>
        </is>
      </c>
      <c r="X1163" s="5" t="inlineStr">
        <is>
          <t>GRN2526-0001571</t>
        </is>
      </c>
      <c r="Y1163" s="3" t="n">
        <v>45819</v>
      </c>
      <c r="AA1163" s="17">
        <f>IF(RawDataGenPO[[#This Row],[Date Gen PO]]="","",RawDataGenPO[[#This Row],[Date recive bill]]-RawDataGenPO[[#This Row],[Date Gen PO]])</f>
        <v/>
      </c>
      <c r="AB1163" s="16">
        <f>IF(RawDataGenPO[[#This Row],[GRN-PO date]]&gt;RawDataGenPO[[#This Row],[Lead time delivery (day)]],"over deliverry","Ontime")</f>
        <v/>
      </c>
      <c r="AC1163" s="22" t="n"/>
    </row>
    <row r="1164" ht="19.20000076293945" customHeight="1">
      <c r="A1164" s="5">
        <f>ROW()-ROW(RawDataGenPO[[#Headers],[No.]])</f>
        <v/>
      </c>
      <c r="B1164" s="7" t="inlineStr">
        <is>
          <t>Expent  cost</t>
        </is>
      </c>
      <c r="C1164" s="343" t="n">
        <v>45797</v>
      </c>
      <c r="F1164" s="301" t="n">
        <v>45797</v>
      </c>
      <c r="G1164" s="5" t="inlineStr">
        <is>
          <t>PR2526-00599</t>
        </is>
      </c>
      <c r="H1164" s="5" t="inlineStr">
        <is>
          <t>PO2526-00926</t>
        </is>
      </c>
      <c r="I1164" s="344" t="n">
        <v>45807</v>
      </c>
      <c r="J1164" s="344" t="n">
        <v>45807</v>
      </c>
      <c r="K1164" s="20" t="n">
        <v>20</v>
      </c>
      <c r="L1164" s="5" t="inlineStr">
        <is>
          <t>SFST81000009</t>
        </is>
      </c>
      <c r="M1164" s="7" t="inlineStr">
        <is>
          <t>Tool and Equipment  Engineering</t>
        </is>
      </c>
      <c r="N1164" s="7" t="inlineStr">
        <is>
          <t>Consumable part</t>
        </is>
      </c>
      <c r="O1164" s="11" t="n">
        <v>9</v>
      </c>
      <c r="P1164" s="91" t="inlineStr">
        <is>
          <t>fittingstraight couplingstainless steel male thread 1-1/2inch SUS 304</t>
        </is>
      </c>
      <c r="Q1164" s="277" t="n">
        <v>10</v>
      </c>
      <c r="R1164" s="5" t="inlineStr">
        <is>
          <t>PCS.</t>
        </is>
      </c>
      <c r="S1164" s="284">
        <f>RawDataGenPO[[#This Row],[Total price]]/RawDataGenPO[[#This Row],[Qty'']]</f>
        <v/>
      </c>
      <c r="T1164" s="278" t="n">
        <v>760</v>
      </c>
      <c r="U1164" s="291" t="n"/>
      <c r="V1164" s="90" t="inlineStr">
        <is>
          <t>V1000306 - Inter Supply (1992) Co., Ltd.</t>
        </is>
      </c>
      <c r="W1164" s="30" t="inlineStr">
        <is>
          <t>Recive bill and GRN already</t>
        </is>
      </c>
      <c r="X1164" s="5" t="inlineStr">
        <is>
          <t>GRN2526-0001571</t>
        </is>
      </c>
      <c r="Y1164" s="3" t="n">
        <v>45819</v>
      </c>
      <c r="AA1164" s="17">
        <f>IF(RawDataGenPO[[#This Row],[Date Gen PO]]="","",RawDataGenPO[[#This Row],[Date recive bill]]-RawDataGenPO[[#This Row],[Date Gen PO]])</f>
        <v/>
      </c>
      <c r="AB1164" s="16">
        <f>IF(RawDataGenPO[[#This Row],[GRN-PO date]]&gt;RawDataGenPO[[#This Row],[Lead time delivery (day)]],"over deliverry","Ontime")</f>
        <v/>
      </c>
      <c r="AC1164" s="22" t="n"/>
    </row>
    <row r="1165" ht="19.20000076293945" customHeight="1">
      <c r="A1165" s="5">
        <f>ROW()-ROW(RawDataGenPO[[#Headers],[No.]])</f>
        <v/>
      </c>
      <c r="B1165" s="7" t="inlineStr">
        <is>
          <t>Expent  cost</t>
        </is>
      </c>
      <c r="C1165" s="343" t="n">
        <v>45797</v>
      </c>
      <c r="F1165" s="301" t="n">
        <v>45797</v>
      </c>
      <c r="G1165" s="5" t="inlineStr">
        <is>
          <t>PR2526-00599</t>
        </is>
      </c>
      <c r="H1165" s="5" t="inlineStr">
        <is>
          <t>PO2526-00926</t>
        </is>
      </c>
      <c r="I1165" s="344" t="n">
        <v>45807</v>
      </c>
      <c r="J1165" s="344" t="n">
        <v>45807</v>
      </c>
      <c r="K1165" s="20" t="n">
        <v>20</v>
      </c>
      <c r="L1165" s="5" t="inlineStr">
        <is>
          <t>SFST81000009</t>
        </is>
      </c>
      <c r="M1165" s="7" t="inlineStr">
        <is>
          <t>Tool and Equipment  Engineering</t>
        </is>
      </c>
      <c r="N1165" s="7" t="inlineStr">
        <is>
          <t>Consumable part</t>
        </is>
      </c>
      <c r="O1165" s="11" t="n">
        <v>10</v>
      </c>
      <c r="P1165" s="91" t="inlineStr">
        <is>
          <t>fittingstraight couplingstainless steel male thread 1inch SUS 304</t>
        </is>
      </c>
      <c r="Q1165" s="277" t="n">
        <v>10</v>
      </c>
      <c r="R1165" s="5" t="inlineStr">
        <is>
          <t>PCS.</t>
        </is>
      </c>
      <c r="S1165" s="284">
        <f>RawDataGenPO[[#This Row],[Total price]]/RawDataGenPO[[#This Row],[Qty'']]</f>
        <v/>
      </c>
      <c r="T1165" s="278" t="n">
        <v>540</v>
      </c>
      <c r="U1165" s="291" t="n"/>
      <c r="V1165" s="90" t="inlineStr">
        <is>
          <t>V1000306 - Inter Supply (1992) Co., Ltd.</t>
        </is>
      </c>
      <c r="W1165" s="30" t="inlineStr">
        <is>
          <t>Recive bill and GRN already</t>
        </is>
      </c>
      <c r="X1165" s="5" t="inlineStr">
        <is>
          <t>GRN2526-0001571</t>
        </is>
      </c>
      <c r="Y1165" s="3" t="n">
        <v>45819</v>
      </c>
      <c r="AA1165" s="17">
        <f>IF(RawDataGenPO[[#This Row],[Date Gen PO]]="","",RawDataGenPO[[#This Row],[Date recive bill]]-RawDataGenPO[[#This Row],[Date Gen PO]])</f>
        <v/>
      </c>
      <c r="AB1165" s="16">
        <f>IF(RawDataGenPO[[#This Row],[GRN-PO date]]&gt;RawDataGenPO[[#This Row],[Lead time delivery (day)]],"over deliverry","Ontime")</f>
        <v/>
      </c>
      <c r="AC1165" s="22" t="n"/>
    </row>
    <row r="1166" ht="19.20000076293945" customHeight="1">
      <c r="A1166" s="5">
        <f>ROW()-ROW(RawDataGenPO[[#Headers],[No.]])</f>
        <v/>
      </c>
      <c r="B1166" s="7" t="inlineStr">
        <is>
          <t>Expent  cost</t>
        </is>
      </c>
      <c r="C1166" s="343" t="n">
        <v>45797</v>
      </c>
      <c r="F1166" s="301" t="n">
        <v>45797</v>
      </c>
      <c r="G1166" s="5" t="inlineStr">
        <is>
          <t>PR2526-00599</t>
        </is>
      </c>
      <c r="H1166" s="5" t="inlineStr">
        <is>
          <t>PO2526-00926</t>
        </is>
      </c>
      <c r="I1166" s="344" t="n">
        <v>45807</v>
      </c>
      <c r="J1166" s="344" t="n">
        <v>45807</v>
      </c>
      <c r="K1166" s="20" t="n">
        <v>20</v>
      </c>
      <c r="L1166" s="5" t="inlineStr">
        <is>
          <t>SFST81000009</t>
        </is>
      </c>
      <c r="M1166" s="7" t="inlineStr">
        <is>
          <t>Tool and Equipment  Engineering</t>
        </is>
      </c>
      <c r="N1166" s="7" t="inlineStr">
        <is>
          <t>Consumable part</t>
        </is>
      </c>
      <c r="O1166" s="11" t="n">
        <v>11</v>
      </c>
      <c r="P1166" s="91" t="inlineStr">
        <is>
          <t>fittingstraight couplingstainless steel male thread 3/4inch SUS 304</t>
        </is>
      </c>
      <c r="Q1166" s="277" t="n">
        <v>10</v>
      </c>
      <c r="R1166" s="5" t="inlineStr">
        <is>
          <t>PCS.</t>
        </is>
      </c>
      <c r="S1166" s="284">
        <f>RawDataGenPO[[#This Row],[Total price]]/RawDataGenPO[[#This Row],[Qty'']]</f>
        <v/>
      </c>
      <c r="T1166" s="278" t="n">
        <v>440</v>
      </c>
      <c r="U1166" s="291" t="n"/>
      <c r="V1166" s="90" t="inlineStr">
        <is>
          <t>V1000306 - Inter Supply (1992) Co., Ltd.</t>
        </is>
      </c>
      <c r="W1166" s="30" t="inlineStr">
        <is>
          <t>Recive bill and GRN already</t>
        </is>
      </c>
      <c r="X1166" s="5" t="inlineStr">
        <is>
          <t>GRN2526-0001571</t>
        </is>
      </c>
      <c r="Y1166" s="3" t="n">
        <v>45819</v>
      </c>
      <c r="AA1166" s="17">
        <f>IF(RawDataGenPO[[#This Row],[Date Gen PO]]="","",RawDataGenPO[[#This Row],[Date recive bill]]-RawDataGenPO[[#This Row],[Date Gen PO]])</f>
        <v/>
      </c>
      <c r="AB1166" s="16">
        <f>IF(RawDataGenPO[[#This Row],[GRN-PO date]]&gt;RawDataGenPO[[#This Row],[Lead time delivery (day)]],"over deliverry","Ontime")</f>
        <v/>
      </c>
      <c r="AC1166" s="22" t="n"/>
    </row>
    <row r="1167" ht="19.20000076293945" customHeight="1">
      <c r="A1167" s="5">
        <f>ROW()-ROW(RawDataGenPO[[#Headers],[No.]])</f>
        <v/>
      </c>
      <c r="B1167" s="7" t="inlineStr">
        <is>
          <t>Expent  cost</t>
        </is>
      </c>
      <c r="C1167" s="343" t="n">
        <v>45797</v>
      </c>
      <c r="F1167" s="301" t="n">
        <v>45797</v>
      </c>
      <c r="G1167" s="5" t="inlineStr">
        <is>
          <t>PR2526-00599</t>
        </is>
      </c>
      <c r="H1167" s="5" t="inlineStr">
        <is>
          <t>PO2526-00926</t>
        </is>
      </c>
      <c r="I1167" s="344" t="n">
        <v>45807</v>
      </c>
      <c r="J1167" s="344" t="n">
        <v>45807</v>
      </c>
      <c r="K1167" s="20" t="n">
        <v>20</v>
      </c>
      <c r="L1167" s="5" t="inlineStr">
        <is>
          <t>SFST81000009</t>
        </is>
      </c>
      <c r="M1167" s="7" t="inlineStr">
        <is>
          <t>Tool and Equipment  Engineering</t>
        </is>
      </c>
      <c r="N1167" s="7" t="inlineStr">
        <is>
          <t>Consumable part</t>
        </is>
      </c>
      <c r="O1167" s="11" t="n">
        <v>12</v>
      </c>
      <c r="P1167" s="91" t="inlineStr">
        <is>
          <t>fittingstraight couplingstainless steel male thread 1/2inch SUS 304</t>
        </is>
      </c>
      <c r="Q1167" s="277" t="n">
        <v>10</v>
      </c>
      <c r="R1167" s="5" t="inlineStr">
        <is>
          <t>PCS.</t>
        </is>
      </c>
      <c r="S1167" s="284">
        <f>RawDataGenPO[[#This Row],[Total price]]/RawDataGenPO[[#This Row],[Qty'']]</f>
        <v/>
      </c>
      <c r="T1167" s="278" t="n">
        <v>420</v>
      </c>
      <c r="U1167" s="291" t="n"/>
      <c r="V1167" s="90" t="inlineStr">
        <is>
          <t>V1000306 - Inter Supply (1992) Co., Ltd.</t>
        </is>
      </c>
      <c r="W1167" s="30" t="inlineStr">
        <is>
          <t>Recive bill and GRN already</t>
        </is>
      </c>
      <c r="X1167" s="5" t="inlineStr">
        <is>
          <t>GRN2526-0001571</t>
        </is>
      </c>
      <c r="Y1167" s="3" t="n">
        <v>45819</v>
      </c>
      <c r="AA1167" s="17">
        <f>IF(RawDataGenPO[[#This Row],[Date Gen PO]]="","",RawDataGenPO[[#This Row],[Date recive bill]]-RawDataGenPO[[#This Row],[Date Gen PO]])</f>
        <v/>
      </c>
      <c r="AB1167" s="16">
        <f>IF(RawDataGenPO[[#This Row],[GRN-PO date]]&gt;RawDataGenPO[[#This Row],[Lead time delivery (day)]],"over deliverry","Ontime")</f>
        <v/>
      </c>
      <c r="AC1167" s="22" t="n"/>
    </row>
    <row r="1168" ht="19.20000076293945" customHeight="1">
      <c r="A1168" s="5">
        <f>ROW()-ROW(RawDataGenPO[[#Headers],[No.]])</f>
        <v/>
      </c>
      <c r="B1168" s="7" t="inlineStr">
        <is>
          <t>Expent  cost</t>
        </is>
      </c>
      <c r="C1168" s="343" t="n">
        <v>45797</v>
      </c>
      <c r="F1168" s="301" t="n">
        <v>45797</v>
      </c>
      <c r="G1168" s="5" t="inlineStr">
        <is>
          <t>PR2526-00600</t>
        </is>
      </c>
      <c r="H1168" s="5" t="inlineStr">
        <is>
          <t>PO2526-00927</t>
        </is>
      </c>
      <c r="I1168" s="344" t="n">
        <v>45807</v>
      </c>
      <c r="J1168" s="344" t="n">
        <v>45807</v>
      </c>
      <c r="K1168" s="20" t="n">
        <v>30</v>
      </c>
      <c r="L1168" s="5" t="inlineStr">
        <is>
          <t>SFST34000174</t>
        </is>
      </c>
      <c r="M1168" s="7" t="inlineStr">
        <is>
          <t>Consumable part for MN</t>
        </is>
      </c>
      <c r="N1168" s="7" t="inlineStr">
        <is>
          <t>Consumable part</t>
        </is>
      </c>
      <c r="O1168" s="11" t="n">
        <v>1</v>
      </c>
      <c r="P1168" s="80" t="inlineStr">
        <is>
          <t>PP melt blown cartridge Filter, 10", 5 Micron</t>
        </is>
      </c>
      <c r="Q1168" s="277" t="n">
        <v>40</v>
      </c>
      <c r="R1168" s="5" t="inlineStr">
        <is>
          <t>PCS.</t>
        </is>
      </c>
      <c r="S1168" s="284">
        <f>RawDataGenPO[[#This Row],[Total price]]/RawDataGenPO[[#This Row],[Qty'']]</f>
        <v/>
      </c>
      <c r="T1168" s="278" t="n">
        <v>2600</v>
      </c>
      <c r="U1168" s="291" t="n"/>
      <c r="V1168" s="7" t="inlineStr">
        <is>
          <t>V1000259 - JJP SUPPLY CO., LTD</t>
        </is>
      </c>
      <c r="W1168" s="30" t="inlineStr">
        <is>
          <t>Recive bill and GRN already</t>
        </is>
      </c>
      <c r="X1168" s="5" t="inlineStr">
        <is>
          <t>GRN2526-0001867</t>
        </is>
      </c>
      <c r="Y1168" s="3" t="n">
        <v>45828</v>
      </c>
      <c r="AA1168" s="17">
        <f>IF(RawDataGenPO[[#This Row],[Date Gen PO]]="","",RawDataGenPO[[#This Row],[Date recive bill]]-RawDataGenPO[[#This Row],[Date Gen PO]])</f>
        <v/>
      </c>
      <c r="AB1168" s="16">
        <f>IF(RawDataGenPO[[#This Row],[GRN-PO date]]&gt;RawDataGenPO[[#This Row],[Lead time delivery (day)]],"over deliverry","Ontime")</f>
        <v/>
      </c>
      <c r="AC1168" s="22" t="n"/>
    </row>
    <row r="1169" ht="19.20000076293945" customHeight="1">
      <c r="A1169" s="5">
        <f>ROW()-ROW(RawDataGenPO[[#Headers],[No.]])</f>
        <v/>
      </c>
      <c r="B1169" s="7" t="inlineStr">
        <is>
          <t>Expent  cost</t>
        </is>
      </c>
      <c r="C1169" s="343" t="n">
        <v>45797</v>
      </c>
      <c r="F1169" s="301" t="n">
        <v>45797</v>
      </c>
      <c r="G1169" s="5" t="inlineStr">
        <is>
          <t>PR2526-00600</t>
        </is>
      </c>
      <c r="H1169" s="5" t="inlineStr">
        <is>
          <t>PO2526-00927</t>
        </is>
      </c>
      <c r="I1169" s="344" t="n">
        <v>45807</v>
      </c>
      <c r="J1169" s="344" t="n">
        <v>45807</v>
      </c>
      <c r="K1169" s="20" t="n">
        <v>30</v>
      </c>
      <c r="L1169" s="5" t="inlineStr">
        <is>
          <t>SFST34000175</t>
        </is>
      </c>
      <c r="M1169" s="7" t="inlineStr">
        <is>
          <t>Consumable part for MN</t>
        </is>
      </c>
      <c r="N1169" s="7" t="inlineStr">
        <is>
          <t>Consumable part</t>
        </is>
      </c>
      <c r="O1169" s="11" t="n">
        <v>2</v>
      </c>
      <c r="P1169" s="80" t="inlineStr">
        <is>
          <t>PP melt blown cartridge Filter, 20", 5 Micron</t>
        </is>
      </c>
      <c r="Q1169" s="277" t="n">
        <v>30</v>
      </c>
      <c r="R1169" s="5" t="inlineStr">
        <is>
          <t>PCS.</t>
        </is>
      </c>
      <c r="S1169" s="284">
        <f>RawDataGenPO[[#This Row],[Total price]]/RawDataGenPO[[#This Row],[Qty'']]</f>
        <v/>
      </c>
      <c r="T1169" s="278" t="n">
        <v>3750</v>
      </c>
      <c r="U1169" s="291" t="n"/>
      <c r="V1169" s="7" t="inlineStr">
        <is>
          <t>V1000259 - JJP SUPPLY CO., LTD</t>
        </is>
      </c>
      <c r="W1169" s="30" t="inlineStr">
        <is>
          <t>Recive bill and GRN already</t>
        </is>
      </c>
      <c r="X1169" s="5" t="inlineStr">
        <is>
          <t>GRN2526-0001867</t>
        </is>
      </c>
      <c r="Y1169" s="3" t="n">
        <v>45828</v>
      </c>
      <c r="AA1169" s="17">
        <f>IF(RawDataGenPO[[#This Row],[Date Gen PO]]="","",RawDataGenPO[[#This Row],[Date recive bill]]-RawDataGenPO[[#This Row],[Date Gen PO]])</f>
        <v/>
      </c>
      <c r="AB1169" s="16">
        <f>IF(RawDataGenPO[[#This Row],[GRN-PO date]]&gt;RawDataGenPO[[#This Row],[Lead time delivery (day)]],"over deliverry","Ontime")</f>
        <v/>
      </c>
      <c r="AC1169" s="22" t="n"/>
    </row>
    <row r="1170" ht="19.20000076293945" customHeight="1">
      <c r="A1170" s="5">
        <f>ROW()-ROW(RawDataGenPO[[#Headers],[No.]])</f>
        <v/>
      </c>
      <c r="B1170" s="7" t="inlineStr">
        <is>
          <t>Expent  cost</t>
        </is>
      </c>
      <c r="C1170" s="343" t="n">
        <v>45797</v>
      </c>
      <c r="F1170" s="301" t="n">
        <v>45797</v>
      </c>
      <c r="G1170" s="5" t="inlineStr">
        <is>
          <t>PR2526-00601</t>
        </is>
      </c>
      <c r="H1170" s="5" t="inlineStr">
        <is>
          <t>PO2526-00928</t>
        </is>
      </c>
      <c r="I1170" s="344" t="n">
        <v>45807</v>
      </c>
      <c r="J1170" s="344" t="n">
        <v>45807</v>
      </c>
      <c r="K1170" s="20" t="n">
        <v>90</v>
      </c>
      <c r="L1170" s="5" t="inlineStr">
        <is>
          <t>SFST81000009</t>
        </is>
      </c>
      <c r="M1170" s="7" t="inlineStr">
        <is>
          <t>Tool and Equipment  Engineering</t>
        </is>
      </c>
      <c r="N1170" s="7" t="inlineStr">
        <is>
          <t>Consumable part</t>
        </is>
      </c>
      <c r="O1170" s="11" t="n">
        <v>1</v>
      </c>
      <c r="P1170" s="80" t="inlineStr">
        <is>
          <t>elbow 90° steelweld SCH#40 DIMETER 2 inch</t>
        </is>
      </c>
      <c r="Q1170" s="277" t="n">
        <v>10</v>
      </c>
      <c r="R1170" s="5" t="inlineStr">
        <is>
          <t>PCS.</t>
        </is>
      </c>
      <c r="S1170" s="284">
        <f>RawDataGenPO[[#This Row],[Total price]]/RawDataGenPO[[#This Row],[Qty'']]</f>
        <v/>
      </c>
      <c r="T1170" s="278" t="n">
        <v>380</v>
      </c>
      <c r="U1170" s="291" t="n"/>
      <c r="V1170" s="7" t="inlineStr">
        <is>
          <t>V1000306 - Inter Supply (1992) Co., Ltd.</t>
        </is>
      </c>
      <c r="W1170" s="30" t="inlineStr">
        <is>
          <t>Recive bill and GRN already</t>
        </is>
      </c>
      <c r="X1170" s="5" t="inlineStr">
        <is>
          <t>GRN2526-0003281</t>
        </is>
      </c>
      <c r="Y1170" s="3" t="n">
        <v>45891</v>
      </c>
      <c r="AA1170" s="17">
        <f>IF(RawDataGenPO[[#This Row],[Date Gen PO]]="","",RawDataGenPO[[#This Row],[Date recive bill]]-RawDataGenPO[[#This Row],[Date Gen PO]])</f>
        <v/>
      </c>
      <c r="AB1170" s="16">
        <f>IF(RawDataGenPO[[#This Row],[GRN-PO date]]&gt;RawDataGenPO[[#This Row],[Lead time delivery (day)]],"over deliverry","Ontime")</f>
        <v/>
      </c>
      <c r="AC1170" s="22" t="n"/>
    </row>
    <row r="1171" ht="19.20000076293945" customHeight="1">
      <c r="A1171" s="5">
        <f>ROW()-ROW(RawDataGenPO[[#Headers],[No.]])</f>
        <v/>
      </c>
      <c r="B1171" s="7" t="inlineStr">
        <is>
          <t>Expent  cost</t>
        </is>
      </c>
      <c r="C1171" s="343" t="n">
        <v>45797</v>
      </c>
      <c r="F1171" s="301" t="n">
        <v>45797</v>
      </c>
      <c r="G1171" s="5" t="inlineStr">
        <is>
          <t>PR2526-00601</t>
        </is>
      </c>
      <c r="H1171" s="5" t="inlineStr">
        <is>
          <t>PO2526-00928</t>
        </is>
      </c>
      <c r="I1171" s="344" t="n">
        <v>45807</v>
      </c>
      <c r="J1171" s="344" t="n">
        <v>45807</v>
      </c>
      <c r="K1171" s="20" t="n">
        <v>90</v>
      </c>
      <c r="L1171" s="5" t="inlineStr">
        <is>
          <t>SFST81000009</t>
        </is>
      </c>
      <c r="M1171" s="7" t="inlineStr">
        <is>
          <t>Tool and Equipment  Engineering</t>
        </is>
      </c>
      <c r="N1171" s="7" t="inlineStr">
        <is>
          <t>Consumable part</t>
        </is>
      </c>
      <c r="O1171" s="11" t="n">
        <v>2</v>
      </c>
      <c r="P1171" s="80" t="inlineStr">
        <is>
          <t>elbow 90° steelweld SCH#40 DIMETER 1-1/2 inch</t>
        </is>
      </c>
      <c r="Q1171" s="277" t="n">
        <v>10</v>
      </c>
      <c r="R1171" s="5" t="inlineStr">
        <is>
          <t>PCS.</t>
        </is>
      </c>
      <c r="S1171" s="284">
        <f>RawDataGenPO[[#This Row],[Total price]]/RawDataGenPO[[#This Row],[Qty'']]</f>
        <v/>
      </c>
      <c r="T1171" s="278" t="n">
        <v>320</v>
      </c>
      <c r="U1171" s="291" t="n"/>
      <c r="V1171" s="7" t="inlineStr">
        <is>
          <t>V1000306 - Inter Supply (1992) Co., Ltd.</t>
        </is>
      </c>
      <c r="W1171" s="30" t="inlineStr">
        <is>
          <t>Recive bill and GRN already</t>
        </is>
      </c>
      <c r="X1171" s="5" t="inlineStr">
        <is>
          <t>GRN2526-0003281</t>
        </is>
      </c>
      <c r="Y1171" s="3" t="n">
        <v>45891</v>
      </c>
      <c r="AA1171" s="17">
        <f>IF(RawDataGenPO[[#This Row],[Date Gen PO]]="","",RawDataGenPO[[#This Row],[Date recive bill]]-RawDataGenPO[[#This Row],[Date Gen PO]])</f>
        <v/>
      </c>
      <c r="AB1171" s="16">
        <f>IF(RawDataGenPO[[#This Row],[GRN-PO date]]&gt;RawDataGenPO[[#This Row],[Lead time delivery (day)]],"over deliverry","Ontime")</f>
        <v/>
      </c>
      <c r="AC1171" s="22" t="n"/>
    </row>
    <row r="1172" ht="19.20000076293945" customHeight="1">
      <c r="A1172" s="5">
        <f>ROW()-ROW(RawDataGenPO[[#Headers],[No.]])</f>
        <v/>
      </c>
      <c r="B1172" s="7" t="inlineStr">
        <is>
          <t>Expent  cost</t>
        </is>
      </c>
      <c r="C1172" s="343" t="n">
        <v>45797</v>
      </c>
      <c r="F1172" s="301" t="n">
        <v>45797</v>
      </c>
      <c r="G1172" s="5" t="inlineStr">
        <is>
          <t>PR2526-00601</t>
        </is>
      </c>
      <c r="H1172" s="5" t="inlineStr">
        <is>
          <t>PO2526-00928</t>
        </is>
      </c>
      <c r="I1172" s="344" t="n">
        <v>45807</v>
      </c>
      <c r="J1172" s="344" t="n">
        <v>45807</v>
      </c>
      <c r="K1172" s="20" t="n">
        <v>90</v>
      </c>
      <c r="L1172" s="5" t="inlineStr">
        <is>
          <t>SFST81000009</t>
        </is>
      </c>
      <c r="M1172" s="7" t="inlineStr">
        <is>
          <t>Tool and Equipment  Engineering</t>
        </is>
      </c>
      <c r="N1172" s="7" t="inlineStr">
        <is>
          <t>Consumable part</t>
        </is>
      </c>
      <c r="O1172" s="11" t="n">
        <v>3</v>
      </c>
      <c r="P1172" s="80" t="inlineStr">
        <is>
          <t>elbow 90° steelweld SCH#40 DIMETER 1inch</t>
        </is>
      </c>
      <c r="Q1172" s="277" t="n">
        <v>10</v>
      </c>
      <c r="R1172" s="5" t="inlineStr">
        <is>
          <t>PCS.</t>
        </is>
      </c>
      <c r="S1172" s="292">
        <f>RawDataGenPO[[#This Row],[Total price]]/RawDataGenPO[[#This Row],[Qty'']]</f>
        <v/>
      </c>
      <c r="T1172" s="278" t="n">
        <v>150</v>
      </c>
      <c r="U1172" s="291" t="n"/>
      <c r="V1172" s="7" t="inlineStr">
        <is>
          <t>V1000306 - Inter Supply (1992) Co., Ltd.</t>
        </is>
      </c>
      <c r="W1172" s="30" t="inlineStr">
        <is>
          <t>Recive bill and GRN already</t>
        </is>
      </c>
      <c r="X1172" s="5" t="inlineStr">
        <is>
          <t>GRN2526-0003281</t>
        </is>
      </c>
      <c r="Y1172" s="3" t="n">
        <v>45891</v>
      </c>
      <c r="AA1172" s="17">
        <f>IF(RawDataGenPO[[#This Row],[Date Gen PO]]="","",RawDataGenPO[[#This Row],[Date recive bill]]-RawDataGenPO[[#This Row],[Date Gen PO]])</f>
        <v/>
      </c>
      <c r="AB1172" s="16">
        <f>IF(RawDataGenPO[[#This Row],[GRN-PO date]]&gt;RawDataGenPO[[#This Row],[Lead time delivery (day)]],"over deliverry","Ontime")</f>
        <v/>
      </c>
      <c r="AC1172" s="22" t="n"/>
    </row>
    <row r="1173" ht="19.20000076293945" customHeight="1">
      <c r="A1173" s="5">
        <f>ROW()-ROW(RawDataGenPO[[#Headers],[No.]])</f>
        <v/>
      </c>
      <c r="B1173" s="7" t="inlineStr">
        <is>
          <t>Expent  cost</t>
        </is>
      </c>
      <c r="C1173" s="343" t="n">
        <v>45797</v>
      </c>
      <c r="F1173" s="301" t="n">
        <v>45797</v>
      </c>
      <c r="G1173" s="5" t="inlineStr">
        <is>
          <t>PR2526-00601</t>
        </is>
      </c>
      <c r="H1173" s="5" t="inlineStr">
        <is>
          <t>PO2526-00928</t>
        </is>
      </c>
      <c r="I1173" s="344" t="n">
        <v>45807</v>
      </c>
      <c r="J1173" s="344" t="n">
        <v>45807</v>
      </c>
      <c r="K1173" s="20" t="n">
        <v>90</v>
      </c>
      <c r="L1173" s="5" t="inlineStr">
        <is>
          <t>SFST81000009</t>
        </is>
      </c>
      <c r="M1173" s="7" t="inlineStr">
        <is>
          <t>Tool and Equipment  Engineering</t>
        </is>
      </c>
      <c r="N1173" s="7" t="inlineStr">
        <is>
          <t>Consumable part</t>
        </is>
      </c>
      <c r="O1173" s="11" t="n">
        <v>4</v>
      </c>
      <c r="P1173" s="80" t="inlineStr">
        <is>
          <t>elbow 90° steelweld SCH#40 DIMETER 3/4inch</t>
        </is>
      </c>
      <c r="Q1173" s="277" t="n">
        <v>10</v>
      </c>
      <c r="R1173" s="5" t="inlineStr">
        <is>
          <t>PCS.</t>
        </is>
      </c>
      <c r="S1173" s="292">
        <f>RawDataGenPO[[#This Row],[Total price]]/RawDataGenPO[[#This Row],[Qty'']]</f>
        <v/>
      </c>
      <c r="T1173" s="278" t="n">
        <v>130</v>
      </c>
      <c r="U1173" s="291" t="n"/>
      <c r="V1173" s="7" t="inlineStr">
        <is>
          <t>V1000306 - Inter Supply (1992) Co., Ltd.</t>
        </is>
      </c>
      <c r="W1173" s="30" t="inlineStr">
        <is>
          <t>Recive bill and GRN already</t>
        </is>
      </c>
      <c r="X1173" s="5" t="inlineStr">
        <is>
          <t>GRN2526-0003281</t>
        </is>
      </c>
      <c r="Y1173" s="3" t="n">
        <v>45891</v>
      </c>
      <c r="AA1173" s="17">
        <f>IF(RawDataGenPO[[#This Row],[Date Gen PO]]="","",RawDataGenPO[[#This Row],[Date recive bill]]-RawDataGenPO[[#This Row],[Date Gen PO]])</f>
        <v/>
      </c>
      <c r="AB1173" s="16">
        <f>IF(RawDataGenPO[[#This Row],[GRN-PO date]]&gt;RawDataGenPO[[#This Row],[Lead time delivery (day)]],"over deliverry","Ontime")</f>
        <v/>
      </c>
      <c r="AC1173" s="22" t="n"/>
    </row>
    <row r="1174" ht="19.20000076293945" customHeight="1">
      <c r="A1174" s="5">
        <f>ROW()-ROW(RawDataGenPO[[#Headers],[No.]])</f>
        <v/>
      </c>
      <c r="B1174" s="7" t="inlineStr">
        <is>
          <t>Expent  cost</t>
        </is>
      </c>
      <c r="C1174" s="343" t="n">
        <v>45797</v>
      </c>
      <c r="F1174" s="301" t="n">
        <v>45797</v>
      </c>
      <c r="G1174" s="5" t="inlineStr">
        <is>
          <t>PR2526-00601</t>
        </is>
      </c>
      <c r="H1174" s="5" t="inlineStr">
        <is>
          <t>PO2526-00928</t>
        </is>
      </c>
      <c r="I1174" s="344" t="n">
        <v>45807</v>
      </c>
      <c r="J1174" s="344" t="n">
        <v>45807</v>
      </c>
      <c r="K1174" s="20" t="n">
        <v>90</v>
      </c>
      <c r="L1174" s="5" t="inlineStr">
        <is>
          <t>SFST81000009</t>
        </is>
      </c>
      <c r="M1174" s="7" t="inlineStr">
        <is>
          <t>Tool and Equipment  Engineering</t>
        </is>
      </c>
      <c r="N1174" s="7" t="inlineStr">
        <is>
          <t>Consumable part</t>
        </is>
      </c>
      <c r="O1174" s="11" t="n">
        <v>5</v>
      </c>
      <c r="P1174" s="80" t="inlineStr">
        <is>
          <t>elbow 90° steelweld SCH#40 DIMETER 1/2inch</t>
        </is>
      </c>
      <c r="Q1174" s="277" t="n">
        <v>10</v>
      </c>
      <c r="R1174" s="5" t="inlineStr">
        <is>
          <t>PCS.</t>
        </is>
      </c>
      <c r="S1174" s="292">
        <f>RawDataGenPO[[#This Row],[Total price]]/RawDataGenPO[[#This Row],[Qty'']]</f>
        <v/>
      </c>
      <c r="T1174" s="278" t="n">
        <v>110</v>
      </c>
      <c r="U1174" s="291" t="n"/>
      <c r="V1174" s="7" t="inlineStr">
        <is>
          <t>V1000306 - Inter Supply (1992) Co., Ltd.</t>
        </is>
      </c>
      <c r="W1174" s="30" t="inlineStr">
        <is>
          <t>Recive bill and GRN already</t>
        </is>
      </c>
      <c r="X1174" s="5" t="inlineStr">
        <is>
          <t>GRN2526-0003281</t>
        </is>
      </c>
      <c r="Y1174" s="3" t="n">
        <v>45891</v>
      </c>
      <c r="AA1174" s="17">
        <f>IF(RawDataGenPO[[#This Row],[Date Gen PO]]="","",RawDataGenPO[[#This Row],[Date recive bill]]-RawDataGenPO[[#This Row],[Date Gen PO]])</f>
        <v/>
      </c>
      <c r="AB1174" s="16">
        <f>IF(RawDataGenPO[[#This Row],[GRN-PO date]]&gt;RawDataGenPO[[#This Row],[Lead time delivery (day)]],"over deliverry","Ontime")</f>
        <v/>
      </c>
      <c r="AC1174" s="22" t="n"/>
    </row>
    <row r="1175" ht="19.20000076293945" customHeight="1">
      <c r="A1175" s="5">
        <f>ROW()-ROW(RawDataGenPO[[#Headers],[No.]])</f>
        <v/>
      </c>
      <c r="B1175" s="7" t="inlineStr">
        <is>
          <t>Expent  cost</t>
        </is>
      </c>
      <c r="C1175" s="343" t="n">
        <v>45797</v>
      </c>
      <c r="F1175" s="301" t="n">
        <v>45797</v>
      </c>
      <c r="G1175" s="5" t="inlineStr">
        <is>
          <t>PR2526-00601</t>
        </is>
      </c>
      <c r="H1175" s="5" t="inlineStr">
        <is>
          <t>PO2526-00928</t>
        </is>
      </c>
      <c r="I1175" s="344" t="n">
        <v>45807</v>
      </c>
      <c r="J1175" s="344" t="n">
        <v>45807</v>
      </c>
      <c r="K1175" s="20" t="n">
        <v>90</v>
      </c>
      <c r="L1175" s="5" t="inlineStr">
        <is>
          <t>SFST81000009</t>
        </is>
      </c>
      <c r="M1175" s="7" t="inlineStr">
        <is>
          <t>Tool and Equipment  Engineering</t>
        </is>
      </c>
      <c r="N1175" s="7" t="inlineStr">
        <is>
          <t>Consumable part</t>
        </is>
      </c>
      <c r="O1175" s="11" t="n">
        <v>6</v>
      </c>
      <c r="P1175" s="80" t="inlineStr">
        <is>
          <t>pipesteel nipplethreadsideW DIMETER 2inch</t>
        </is>
      </c>
      <c r="Q1175" s="277" t="n">
        <v>10</v>
      </c>
      <c r="R1175" s="5" t="inlineStr">
        <is>
          <t>PCS.</t>
        </is>
      </c>
      <c r="S1175" s="292">
        <f>RawDataGenPO[[#This Row],[Total price]]/RawDataGenPO[[#This Row],[Qty'']]</f>
        <v/>
      </c>
      <c r="T1175" s="278" t="n">
        <v>1100</v>
      </c>
      <c r="U1175" s="291" t="n"/>
      <c r="V1175" s="7" t="inlineStr">
        <is>
          <t>V1000306 - Inter Supply (1992) Co., Ltd.</t>
        </is>
      </c>
      <c r="W1175" s="30" t="inlineStr">
        <is>
          <t>Recive bill and GRN already</t>
        </is>
      </c>
      <c r="X1175" s="5" t="inlineStr">
        <is>
          <t>GRN2526-0003281</t>
        </is>
      </c>
      <c r="Y1175" s="3" t="n">
        <v>45891</v>
      </c>
      <c r="AA1175" s="17">
        <f>IF(RawDataGenPO[[#This Row],[Date Gen PO]]="","",RawDataGenPO[[#This Row],[Date recive bill]]-RawDataGenPO[[#This Row],[Date Gen PO]])</f>
        <v/>
      </c>
      <c r="AB1175" s="16">
        <f>IF(RawDataGenPO[[#This Row],[GRN-PO date]]&gt;RawDataGenPO[[#This Row],[Lead time delivery (day)]],"over deliverry","Ontime")</f>
        <v/>
      </c>
      <c r="AC1175" s="22" t="n"/>
    </row>
    <row r="1176" ht="19.20000076293945" customHeight="1">
      <c r="A1176" s="5">
        <f>ROW()-ROW(RawDataGenPO[[#Headers],[No.]])</f>
        <v/>
      </c>
      <c r="B1176" s="7" t="inlineStr">
        <is>
          <t>Expent  cost</t>
        </is>
      </c>
      <c r="C1176" s="343" t="n">
        <v>45797</v>
      </c>
      <c r="F1176" s="301" t="n">
        <v>45797</v>
      </c>
      <c r="G1176" s="5" t="inlineStr">
        <is>
          <t>PR2526-00601</t>
        </is>
      </c>
      <c r="H1176" s="5" t="inlineStr">
        <is>
          <t>PO2526-00928</t>
        </is>
      </c>
      <c r="I1176" s="344" t="n">
        <v>45807</v>
      </c>
      <c r="J1176" s="344" t="n">
        <v>45807</v>
      </c>
      <c r="K1176" s="20" t="n">
        <v>90</v>
      </c>
      <c r="L1176" s="5" t="inlineStr">
        <is>
          <t>SFST81000009</t>
        </is>
      </c>
      <c r="M1176" s="7" t="inlineStr">
        <is>
          <t>Tool and Equipment  Engineering</t>
        </is>
      </c>
      <c r="N1176" s="7" t="inlineStr">
        <is>
          <t>Consumable part</t>
        </is>
      </c>
      <c r="O1176" s="11" t="n">
        <v>7</v>
      </c>
      <c r="P1176" s="80" t="inlineStr">
        <is>
          <t>pipesteel nipplethreadsideW DIMETER 1-1/2inch</t>
        </is>
      </c>
      <c r="Q1176" s="277" t="n">
        <v>10</v>
      </c>
      <c r="R1176" s="5" t="inlineStr">
        <is>
          <t>PCS.</t>
        </is>
      </c>
      <c r="S1176" s="292">
        <f>RawDataGenPO[[#This Row],[Total price]]/RawDataGenPO[[#This Row],[Qty'']]</f>
        <v/>
      </c>
      <c r="T1176" s="278" t="n">
        <v>800</v>
      </c>
      <c r="U1176" s="291" t="n"/>
      <c r="V1176" s="7" t="inlineStr">
        <is>
          <t>V1000306 - Inter Supply (1992) Co., Ltd.</t>
        </is>
      </c>
      <c r="W1176" s="30" t="inlineStr">
        <is>
          <t>Recive bill and GRN already</t>
        </is>
      </c>
      <c r="X1176" s="5" t="inlineStr">
        <is>
          <t>GRN2526-0003281</t>
        </is>
      </c>
      <c r="Y1176" s="3" t="n">
        <v>45891</v>
      </c>
      <c r="AA1176" s="17">
        <f>IF(RawDataGenPO[[#This Row],[Date Gen PO]]="","",RawDataGenPO[[#This Row],[Date recive bill]]-RawDataGenPO[[#This Row],[Date Gen PO]])</f>
        <v/>
      </c>
      <c r="AB1176" s="16">
        <f>IF(RawDataGenPO[[#This Row],[GRN-PO date]]&gt;RawDataGenPO[[#This Row],[Lead time delivery (day)]],"over deliverry","Ontime")</f>
        <v/>
      </c>
      <c r="AC1176" s="22" t="n"/>
    </row>
    <row r="1177" ht="19.20000076293945" customHeight="1">
      <c r="A1177" s="5">
        <f>ROW()-ROW(RawDataGenPO[[#Headers],[No.]])</f>
        <v/>
      </c>
      <c r="B1177" s="7" t="inlineStr">
        <is>
          <t>Expent  cost</t>
        </is>
      </c>
      <c r="C1177" s="343" t="n">
        <v>45797</v>
      </c>
      <c r="F1177" s="301" t="n">
        <v>45797</v>
      </c>
      <c r="G1177" s="5" t="inlineStr">
        <is>
          <t>PR2526-00601</t>
        </is>
      </c>
      <c r="H1177" s="5" t="inlineStr">
        <is>
          <t>PO2526-00928</t>
        </is>
      </c>
      <c r="I1177" s="344" t="n">
        <v>45807</v>
      </c>
      <c r="J1177" s="344" t="n">
        <v>45807</v>
      </c>
      <c r="K1177" s="20" t="n">
        <v>90</v>
      </c>
      <c r="L1177" s="5" t="inlineStr">
        <is>
          <t>SFST81000009</t>
        </is>
      </c>
      <c r="M1177" s="7" t="inlineStr">
        <is>
          <t>Tool and Equipment  Engineering</t>
        </is>
      </c>
      <c r="N1177" s="7" t="inlineStr">
        <is>
          <t>Consumable part</t>
        </is>
      </c>
      <c r="O1177" s="11" t="n">
        <v>8</v>
      </c>
      <c r="P1177" s="80" t="inlineStr">
        <is>
          <t>pipesteel nipplethreadsideW DIMETER 1inch</t>
        </is>
      </c>
      <c r="Q1177" s="277" t="n">
        <v>10</v>
      </c>
      <c r="R1177" s="5" t="inlineStr">
        <is>
          <t>PCS.</t>
        </is>
      </c>
      <c r="S1177" s="292">
        <f>RawDataGenPO[[#This Row],[Total price]]/RawDataGenPO[[#This Row],[Qty'']]</f>
        <v/>
      </c>
      <c r="T1177" s="278" t="n">
        <v>600</v>
      </c>
      <c r="U1177" s="291" t="n"/>
      <c r="V1177" s="7" t="inlineStr">
        <is>
          <t>V1000306 - Inter Supply (1992) Co., Ltd.</t>
        </is>
      </c>
      <c r="W1177" s="30" t="inlineStr">
        <is>
          <t>Recive bill and GRN already</t>
        </is>
      </c>
      <c r="X1177" s="5" t="inlineStr">
        <is>
          <t>GRN2526-0003281</t>
        </is>
      </c>
      <c r="Y1177" s="3" t="n">
        <v>45891</v>
      </c>
      <c r="AA1177" s="17">
        <f>IF(RawDataGenPO[[#This Row],[Date Gen PO]]="","",RawDataGenPO[[#This Row],[Date recive bill]]-RawDataGenPO[[#This Row],[Date Gen PO]])</f>
        <v/>
      </c>
      <c r="AB1177" s="16">
        <f>IF(RawDataGenPO[[#This Row],[GRN-PO date]]&gt;RawDataGenPO[[#This Row],[Lead time delivery (day)]],"over deliverry","Ontime")</f>
        <v/>
      </c>
      <c r="AC1177" s="22" t="n"/>
    </row>
    <row r="1178" ht="19.20000076293945" customHeight="1">
      <c r="A1178" s="5">
        <f>ROW()-ROW(RawDataGenPO[[#Headers],[No.]])</f>
        <v/>
      </c>
      <c r="B1178" s="7" t="inlineStr">
        <is>
          <t>Expent  cost</t>
        </is>
      </c>
      <c r="C1178" s="343" t="n">
        <v>45797</v>
      </c>
      <c r="F1178" s="301" t="n">
        <v>45797</v>
      </c>
      <c r="G1178" s="5" t="inlineStr">
        <is>
          <t>PR2526-00601</t>
        </is>
      </c>
      <c r="H1178" s="5" t="inlineStr">
        <is>
          <t>PO2526-00928</t>
        </is>
      </c>
      <c r="I1178" s="344" t="n">
        <v>45807</v>
      </c>
      <c r="J1178" s="344" t="n">
        <v>45807</v>
      </c>
      <c r="K1178" s="20" t="n">
        <v>90</v>
      </c>
      <c r="L1178" s="5" t="inlineStr">
        <is>
          <t>SFST81000009</t>
        </is>
      </c>
      <c r="M1178" s="7" t="inlineStr">
        <is>
          <t>Tool and Equipment  Engineering</t>
        </is>
      </c>
      <c r="N1178" s="7" t="inlineStr">
        <is>
          <t>Consumable part</t>
        </is>
      </c>
      <c r="O1178" s="11" t="n">
        <v>9</v>
      </c>
      <c r="P1178" s="80" t="inlineStr">
        <is>
          <t>pipesteel nipplethreadsideW DIMETER 3/4inch</t>
        </is>
      </c>
      <c r="Q1178" s="277" t="n">
        <v>10</v>
      </c>
      <c r="R1178" s="5" t="inlineStr">
        <is>
          <t>PCS.</t>
        </is>
      </c>
      <c r="S1178" s="292">
        <f>RawDataGenPO[[#This Row],[Total price]]/RawDataGenPO[[#This Row],[Qty'']]</f>
        <v/>
      </c>
      <c r="T1178" s="278" t="n">
        <v>550</v>
      </c>
      <c r="U1178" s="291" t="n"/>
      <c r="V1178" s="7" t="inlineStr">
        <is>
          <t>V1000306 - Inter Supply (1992) Co., Ltd.</t>
        </is>
      </c>
      <c r="W1178" s="30" t="inlineStr">
        <is>
          <t>Recive bill and GRN already</t>
        </is>
      </c>
      <c r="X1178" s="5" t="inlineStr">
        <is>
          <t>GRN2526-0003281</t>
        </is>
      </c>
      <c r="Y1178" s="3" t="n">
        <v>45891</v>
      </c>
      <c r="AA1178" s="17">
        <f>IF(RawDataGenPO[[#This Row],[Date Gen PO]]="","",RawDataGenPO[[#This Row],[Date recive bill]]-RawDataGenPO[[#This Row],[Date Gen PO]])</f>
        <v/>
      </c>
      <c r="AB1178" s="16">
        <f>IF(RawDataGenPO[[#This Row],[GRN-PO date]]&gt;RawDataGenPO[[#This Row],[Lead time delivery (day)]],"over deliverry","Ontime")</f>
        <v/>
      </c>
      <c r="AC1178" s="22" t="n"/>
    </row>
    <row r="1179" ht="19.20000076293945" customHeight="1">
      <c r="A1179" s="5">
        <f>ROW()-ROW(RawDataGenPO[[#Headers],[No.]])</f>
        <v/>
      </c>
      <c r="B1179" s="7" t="inlineStr">
        <is>
          <t>Expent  cost</t>
        </is>
      </c>
      <c r="C1179" s="343" t="n">
        <v>45797</v>
      </c>
      <c r="F1179" s="301" t="n">
        <v>45797</v>
      </c>
      <c r="G1179" s="5" t="inlineStr">
        <is>
          <t>PR2526-00601</t>
        </is>
      </c>
      <c r="H1179" s="5" t="inlineStr">
        <is>
          <t>PO2526-00928</t>
        </is>
      </c>
      <c r="I1179" s="344" t="n">
        <v>45807</v>
      </c>
      <c r="J1179" s="344" t="n">
        <v>45807</v>
      </c>
      <c r="K1179" s="20" t="n">
        <v>90</v>
      </c>
      <c r="L1179" s="5" t="inlineStr">
        <is>
          <t>SFST81000009</t>
        </is>
      </c>
      <c r="M1179" s="7" t="inlineStr">
        <is>
          <t>Tool and Equipment  Engineering</t>
        </is>
      </c>
      <c r="N1179" s="7" t="inlineStr">
        <is>
          <t>Consumable part</t>
        </is>
      </c>
      <c r="O1179" s="11" t="n">
        <v>10</v>
      </c>
      <c r="P1179" s="80" t="inlineStr">
        <is>
          <t>pipesteel nipplethreadsideW DIMETER 1/2inch</t>
        </is>
      </c>
      <c r="Q1179" s="277" t="n">
        <v>10</v>
      </c>
      <c r="R1179" s="5" t="inlineStr">
        <is>
          <t>PCS.</t>
        </is>
      </c>
      <c r="S1179" s="292">
        <f>RawDataGenPO[[#This Row],[Total price]]/RawDataGenPO[[#This Row],[Qty'']]</f>
        <v/>
      </c>
      <c r="T1179" s="278" t="n">
        <v>450</v>
      </c>
      <c r="U1179" s="291" t="n"/>
      <c r="V1179" s="7" t="inlineStr">
        <is>
          <t>V1000306 - Inter Supply (1992) Co., Ltd.</t>
        </is>
      </c>
      <c r="W1179" s="30" t="inlineStr">
        <is>
          <t>Recive bill and GRN already</t>
        </is>
      </c>
      <c r="X1179" s="5" t="inlineStr">
        <is>
          <t>GRN2526-0003281</t>
        </is>
      </c>
      <c r="Y1179" s="3" t="n">
        <v>45891</v>
      </c>
      <c r="AA1179" s="17">
        <f>IF(RawDataGenPO[[#This Row],[Date Gen PO]]="","",RawDataGenPO[[#This Row],[Date recive bill]]-RawDataGenPO[[#This Row],[Date Gen PO]])</f>
        <v/>
      </c>
      <c r="AB1179" s="16">
        <f>IF(RawDataGenPO[[#This Row],[GRN-PO date]]&gt;RawDataGenPO[[#This Row],[Lead time delivery (day)]],"over deliverry","Ontime")</f>
        <v/>
      </c>
      <c r="AC1179" s="22" t="n"/>
    </row>
    <row r="1180" ht="19.20000076293945" customHeight="1">
      <c r="A1180" s="5">
        <f>ROW()-ROW(RawDataGenPO[[#Headers],[No.]])</f>
        <v/>
      </c>
      <c r="B1180" s="7" t="inlineStr">
        <is>
          <t>Expent  cost</t>
        </is>
      </c>
      <c r="C1180" s="343" t="n">
        <v>45797</v>
      </c>
      <c r="F1180" s="301" t="n">
        <v>45797</v>
      </c>
      <c r="G1180" s="5" t="inlineStr">
        <is>
          <t>PR2526-00602</t>
        </is>
      </c>
      <c r="H1180" s="5" t="inlineStr">
        <is>
          <t>PO2526-00929</t>
        </is>
      </c>
      <c r="I1180" s="344" t="n">
        <v>45807</v>
      </c>
      <c r="J1180" s="344" t="n">
        <v>45807</v>
      </c>
      <c r="K1180" s="20" t="n">
        <v>30</v>
      </c>
      <c r="L1180" s="5" t="inlineStr">
        <is>
          <t>SFST81000048</t>
        </is>
      </c>
      <c r="M1180" s="7" t="inlineStr">
        <is>
          <t>Utility Jobs  (Boiler-Air compress-Transformer-LPG)</t>
        </is>
      </c>
      <c r="N1180" s="7" t="inlineStr">
        <is>
          <t>Cooling  part</t>
        </is>
      </c>
      <c r="O1180" s="11" t="n">
        <v>1</v>
      </c>
      <c r="P1180" s="80" t="inlineStr">
        <is>
          <t>piecemalumm size1/2inch width 22inch piece</t>
        </is>
      </c>
      <c r="Q1180" s="277" t="n">
        <v>5</v>
      </c>
      <c r="R1180" s="5" t="inlineStr">
        <is>
          <t>PCS.</t>
        </is>
      </c>
      <c r="S1180" s="292">
        <f>RawDataGenPO[[#This Row],[Total price]]/RawDataGenPO[[#This Row],[Qty'']]</f>
        <v/>
      </c>
      <c r="T1180" s="278" t="n">
        <v>6792.05</v>
      </c>
      <c r="U1180" s="291" t="n"/>
      <c r="V1180" s="7" t="inlineStr">
        <is>
          <t>V1000308 - PLUG'N GO (THAILAND) CO., LTD.</t>
        </is>
      </c>
      <c r="W1180" s="30" t="inlineStr">
        <is>
          <t>Recive bill and GRN already</t>
        </is>
      </c>
      <c r="X1180" s="31" t="inlineStr">
        <is>
          <t>GRN2526-0001604</t>
        </is>
      </c>
      <c r="Y1180" s="275" t="n">
        <v>45820</v>
      </c>
      <c r="AA1180" s="17">
        <f>IF(RawDataGenPO[[#This Row],[Date Gen PO]]="","",RawDataGenPO[[#This Row],[Date recive bill]]-RawDataGenPO[[#This Row],[Date Gen PO]])</f>
        <v/>
      </c>
      <c r="AB1180" s="16">
        <f>IF(RawDataGenPO[[#This Row],[GRN-PO date]]&gt;RawDataGenPO[[#This Row],[Lead time delivery (day)]],"over deliverry","Ontime")</f>
        <v/>
      </c>
      <c r="AC1180" s="22" t="n"/>
    </row>
    <row r="1181" ht="19.20000076293945" customHeight="1">
      <c r="A1181" s="5">
        <f>ROW()-ROW(RawDataGenPO[[#Headers],[No.]])</f>
        <v/>
      </c>
      <c r="B1181" s="7" t="inlineStr">
        <is>
          <t>Expent  cost</t>
        </is>
      </c>
      <c r="C1181" s="343" t="n">
        <v>45797</v>
      </c>
      <c r="F1181" s="301" t="n">
        <v>45797</v>
      </c>
      <c r="G1181" s="5" t="inlineStr">
        <is>
          <t>PR2526-00603</t>
        </is>
      </c>
      <c r="H1181" s="5" t="inlineStr">
        <is>
          <t>PO2526-00930</t>
        </is>
      </c>
      <c r="I1181" s="344" t="n">
        <v>45807</v>
      </c>
      <c r="J1181" s="344" t="n">
        <v>45807</v>
      </c>
      <c r="K1181" s="20" t="n">
        <v>60</v>
      </c>
      <c r="L1181" s="5" t="inlineStr">
        <is>
          <t>SFST81000048</t>
        </is>
      </c>
      <c r="M1181" s="7" t="inlineStr">
        <is>
          <t>Utility Jobs  (Boiler-Air compress-Transformer-LPG)</t>
        </is>
      </c>
      <c r="N1181" s="7" t="inlineStr">
        <is>
          <t>Cooling  part</t>
        </is>
      </c>
      <c r="O1181" s="11" t="n">
        <v>1</v>
      </c>
      <c r="P1181" s="80" t="inlineStr">
        <is>
          <t>"Bitzer" 4EC-6.2Y / Suct. Disc.Shut-off Va.Cplt.; B1-36;C1-150</t>
        </is>
      </c>
      <c r="Q1181" s="277" t="n">
        <v>3</v>
      </c>
      <c r="R1181" s="5" t="inlineStr">
        <is>
          <t>PCS.</t>
        </is>
      </c>
      <c r="S1181" s="292">
        <f>RawDataGenPO[[#This Row],[Total price]]/RawDataGenPO[[#This Row],[Qty'']]</f>
        <v/>
      </c>
      <c r="T1181" s="278" t="n">
        <v>5670</v>
      </c>
      <c r="U1181" s="291" t="n"/>
      <c r="V1181" s="7" t="inlineStr">
        <is>
          <t>V1000652 - HARN ENGINEERING SOLUTIONS PUBLIC COMPANY LIMITED</t>
        </is>
      </c>
      <c r="W1181" s="30" t="inlineStr">
        <is>
          <t>Recive bill and GRN already</t>
        </is>
      </c>
      <c r="X1181" s="5" t="inlineStr">
        <is>
          <t>GRN2526-0002238</t>
        </is>
      </c>
      <c r="Y1181" s="3" t="n">
        <v>45845</v>
      </c>
      <c r="AA1181" s="17">
        <f>IF(RawDataGenPO[[#This Row],[Date Gen PO]]="","",RawDataGenPO[[#This Row],[Date recive bill]]-RawDataGenPO[[#This Row],[Date Gen PO]])</f>
        <v/>
      </c>
      <c r="AB1181" s="16">
        <f>IF(RawDataGenPO[[#This Row],[GRN-PO date]]&gt;RawDataGenPO[[#This Row],[Lead time delivery (day)]],"over deliverry","Ontime")</f>
        <v/>
      </c>
      <c r="AC1181" s="22" t="n"/>
    </row>
    <row r="1182" ht="19.20000076293945" customHeight="1">
      <c r="A1182" s="5">
        <f>ROW()-ROW(RawDataGenPO[[#Headers],[No.]])</f>
        <v/>
      </c>
      <c r="B1182" s="7" t="inlineStr">
        <is>
          <t>Expent  cost</t>
        </is>
      </c>
      <c r="C1182" s="343" t="n">
        <v>45797</v>
      </c>
      <c r="F1182" s="301" t="n">
        <v>45797</v>
      </c>
      <c r="G1182" s="5" t="inlineStr">
        <is>
          <t>PR2526-00603</t>
        </is>
      </c>
      <c r="H1182" s="5" t="inlineStr">
        <is>
          <t>PO2526-00930</t>
        </is>
      </c>
      <c r="I1182" s="344" t="n">
        <v>45807</v>
      </c>
      <c r="J1182" s="344" t="n">
        <v>45807</v>
      </c>
      <c r="K1182" s="20" t="n">
        <v>120</v>
      </c>
      <c r="L1182" s="5" t="inlineStr">
        <is>
          <t>SFST81000048</t>
        </is>
      </c>
      <c r="M1182" s="7" t="inlineStr">
        <is>
          <t>Utility Jobs  (Boiler-Air compress-Transformer-LPG)</t>
        </is>
      </c>
      <c r="N1182" s="7" t="inlineStr">
        <is>
          <t>Cooling  part</t>
        </is>
      </c>
      <c r="O1182" s="11" t="n">
        <v>2</v>
      </c>
      <c r="P1182" s="80" t="inlineStr">
        <is>
          <t>"Bitzer" 4TC-12.2Y / SUCT.SHUT-OFF VA.CPLT.4TC,4PC,4NC</t>
        </is>
      </c>
      <c r="Q1182" s="277" t="n">
        <v>3</v>
      </c>
      <c r="R1182" s="5" t="inlineStr">
        <is>
          <t>PCS.</t>
        </is>
      </c>
      <c r="S1182" s="292">
        <f>RawDataGenPO[[#This Row],[Total price]]/RawDataGenPO[[#This Row],[Qty'']]</f>
        <v/>
      </c>
      <c r="T1182" s="278" t="n">
        <v>18000</v>
      </c>
      <c r="U1182" s="291" t="n"/>
      <c r="V1182" s="7" t="inlineStr">
        <is>
          <t>V1000652 - HARN ENGINEERING SOLUTIONS PUBLIC COMPANY LIMITED</t>
        </is>
      </c>
      <c r="W1182" s="30" t="inlineStr">
        <is>
          <t>Recive bill and GRN already</t>
        </is>
      </c>
      <c r="X1182" s="5" t="inlineStr">
        <is>
          <t>GRN2526-0004948</t>
        </is>
      </c>
      <c r="Y1182" s="3" t="n">
        <v>45962</v>
      </c>
      <c r="AA1182" s="17">
        <f>IF(RawDataGenPO[[#This Row],[Date Gen PO]]="","",RawDataGenPO[[#This Row],[Date recive bill]]-RawDataGenPO[[#This Row],[Date Gen PO]])</f>
        <v/>
      </c>
      <c r="AB1182" s="16">
        <f>IF(RawDataGenPO[[#This Row],[GRN-PO date]]&gt;RawDataGenPO[[#This Row],[Lead time delivery (day)]],"over deliverry","Ontime")</f>
        <v/>
      </c>
      <c r="AC1182" s="22" t="n"/>
    </row>
    <row r="1183" ht="19.20000076293945" customHeight="1">
      <c r="A1183" s="5">
        <f>ROW()-ROW(RawDataGenPO[[#Headers],[No.]])</f>
        <v/>
      </c>
      <c r="B1183" s="7" t="inlineStr">
        <is>
          <t>Expent  cost</t>
        </is>
      </c>
      <c r="C1183" s="343" t="n">
        <v>45797</v>
      </c>
      <c r="F1183" s="301" t="n">
        <v>45797</v>
      </c>
      <c r="G1183" s="5" t="inlineStr">
        <is>
          <t>PR2526-00603</t>
        </is>
      </c>
      <c r="H1183" s="5" t="inlineStr">
        <is>
          <t>PO2526-00930</t>
        </is>
      </c>
      <c r="I1183" s="344" t="n">
        <v>45807</v>
      </c>
      <c r="J1183" s="344" t="n">
        <v>45807</v>
      </c>
      <c r="K1183" s="20" t="n">
        <v>60</v>
      </c>
      <c r="L1183" s="5" t="inlineStr">
        <is>
          <t>SFST81000048</t>
        </is>
      </c>
      <c r="M1183" s="7" t="inlineStr">
        <is>
          <t>Utility Jobs  (Boiler-Air compress-Transformer-LPG)</t>
        </is>
      </c>
      <c r="N1183" s="7" t="inlineStr">
        <is>
          <t>Cooling  part</t>
        </is>
      </c>
      <c r="O1183" s="11" t="n">
        <v>3</v>
      </c>
      <c r="P1183" s="80" t="inlineStr">
        <is>
          <t>Bitzer 4H-15.2Y / Suct.Disc.Shut-Off Va.Cplt.7;A-93</t>
        </is>
      </c>
      <c r="Q1183" s="277" t="n">
        <v>3</v>
      </c>
      <c r="R1183" s="5" t="inlineStr">
        <is>
          <t>PCS.</t>
        </is>
      </c>
      <c r="S1183" s="292">
        <f>RawDataGenPO[[#This Row],[Total price]]/RawDataGenPO[[#This Row],[Qty'']]</f>
        <v/>
      </c>
      <c r="T1183" s="278" t="n">
        <v>29400</v>
      </c>
      <c r="U1183" s="291" t="n"/>
      <c r="V1183" s="7" t="inlineStr">
        <is>
          <t>V1000652 - HARN ENGINEERING SOLUTIONS PUBLIC COMPANY LIMITED</t>
        </is>
      </c>
      <c r="W1183" s="30" t="inlineStr">
        <is>
          <t>Recive bill and GRN already</t>
        </is>
      </c>
      <c r="X1183" s="5" t="inlineStr">
        <is>
          <t>GRN2526-0002238</t>
        </is>
      </c>
      <c r="Y1183" s="3" t="n">
        <v>45845</v>
      </c>
      <c r="AA1183" s="17">
        <f>IF(RawDataGenPO[[#This Row],[Date Gen PO]]="","",RawDataGenPO[[#This Row],[Date recive bill]]-RawDataGenPO[[#This Row],[Date Gen PO]])</f>
        <v/>
      </c>
      <c r="AB1183" s="16">
        <f>IF(RawDataGenPO[[#This Row],[GRN-PO date]]&gt;RawDataGenPO[[#This Row],[Lead time delivery (day)]],"over deliverry","Ontime")</f>
        <v/>
      </c>
      <c r="AC1183" s="22" t="n"/>
    </row>
    <row r="1184" ht="45" customHeight="1">
      <c r="A1184" s="5">
        <f>ROW()-ROW(RawDataGenPO[[#Headers],[No.]])</f>
        <v/>
      </c>
      <c r="B1184" s="7" t="inlineStr">
        <is>
          <t>CAPEX  (Unbudget)</t>
        </is>
      </c>
      <c r="C1184" s="343" t="n">
        <v>45800</v>
      </c>
      <c r="F1184" s="301" t="n">
        <v>45800</v>
      </c>
      <c r="G1184" s="5" t="inlineStr">
        <is>
          <t>PR2526-00666</t>
        </is>
      </c>
      <c r="H1184" s="5" t="inlineStr">
        <is>
          <t>PO2526-00983</t>
        </is>
      </c>
      <c r="I1184" s="344" t="n">
        <v>45807</v>
      </c>
      <c r="J1184" s="344" t="n">
        <v>45807</v>
      </c>
      <c r="K1184" s="20" t="n">
        <v>30</v>
      </c>
      <c r="L1184" s="5" t="inlineStr">
        <is>
          <t>SFST88000007</t>
        </is>
      </c>
      <c r="M1184" s="7" t="inlineStr">
        <is>
          <t>Utility Jobs  (Boiler-Air compress-Transformer-LPG)</t>
        </is>
      </c>
      <c r="N1184" s="7" t="inlineStr">
        <is>
          <t>Cooling  part</t>
        </is>
      </c>
      <c r="O1184" s="11" t="n">
        <v>1</v>
      </c>
      <c r="P1184" s="80" t="inlineStr">
        <is>
          <t>Bare compressor Model 4HE-18Y (Replace from old model 4H-15.2Y)
- Suction Valve &amp; Discharge
- Blueplanet waterchemicalsystem F9000</t>
        </is>
      </c>
      <c r="Q1184" s="277" t="n">
        <v>1</v>
      </c>
      <c r="R1184" s="5" t="inlineStr">
        <is>
          <t>EA.</t>
        </is>
      </c>
      <c r="S1184" s="292">
        <f>RawDataGenPO[[#This Row],[Total price]]/RawDataGenPO[[#This Row],[Qty'']]</f>
        <v/>
      </c>
      <c r="T1184" s="278" t="n">
        <v>141600</v>
      </c>
      <c r="U1184" s="291" t="n"/>
      <c r="V1184" s="7" t="inlineStr">
        <is>
          <t>V1000055 - I.T.C.(1993) CO.,LTD.</t>
        </is>
      </c>
      <c r="W1184" s="30" t="inlineStr">
        <is>
          <t>Recive bill and GRN already</t>
        </is>
      </c>
      <c r="X1184" s="5" t="inlineStr">
        <is>
          <t>GRN2526-0001636</t>
        </is>
      </c>
      <c r="Y1184" s="275" t="n">
        <v>45821</v>
      </c>
      <c r="AA1184" s="17">
        <f>IF(RawDataGenPO[[#This Row],[Date Gen PO]]="","",RawDataGenPO[[#This Row],[Date recive bill]]-RawDataGenPO[[#This Row],[Date Gen PO]])</f>
        <v/>
      </c>
      <c r="AB1184" s="16">
        <f>IF(RawDataGenPO[[#This Row],[GRN-PO date]]&gt;RawDataGenPO[[#This Row],[Lead time delivery (day)]],"over deliverry","Ontime")</f>
        <v/>
      </c>
      <c r="AC1184" s="22" t="n"/>
    </row>
    <row r="1185" ht="19.20000076293945" customHeight="1">
      <c r="A1185" s="5">
        <f>ROW()-ROW(RawDataGenPO[[#Headers],[No.]])</f>
        <v/>
      </c>
      <c r="B1185" s="7" t="inlineStr">
        <is>
          <t>CAPEX  (Unbudget)</t>
        </is>
      </c>
      <c r="C1185" s="343" t="n">
        <v>45800</v>
      </c>
      <c r="F1185" s="301" t="n">
        <v>45800</v>
      </c>
      <c r="G1185" s="5" t="inlineStr">
        <is>
          <t>PR2526-00666</t>
        </is>
      </c>
      <c r="H1185" s="5" t="inlineStr">
        <is>
          <t>PO2526-00983</t>
        </is>
      </c>
      <c r="I1185" s="344" t="n">
        <v>45807</v>
      </c>
      <c r="J1185" s="344" t="n">
        <v>45807</v>
      </c>
      <c r="K1185" s="20" t="n">
        <v>30</v>
      </c>
      <c r="L1185" s="5" t="inlineStr">
        <is>
          <t>SFST88000007</t>
        </is>
      </c>
      <c r="M1185" s="7" t="inlineStr">
        <is>
          <t>Utility Jobs  (Boiler-Air compress-Transformer-LPG)</t>
        </is>
      </c>
      <c r="N1185" s="7" t="inlineStr">
        <is>
          <t>Cooling  part</t>
        </is>
      </c>
      <c r="O1185" s="11" t="n">
        <v>2</v>
      </c>
      <c r="P1185" s="80" t="inlineStr">
        <is>
          <t>Oil Model LT-32 (3.78 L.)</t>
        </is>
      </c>
      <c r="Q1185" s="277" t="n">
        <v>3</v>
      </c>
      <c r="R1185" s="5" t="inlineStr">
        <is>
          <t>DRUM.</t>
        </is>
      </c>
      <c r="S1185" s="292">
        <f>RawDataGenPO[[#This Row],[Total price]]/RawDataGenPO[[#This Row],[Qty'']]</f>
        <v/>
      </c>
      <c r="T1185" s="278" t="n">
        <v>13500</v>
      </c>
      <c r="U1185" s="291" t="n"/>
      <c r="V1185" s="7" t="inlineStr">
        <is>
          <t>V1000055 - I.T.C.(1993) CO.,LTD.</t>
        </is>
      </c>
      <c r="W1185" s="30" t="inlineStr">
        <is>
          <t>Recive bill and GRN already</t>
        </is>
      </c>
      <c r="X1185" s="5" t="inlineStr">
        <is>
          <t>GRN2526-0001636</t>
        </is>
      </c>
      <c r="Y1185" s="275" t="n">
        <v>45821</v>
      </c>
      <c r="AA1185" s="17">
        <f>IF(RawDataGenPO[[#This Row],[Date Gen PO]]="","",RawDataGenPO[[#This Row],[Date recive bill]]-RawDataGenPO[[#This Row],[Date Gen PO]])</f>
        <v/>
      </c>
      <c r="AB1185" s="16">
        <f>IF(RawDataGenPO[[#This Row],[GRN-PO date]]&gt;RawDataGenPO[[#This Row],[Lead time delivery (day)]],"over deliverry","Ontime")</f>
        <v/>
      </c>
      <c r="AC1185" s="22" t="n"/>
    </row>
    <row r="1186" ht="19.20000076293945" customHeight="1">
      <c r="A1186" s="5">
        <f>ROW()-ROW(RawDataGenPO[[#Headers],[No.]])</f>
        <v/>
      </c>
      <c r="B1186" s="7" t="inlineStr">
        <is>
          <t>CAPEX  (Unbudget)</t>
        </is>
      </c>
      <c r="C1186" s="343" t="n">
        <v>45800</v>
      </c>
      <c r="F1186" s="301" t="n">
        <v>45800</v>
      </c>
      <c r="G1186" s="5" t="inlineStr">
        <is>
          <t>PR2526-00666</t>
        </is>
      </c>
      <c r="H1186" s="5" t="inlineStr">
        <is>
          <t>PO2526-00983</t>
        </is>
      </c>
      <c r="I1186" s="344" t="n">
        <v>45807</v>
      </c>
      <c r="J1186" s="344" t="n">
        <v>45807</v>
      </c>
      <c r="K1186" s="20" t="n">
        <v>30</v>
      </c>
      <c r="L1186" s="5" t="inlineStr">
        <is>
          <t>SFST88000007</t>
        </is>
      </c>
      <c r="M1186" s="7" t="inlineStr">
        <is>
          <t>Utility Jobs  (Boiler-Air compress-Transformer-LPG)</t>
        </is>
      </c>
      <c r="N1186" s="7" t="inlineStr">
        <is>
          <t>Cooling  part</t>
        </is>
      </c>
      <c r="O1186" s="11" t="n">
        <v>3</v>
      </c>
      <c r="P1186" s="80" t="inlineStr">
        <is>
          <t>Refrigerant R-141B 30kg.</t>
        </is>
      </c>
      <c r="Q1186" s="277" t="n">
        <v>1</v>
      </c>
      <c r="R1186" s="5" t="inlineStr">
        <is>
          <t>DRUM.</t>
        </is>
      </c>
      <c r="S1186" s="292">
        <f>RawDataGenPO[[#This Row],[Total price]]/RawDataGenPO[[#This Row],[Qty'']]</f>
        <v/>
      </c>
      <c r="T1186" s="278" t="n">
        <v>12500</v>
      </c>
      <c r="U1186" s="291" t="n"/>
      <c r="V1186" s="7" t="inlineStr">
        <is>
          <t>V1000055 - I.T.C.(1993) CO.,LTD.</t>
        </is>
      </c>
      <c r="W1186" s="30" t="inlineStr">
        <is>
          <t>Recive bill and GRN already</t>
        </is>
      </c>
      <c r="X1186" s="5" t="inlineStr">
        <is>
          <t>GRN2526-0001636</t>
        </is>
      </c>
      <c r="Y1186" s="275" t="n">
        <v>45821</v>
      </c>
      <c r="AA1186" s="17">
        <f>IF(RawDataGenPO[[#This Row],[Date Gen PO]]="","",RawDataGenPO[[#This Row],[Date recive bill]]-RawDataGenPO[[#This Row],[Date Gen PO]])</f>
        <v/>
      </c>
      <c r="AB1186" s="16">
        <f>IF(RawDataGenPO[[#This Row],[GRN-PO date]]&gt;RawDataGenPO[[#This Row],[Lead time delivery (day)]],"over deliverry","Ontime")</f>
        <v/>
      </c>
      <c r="AC1186" s="22" t="n"/>
    </row>
    <row r="1187" ht="30" customHeight="1">
      <c r="A1187" s="5">
        <f>ROW()-ROW(RawDataGenPO[[#Headers],[No.]])</f>
        <v/>
      </c>
      <c r="B1187" s="7" t="inlineStr">
        <is>
          <t>Expent  cost</t>
        </is>
      </c>
      <c r="C1187" s="343" t="n">
        <v>45800</v>
      </c>
      <c r="F1187" s="301" t="n">
        <v>45800</v>
      </c>
      <c r="G1187" s="5" t="inlineStr">
        <is>
          <t>PR2526-00666</t>
        </is>
      </c>
      <c r="H1187" s="5" t="inlineStr">
        <is>
          <t>PO2526-00983</t>
        </is>
      </c>
      <c r="I1187" s="344" t="n">
        <v>45807</v>
      </c>
      <c r="J1187" s="344" t="n">
        <v>45807</v>
      </c>
      <c r="K1187" s="20" t="n">
        <v>30</v>
      </c>
      <c r="L1187" s="5" t="inlineStr">
        <is>
          <t>SFST88000007</t>
        </is>
      </c>
      <c r="M1187" s="7" t="inlineStr">
        <is>
          <t>Utility Jobs  (Boiler-Air compress-Transformer-LPG)</t>
        </is>
      </c>
      <c r="N1187" s="7" t="inlineStr">
        <is>
          <t>Cooling  part</t>
        </is>
      </c>
      <c r="O1187" s="11" t="n">
        <v>4</v>
      </c>
      <c r="P1187" s="80" t="inlineStr">
        <is>
          <t>Labour cost for replace the new Bare compressor and cleaning the system</t>
        </is>
      </c>
      <c r="Q1187" s="277" t="n">
        <v>1</v>
      </c>
      <c r="R1187" s="5" t="inlineStr">
        <is>
          <t>Job.</t>
        </is>
      </c>
      <c r="S1187" s="292">
        <f>RawDataGenPO[[#This Row],[Total price]]/RawDataGenPO[[#This Row],[Qty'']]</f>
        <v/>
      </c>
      <c r="T1187" s="278" t="n">
        <v>45000</v>
      </c>
      <c r="U1187" s="291" t="n"/>
      <c r="V1187" s="7" t="inlineStr">
        <is>
          <t>V1000055 - I.T.C.(1993) CO.,LTD.</t>
        </is>
      </c>
      <c r="W1187" s="30" t="inlineStr">
        <is>
          <t>Recive bill and GRN already</t>
        </is>
      </c>
      <c r="X1187" s="5" t="inlineStr">
        <is>
          <t>GRN2526-0001636</t>
        </is>
      </c>
      <c r="Y1187" s="275" t="n">
        <v>45821</v>
      </c>
      <c r="AA1187" s="17">
        <f>IF(RawDataGenPO[[#This Row],[Date Gen PO]]="","",RawDataGenPO[[#This Row],[Date recive bill]]-RawDataGenPO[[#This Row],[Date Gen PO]])</f>
        <v/>
      </c>
      <c r="AB1187" s="16">
        <f>IF(RawDataGenPO[[#This Row],[GRN-PO date]]&gt;RawDataGenPO[[#This Row],[Lead time delivery (day)]],"over deliverry","Ontime")</f>
        <v/>
      </c>
      <c r="AC1187" s="22" t="n"/>
    </row>
    <row r="1188" ht="30" customHeight="1">
      <c r="A1188" s="5">
        <f>ROW()-ROW(RawDataGenPO[[#Headers],[No.]])</f>
        <v/>
      </c>
      <c r="B1188" s="7" t="inlineStr">
        <is>
          <t>Expent  cost</t>
        </is>
      </c>
      <c r="C1188" s="343" t="n">
        <v>45800</v>
      </c>
      <c r="F1188" s="301" t="n">
        <v>45800</v>
      </c>
      <c r="G1188" s="5" t="inlineStr">
        <is>
          <t>PR2526-00667</t>
        </is>
      </c>
      <c r="H1188" s="5" t="inlineStr">
        <is>
          <t>PO2526-00987</t>
        </is>
      </c>
      <c r="I1188" s="344" t="n">
        <v>45807</v>
      </c>
      <c r="J1188" s="344" t="n">
        <v>45807</v>
      </c>
      <c r="K1188" s="77" t="n">
        <v>120</v>
      </c>
      <c r="L1188" s="5" t="inlineStr">
        <is>
          <t>SFST81000078</t>
        </is>
      </c>
      <c r="M1188" s="7" t="inlineStr">
        <is>
          <t>Civill jobs (Floor-Wall-Celling-roof)</t>
        </is>
      </c>
      <c r="N1188" s="7" t="inlineStr">
        <is>
          <t>Cevil jobs</t>
        </is>
      </c>
      <c r="O1188" s="11" t="n">
        <v>1</v>
      </c>
      <c r="P1188" s="80" t="inlineStr">
        <is>
          <t>workWwith Epoxy Mortar+Sand+with PU Coating
Whigh 10 m width 5 m length 10 m</t>
        </is>
      </c>
      <c r="Q1188" s="277" t="n">
        <v>1</v>
      </c>
      <c r="R1188" s="5" t="inlineStr">
        <is>
          <t>Job.</t>
        </is>
      </c>
      <c r="S1188" s="292">
        <f>RawDataGenPO[[#This Row],[Total price]]/RawDataGenPO[[#This Row],[Qty'']]</f>
        <v/>
      </c>
      <c r="T1188" s="278" t="n">
        <v>8000</v>
      </c>
      <c r="U1188" s="291" t="n"/>
      <c r="V1188" s="7" t="inlineStr">
        <is>
          <t>V1000731 - PHUTEWA DEVELOPMENT CO., LTD.</t>
        </is>
      </c>
      <c r="W1188" s="30" t="inlineStr">
        <is>
          <t>Recive bill and GRN already</t>
        </is>
      </c>
      <c r="X1188" s="5" t="inlineStr">
        <is>
          <t>GRN2526-0002915</t>
        </is>
      </c>
      <c r="Y1188" s="3" t="n">
        <v>45874</v>
      </c>
      <c r="AA1188" s="17">
        <f>IF(RawDataGenPO[[#This Row],[Date Gen PO]]="","",RawDataGenPO[[#This Row],[Date recive bill]]-RawDataGenPO[[#This Row],[Date Gen PO]])</f>
        <v/>
      </c>
      <c r="AB1188" s="16">
        <f>IF(RawDataGenPO[[#This Row],[GRN-PO date]]&gt;RawDataGenPO[[#This Row],[Lead time delivery (day)]],"over deliverry","Ontime")</f>
        <v/>
      </c>
      <c r="AC1188" s="22" t="n"/>
    </row>
    <row r="1189" ht="19.20000076293945" customHeight="1">
      <c r="A1189" s="5">
        <f>ROW()-ROW(RawDataGenPO[[#Headers],[No.]])</f>
        <v/>
      </c>
      <c r="B1189" s="7" t="inlineStr">
        <is>
          <t>Expent  cost</t>
        </is>
      </c>
      <c r="C1189" s="343" t="n">
        <v>45800</v>
      </c>
      <c r="F1189" s="301" t="n">
        <v>45800</v>
      </c>
      <c r="G1189" s="5" t="inlineStr">
        <is>
          <t>PR2526-00667</t>
        </is>
      </c>
      <c r="H1189" s="5" t="inlineStr">
        <is>
          <t>PO2526-00987</t>
        </is>
      </c>
      <c r="I1189" s="344" t="n">
        <v>45807</v>
      </c>
      <c r="J1189" s="344" t="n">
        <v>45807</v>
      </c>
      <c r="K1189" s="77" t="n">
        <v>120</v>
      </c>
      <c r="L1189" s="5" t="inlineStr">
        <is>
          <t>SFST81000078</t>
        </is>
      </c>
      <c r="M1189" s="7" t="inlineStr">
        <is>
          <t>Civill jobs (Floor-Wall-Celling-roof)</t>
        </is>
      </c>
      <c r="N1189" s="7" t="inlineStr">
        <is>
          <t>Cevil jobs</t>
        </is>
      </c>
      <c r="O1189" s="11" t="n">
        <v>2</v>
      </c>
      <c r="P1189" s="80" t="inlineStr">
        <is>
          <t>Service charge</t>
        </is>
      </c>
      <c r="Q1189" s="277" t="n">
        <v>1</v>
      </c>
      <c r="R1189" s="5" t="inlineStr">
        <is>
          <t>Job.</t>
        </is>
      </c>
      <c r="S1189" s="292">
        <f>RawDataGenPO[[#This Row],[Total price]]/RawDataGenPO[[#This Row],[Qty'']]</f>
        <v/>
      </c>
      <c r="T1189" s="278" t="n">
        <v>2000</v>
      </c>
      <c r="U1189" s="291" t="n"/>
      <c r="V1189" s="7" t="inlineStr">
        <is>
          <t>V1000731 - PHUTEWA DEVELOPMENT CO., LTD.</t>
        </is>
      </c>
      <c r="W1189" s="30" t="inlineStr">
        <is>
          <t>Recive bill and GRN already</t>
        </is>
      </c>
      <c r="X1189" s="5" t="inlineStr">
        <is>
          <t>GRN2526-0002915</t>
        </is>
      </c>
      <c r="Y1189" s="3" t="n">
        <v>45874</v>
      </c>
      <c r="AA1189" s="17">
        <f>IF(RawDataGenPO[[#This Row],[Date Gen PO]]="","",RawDataGenPO[[#This Row],[Date recive bill]]-RawDataGenPO[[#This Row],[Date Gen PO]])</f>
        <v/>
      </c>
      <c r="AB1189" s="16">
        <f>IF(RawDataGenPO[[#This Row],[GRN-PO date]]&gt;RawDataGenPO[[#This Row],[Lead time delivery (day)]],"over deliverry","Ontime")</f>
        <v/>
      </c>
      <c r="AC1189" s="22" t="n"/>
    </row>
    <row r="1190" ht="30" customHeight="1">
      <c r="A1190" s="5">
        <f>ROW()-ROW(RawDataGenPO[[#Headers],[No.]])</f>
        <v/>
      </c>
      <c r="B1190" s="7" t="inlineStr">
        <is>
          <t>Expent  cost</t>
        </is>
      </c>
      <c r="C1190" s="343" t="n">
        <v>45800</v>
      </c>
      <c r="F1190" s="301" t="n">
        <v>45800</v>
      </c>
      <c r="G1190" s="5" t="inlineStr">
        <is>
          <t>PR2526-00670</t>
        </is>
      </c>
      <c r="H1190" s="5" t="inlineStr">
        <is>
          <t>PO2526-00985</t>
        </is>
      </c>
      <c r="I1190" s="344" t="n">
        <v>45802</v>
      </c>
      <c r="J1190" s="344" t="n"/>
      <c r="K1190" s="77" t="n">
        <v>120</v>
      </c>
      <c r="L1190" s="5" t="inlineStr">
        <is>
          <t>SFST81000048</t>
        </is>
      </c>
      <c r="M1190" s="7" t="inlineStr">
        <is>
          <t>PD Machine</t>
        </is>
      </c>
      <c r="N1190" s="7" t="inlineStr">
        <is>
          <t>Vacuum Tumbler large No.3</t>
        </is>
      </c>
      <c r="O1190" s="11" t="n">
        <v>1</v>
      </c>
      <c r="P1190" s="80" t="inlineStr">
        <is>
          <t>NOWICKI", Vacuum Tumbler Model MA-500PS,
SN:21812216, MA00012162, Gasket*400 Blue</t>
        </is>
      </c>
      <c r="Q1190" s="277" t="n">
        <v>1</v>
      </c>
      <c r="R1190" s="5" t="inlineStr">
        <is>
          <t>PCS.</t>
        </is>
      </c>
      <c r="S1190" s="292">
        <f>RawDataGenPO[[#This Row],[Total price]]/RawDataGenPO[[#This Row],[Qty'']]</f>
        <v/>
      </c>
      <c r="T1190" s="278" t="n">
        <v>16768</v>
      </c>
      <c r="U1190" s="291" t="n"/>
      <c r="V1190" s="7" t="inlineStr">
        <is>
          <t>V1000666 - HITEC FOOD EQUIPMENT CO.,LTD.</t>
        </is>
      </c>
      <c r="W1190" s="30" t="inlineStr">
        <is>
          <t>Recive bill and GRN already</t>
        </is>
      </c>
      <c r="X1190" s="5" t="inlineStr">
        <is>
          <t>GRN2526-0002370</t>
        </is>
      </c>
      <c r="Y1190" s="3" t="n">
        <v>45854</v>
      </c>
      <c r="AA1190" s="17">
        <f>IF(RawDataGenPO[[#This Row],[Date Gen PO]]="","",RawDataGenPO[[#This Row],[Date recive bill]]-RawDataGenPO[[#This Row],[Date Gen PO]])</f>
        <v/>
      </c>
      <c r="AB1190" s="16">
        <f>IF(RawDataGenPO[[#This Row],[GRN-PO date]]&gt;RawDataGenPO[[#This Row],[Lead time delivery (day)]],"over deliverry","Ontime")</f>
        <v/>
      </c>
      <c r="AC1190" s="22" t="n"/>
    </row>
    <row r="1191" ht="19.20000076293945" customHeight="1">
      <c r="A1191" s="5">
        <f>ROW()-ROW(RawDataGenPO[[#Headers],[No.]])</f>
        <v/>
      </c>
      <c r="B1191" s="7" t="inlineStr">
        <is>
          <t>Expent  cost</t>
        </is>
      </c>
      <c r="C1191" s="343" t="n">
        <v>45800</v>
      </c>
      <c r="F1191" s="301" t="n">
        <v>45800</v>
      </c>
      <c r="G1191" s="5" t="inlineStr">
        <is>
          <t>PR2526-00671</t>
        </is>
      </c>
      <c r="H1191" s="5" t="inlineStr">
        <is>
          <t>PO2526-00988</t>
        </is>
      </c>
      <c r="I1191" s="344" t="n">
        <v>45807</v>
      </c>
      <c r="J1191" s="344" t="n">
        <v>45807</v>
      </c>
      <c r="K1191" s="77" t="n">
        <v>120</v>
      </c>
      <c r="L1191" s="5" t="inlineStr">
        <is>
          <t>SFST34000064</t>
        </is>
      </c>
      <c r="M1191" s="7" t="inlineStr">
        <is>
          <t>Consumable part for MN</t>
        </is>
      </c>
      <c r="N1191" s="7" t="inlineStr">
        <is>
          <t>Consumable part</t>
        </is>
      </c>
      <c r="O1191" s="11" t="n">
        <v>1</v>
      </c>
      <c r="P1191" s="80" t="inlineStr">
        <is>
          <t>"Ruamthong", RT490-61-24, 380V, 3PH , 1HP, Motor fan</t>
        </is>
      </c>
      <c r="Q1191" s="277" t="n">
        <v>4</v>
      </c>
      <c r="R1191" s="5" t="inlineStr">
        <is>
          <t>PCS.</t>
        </is>
      </c>
      <c r="S1191" s="292">
        <f>RawDataGenPO[[#This Row],[Total price]]/RawDataGenPO[[#This Row],[Qty'']]</f>
        <v/>
      </c>
      <c r="T1191" s="278" t="n">
        <v>18343.92</v>
      </c>
      <c r="U1191" s="291" t="n"/>
      <c r="V1191" s="7" t="inlineStr">
        <is>
          <t>V1000308 - PLUG'N GO (THAILAND) CO., LTD.</t>
        </is>
      </c>
      <c r="W1191" s="30" t="inlineStr">
        <is>
          <t>Recive bill and GRN already</t>
        </is>
      </c>
      <c r="X1191" s="5" t="inlineStr">
        <is>
          <t>GRN2526-0001486</t>
        </is>
      </c>
      <c r="Y1191" s="3" t="n">
        <v>45814</v>
      </c>
      <c r="AA1191" s="17">
        <f>IF(RawDataGenPO[[#This Row],[Date Gen PO]]="","",RawDataGenPO[[#This Row],[Date recive bill]]-RawDataGenPO[[#This Row],[Date Gen PO]])</f>
        <v/>
      </c>
      <c r="AB1191" s="16">
        <f>IF(RawDataGenPO[[#This Row],[GRN-PO date]]&gt;RawDataGenPO[[#This Row],[Lead time delivery (day)]],"over deliverry","Ontime")</f>
        <v/>
      </c>
      <c r="AC1191" s="22" t="n"/>
    </row>
    <row r="1192" ht="19.20000076293945" customHeight="1">
      <c r="A1192" s="5">
        <f>ROW()-ROW(RawDataGenPO[[#Headers],[No.]])</f>
        <v/>
      </c>
      <c r="B1192" s="7" t="inlineStr">
        <is>
          <t>Expent  cost</t>
        </is>
      </c>
      <c r="C1192" s="343" t="n">
        <v>45800</v>
      </c>
      <c r="F1192" s="301" t="n">
        <v>45800</v>
      </c>
      <c r="G1192" s="5" t="inlineStr">
        <is>
          <t>PR2526-00672</t>
        </is>
      </c>
      <c r="H1192" s="5" t="inlineStr">
        <is>
          <t>PO2526-00990</t>
        </is>
      </c>
      <c r="I1192" s="344" t="n">
        <v>45807</v>
      </c>
      <c r="J1192" s="344" t="n">
        <v>45807</v>
      </c>
      <c r="K1192" s="77" t="n">
        <v>10</v>
      </c>
      <c r="L1192" s="5" t="inlineStr">
        <is>
          <t>SFST34000053</t>
        </is>
      </c>
      <c r="M1192" s="7" t="inlineStr">
        <is>
          <t>Refrigerant-oil for cooling M/C</t>
        </is>
      </c>
      <c r="N1192" s="7" t="inlineStr">
        <is>
          <t>Refrigerant</t>
        </is>
      </c>
      <c r="O1192" s="11" t="n">
        <v>1</v>
      </c>
      <c r="P1192" s="109" t="inlineStr">
        <is>
          <t>R410A Refrigerant,(1 Tank 11.3 kg/Tank)</t>
        </is>
      </c>
      <c r="Q1192" s="352" t="n">
        <v>4</v>
      </c>
      <c r="R1192" s="69" t="inlineStr">
        <is>
          <t>DRUM.</t>
        </is>
      </c>
      <c r="S1192" s="353">
        <f>RawDataGenPO[[#This Row],[Total price]]/RawDataGenPO[[#This Row],[Qty'']]</f>
        <v/>
      </c>
      <c r="T1192" s="354" t="n">
        <v>10600</v>
      </c>
      <c r="U1192" s="291" t="n"/>
      <c r="V1192" s="7" t="inlineStr">
        <is>
          <t>V1000312 - Colder Solution Co., Ltd.</t>
        </is>
      </c>
      <c r="W1192" s="30" t="inlineStr">
        <is>
          <t>Recive bill and GRN already</t>
        </is>
      </c>
      <c r="X1192" s="5" t="inlineStr">
        <is>
          <t>GRN2526-0001307</t>
        </is>
      </c>
      <c r="Y1192" s="3" t="n">
        <v>45810</v>
      </c>
      <c r="AA1192" s="17">
        <f>IF(RawDataGenPO[[#This Row],[Date Gen PO]]="","",RawDataGenPO[[#This Row],[Date recive bill]]-RawDataGenPO[[#This Row],[Date Gen PO]])</f>
        <v/>
      </c>
      <c r="AB1192" s="16">
        <f>IF(RawDataGenPO[[#This Row],[GRN-PO date]]&gt;RawDataGenPO[[#This Row],[Lead time delivery (day)]],"over deliverry","Ontime")</f>
        <v/>
      </c>
      <c r="AC1192" s="22" t="n"/>
    </row>
    <row r="1193" ht="75" customHeight="1">
      <c r="A1193" s="5">
        <f>ROW()-ROW(RawDataGenPO[[#Headers],[No.]])</f>
        <v/>
      </c>
      <c r="B1193" s="7" t="inlineStr">
        <is>
          <t>Expent  cost</t>
        </is>
      </c>
      <c r="C1193" s="343" t="n">
        <v>45800</v>
      </c>
      <c r="F1193" s="301" t="n">
        <v>45800</v>
      </c>
      <c r="G1193" s="5" t="inlineStr">
        <is>
          <t>PR2526-00673</t>
        </is>
      </c>
      <c r="H1193" s="5" t="inlineStr">
        <is>
          <t>PO2526-00986</t>
        </is>
      </c>
      <c r="I1193" s="344" t="n">
        <v>45807</v>
      </c>
      <c r="J1193" s="344" t="n">
        <v>45807</v>
      </c>
      <c r="K1193" s="77" t="n">
        <v>120</v>
      </c>
      <c r="L1193" s="5" t="inlineStr">
        <is>
          <t>SFST81000009</t>
        </is>
      </c>
      <c r="M1193" s="7" t="inlineStr">
        <is>
          <t>Utility Jobs  (Boiler-Air compress-Transformer-LPG)</t>
        </is>
      </c>
      <c r="N1193" s="7" t="inlineStr">
        <is>
          <t>Cooling  part</t>
        </is>
      </c>
      <c r="O1193" s="11" t="n">
        <v>1</v>
      </c>
      <c r="P1193" s="80" t="inlineStr">
        <is>
          <t>SE-B1 Protection Module. Bitzer Part No.34701901
- brand Lodam (Germany)
Supply AC 50-60Hz 240V 2VA
Amb. Temp. Range -30...+70°C
Relay AC 250V, max. 5A, C300, pilot duty</t>
        </is>
      </c>
      <c r="Q1193" s="277" t="n">
        <v>4</v>
      </c>
      <c r="R1193" s="5" t="inlineStr">
        <is>
          <t>PCS.</t>
        </is>
      </c>
      <c r="S1193" s="292">
        <f>RawDataGenPO[[#This Row],[Total price]]/RawDataGenPO[[#This Row],[Qty'']]</f>
        <v/>
      </c>
      <c r="T1193" s="278" t="n">
        <v>20000</v>
      </c>
      <c r="U1193" s="291" t="n"/>
      <c r="V1193" s="7" t="inlineStr">
        <is>
          <t>V1000292 - Nopachart Intertrade Co., Ltd</t>
        </is>
      </c>
      <c r="W1193" s="30" t="inlineStr">
        <is>
          <t>Recive bill and GRN already</t>
        </is>
      </c>
      <c r="X1193" s="5" t="inlineStr">
        <is>
          <t>GRN2526-0001821</t>
        </is>
      </c>
      <c r="Y1193" s="3" t="n">
        <v>45826</v>
      </c>
      <c r="AA1193" s="17">
        <f>IF(RawDataGenPO[[#This Row],[Date Gen PO]]="","",RawDataGenPO[[#This Row],[Date recive bill]]-RawDataGenPO[[#This Row],[Date Gen PO]])</f>
        <v/>
      </c>
      <c r="AB1193" s="16">
        <f>IF(RawDataGenPO[[#This Row],[GRN-PO date]]&gt;RawDataGenPO[[#This Row],[Lead time delivery (day)]],"over deliverry","Ontime")</f>
        <v/>
      </c>
      <c r="AC1193" s="22" t="n"/>
    </row>
    <row r="1194" ht="19.20000076293945" customHeight="1">
      <c r="A1194" s="5">
        <f>ROW()-ROW(RawDataGenPO[[#Headers],[No.]])</f>
        <v/>
      </c>
      <c r="B1194" s="7" t="inlineStr">
        <is>
          <t>Expent  cost</t>
        </is>
      </c>
      <c r="C1194" s="343" t="n">
        <v>45800</v>
      </c>
      <c r="F1194" s="301" t="n">
        <v>45800</v>
      </c>
      <c r="G1194" s="5" t="inlineStr">
        <is>
          <t>PR2526-00674</t>
        </is>
      </c>
      <c r="H1194" s="5" t="inlineStr">
        <is>
          <t>PO2526-00984</t>
        </is>
      </c>
      <c r="I1194" s="344" t="n">
        <v>45807</v>
      </c>
      <c r="J1194" s="344" t="n">
        <v>45807</v>
      </c>
      <c r="K1194" s="77" t="n">
        <v>120</v>
      </c>
      <c r="L1194" s="5" t="inlineStr">
        <is>
          <t>SFST81000048</t>
        </is>
      </c>
      <c r="M1194" s="7" t="inlineStr">
        <is>
          <t>PD Machine</t>
        </is>
      </c>
      <c r="N1194" s="7" t="inlineStr">
        <is>
          <t>X-Ray No.2</t>
        </is>
      </c>
      <c r="O1194" s="11" t="n">
        <v>1</v>
      </c>
      <c r="P1194" s="80" t="inlineStr">
        <is>
          <t>CONVOYER BELT XR 300: TA-02-001</t>
        </is>
      </c>
      <c r="Q1194" s="277" t="n">
        <v>2</v>
      </c>
      <c r="R1194" s="5" t="inlineStr">
        <is>
          <t>SET.</t>
        </is>
      </c>
      <c r="S1194" s="292">
        <f>RawDataGenPO[[#This Row],[Total price]]/RawDataGenPO[[#This Row],[Qty'']]</f>
        <v/>
      </c>
      <c r="T1194" s="278" t="n">
        <v>54684</v>
      </c>
      <c r="U1194" s="291" t="n"/>
      <c r="V1194" s="7" t="inlineStr">
        <is>
          <t>V1000189 - FPT FOOD PROCESS TECHNOLOGY CO., LTD.</t>
        </is>
      </c>
      <c r="W1194" s="30" t="inlineStr">
        <is>
          <t>Recive bill and GRN already</t>
        </is>
      </c>
      <c r="X1194" s="5" t="inlineStr">
        <is>
          <t>GRN2526-0007925</t>
        </is>
      </c>
      <c r="Y1194" s="3" t="n">
        <v>46063</v>
      </c>
      <c r="AA1194" s="17">
        <f>IF(RawDataGenPO[[#This Row],[Date Gen PO]]="","",RawDataGenPO[[#This Row],[Date recive bill]]-RawDataGenPO[[#This Row],[Date Gen PO]])</f>
        <v/>
      </c>
      <c r="AB1194" s="16">
        <f>IF(RawDataGenPO[[#This Row],[GRN-PO date]]&gt;RawDataGenPO[[#This Row],[Lead time delivery (day)]],"over deliverry","Ontime")</f>
        <v/>
      </c>
      <c r="AC1194" s="22" t="n"/>
    </row>
    <row r="1195" ht="19.20000076293945" customHeight="1">
      <c r="A1195" s="5">
        <f>ROW()-ROW(RawDataGenPO[[#Headers],[No.]])</f>
        <v/>
      </c>
      <c r="B1195" s="7" t="inlineStr">
        <is>
          <t>Expent  cost</t>
        </is>
      </c>
      <c r="C1195" s="343" t="n">
        <v>45800</v>
      </c>
      <c r="F1195" s="301" t="n">
        <v>45800</v>
      </c>
      <c r="G1195" s="5" t="inlineStr">
        <is>
          <t>PR2526-00674</t>
        </is>
      </c>
      <c r="H1195" s="5" t="inlineStr">
        <is>
          <t>PO2526-00984</t>
        </is>
      </c>
      <c r="I1195" s="344" t="n">
        <v>45807</v>
      </c>
      <c r="J1195" s="344" t="n">
        <v>45807</v>
      </c>
      <c r="K1195" s="77" t="n">
        <v>120</v>
      </c>
      <c r="L1195" s="5" t="inlineStr">
        <is>
          <t>SFST81000048</t>
        </is>
      </c>
      <c r="M1195" s="7" t="inlineStr">
        <is>
          <t>PD Machine</t>
        </is>
      </c>
      <c r="N1195" s="7" t="inlineStr">
        <is>
          <t>X-Ray No.2</t>
        </is>
      </c>
      <c r="O1195" s="11" t="n">
        <v>2</v>
      </c>
      <c r="P1195" s="80" t="inlineStr">
        <is>
          <t>Service Charge on Sunday (For 2 Set)</t>
        </is>
      </c>
      <c r="Q1195" s="277" t="n">
        <v>1</v>
      </c>
      <c r="R1195" s="5" t="inlineStr">
        <is>
          <t>JOB.</t>
        </is>
      </c>
      <c r="S1195" s="292">
        <f>RawDataGenPO[[#This Row],[Total price]]/RawDataGenPO[[#This Row],[Qty'']]</f>
        <v/>
      </c>
      <c r="T1195" s="278" t="n">
        <v>10000</v>
      </c>
      <c r="U1195" s="291" t="n"/>
      <c r="V1195" s="7" t="inlineStr">
        <is>
          <t>V1000189 - FPT FOOD PROCESS TECHNOLOGY CO., LTD.</t>
        </is>
      </c>
      <c r="W1195" s="30" t="inlineStr">
        <is>
          <t>Recive bill and GRN already</t>
        </is>
      </c>
      <c r="X1195" s="5" t="inlineStr">
        <is>
          <t>GRN2526-0007926</t>
        </is>
      </c>
      <c r="Y1195" s="3" t="n">
        <v>46063</v>
      </c>
      <c r="AA1195" s="17">
        <f>IF(RawDataGenPO[[#This Row],[Date Gen PO]]="","",RawDataGenPO[[#This Row],[Date recive bill]]-RawDataGenPO[[#This Row],[Date Gen PO]])</f>
        <v/>
      </c>
      <c r="AB1195" s="16">
        <f>IF(RawDataGenPO[[#This Row],[GRN-PO date]]&gt;RawDataGenPO[[#This Row],[Lead time delivery (day)]],"over deliverry","Ontime")</f>
        <v/>
      </c>
      <c r="AC1195" s="22" t="n"/>
    </row>
    <row r="1196" ht="19.20000076293945" customHeight="1">
      <c r="A1196" s="5">
        <f>ROW()-ROW(RawDataGenPO[[#Headers],[No.]])</f>
        <v/>
      </c>
      <c r="B1196" s="7" t="inlineStr">
        <is>
          <t>Expent  cost</t>
        </is>
      </c>
      <c r="C1196" s="343" t="n">
        <v>45800</v>
      </c>
      <c r="F1196" s="301" t="n">
        <v>45800</v>
      </c>
      <c r="G1196" s="5" t="inlineStr">
        <is>
          <t>PR2526-00675</t>
        </is>
      </c>
      <c r="H1196" s="5" t="inlineStr">
        <is>
          <t>PO2526-00998</t>
        </is>
      </c>
      <c r="I1196" s="344" t="n">
        <v>45807</v>
      </c>
      <c r="J1196" s="344" t="n">
        <v>45807</v>
      </c>
      <c r="K1196" s="77" t="n">
        <v>30</v>
      </c>
      <c r="L1196" s="5" t="inlineStr">
        <is>
          <t>SFST81000050</t>
        </is>
      </c>
      <c r="M1196" s="7" t="inlineStr">
        <is>
          <t>Safety equipment</t>
        </is>
      </c>
      <c r="N1196" s="7" t="inlineStr">
        <is>
          <t>Safety equipment</t>
        </is>
      </c>
      <c r="O1196" s="11" t="n">
        <v>1</v>
      </c>
      <c r="P1196" s="80" t="inlineStr">
        <is>
          <t>SHERMAN hand model ER-77 white-</t>
        </is>
      </c>
      <c r="Q1196" s="277" t="n">
        <v>1</v>
      </c>
      <c r="R1196" s="5" t="inlineStr">
        <is>
          <t>PCS.</t>
        </is>
      </c>
      <c r="S1196" s="292">
        <f>RawDataGenPO[[#This Row],[Total price]]/RawDataGenPO[[#This Row],[Qty'']]</f>
        <v/>
      </c>
      <c r="T1196" s="278" t="n">
        <v>551.4</v>
      </c>
      <c r="U1196" s="291" t="n"/>
      <c r="V1196" s="7" t="inlineStr">
        <is>
          <t>V1000702 - MINIATURE AND BEYOND CO., LTD.</t>
        </is>
      </c>
      <c r="W1196" s="30" t="inlineStr">
        <is>
          <t>Recive bill and GRN already</t>
        </is>
      </c>
      <c r="X1196" s="5" t="inlineStr">
        <is>
          <t>GRN2526-0001597</t>
        </is>
      </c>
      <c r="Y1196" s="3" t="n">
        <v>45819</v>
      </c>
      <c r="AA1196" s="17">
        <f>IF(RawDataGenPO[[#This Row],[Date Gen PO]]="","",RawDataGenPO[[#This Row],[Date recive bill]]-RawDataGenPO[[#This Row],[Date Gen PO]])</f>
        <v/>
      </c>
      <c r="AB1196" s="16">
        <f>IF(RawDataGenPO[[#This Row],[GRN-PO date]]&gt;RawDataGenPO[[#This Row],[Lead time delivery (day)]],"over deliverry","Ontime")</f>
        <v/>
      </c>
      <c r="AC1196" s="22" t="n"/>
    </row>
    <row r="1197" ht="30" customHeight="1">
      <c r="A1197" s="5">
        <f>ROW()-ROW(RawDataGenPO[[#Headers],[No.]])</f>
        <v/>
      </c>
      <c r="B1197" s="7" t="inlineStr">
        <is>
          <t>Expent  cost</t>
        </is>
      </c>
      <c r="C1197" s="355" t="n">
        <v>45804</v>
      </c>
      <c r="F1197" s="301" t="n">
        <v>45804</v>
      </c>
      <c r="G1197" s="26" t="inlineStr">
        <is>
          <t>PR2526-00721</t>
        </is>
      </c>
      <c r="H1197" s="26" t="inlineStr">
        <is>
          <t>PO2526-01246</t>
        </is>
      </c>
      <c r="I1197" s="344" t="n">
        <v>45813</v>
      </c>
      <c r="J1197" s="344" t="n">
        <v>45813</v>
      </c>
      <c r="K1197" s="77" t="n">
        <v>60</v>
      </c>
      <c r="L1197" s="5" t="inlineStr">
        <is>
          <t>SFST81000018</t>
        </is>
      </c>
      <c r="M1197" s="7" t="inlineStr">
        <is>
          <t>Utility Jobs  (Boiler-Air compress-Transformer-LPG)</t>
        </is>
      </c>
      <c r="N1197" s="7" t="inlineStr">
        <is>
          <t>Cooling system jobs</t>
        </is>
      </c>
      <c r="O1197" s="11" t="n">
        <v>1</v>
      </c>
      <c r="P1197" s="80" t="inlineStr">
        <is>
          <t>labor costRepair workleak Air Blast No.2
- withrunmachinemwaterchemicaloperationwork</t>
        </is>
      </c>
      <c r="Q1197" s="277" t="n">
        <v>1</v>
      </c>
      <c r="R1197" s="5" t="inlineStr">
        <is>
          <t>JOB.</t>
        </is>
      </c>
      <c r="S1197" s="292">
        <f>RawDataGenPO[[#This Row],[Total price]]/RawDataGenPO[[#This Row],[Qty'']]</f>
        <v/>
      </c>
      <c r="T1197" s="278" t="n">
        <v>15500</v>
      </c>
      <c r="U1197" s="291" t="n"/>
      <c r="V1197" s="7" t="inlineStr">
        <is>
          <t>V1000762 - PORNNARIN P N SERVICE LIMITED PARTNERSHIP</t>
        </is>
      </c>
      <c r="W1197" s="30" t="inlineStr">
        <is>
          <t>Recive bill and GRN already</t>
        </is>
      </c>
      <c r="X1197" s="5" t="inlineStr">
        <is>
          <t>GRN2526-0001656</t>
        </is>
      </c>
      <c r="Y1197" s="3" t="n">
        <v>45822</v>
      </c>
      <c r="AA1197" s="17">
        <f>IF(RawDataGenPO[[#This Row],[Date Gen PO]]="","",RawDataGenPO[[#This Row],[Date recive bill]]-RawDataGenPO[[#This Row],[Date Gen PO]])</f>
        <v/>
      </c>
      <c r="AB1197" s="16">
        <f>IF(RawDataGenPO[[#This Row],[GRN-PO date]]&gt;RawDataGenPO[[#This Row],[Lead time delivery (day)]],"over deliverry","Ontime")</f>
        <v/>
      </c>
      <c r="AC1197" s="22" t="n"/>
    </row>
    <row r="1198" ht="90" customHeight="1">
      <c r="A1198" s="5">
        <f>ROW()-ROW(RawDataGenPO[[#Headers],[No.]])</f>
        <v/>
      </c>
      <c r="B1198" s="7" t="inlineStr">
        <is>
          <t>Expent  cost</t>
        </is>
      </c>
      <c r="C1198" s="355" t="n">
        <v>45804</v>
      </c>
      <c r="F1198" s="301" t="n">
        <v>45804</v>
      </c>
      <c r="G1198" s="26" t="inlineStr">
        <is>
          <t>PR2526-00725</t>
        </is>
      </c>
      <c r="H1198" s="26" t="inlineStr">
        <is>
          <t>PO2526-01248</t>
        </is>
      </c>
      <c r="I1198" s="345" t="n">
        <v>45825</v>
      </c>
      <c r="J1198" s="345" t="n">
        <v>45825</v>
      </c>
      <c r="K1198" s="77" t="n">
        <v>30</v>
      </c>
      <c r="L1198" s="5" t="inlineStr">
        <is>
          <t>SFST81000018</t>
        </is>
      </c>
      <c r="M1198" s="7" t="inlineStr">
        <is>
          <t>PD Machine</t>
        </is>
      </c>
      <c r="N1198" s="7" t="inlineStr">
        <is>
          <t>Bowl Cutter (Chopper) No.1</t>
        </is>
      </c>
      <c r="O1198" s="5" t="n">
        <v>1</v>
      </c>
      <c r="P1198" s="80" t="inlineStr">
        <is>
          <t>Service charge
install Cutter knife (Q-2505040A)
adjust piecem
Onsite date:
25/05/2025 Sunday
26/05/2025 Monday</t>
        </is>
      </c>
      <c r="Q1198" s="277" t="n">
        <v>1</v>
      </c>
      <c r="R1198" s="5" t="inlineStr">
        <is>
          <t>JOB.</t>
        </is>
      </c>
      <c r="S1198" s="292">
        <f>RawDataGenPO[[#This Row],[Total price]]/RawDataGenPO[[#This Row],[Qty'']]</f>
        <v/>
      </c>
      <c r="T1198" s="278" t="n">
        <v>12000</v>
      </c>
      <c r="U1198" s="291" t="n"/>
      <c r="V1198" s="7" t="inlineStr">
        <is>
          <t xml:space="preserve"> V1000189 - FPT FOOD PROCESS TECHNOLOGY CO., LTD.</t>
        </is>
      </c>
      <c r="W1198" s="30" t="inlineStr">
        <is>
          <t>Recive bill and GRN already</t>
        </is>
      </c>
      <c r="X1198" s="5" t="inlineStr">
        <is>
          <t>GRN2526-0001886</t>
        </is>
      </c>
      <c r="Y1198" s="3" t="n">
        <v>45831</v>
      </c>
      <c r="AA1198" s="17">
        <f>IF(RawDataGenPO[[#This Row],[Date Gen PO]]="","",RawDataGenPO[[#This Row],[Date recive bill]]-RawDataGenPO[[#This Row],[Date Gen PO]])</f>
        <v/>
      </c>
      <c r="AB1198" s="16">
        <f>IF(RawDataGenPO[[#This Row],[GRN-PO date]]&gt;RawDataGenPO[[#This Row],[Lead time delivery (day)]],"over deliverry","Ontime")</f>
        <v/>
      </c>
      <c r="AC1198" s="22" t="n"/>
    </row>
    <row r="1199" ht="150" customHeight="1">
      <c r="A1199" s="5">
        <f>ROW()-ROW(RawDataGenPO[[#Headers],[No.]])</f>
        <v/>
      </c>
      <c r="B1199" s="7" t="inlineStr">
        <is>
          <t>Expent  cost</t>
        </is>
      </c>
      <c r="C1199" s="355" t="n">
        <v>45813</v>
      </c>
      <c r="F1199" s="301" t="n">
        <v>45813</v>
      </c>
      <c r="G1199" s="5" t="inlineStr">
        <is>
          <t>PR2526-00811</t>
        </is>
      </c>
      <c r="H1199" s="5" t="inlineStr">
        <is>
          <t>PO2526-01245</t>
        </is>
      </c>
      <c r="I1199" s="345" t="n">
        <v>45817</v>
      </c>
      <c r="J1199" s="345" t="n">
        <v>45817</v>
      </c>
      <c r="K1199" s="77" t="n">
        <v>120</v>
      </c>
      <c r="L1199" s="5" t="inlineStr">
        <is>
          <t>SFST81000078</t>
        </is>
      </c>
      <c r="M1199" s="7" t="inlineStr">
        <is>
          <t>Civill jobs (Floor-Wall-Celling-roof)</t>
        </is>
      </c>
      <c r="N1199" s="7" t="inlineStr">
        <is>
          <t>Cevil jobs</t>
        </is>
      </c>
      <c r="O1199" s="11" t="n">
        <v>1</v>
      </c>
      <c r="P1199" s="80" t="inlineStr">
        <is>
          <t>General maintenance in Sunday: Only labor
- Painting
- Cleaning
- Electricity system
- Pipe repair
- Silicone wall
- PU - Epoxcy
- Working 8 Hr / Day
- Manpower 10 Person / Job
- Report Before - After according to work order</t>
        </is>
      </c>
      <c r="Q1199" s="277" t="n">
        <v>5</v>
      </c>
      <c r="R1199" s="5" t="inlineStr">
        <is>
          <t>Time.</t>
        </is>
      </c>
      <c r="S1199" s="292">
        <f>RawDataGenPO[[#This Row],[Total price]]/RawDataGenPO[[#This Row],[Qty'']]</f>
        <v/>
      </c>
      <c r="T1199" s="278" t="n">
        <v>155000</v>
      </c>
      <c r="U1199" s="291" t="n"/>
      <c r="V1199" s="7" t="inlineStr">
        <is>
          <t>V1000117 - NPN ENGINEERING SOLUTION SUPPLY CO., LTD.</t>
        </is>
      </c>
      <c r="W1199" s="30" t="inlineStr">
        <is>
          <t>Recive bill and GRN already</t>
        </is>
      </c>
      <c r="X1199" s="6" t="inlineStr">
        <is>
          <t>GRN2526-0001734/GRN2526-0002324</t>
        </is>
      </c>
      <c r="Y1199" s="3" t="n">
        <v>45852</v>
      </c>
      <c r="AA1199" s="17">
        <f>IF(RawDataGenPO[[#This Row],[Date Gen PO]]="","",RawDataGenPO[[#This Row],[Date recive bill]]-RawDataGenPO[[#This Row],[Date Gen PO]])</f>
        <v/>
      </c>
      <c r="AB1199" s="16">
        <f>IF(RawDataGenPO[[#This Row],[GRN-PO date]]&gt;RawDataGenPO[[#This Row],[Lead time delivery (day)]],"over deliverry","Ontime")</f>
        <v/>
      </c>
      <c r="AC1199" s="22" t="n"/>
    </row>
    <row r="1200" ht="15" customHeight="1">
      <c r="A1200" s="5">
        <f>ROW()-ROW(RawDataGenPO[[#Headers],[No.]])</f>
        <v/>
      </c>
      <c r="B1200" s="7" t="inlineStr">
        <is>
          <t>Expent  cost</t>
        </is>
      </c>
      <c r="C1200" s="355" t="n">
        <v>45813</v>
      </c>
      <c r="F1200" s="301" t="n">
        <v>45813</v>
      </c>
      <c r="G1200" s="5" t="inlineStr">
        <is>
          <t>PR2526-00819</t>
        </is>
      </c>
      <c r="H1200" s="5" t="inlineStr">
        <is>
          <t>PO2526-01247</t>
        </is>
      </c>
      <c r="I1200" s="345" t="n">
        <v>45817</v>
      </c>
      <c r="J1200" s="345" t="n">
        <v>45817</v>
      </c>
      <c r="K1200" s="77" t="n">
        <v>60</v>
      </c>
      <c r="L1200" s="5" t="inlineStr">
        <is>
          <t>SFST81000048</t>
        </is>
      </c>
      <c r="M1200" s="7" t="inlineStr">
        <is>
          <t>PD Machine</t>
        </is>
      </c>
      <c r="N1200" s="7" t="inlineStr">
        <is>
          <t>Combi oven No.1</t>
        </is>
      </c>
      <c r="O1200" s="11" t="n">
        <v>1</v>
      </c>
      <c r="P1200" s="7" t="inlineStr">
        <is>
          <t>50.00.176P Hand shower roll guide: SCC line 201/202 (#3)</t>
        </is>
      </c>
      <c r="Q1200" s="277" t="n">
        <v>1</v>
      </c>
      <c r="R1200" s="5" t="inlineStr">
        <is>
          <t>PCS.</t>
        </is>
      </c>
      <c r="S1200" s="292">
        <f>RawDataGenPO[[#This Row],[Total price]]/RawDataGenPO[[#This Row],[Qty'']]</f>
        <v/>
      </c>
      <c r="T1200" s="278" t="n">
        <v>22300</v>
      </c>
      <c r="U1200" s="291" t="n"/>
      <c r="V1200" s="7" t="inlineStr">
        <is>
          <t>V1000460 - FIX EVOLUTION CO., LTD.</t>
        </is>
      </c>
      <c r="W1200" s="30" t="inlineStr">
        <is>
          <t>Recive bill and GRN already</t>
        </is>
      </c>
      <c r="X1200" s="5" t="inlineStr">
        <is>
          <t>GRN2526-0001884</t>
        </is>
      </c>
      <c r="Y1200" s="3" t="n">
        <v>45831</v>
      </c>
      <c r="AA1200" s="17">
        <f>IF(RawDataGenPO[[#This Row],[Date Gen PO]]="","",RawDataGenPO[[#This Row],[Date recive bill]]-RawDataGenPO[[#This Row],[Date Gen PO]])</f>
        <v/>
      </c>
      <c r="AB1200" s="16">
        <f>IF(RawDataGenPO[[#This Row],[GRN-PO date]]&gt;RawDataGenPO[[#This Row],[Lead time delivery (day)]],"over deliverry","Ontime")</f>
        <v/>
      </c>
      <c r="AC1200" s="22" t="n"/>
    </row>
    <row r="1201" ht="15" customHeight="1">
      <c r="A1201" s="5">
        <f>ROW()-ROW(RawDataGenPO[[#Headers],[No.]])</f>
        <v/>
      </c>
      <c r="B1201" s="7" t="inlineStr">
        <is>
          <t>Expent  cost</t>
        </is>
      </c>
      <c r="C1201" s="355" t="n">
        <v>45813</v>
      </c>
      <c r="F1201" s="301" t="n">
        <v>45813</v>
      </c>
      <c r="G1201" s="5" t="inlineStr">
        <is>
          <t>PR2526-00819</t>
        </is>
      </c>
      <c r="H1201" s="5" t="inlineStr">
        <is>
          <t>PO2526-01247</t>
        </is>
      </c>
      <c r="I1201" s="345" t="n">
        <v>45817</v>
      </c>
      <c r="J1201" s="345" t="n">
        <v>45817</v>
      </c>
      <c r="K1201" s="77" t="n">
        <v>60</v>
      </c>
      <c r="L1201" s="5" t="inlineStr">
        <is>
          <t>SFST81000048</t>
        </is>
      </c>
      <c r="M1201" s="7" t="inlineStr">
        <is>
          <t>PD Machine</t>
        </is>
      </c>
      <c r="N1201" s="7" t="inlineStr">
        <is>
          <t>Combi oven No.2</t>
        </is>
      </c>
      <c r="O1201" s="11" t="n">
        <v>2</v>
      </c>
      <c r="P1201" s="80" t="inlineStr">
        <is>
          <t>87.01.578S LED bar: LM1; A F G, LM2; B-E (#2)</t>
        </is>
      </c>
      <c r="Q1201" s="277" t="n">
        <v>6</v>
      </c>
      <c r="R1201" s="5" t="inlineStr">
        <is>
          <t>PCS.</t>
        </is>
      </c>
      <c r="S1201" s="292">
        <f>RawDataGenPO[[#This Row],[Total price]]/RawDataGenPO[[#This Row],[Qty'']]</f>
        <v/>
      </c>
      <c r="T1201" s="278" t="n">
        <v>22440</v>
      </c>
      <c r="U1201" s="291" t="n"/>
      <c r="V1201" s="7" t="inlineStr">
        <is>
          <t>V1000460 - FIX EVOLUTION CO., LTD.</t>
        </is>
      </c>
      <c r="W1201" s="30" t="inlineStr">
        <is>
          <t>Recive bill and GRN already</t>
        </is>
      </c>
      <c r="X1201" s="5" t="inlineStr">
        <is>
          <t>GRN2526-0001884</t>
        </is>
      </c>
      <c r="Y1201" s="3" t="n">
        <v>45831</v>
      </c>
      <c r="AA1201" s="17">
        <f>IF(RawDataGenPO[[#This Row],[Date Gen PO]]="","",RawDataGenPO[[#This Row],[Date recive bill]]-RawDataGenPO[[#This Row],[Date Gen PO]])</f>
        <v/>
      </c>
      <c r="AB1201" s="16">
        <f>IF(RawDataGenPO[[#This Row],[GRN-PO date]]&gt;RawDataGenPO[[#This Row],[Lead time delivery (day)]],"over deliverry","Ontime")</f>
        <v/>
      </c>
      <c r="AC1201" s="22" t="n"/>
    </row>
    <row r="1202" ht="15" customHeight="1">
      <c r="A1202" s="5">
        <f>ROW()-ROW(RawDataGenPO[[#Headers],[No.]])</f>
        <v/>
      </c>
      <c r="B1202" s="7" t="inlineStr">
        <is>
          <t>Expent  cost</t>
        </is>
      </c>
      <c r="C1202" s="355" t="n">
        <v>45813</v>
      </c>
      <c r="F1202" s="301" t="n">
        <v>45813</v>
      </c>
      <c r="G1202" s="5" t="inlineStr">
        <is>
          <t>PR2526-00819</t>
        </is>
      </c>
      <c r="H1202" s="5" t="inlineStr">
        <is>
          <t>PO2526-01247</t>
        </is>
      </c>
      <c r="I1202" s="345" t="n">
        <v>45817</v>
      </c>
      <c r="J1202" s="345" t="n">
        <v>45817</v>
      </c>
      <c r="K1202" s="77" t="n">
        <v>60</v>
      </c>
      <c r="L1202" s="5" t="inlineStr">
        <is>
          <t>SFST81000048</t>
        </is>
      </c>
      <c r="M1202" s="7" t="inlineStr">
        <is>
          <t>PD Machine</t>
        </is>
      </c>
      <c r="N1202" s="7" t="inlineStr">
        <is>
          <t>Combi oven No.3</t>
        </is>
      </c>
      <c r="O1202" s="11" t="n">
        <v>3</v>
      </c>
      <c r="P1202" s="80" t="inlineStr">
        <is>
          <t>87.01.586S LED optics: LM1; A F-G, LM2; B-E (#2)</t>
        </is>
      </c>
      <c r="Q1202" s="277" t="n">
        <v>6</v>
      </c>
      <c r="R1202" s="5" t="inlineStr">
        <is>
          <t>PCS.</t>
        </is>
      </c>
      <c r="S1202" s="292">
        <f>RawDataGenPO[[#This Row],[Total price]]/RawDataGenPO[[#This Row],[Qty'']]</f>
        <v/>
      </c>
      <c r="T1202" s="278" t="n">
        <v>21120</v>
      </c>
      <c r="U1202" s="291" t="n"/>
      <c r="V1202" s="7" t="inlineStr">
        <is>
          <t>V1000460 - FIX EVOLUTION CO., LTD.</t>
        </is>
      </c>
      <c r="W1202" s="30" t="inlineStr">
        <is>
          <t>Recive bill and GRN already</t>
        </is>
      </c>
      <c r="X1202" s="5" t="inlineStr">
        <is>
          <t>GRN2526-0001884</t>
        </is>
      </c>
      <c r="Y1202" s="3" t="n">
        <v>45831</v>
      </c>
      <c r="AA1202" s="17">
        <f>IF(RawDataGenPO[[#This Row],[Date Gen PO]]="","",RawDataGenPO[[#This Row],[Date recive bill]]-RawDataGenPO[[#This Row],[Date Gen PO]])</f>
        <v/>
      </c>
      <c r="AB1202" s="16">
        <f>IF(RawDataGenPO[[#This Row],[GRN-PO date]]&gt;RawDataGenPO[[#This Row],[Lead time delivery (day)]],"over deliverry","Ontime")</f>
        <v/>
      </c>
      <c r="AC1202" s="22" t="n"/>
    </row>
    <row r="1203" ht="30" customHeight="1">
      <c r="A1203" s="5">
        <f>ROW()-ROW(RawDataGenPO[[#Headers],[No.]])</f>
        <v/>
      </c>
      <c r="B1203" s="7" t="inlineStr">
        <is>
          <t>Expent  cost</t>
        </is>
      </c>
      <c r="C1203" s="355" t="n">
        <v>45813</v>
      </c>
      <c r="F1203" s="301" t="n">
        <v>45813</v>
      </c>
      <c r="G1203" s="5" t="inlineStr">
        <is>
          <t>PR2526-00819</t>
        </is>
      </c>
      <c r="H1203" s="5" t="inlineStr">
        <is>
          <t>PO2526-01247</t>
        </is>
      </c>
      <c r="I1203" s="345" t="n">
        <v>45817</v>
      </c>
      <c r="J1203" s="345" t="n">
        <v>45817</v>
      </c>
      <c r="K1203" s="77" t="n">
        <v>60</v>
      </c>
      <c r="L1203" s="5" t="inlineStr">
        <is>
          <t>SFST81000048</t>
        </is>
      </c>
      <c r="M1203" s="7" t="inlineStr">
        <is>
          <t>PD Machine</t>
        </is>
      </c>
      <c r="N1203" s="7" t="inlineStr">
        <is>
          <t>Combi oven No.3</t>
        </is>
      </c>
      <c r="O1203" s="11" t="n">
        <v>4</v>
      </c>
      <c r="P1203" s="80" t="inlineStr">
        <is>
          <t>87.01.545S One-piece gasket for trolly and window
SCC/CMP 202 (#1,#3)</t>
        </is>
      </c>
      <c r="Q1203" s="277" t="n">
        <v>2</v>
      </c>
      <c r="R1203" s="5" t="inlineStr">
        <is>
          <t>PCS.</t>
        </is>
      </c>
      <c r="S1203" s="292">
        <f>RawDataGenPO[[#This Row],[Total price]]/RawDataGenPO[[#This Row],[Qty'']]</f>
        <v/>
      </c>
      <c r="T1203" s="278" t="n">
        <v>10387</v>
      </c>
      <c r="U1203" s="291" t="n"/>
      <c r="V1203" s="7" t="inlineStr">
        <is>
          <t>V1000460 - FIX EVOLUTION CO., LTD.</t>
        </is>
      </c>
      <c r="W1203" s="30" t="inlineStr">
        <is>
          <t>Recive bill and GRN already</t>
        </is>
      </c>
      <c r="X1203" s="5" t="inlineStr">
        <is>
          <t>GRN2526-0001884</t>
        </is>
      </c>
      <c r="Y1203" s="3" t="n">
        <v>45831</v>
      </c>
      <c r="AA1203" s="17">
        <f>IF(RawDataGenPO[[#This Row],[Date Gen PO]]="","",RawDataGenPO[[#This Row],[Date recive bill]]-RawDataGenPO[[#This Row],[Date Gen PO]])</f>
        <v/>
      </c>
      <c r="AB1203" s="16">
        <f>IF(RawDataGenPO[[#This Row],[GRN-PO date]]&gt;RawDataGenPO[[#This Row],[Lead time delivery (day)]],"over deliverry","Ontime")</f>
        <v/>
      </c>
      <c r="AC1203" s="22" t="n"/>
    </row>
    <row r="1204" ht="15" customHeight="1">
      <c r="A1204" s="5">
        <f>ROW()-ROW(RawDataGenPO[[#Headers],[No.]])</f>
        <v/>
      </c>
      <c r="B1204" s="7" t="inlineStr">
        <is>
          <t>Expent  cost</t>
        </is>
      </c>
      <c r="C1204" s="355" t="n">
        <v>45813</v>
      </c>
      <c r="F1204" s="301" t="n">
        <v>45813</v>
      </c>
      <c r="G1204" s="5" t="inlineStr">
        <is>
          <t>PR2526-00819</t>
        </is>
      </c>
      <c r="H1204" s="5" t="inlineStr">
        <is>
          <t>PO2526-01247</t>
        </is>
      </c>
      <c r="I1204" s="345" t="n">
        <v>45817</v>
      </c>
      <c r="J1204" s="345" t="n">
        <v>45817</v>
      </c>
      <c r="K1204" s="77" t="n">
        <v>60</v>
      </c>
      <c r="L1204" s="5" t="inlineStr">
        <is>
          <t>SFST81000048</t>
        </is>
      </c>
      <c r="M1204" s="7" t="inlineStr">
        <is>
          <t>PD Machine</t>
        </is>
      </c>
      <c r="N1204" s="7" t="inlineStr">
        <is>
          <t>Combi oven No.3</t>
        </is>
      </c>
      <c r="O1204" s="11" t="n">
        <v>5</v>
      </c>
      <c r="P1204" s="80" t="inlineStr">
        <is>
          <t>Service Charge #1</t>
        </is>
      </c>
      <c r="Q1204" s="277" t="n">
        <v>1</v>
      </c>
      <c r="R1204" s="5" t="inlineStr">
        <is>
          <t>JOB.</t>
        </is>
      </c>
      <c r="S1204" s="292">
        <f>RawDataGenPO[[#This Row],[Total price]]/RawDataGenPO[[#This Row],[Qty'']]</f>
        <v/>
      </c>
      <c r="T1204" s="278" t="n">
        <v>3000</v>
      </c>
      <c r="U1204" s="291" t="n"/>
      <c r="V1204" s="7" t="inlineStr">
        <is>
          <t>V1000460 - FIX EVOLUTION CO., LTD.</t>
        </is>
      </c>
      <c r="W1204" s="30" t="inlineStr">
        <is>
          <t>Recive bill and GRN already</t>
        </is>
      </c>
      <c r="X1204" s="5" t="inlineStr">
        <is>
          <t>GRN2526-0001885</t>
        </is>
      </c>
      <c r="Y1204" s="3" t="n">
        <v>45831</v>
      </c>
      <c r="AA1204" s="17">
        <f>IF(RawDataGenPO[[#This Row],[Date Gen PO]]="","",RawDataGenPO[[#This Row],[Date recive bill]]-RawDataGenPO[[#This Row],[Date Gen PO]])</f>
        <v/>
      </c>
      <c r="AB1204" s="16">
        <f>IF(RawDataGenPO[[#This Row],[GRN-PO date]]&gt;RawDataGenPO[[#This Row],[Lead time delivery (day)]],"over deliverry","Ontime")</f>
        <v/>
      </c>
      <c r="AC1204" s="22" t="n"/>
    </row>
    <row r="1205" ht="15" customHeight="1">
      <c r="A1205" s="5">
        <f>ROW()-ROW(RawDataGenPO[[#Headers],[No.]])</f>
        <v/>
      </c>
      <c r="B1205" s="7" t="inlineStr">
        <is>
          <t>Expent  cost</t>
        </is>
      </c>
      <c r="C1205" s="355" t="n">
        <v>45813</v>
      </c>
      <c r="F1205" s="301" t="n">
        <v>45813</v>
      </c>
      <c r="G1205" s="5" t="inlineStr">
        <is>
          <t>PR2526-00819</t>
        </is>
      </c>
      <c r="H1205" s="5" t="inlineStr">
        <is>
          <t>PO2526-01247</t>
        </is>
      </c>
      <c r="I1205" s="345" t="n">
        <v>45817</v>
      </c>
      <c r="J1205" s="345" t="n">
        <v>45817</v>
      </c>
      <c r="K1205" s="77" t="n">
        <v>60</v>
      </c>
      <c r="L1205" s="5" t="inlineStr">
        <is>
          <t>SFST81000048</t>
        </is>
      </c>
      <c r="M1205" s="7" t="inlineStr">
        <is>
          <t>PD Machine</t>
        </is>
      </c>
      <c r="N1205" s="7" t="inlineStr">
        <is>
          <t>Combi oven No.3</t>
        </is>
      </c>
      <c r="O1205" s="11" t="n">
        <v>6</v>
      </c>
      <c r="P1205" s="80" t="inlineStr">
        <is>
          <t>Service Charge #2 - 3 (Discount 50%)</t>
        </is>
      </c>
      <c r="Q1205" s="277" t="n">
        <v>1</v>
      </c>
      <c r="R1205" s="5" t="inlineStr">
        <is>
          <t>JOB.</t>
        </is>
      </c>
      <c r="S1205" s="292">
        <f>RawDataGenPO[[#This Row],[Total price]]/RawDataGenPO[[#This Row],[Qty'']]</f>
        <v/>
      </c>
      <c r="T1205" s="278" t="n">
        <v>1500</v>
      </c>
      <c r="U1205" s="291" t="n"/>
      <c r="V1205" s="7" t="inlineStr">
        <is>
          <t>V1000460 - FIX EVOLUTION CO., LTD.</t>
        </is>
      </c>
      <c r="W1205" s="30" t="inlineStr">
        <is>
          <t>Recive bill and GRN already</t>
        </is>
      </c>
      <c r="X1205" s="5" t="inlineStr">
        <is>
          <t>GRN2526-0001885</t>
        </is>
      </c>
      <c r="Y1205" s="3" t="n">
        <v>45831</v>
      </c>
      <c r="AA1205" s="17">
        <f>IF(RawDataGenPO[[#This Row],[Date Gen PO]]="","",RawDataGenPO[[#This Row],[Date recive bill]]-RawDataGenPO[[#This Row],[Date Gen PO]])</f>
        <v/>
      </c>
      <c r="AB1205" s="16">
        <f>IF(RawDataGenPO[[#This Row],[GRN-PO date]]&gt;RawDataGenPO[[#This Row],[Lead time delivery (day)]],"over deliverry","Ontime")</f>
        <v/>
      </c>
      <c r="AC1205" s="22" t="n"/>
    </row>
    <row r="1206" ht="30" customHeight="1">
      <c r="A1206" s="5">
        <f>ROW()-ROW(RawDataGenPO[[#Headers],[No.]])</f>
        <v/>
      </c>
      <c r="B1206" s="7" t="inlineStr">
        <is>
          <t>Expent  cost</t>
        </is>
      </c>
      <c r="C1206" s="355" t="n">
        <v>45813</v>
      </c>
      <c r="F1206" s="301" t="n">
        <v>45813</v>
      </c>
      <c r="G1206" s="5" t="inlineStr">
        <is>
          <t>PR2526-00819</t>
        </is>
      </c>
      <c r="H1206" s="5" t="inlineStr">
        <is>
          <t>PO2526-01247</t>
        </is>
      </c>
      <c r="I1206" s="345" t="n">
        <v>45817</v>
      </c>
      <c r="J1206" s="345" t="n">
        <v>45817</v>
      </c>
      <c r="K1206" s="77" t="n">
        <v>60</v>
      </c>
      <c r="L1206" s="5" t="inlineStr">
        <is>
          <t>SFST81000048</t>
        </is>
      </c>
      <c r="M1206" s="7" t="inlineStr">
        <is>
          <t>PD Machine</t>
        </is>
      </c>
      <c r="N1206" s="7" t="inlineStr">
        <is>
          <t>Combi oven No.3</t>
        </is>
      </c>
      <c r="O1206" s="11" t="n">
        <v>7</v>
      </c>
      <c r="P1206" s="80" t="inlineStr">
        <is>
          <t>OT Work at after 5 PM Or Sunday
- Warranty No.1-3: 90 Days, No.4: 30 Days (Sparepart only)</t>
        </is>
      </c>
      <c r="Q1206" s="277" t="n">
        <v>1</v>
      </c>
      <c r="R1206" s="5" t="inlineStr">
        <is>
          <t>JOB.</t>
        </is>
      </c>
      <c r="S1206" s="292">
        <f>RawDataGenPO[[#This Row],[Total price]]/RawDataGenPO[[#This Row],[Qty'']]</f>
        <v/>
      </c>
      <c r="T1206" s="278" t="n">
        <v>2000</v>
      </c>
      <c r="U1206" s="291" t="n"/>
      <c r="V1206" s="7" t="inlineStr">
        <is>
          <t>V1000460 - FIX EVOLUTION CO., LTD.</t>
        </is>
      </c>
      <c r="W1206" s="30" t="inlineStr">
        <is>
          <t>Recive bill and GRN already</t>
        </is>
      </c>
      <c r="X1206" s="5" t="inlineStr">
        <is>
          <t>GRN2526-0001885</t>
        </is>
      </c>
      <c r="Y1206" s="3" t="n">
        <v>45831</v>
      </c>
      <c r="AA1206" s="17">
        <f>IF(RawDataGenPO[[#This Row],[Date Gen PO]]="","",RawDataGenPO[[#This Row],[Date recive bill]]-RawDataGenPO[[#This Row],[Date Gen PO]])</f>
        <v/>
      </c>
      <c r="AB1206" s="16">
        <f>IF(RawDataGenPO[[#This Row],[GRN-PO date]]&gt;RawDataGenPO[[#This Row],[Lead time delivery (day)]],"over deliverry","Ontime")</f>
        <v/>
      </c>
      <c r="AC1206" s="22" t="n"/>
    </row>
    <row r="1207" ht="15" customHeight="1">
      <c r="A1207" s="5">
        <f>ROW()-ROW(RawDataGenPO[[#Headers],[No.]])</f>
        <v/>
      </c>
      <c r="B1207" s="7" t="inlineStr">
        <is>
          <t>Expent  cost</t>
        </is>
      </c>
      <c r="C1207" s="355" t="n">
        <v>45813</v>
      </c>
      <c r="F1207" s="301" t="n">
        <v>45813</v>
      </c>
      <c r="G1207" s="5" t="inlineStr">
        <is>
          <t>PR2526-00820</t>
        </is>
      </c>
      <c r="H1207" s="5" t="inlineStr">
        <is>
          <t>PO2526-01240</t>
        </is>
      </c>
      <c r="I1207" s="345" t="n">
        <v>45817</v>
      </c>
      <c r="J1207" s="345" t="n">
        <v>45817</v>
      </c>
      <c r="K1207" s="77" t="n">
        <v>30</v>
      </c>
      <c r="L1207" s="5" t="inlineStr">
        <is>
          <t>SFST81000009</t>
        </is>
      </c>
      <c r="M1207" s="7" t="inlineStr">
        <is>
          <t>Tool and Equipment  Engineering</t>
        </is>
      </c>
      <c r="N1207" s="7" t="inlineStr">
        <is>
          <t>Consumable part</t>
        </is>
      </c>
      <c r="O1207" s="11" t="n">
        <v>1</v>
      </c>
      <c r="P1207" s="94" t="inlineStr">
        <is>
          <t>mconnector width 5 m length 25 m Chang brand (3roll/pack)</t>
        </is>
      </c>
      <c r="Q1207" s="356" t="n">
        <v>2</v>
      </c>
      <c r="R1207" s="104" t="inlineStr">
        <is>
          <t>PCS.</t>
        </is>
      </c>
      <c r="S1207" s="357">
        <f>RawDataGenPO[[#This Row],[Total price]]/RawDataGenPO[[#This Row],[Qty'']]</f>
        <v/>
      </c>
      <c r="T1207" s="358" t="n">
        <v>360</v>
      </c>
      <c r="U1207" s="359" t="n"/>
      <c r="V1207" s="100" t="inlineStr">
        <is>
          <t>V1000259 - JJP SUPPLY CO., LTD</t>
        </is>
      </c>
      <c r="W1207" s="30" t="inlineStr">
        <is>
          <t>Recive bill and GRN already</t>
        </is>
      </c>
      <c r="X1207" s="5" t="inlineStr">
        <is>
          <t>GRN2526-0001868</t>
        </is>
      </c>
      <c r="Y1207" s="3" t="n">
        <v>45828</v>
      </c>
      <c r="AA1207" s="17">
        <f>IF(RawDataGenPO[[#This Row],[Date Gen PO]]="","",RawDataGenPO[[#This Row],[Date recive bill]]-RawDataGenPO[[#This Row],[Date Gen PO]])</f>
        <v/>
      </c>
      <c r="AB1207" s="16">
        <f>IF(RawDataGenPO[[#This Row],[GRN-PO date]]&gt;RawDataGenPO[[#This Row],[Lead time delivery (day)]],"over deliverry","Ontime")</f>
        <v/>
      </c>
      <c r="AC1207" s="22" t="n"/>
    </row>
    <row r="1208" ht="15" customHeight="1">
      <c r="A1208" s="5">
        <f>ROW()-ROW(RawDataGenPO[[#Headers],[No.]])</f>
        <v/>
      </c>
      <c r="B1208" s="7" t="inlineStr">
        <is>
          <t>Expent  cost</t>
        </is>
      </c>
      <c r="C1208" s="355" t="n">
        <v>45813</v>
      </c>
      <c r="F1208" s="301" t="n">
        <v>45813</v>
      </c>
      <c r="G1208" s="5" t="inlineStr">
        <is>
          <t>PR2526-00820</t>
        </is>
      </c>
      <c r="H1208" s="5" t="inlineStr">
        <is>
          <t>PO2526-01240</t>
        </is>
      </c>
      <c r="I1208" s="345" t="n">
        <v>45817</v>
      </c>
      <c r="J1208" s="345" t="n">
        <v>45817</v>
      </c>
      <c r="K1208" s="77" t="n">
        <v>30</v>
      </c>
      <c r="L1208" s="5" t="inlineStr">
        <is>
          <t>SFST81000009</t>
        </is>
      </c>
      <c r="M1208" s="7" t="inlineStr">
        <is>
          <t>Tool and Equipment  Engineering</t>
        </is>
      </c>
      <c r="N1208" s="7" t="inlineStr">
        <is>
          <t>Consumable part</t>
        </is>
      </c>
      <c r="O1208" s="11" t="n">
        <v>2</v>
      </c>
      <c r="P1208" s="94" t="inlineStr">
        <is>
          <t>mconnector width 3.5 cm length 25 m Chang brand (3roll/pack)</t>
        </is>
      </c>
      <c r="Q1208" s="356" t="n">
        <v>2</v>
      </c>
      <c r="R1208" s="104" t="inlineStr">
        <is>
          <t>PCS.</t>
        </is>
      </c>
      <c r="S1208" s="357">
        <f>RawDataGenPO[[#This Row],[Total price]]/RawDataGenPO[[#This Row],[Qty'']]</f>
        <v/>
      </c>
      <c r="T1208" s="358" t="n">
        <v>240</v>
      </c>
      <c r="U1208" s="359" t="n"/>
      <c r="V1208" s="100" t="inlineStr">
        <is>
          <t>V1000259 - JJP SUPPLY CO., LTD</t>
        </is>
      </c>
      <c r="W1208" s="30" t="inlineStr">
        <is>
          <t>Recive bill and GRN already</t>
        </is>
      </c>
      <c r="X1208" s="5" t="inlineStr">
        <is>
          <t>GRN2526-0001868</t>
        </is>
      </c>
      <c r="Y1208" s="3" t="n">
        <v>45828</v>
      </c>
      <c r="AA1208" s="17">
        <f>IF(RawDataGenPO[[#This Row],[Date Gen PO]]="","",RawDataGenPO[[#This Row],[Date recive bill]]-RawDataGenPO[[#This Row],[Date Gen PO]])</f>
        <v/>
      </c>
      <c r="AB1208" s="16">
        <f>IF(RawDataGenPO[[#This Row],[GRN-PO date]]&gt;RawDataGenPO[[#This Row],[Lead time delivery (day)]],"over deliverry","Ontime")</f>
        <v/>
      </c>
      <c r="AC1208" s="22" t="n"/>
    </row>
    <row r="1209" ht="15" customHeight="1">
      <c r="A1209" s="5">
        <f>ROW()-ROW(RawDataGenPO[[#Headers],[No.]])</f>
        <v/>
      </c>
      <c r="B1209" s="7" t="inlineStr">
        <is>
          <t>Expent  cost</t>
        </is>
      </c>
      <c r="C1209" s="355" t="n">
        <v>45813</v>
      </c>
      <c r="F1209" s="301" t="n">
        <v>45813</v>
      </c>
      <c r="G1209" s="5" t="inlineStr">
        <is>
          <t>PR2526-00820</t>
        </is>
      </c>
      <c r="H1209" s="5" t="inlineStr">
        <is>
          <t>PO2526-01241</t>
        </is>
      </c>
      <c r="I1209" s="345" t="n">
        <v>45817</v>
      </c>
      <c r="J1209" s="345" t="n">
        <v>45817</v>
      </c>
      <c r="K1209" s="77" t="n">
        <v>30</v>
      </c>
      <c r="L1209" s="5" t="inlineStr">
        <is>
          <t>SFST81000009</t>
        </is>
      </c>
      <c r="M1209" s="7" t="inlineStr">
        <is>
          <t>Tool and Equipment  Engineering</t>
        </is>
      </c>
      <c r="N1209" s="7" t="inlineStr">
        <is>
          <t>Consumable part</t>
        </is>
      </c>
      <c r="O1209" s="11" t="n">
        <v>3</v>
      </c>
      <c r="P1209" s="91" t="inlineStr">
        <is>
          <t>large 75 mm. size 15x37x4000 mm</t>
        </is>
      </c>
      <c r="Q1209" s="360" t="n">
        <v>5</v>
      </c>
      <c r="R1209" s="98" t="inlineStr">
        <is>
          <t>PCS.</t>
        </is>
      </c>
      <c r="S1209" s="361">
        <f>RawDataGenPO[[#This Row],[Total price]]/RawDataGenPO[[#This Row],[Qty'']]</f>
        <v/>
      </c>
      <c r="T1209" s="362" t="n">
        <v>475</v>
      </c>
      <c r="U1209" s="363" t="n"/>
      <c r="V1209" s="90" t="inlineStr">
        <is>
          <t>V1000840 - S.Q. &amp; CO CO., LTD</t>
        </is>
      </c>
      <c r="W1209" s="30" t="inlineStr">
        <is>
          <t>Recive bill and GRN already</t>
        </is>
      </c>
      <c r="X1209" s="5" t="inlineStr">
        <is>
          <t>GRN2526-0001733</t>
        </is>
      </c>
      <c r="Y1209" s="3" t="n">
        <v>45825</v>
      </c>
      <c r="AA1209" s="17">
        <f>IF(RawDataGenPO[[#This Row],[Date Gen PO]]="","",RawDataGenPO[[#This Row],[Date recive bill]]-RawDataGenPO[[#This Row],[Date Gen PO]])</f>
        <v/>
      </c>
      <c r="AB1209" s="16">
        <f>IF(RawDataGenPO[[#This Row],[GRN-PO date]]&gt;RawDataGenPO[[#This Row],[Lead time delivery (day)]],"over deliverry","Ontime")</f>
        <v/>
      </c>
      <c r="AC1209" s="22" t="n"/>
    </row>
    <row r="1210" ht="15" customHeight="1">
      <c r="A1210" s="5">
        <f>ROW()-ROW(RawDataGenPO[[#Headers],[No.]])</f>
        <v/>
      </c>
      <c r="B1210" s="7" t="inlineStr">
        <is>
          <t>Expent  cost</t>
        </is>
      </c>
      <c r="C1210" s="355" t="n">
        <v>45813</v>
      </c>
      <c r="F1210" s="301" t="n">
        <v>45813</v>
      </c>
      <c r="G1210" s="5" t="inlineStr">
        <is>
          <t>PR2526-00820</t>
        </is>
      </c>
      <c r="H1210" s="5" t="inlineStr">
        <is>
          <t>PO2526-01241</t>
        </is>
      </c>
      <c r="I1210" s="345" t="n">
        <v>45817</v>
      </c>
      <c r="J1210" s="345" t="n">
        <v>45817</v>
      </c>
      <c r="K1210" s="77" t="n">
        <v>30</v>
      </c>
      <c r="L1210" s="5" t="inlineStr">
        <is>
          <t>SFST81000009</t>
        </is>
      </c>
      <c r="M1210" s="7" t="inlineStr">
        <is>
          <t>Tool and Equipment  Engineering</t>
        </is>
      </c>
      <c r="N1210" s="7" t="inlineStr">
        <is>
          <t>Consumable part</t>
        </is>
      </c>
      <c r="O1210" s="11" t="n">
        <v>4</v>
      </c>
      <c r="P1210" s="91" t="inlineStr">
        <is>
          <t>center 69 mm. size 14x35x4000 mm</t>
        </is>
      </c>
      <c r="Q1210" s="360" t="n">
        <v>5</v>
      </c>
      <c r="R1210" s="98" t="inlineStr">
        <is>
          <t>PCS.</t>
        </is>
      </c>
      <c r="S1210" s="361">
        <f>RawDataGenPO[[#This Row],[Total price]]/RawDataGenPO[[#This Row],[Qty'']]</f>
        <v/>
      </c>
      <c r="T1210" s="362" t="n">
        <v>425</v>
      </c>
      <c r="U1210" s="363" t="n"/>
      <c r="V1210" s="90" t="inlineStr">
        <is>
          <t>V1000840 - S.Q. &amp; CO CO., LTD</t>
        </is>
      </c>
      <c r="W1210" s="30" t="inlineStr">
        <is>
          <t>Recive bill and GRN already</t>
        </is>
      </c>
      <c r="X1210" s="5" t="inlineStr">
        <is>
          <t>GRN2526-0001733</t>
        </is>
      </c>
      <c r="Y1210" s="3" t="n">
        <v>45825</v>
      </c>
      <c r="AA1210" s="17">
        <f>IF(RawDataGenPO[[#This Row],[Date Gen PO]]="","",RawDataGenPO[[#This Row],[Date recive bill]]-RawDataGenPO[[#This Row],[Date Gen PO]])</f>
        <v/>
      </c>
      <c r="AB1210" s="16">
        <f>IF(RawDataGenPO[[#This Row],[GRN-PO date]]&gt;RawDataGenPO[[#This Row],[Lead time delivery (day)]],"over deliverry","Ontime")</f>
        <v/>
      </c>
      <c r="AC1210" s="22" t="n"/>
    </row>
    <row r="1211" ht="15" customHeight="1">
      <c r="A1211" s="5">
        <f>ROW()-ROW(RawDataGenPO[[#Headers],[No.]])</f>
        <v/>
      </c>
      <c r="B1211" s="7" t="inlineStr">
        <is>
          <t>Expent  cost</t>
        </is>
      </c>
      <c r="C1211" s="355" t="n">
        <v>45813</v>
      </c>
      <c r="F1211" s="301" t="n">
        <v>45813</v>
      </c>
      <c r="G1211" s="5" t="inlineStr">
        <is>
          <t>PR2526-00820</t>
        </is>
      </c>
      <c r="H1211" s="5" t="inlineStr">
        <is>
          <t>PO2526-01240</t>
        </is>
      </c>
      <c r="I1211" s="345" t="n">
        <v>45817</v>
      </c>
      <c r="J1211" s="345" t="n">
        <v>45817</v>
      </c>
      <c r="K1211" s="77" t="n">
        <v>30</v>
      </c>
      <c r="L1211" s="5" t="inlineStr">
        <is>
          <t>SFST81000009</t>
        </is>
      </c>
      <c r="M1211" s="7" t="inlineStr">
        <is>
          <t>Tool and Equipment  Engineering</t>
        </is>
      </c>
      <c r="N1211" s="7" t="inlineStr">
        <is>
          <t>Consumable part</t>
        </is>
      </c>
      <c r="O1211" s="11" t="n">
        <v>5</v>
      </c>
      <c r="P1211" s="94" t="inlineStr">
        <is>
          <t>screw screwceiling No.6 length11/2 (1inch) head</t>
        </is>
      </c>
      <c r="Q1211" s="356" t="n">
        <v>1</v>
      </c>
      <c r="R1211" s="104" t="inlineStr">
        <is>
          <t>PCS.</t>
        </is>
      </c>
      <c r="S1211" s="357">
        <f>RawDataGenPO[[#This Row],[Total price]]/RawDataGenPO[[#This Row],[Qty'']]</f>
        <v/>
      </c>
      <c r="T1211" s="358" t="n">
        <v>63</v>
      </c>
      <c r="U1211" s="359" t="n"/>
      <c r="V1211" s="100" t="inlineStr">
        <is>
          <t>V1000259 - JJP SUPPLY CO., LTD</t>
        </is>
      </c>
      <c r="W1211" s="30" t="inlineStr">
        <is>
          <t>Recive bill and GRN already</t>
        </is>
      </c>
      <c r="X1211" s="5" t="inlineStr">
        <is>
          <t>GRN2526-0001868</t>
        </is>
      </c>
      <c r="Y1211" s="3" t="n">
        <v>45828</v>
      </c>
      <c r="AA1211" s="17">
        <f>IF(RawDataGenPO[[#This Row],[Date Gen PO]]="","",RawDataGenPO[[#This Row],[Date recive bill]]-RawDataGenPO[[#This Row],[Date Gen PO]])</f>
        <v/>
      </c>
      <c r="AB1211" s="16">
        <f>IF(RawDataGenPO[[#This Row],[GRN-PO date]]&gt;RawDataGenPO[[#This Row],[Lead time delivery (day)]],"over deliverry","Ontime")</f>
        <v/>
      </c>
      <c r="AC1211" s="22" t="n"/>
    </row>
    <row r="1212" ht="15" customHeight="1">
      <c r="A1212" s="5">
        <f>ROW()-ROW(RawDataGenPO[[#Headers],[No.]])</f>
        <v/>
      </c>
      <c r="B1212" s="7" t="inlineStr">
        <is>
          <t>Expent  cost</t>
        </is>
      </c>
      <c r="C1212" s="355" t="n">
        <v>45813</v>
      </c>
      <c r="F1212" s="301" t="n">
        <v>45813</v>
      </c>
      <c r="G1212" s="5" t="inlineStr">
        <is>
          <t>PR2526-00820</t>
        </is>
      </c>
      <c r="H1212" s="5" t="inlineStr">
        <is>
          <t>PO2526-01241</t>
        </is>
      </c>
      <c r="I1212" s="345" t="n">
        <v>45817</v>
      </c>
      <c r="J1212" s="345" t="n">
        <v>45817</v>
      </c>
      <c r="K1212" s="77" t="n">
        <v>30</v>
      </c>
      <c r="L1212" s="5" t="inlineStr">
        <is>
          <t>SFST81000009</t>
        </is>
      </c>
      <c r="M1212" s="7" t="inlineStr">
        <is>
          <t>Tool and Equipment  Engineering</t>
        </is>
      </c>
      <c r="N1212" s="7" t="inlineStr">
        <is>
          <t>Consumable part</t>
        </is>
      </c>
      <c r="O1212" s="11" t="n">
        <v>6</v>
      </c>
      <c r="P1212" s="91" t="inlineStr">
        <is>
          <t>BOSNY mWwallW 1.5 kg model B219</t>
        </is>
      </c>
      <c r="Q1212" s="360" t="n">
        <v>1</v>
      </c>
      <c r="R1212" s="98" t="inlineStr">
        <is>
          <t>PCS.</t>
        </is>
      </c>
      <c r="S1212" s="361">
        <f>RawDataGenPO[[#This Row],[Total price]]/RawDataGenPO[[#This Row],[Qty'']]</f>
        <v/>
      </c>
      <c r="T1212" s="362" t="n">
        <v>120</v>
      </c>
      <c r="U1212" s="363" t="n"/>
      <c r="V1212" s="90" t="inlineStr">
        <is>
          <t>V1000840 - S.Q. &amp; CO CO., LTD</t>
        </is>
      </c>
      <c r="W1212" s="30" t="inlineStr">
        <is>
          <t>Recive bill and GRN already</t>
        </is>
      </c>
      <c r="X1212" s="5" t="inlineStr">
        <is>
          <t>GRN2526-0001733</t>
        </is>
      </c>
      <c r="Y1212" s="3" t="n">
        <v>45825</v>
      </c>
      <c r="AA1212" s="17">
        <f>IF(RawDataGenPO[[#This Row],[Date Gen PO]]="","",RawDataGenPO[[#This Row],[Date recive bill]]-RawDataGenPO[[#This Row],[Date Gen PO]])</f>
        <v/>
      </c>
      <c r="AB1212" s="16">
        <f>IF(RawDataGenPO[[#This Row],[GRN-PO date]]&gt;RawDataGenPO[[#This Row],[Lead time delivery (day)]],"over deliverry","Ontime")</f>
        <v/>
      </c>
      <c r="AC1212" s="22" t="n"/>
    </row>
    <row r="1213" ht="30" customHeight="1">
      <c r="A1213" s="5">
        <f>ROW()-ROW(RawDataGenPO[[#Headers],[No.]])</f>
        <v/>
      </c>
      <c r="B1213" s="7" t="inlineStr">
        <is>
          <t>Expent  cost</t>
        </is>
      </c>
      <c r="C1213" s="355" t="n">
        <v>45813</v>
      </c>
      <c r="F1213" s="301" t="n">
        <v>45813</v>
      </c>
      <c r="G1213" s="5" t="inlineStr">
        <is>
          <t>PR2526-00820</t>
        </is>
      </c>
      <c r="H1213" s="5" t="inlineStr">
        <is>
          <t>PO2526-01241</t>
        </is>
      </c>
      <c r="I1213" s="345" t="n">
        <v>45817</v>
      </c>
      <c r="J1213" s="345" t="n">
        <v>45817</v>
      </c>
      <c r="K1213" s="77" t="n">
        <v>30</v>
      </c>
      <c r="L1213" s="5" t="inlineStr">
        <is>
          <t>SFST81000009</t>
        </is>
      </c>
      <c r="M1213" s="7" t="inlineStr">
        <is>
          <t>Tool and Equipment  Engineering</t>
        </is>
      </c>
      <c r="N1213" s="7" t="inlineStr">
        <is>
          <t>Consumable part</t>
        </is>
      </c>
      <c r="O1213" s="11" t="n">
        <v>7</v>
      </c>
      <c r="P1213" s="91" t="inlineStr">
        <is>
          <t>m type smooth (SE) 9 mm
GYPROC size 120 x 240 cm</t>
        </is>
      </c>
      <c r="Q1213" s="360" t="n">
        <v>3</v>
      </c>
      <c r="R1213" s="98" t="inlineStr">
        <is>
          <t>PCS.</t>
        </is>
      </c>
      <c r="S1213" s="361">
        <f>RawDataGenPO[[#This Row],[Total price]]/RawDataGenPO[[#This Row],[Qty'']]</f>
        <v/>
      </c>
      <c r="T1213" s="362" t="n">
        <v>705</v>
      </c>
      <c r="U1213" s="363" t="n"/>
      <c r="V1213" s="90" t="inlineStr">
        <is>
          <t>V1000840 - S.Q. &amp; CO CO., LTD</t>
        </is>
      </c>
      <c r="W1213" s="30" t="inlineStr">
        <is>
          <t>Recive bill and GRN already</t>
        </is>
      </c>
      <c r="X1213" s="5" t="inlineStr">
        <is>
          <t>GRN2526-0001733</t>
        </is>
      </c>
      <c r="Y1213" s="3" t="n">
        <v>45825</v>
      </c>
      <c r="AA1213" s="17">
        <f>IF(RawDataGenPO[[#This Row],[Date Gen PO]]="","",RawDataGenPO[[#This Row],[Date recive bill]]-RawDataGenPO[[#This Row],[Date Gen PO]])</f>
        <v/>
      </c>
      <c r="AB1213" s="16">
        <f>IF(RawDataGenPO[[#This Row],[GRN-PO date]]&gt;RawDataGenPO[[#This Row],[Lead time delivery (day)]],"over deliverry","Ontime")</f>
        <v/>
      </c>
      <c r="AC1213" s="22" t="n"/>
    </row>
    <row r="1214" ht="15" customHeight="1">
      <c r="A1214" s="5">
        <f>ROW()-ROW(RawDataGenPO[[#Headers],[No.]])</f>
        <v/>
      </c>
      <c r="B1214" s="7" t="inlineStr">
        <is>
          <t>Expent  cost</t>
        </is>
      </c>
      <c r="C1214" s="355" t="n">
        <v>45813</v>
      </c>
      <c r="F1214" s="301" t="n">
        <v>45813</v>
      </c>
      <c r="G1214" s="5" t="inlineStr">
        <is>
          <t>PR2526-00820</t>
        </is>
      </c>
      <c r="H1214" s="5" t="inlineStr">
        <is>
          <t>PO2526-01241</t>
        </is>
      </c>
      <c r="I1214" s="345" t="n">
        <v>45817</v>
      </c>
      <c r="J1214" s="345" t="n">
        <v>45817</v>
      </c>
      <c r="K1214" s="77" t="n">
        <v>30</v>
      </c>
      <c r="L1214" s="5" t="inlineStr">
        <is>
          <t>SFST81000009</t>
        </is>
      </c>
      <c r="M1214" s="7" t="inlineStr">
        <is>
          <t>Tool and Equipment  Engineering</t>
        </is>
      </c>
      <c r="N1214" s="7" t="inlineStr">
        <is>
          <t>Consumable part</t>
        </is>
      </c>
      <c r="O1214" s="11" t="n">
        <v>8</v>
      </c>
      <c r="P1214" s="91" t="inlineStr">
        <is>
          <t>W stainless steelmplastic 2 inch SOLO model 8450-2</t>
        </is>
      </c>
      <c r="Q1214" s="360" t="n">
        <v>4</v>
      </c>
      <c r="R1214" s="98" t="inlineStr">
        <is>
          <t>PCS.</t>
        </is>
      </c>
      <c r="S1214" s="361">
        <f>RawDataGenPO[[#This Row],[Total price]]/RawDataGenPO[[#This Row],[Qty'']]</f>
        <v/>
      </c>
      <c r="T1214" s="362" t="n">
        <v>160</v>
      </c>
      <c r="U1214" s="363" t="n"/>
      <c r="V1214" s="90" t="inlineStr">
        <is>
          <t>V1000840 - S.Q. &amp; CO CO., LTD</t>
        </is>
      </c>
      <c r="W1214" s="30" t="inlineStr">
        <is>
          <t>Recive bill and GRN already</t>
        </is>
      </c>
      <c r="X1214" s="5" t="inlineStr">
        <is>
          <t>GRN2526-0001733</t>
        </is>
      </c>
      <c r="Y1214" s="3" t="n">
        <v>45825</v>
      </c>
      <c r="AA1214" s="17">
        <f>IF(RawDataGenPO[[#This Row],[Date Gen PO]]="","",RawDataGenPO[[#This Row],[Date recive bill]]-RawDataGenPO[[#This Row],[Date Gen PO]])</f>
        <v/>
      </c>
      <c r="AB1214" s="16">
        <f>IF(RawDataGenPO[[#This Row],[GRN-PO date]]&gt;RawDataGenPO[[#This Row],[Lead time delivery (day)]],"over deliverry","Ontime")</f>
        <v/>
      </c>
      <c r="AC1214" s="22" t="n"/>
    </row>
    <row r="1215" ht="15" customHeight="1">
      <c r="A1215" s="5">
        <f>ROW()-ROW(RawDataGenPO[[#Headers],[No.]])</f>
        <v/>
      </c>
      <c r="B1215" s="7" t="inlineStr">
        <is>
          <t>Expent  cost</t>
        </is>
      </c>
      <c r="C1215" s="355" t="n">
        <v>45813</v>
      </c>
      <c r="F1215" s="301" t="n">
        <v>45813</v>
      </c>
      <c r="G1215" s="5" t="inlineStr">
        <is>
          <t>PR2526-00820</t>
        </is>
      </c>
      <c r="H1215" s="5" t="inlineStr">
        <is>
          <t>PO2526-01241</t>
        </is>
      </c>
      <c r="I1215" s="345" t="n">
        <v>45817</v>
      </c>
      <c r="J1215" s="345" t="n">
        <v>45817</v>
      </c>
      <c r="K1215" s="77" t="n">
        <v>30</v>
      </c>
      <c r="L1215" s="5" t="inlineStr">
        <is>
          <t>SFST81000009</t>
        </is>
      </c>
      <c r="M1215" s="7" t="inlineStr">
        <is>
          <t>Tool and Equipment  Engineering</t>
        </is>
      </c>
      <c r="N1215" s="7" t="inlineStr">
        <is>
          <t>Consumable part</t>
        </is>
      </c>
      <c r="O1215" s="11" t="n">
        <v>9</v>
      </c>
      <c r="P1215" s="91" t="inlineStr">
        <is>
          <t>W mplastic 5 inch SOLO model 8450-5</t>
        </is>
      </c>
      <c r="Q1215" s="360" t="n">
        <v>4</v>
      </c>
      <c r="R1215" s="98" t="inlineStr">
        <is>
          <t>PCS.</t>
        </is>
      </c>
      <c r="S1215" s="361">
        <f>RawDataGenPO[[#This Row],[Total price]]/RawDataGenPO[[#This Row],[Qty'']]</f>
        <v/>
      </c>
      <c r="T1215" s="362" t="n">
        <v>232</v>
      </c>
      <c r="U1215" s="363" t="n"/>
      <c r="V1215" s="90" t="inlineStr">
        <is>
          <t>V1000840 - S.Q. &amp; CO CO., LTD</t>
        </is>
      </c>
      <c r="W1215" s="30" t="inlineStr">
        <is>
          <t>Recive bill and GRN already</t>
        </is>
      </c>
      <c r="X1215" s="5" t="inlineStr">
        <is>
          <t>GRN2526-0001733</t>
        </is>
      </c>
      <c r="Y1215" s="3" t="n">
        <v>45825</v>
      </c>
      <c r="AA1215" s="17">
        <f>IF(RawDataGenPO[[#This Row],[Date Gen PO]]="","",RawDataGenPO[[#This Row],[Date recive bill]]-RawDataGenPO[[#This Row],[Date Gen PO]])</f>
        <v/>
      </c>
      <c r="AB1215" s="16">
        <f>IF(RawDataGenPO[[#This Row],[GRN-PO date]]&gt;RawDataGenPO[[#This Row],[Lead time delivery (day)]],"over deliverry","Ontime")</f>
        <v/>
      </c>
      <c r="AC1215" s="22" t="n"/>
    </row>
    <row r="1216" ht="15" customHeight="1">
      <c r="A1216" s="5">
        <f>ROW()-ROW(RawDataGenPO[[#Headers],[No.]])</f>
        <v/>
      </c>
      <c r="B1216" s="7" t="inlineStr">
        <is>
          <t>Expent  cost</t>
        </is>
      </c>
      <c r="C1216" s="355" t="n">
        <v>45818</v>
      </c>
      <c r="F1216" s="301" t="n">
        <v>45818</v>
      </c>
      <c r="G1216" s="5" t="inlineStr">
        <is>
          <t>PR2526-00921</t>
        </is>
      </c>
      <c r="H1216" s="5" t="inlineStr">
        <is>
          <t>PO2526-01360</t>
        </is>
      </c>
      <c r="I1216" s="345" t="n">
        <v>45824</v>
      </c>
      <c r="J1216" s="345" t="n">
        <v>45824</v>
      </c>
      <c r="K1216" s="77" t="n">
        <v>60</v>
      </c>
      <c r="L1216" s="5" t="inlineStr">
        <is>
          <t>SFST81000048</t>
        </is>
      </c>
      <c r="M1216" s="7" t="inlineStr">
        <is>
          <t>PD Machine</t>
        </is>
      </c>
      <c r="N1216" s="7" t="inlineStr">
        <is>
          <t>Food Mixer 3</t>
        </is>
      </c>
      <c r="O1216" s="11" t="n">
        <v>1</v>
      </c>
      <c r="P1216" s="80" t="inlineStr">
        <is>
          <t>Gear for mixer machine</t>
        </is>
      </c>
      <c r="Q1216" s="277" t="n">
        <v>1</v>
      </c>
      <c r="R1216" s="5" t="inlineStr">
        <is>
          <t>SET.</t>
        </is>
      </c>
      <c r="S1216" s="292">
        <f>RawDataGenPO[[#This Row],[Total price]]/RawDataGenPO[[#This Row],[Qty'']]</f>
        <v/>
      </c>
      <c r="T1216" s="278" t="n">
        <v>8500</v>
      </c>
      <c r="U1216" s="291" t="n"/>
      <c r="V1216" s="7" t="inlineStr">
        <is>
          <t>V1000280 - Thaikitchenmart Co., Ltd</t>
        </is>
      </c>
      <c r="W1216" s="30" t="inlineStr">
        <is>
          <t>Recive bill and GRN already</t>
        </is>
      </c>
      <c r="X1216" s="5" t="inlineStr">
        <is>
          <t>GRN2526-0002408</t>
        </is>
      </c>
      <c r="Y1216" s="3" t="n">
        <v>45855</v>
      </c>
      <c r="AA1216" s="17">
        <f>IF(RawDataGenPO[[#This Row],[Date Gen PO]]="","",RawDataGenPO[[#This Row],[Date recive bill]]-RawDataGenPO[[#This Row],[Date Gen PO]])</f>
        <v/>
      </c>
      <c r="AB1216" s="16">
        <f>IF(RawDataGenPO[[#This Row],[GRN-PO date]]&gt;RawDataGenPO[[#This Row],[Lead time delivery (day)]],"over deliverry","Ontime")</f>
        <v/>
      </c>
      <c r="AC1216" s="22" t="n"/>
    </row>
    <row r="1217" ht="30" customHeight="1">
      <c r="A1217" s="5">
        <f>ROW()-ROW(RawDataGenPO[[#Headers],[No.]])</f>
        <v/>
      </c>
      <c r="B1217" s="7" t="inlineStr">
        <is>
          <t>Expent  cost</t>
        </is>
      </c>
      <c r="C1217" s="355" t="n">
        <v>45818</v>
      </c>
      <c r="F1217" s="301" t="n">
        <v>45818</v>
      </c>
      <c r="G1217" s="5" t="inlineStr">
        <is>
          <t>PR2526-00922</t>
        </is>
      </c>
      <c r="H1217" s="5" t="inlineStr">
        <is>
          <t xml:space="preserve">PO2526-01361 </t>
        </is>
      </c>
      <c r="I1217" s="345" t="n">
        <v>45824</v>
      </c>
      <c r="J1217" s="345" t="n">
        <v>45824</v>
      </c>
      <c r="K1217" s="77" t="n">
        <v>30</v>
      </c>
      <c r="L1217" s="5" t="inlineStr">
        <is>
          <t>SFST81000009</t>
        </is>
      </c>
      <c r="M1217" s="7" t="inlineStr">
        <is>
          <t>Tool and Equipment PD M/C</t>
        </is>
      </c>
      <c r="N1217" s="7" t="inlineStr">
        <is>
          <t>Tool and Equipment</t>
        </is>
      </c>
      <c r="O1217" s="11" t="n">
        <v>1</v>
      </c>
      <c r="P1217" s="80" t="inlineStr">
        <is>
          <t>"SIEMENS" CONTACTOR 3TS3411-OAN2 220V 32A
50/60 HZ, 15kW 1NO+1NC</t>
        </is>
      </c>
      <c r="Q1217" s="277" t="n">
        <v>5</v>
      </c>
      <c r="R1217" s="5" t="inlineStr">
        <is>
          <t>PCS.</t>
        </is>
      </c>
      <c r="S1217" s="292">
        <f>RawDataGenPO[[#This Row],[Total price]]/RawDataGenPO[[#This Row],[Qty'']]</f>
        <v/>
      </c>
      <c r="T1217" s="278" t="n">
        <v>8850</v>
      </c>
      <c r="U1217" s="291" t="n"/>
      <c r="V1217" s="7" t="inlineStr">
        <is>
          <t>V1000276 - SN. ELECTRIC AND SUPPLY CO., LTD.</t>
        </is>
      </c>
      <c r="W1217" s="30" t="inlineStr">
        <is>
          <t>Recive bill and GRN already</t>
        </is>
      </c>
      <c r="X1217" s="5" t="inlineStr">
        <is>
          <t>GRN2526-0001870</t>
        </is>
      </c>
      <c r="Y1217" s="3" t="n">
        <v>45828</v>
      </c>
      <c r="AA1217" s="17">
        <f>IF(RawDataGenPO[[#This Row],[Date Gen PO]]="","",RawDataGenPO[[#This Row],[Date recive bill]]-RawDataGenPO[[#This Row],[Date Gen PO]])</f>
        <v/>
      </c>
      <c r="AB1217" s="16">
        <f>IF(RawDataGenPO[[#This Row],[GRN-PO date]]&gt;RawDataGenPO[[#This Row],[Lead time delivery (day)]],"over deliverry","Ontime")</f>
        <v/>
      </c>
      <c r="AC1217" s="22" t="n"/>
    </row>
    <row r="1218" ht="15" customHeight="1">
      <c r="A1218" s="5">
        <f>ROW()-ROW(RawDataGenPO[[#Headers],[No.]])</f>
        <v/>
      </c>
      <c r="B1218" s="7" t="inlineStr">
        <is>
          <t>Expent  cost</t>
        </is>
      </c>
      <c r="C1218" s="355" t="n">
        <v>45821</v>
      </c>
      <c r="F1218" s="301" t="n">
        <v>45821</v>
      </c>
      <c r="G1218" s="5" t="inlineStr">
        <is>
          <t>PR2526-01017</t>
        </is>
      </c>
      <c r="H1218" s="5" t="inlineStr">
        <is>
          <t>PO2526-01577</t>
        </is>
      </c>
      <c r="I1218" s="345" t="n">
        <v>45831</v>
      </c>
      <c r="J1218" s="345" t="n">
        <v>45831</v>
      </c>
      <c r="K1218" s="77" t="n">
        <v>30</v>
      </c>
      <c r="L1218" s="5" t="inlineStr">
        <is>
          <t>SFST81000048</t>
        </is>
      </c>
      <c r="M1218" s="7" t="inlineStr">
        <is>
          <t>PD Machine</t>
        </is>
      </c>
      <c r="N1218" s="7" t="inlineStr">
        <is>
          <t>Vegetable Dicing Machine  Robot coupe CL-50 No.1</t>
        </is>
      </c>
      <c r="O1218" s="11" t="n">
        <v>1</v>
      </c>
      <c r="P1218" s="80" t="inlineStr">
        <is>
          <t>"ROBOT COUPE" MOTOR H50 (CL50) PART NO 3114S</t>
        </is>
      </c>
      <c r="Q1218" s="277" t="n">
        <v>1</v>
      </c>
      <c r="R1218" s="5" t="inlineStr">
        <is>
          <t>JOB.</t>
        </is>
      </c>
      <c r="S1218" s="292">
        <f>RawDataGenPO[[#This Row],[Total price]]/RawDataGenPO[[#This Row],[Qty'']]</f>
        <v/>
      </c>
      <c r="T1218" s="278" t="n">
        <v>9400</v>
      </c>
      <c r="U1218" s="291" t="n"/>
      <c r="V1218" s="7" t="inlineStr">
        <is>
          <t>V1000285 - BANGKOK SEVENFIVE CO., LTD</t>
        </is>
      </c>
      <c r="W1218" s="30" t="inlineStr">
        <is>
          <t>Recive bill and GRN already</t>
        </is>
      </c>
      <c r="X1218" s="5" t="inlineStr">
        <is>
          <t>GRN2526-0002115</t>
        </is>
      </c>
      <c r="Y1218" s="3" t="n">
        <v>45840</v>
      </c>
      <c r="AA1218" s="17">
        <f>IF(RawDataGenPO[[#This Row],[Date Gen PO]]="","",RawDataGenPO[[#This Row],[Date recive bill]]-RawDataGenPO[[#This Row],[Date Gen PO]])</f>
        <v/>
      </c>
      <c r="AB1218" s="16">
        <f>IF(RawDataGenPO[[#This Row],[GRN-PO date]]&gt;RawDataGenPO[[#This Row],[Lead time delivery (day)]],"over deliverry","Ontime")</f>
        <v/>
      </c>
      <c r="AC1218" s="22" t="n"/>
    </row>
    <row r="1219" ht="15" customHeight="1">
      <c r="A1219" s="5">
        <f>ROW()-ROW(RawDataGenPO[[#Headers],[No.]])</f>
        <v/>
      </c>
      <c r="B1219" s="7" t="inlineStr">
        <is>
          <t>Expent  cost</t>
        </is>
      </c>
      <c r="C1219" s="355" t="n">
        <v>45821</v>
      </c>
      <c r="F1219" s="301" t="n">
        <v>45821</v>
      </c>
      <c r="G1219" s="5" t="inlineStr">
        <is>
          <t>PR2526-01017</t>
        </is>
      </c>
      <c r="H1219" s="5" t="inlineStr">
        <is>
          <t>PO2526-01577</t>
        </is>
      </c>
      <c r="I1219" s="345" t="n">
        <v>45831</v>
      </c>
      <c r="J1219" s="345" t="n">
        <v>45831</v>
      </c>
      <c r="K1219" s="77" t="n">
        <v>30</v>
      </c>
      <c r="L1219" s="5" t="inlineStr">
        <is>
          <t>SFST81000048</t>
        </is>
      </c>
      <c r="M1219" s="7" t="inlineStr">
        <is>
          <t>PD Machine</t>
        </is>
      </c>
      <c r="N1219" s="7" t="inlineStr">
        <is>
          <t>Vegetable Dicing Machine  Robot coupe CL-50 No.1</t>
        </is>
      </c>
      <c r="O1219" s="11" t="n">
        <v>2</v>
      </c>
      <c r="P1219" s="80" t="inlineStr">
        <is>
          <t>Delivery charge</t>
        </is>
      </c>
      <c r="Q1219" s="277" t="n">
        <v>1</v>
      </c>
      <c r="R1219" s="5" t="inlineStr">
        <is>
          <t>JOB.</t>
        </is>
      </c>
      <c r="S1219" s="292">
        <f>RawDataGenPO[[#This Row],[Total price]]/RawDataGenPO[[#This Row],[Qty'']]</f>
        <v/>
      </c>
      <c r="T1219" s="278" t="n">
        <v>300</v>
      </c>
      <c r="U1219" s="291" t="n"/>
      <c r="V1219" s="7" t="inlineStr">
        <is>
          <t>V1000285 - BANGKOK SEVENFIVE CO., LTD</t>
        </is>
      </c>
      <c r="W1219" s="30" t="inlineStr">
        <is>
          <t>Recive bill and GRN already</t>
        </is>
      </c>
      <c r="X1219" s="5" t="inlineStr">
        <is>
          <t>GRN2526-0002115</t>
        </is>
      </c>
      <c r="Y1219" s="3" t="n">
        <v>45840</v>
      </c>
      <c r="AA1219" s="17">
        <f>IF(RawDataGenPO[[#This Row],[Date Gen PO]]="","",RawDataGenPO[[#This Row],[Date recive bill]]-RawDataGenPO[[#This Row],[Date Gen PO]])</f>
        <v/>
      </c>
      <c r="AB1219" s="16">
        <f>IF(RawDataGenPO[[#This Row],[GRN-PO date]]&gt;RawDataGenPO[[#This Row],[Lead time delivery (day)]],"over deliverry","Ontime")</f>
        <v/>
      </c>
      <c r="AC1219" s="22" t="n"/>
    </row>
    <row r="1220" ht="15" customHeight="1">
      <c r="A1220" s="5">
        <f>ROW()-ROW(RawDataGenPO[[#Headers],[No.]])</f>
        <v/>
      </c>
      <c r="B1220" s="7" t="inlineStr">
        <is>
          <t>Expent  cost</t>
        </is>
      </c>
      <c r="C1220" s="355" t="n">
        <v>45823</v>
      </c>
      <c r="F1220" s="301" t="n">
        <v>45823</v>
      </c>
      <c r="G1220" s="5" t="inlineStr">
        <is>
          <t>PR2526-01034</t>
        </is>
      </c>
      <c r="H1220" s="5" t="inlineStr">
        <is>
          <t>PO2526-01579</t>
        </is>
      </c>
      <c r="I1220" s="345" t="n">
        <v>45831</v>
      </c>
      <c r="J1220" s="77" t="n"/>
      <c r="K1220" s="77" t="n">
        <v>15</v>
      </c>
      <c r="L1220" s="5" t="inlineStr">
        <is>
          <t>SFST34000048</t>
        </is>
      </c>
      <c r="M1220" s="7" t="inlineStr">
        <is>
          <t>Consumable part for MN</t>
        </is>
      </c>
      <c r="N1220" s="7" t="inlineStr">
        <is>
          <t>Tool and Equipment</t>
        </is>
      </c>
      <c r="O1220" s="11" t="n">
        <v>1</v>
      </c>
      <c r="P1220" s="80" t="inlineStr">
        <is>
          <t>"Carel",IREVCOHCOO, temperature controller</t>
        </is>
      </c>
      <c r="Q1220" s="277" t="n">
        <v>4</v>
      </c>
      <c r="R1220" s="5" t="inlineStr">
        <is>
          <t>PCS.</t>
        </is>
      </c>
      <c r="S1220" s="292">
        <f>RawDataGenPO[[#This Row],[Total price]]/RawDataGenPO[[#This Row],[Qty'']]</f>
        <v/>
      </c>
      <c r="T1220" s="278" t="n">
        <v>13090</v>
      </c>
      <c r="U1220" s="291" t="n"/>
      <c r="V1220" s="7" t="inlineStr">
        <is>
          <t>V1000265 - Q Inter Supply Co., Ltd</t>
        </is>
      </c>
      <c r="W1220" s="30" t="inlineStr">
        <is>
          <t>Recive bill and GRN already</t>
        </is>
      </c>
      <c r="X1220" s="5" t="inlineStr">
        <is>
          <t>GRN2526-0002023</t>
        </is>
      </c>
      <c r="Y1220" s="3" t="n">
        <v>45831</v>
      </c>
      <c r="AA1220" s="17">
        <f>IF(RawDataGenPO[[#This Row],[Date Gen PO]]="","",RawDataGenPO[[#This Row],[Date recive bill]]-RawDataGenPO[[#This Row],[Date Gen PO]])</f>
        <v/>
      </c>
      <c r="AB1220" s="16">
        <f>IF(RawDataGenPO[[#This Row],[GRN-PO date]]&gt;RawDataGenPO[[#This Row],[Lead time delivery (day)]],"over deliverry","Ontime")</f>
        <v/>
      </c>
      <c r="AC1220" s="22" t="n"/>
    </row>
    <row r="1221" ht="135" customHeight="1">
      <c r="A1221" s="5">
        <f>ROW()-ROW(RawDataGenPO[[#Headers],[No.]])</f>
        <v/>
      </c>
      <c r="B1221" s="7" t="inlineStr">
        <is>
          <t>Expent  cost</t>
        </is>
      </c>
      <c r="C1221" s="355" t="n">
        <v>45823</v>
      </c>
      <c r="F1221" s="301" t="n">
        <v>45823</v>
      </c>
      <c r="G1221" s="5" t="inlineStr">
        <is>
          <t>PR2526-01035</t>
        </is>
      </c>
      <c r="H1221" s="5" t="inlineStr">
        <is>
          <t>PO2526-01578</t>
        </is>
      </c>
      <c r="I1221" s="345" t="n">
        <v>45836</v>
      </c>
      <c r="J1221" s="345" t="n">
        <v>45836</v>
      </c>
      <c r="K1221" s="77" t="n">
        <v>60</v>
      </c>
      <c r="L1221" s="5" t="inlineStr">
        <is>
          <t>SFST81000078</t>
        </is>
      </c>
      <c r="M1221" s="7" t="inlineStr">
        <is>
          <t>Civill jobs (Floor-Wall-Celling-roof)</t>
        </is>
      </c>
      <c r="N1221" s="7" t="inlineStr">
        <is>
          <t>Cevil jobs</t>
        </is>
      </c>
      <c r="O1221" s="11" t="n">
        <v>1</v>
      </c>
      <c r="P1221" s="80" t="inlineStr">
        <is>
          <t>Repair: Ceiling, Wall, Tiled floor in Office
- In office Khun Tino
- Female staff room in Low risk area
- Walkway before entering the production line in Low risk
- Male staff room in Low risk area
- Male staff room in High risk area
- Female staff room in High risk area
- Women's Restroom and Clothes storage room
in Medium risk area</t>
        </is>
      </c>
      <c r="Q1221" s="277" t="n">
        <v>1</v>
      </c>
      <c r="R1221" s="5" t="inlineStr">
        <is>
          <t>JOB.</t>
        </is>
      </c>
      <c r="S1221" s="292">
        <f>RawDataGenPO[[#This Row],[Total price]]/RawDataGenPO[[#This Row],[Qty'']]</f>
        <v/>
      </c>
      <c r="T1221" s="278" t="n">
        <v>44600</v>
      </c>
      <c r="U1221" s="291" t="n"/>
      <c r="V1221" s="7" t="inlineStr">
        <is>
          <t>V1000117 - NPN ENGINEERING SOLUTION SUPPLY CO., LTD.</t>
        </is>
      </c>
      <c r="W1221" s="30" t="inlineStr">
        <is>
          <t>Recive bill and GRN already</t>
        </is>
      </c>
      <c r="X1221" s="5" t="inlineStr">
        <is>
          <t>GRN2526-0002914</t>
        </is>
      </c>
      <c r="Y1221" s="3" t="n">
        <v>45874</v>
      </c>
      <c r="AA1221" s="17">
        <f>IF(RawDataGenPO[[#This Row],[Date Gen PO]]="","",RawDataGenPO[[#This Row],[Date recive bill]]-RawDataGenPO[[#This Row],[Date Gen PO]])</f>
        <v/>
      </c>
      <c r="AB1221" s="16">
        <f>IF(RawDataGenPO[[#This Row],[GRN-PO date]]&gt;RawDataGenPO[[#This Row],[Lead time delivery (day)]],"over deliverry","Ontime")</f>
        <v/>
      </c>
      <c r="AC1221" s="22" t="n"/>
    </row>
    <row r="1222" ht="15" customHeight="1">
      <c r="A1222" s="5">
        <f>ROW()-ROW(RawDataGenPO[[#Headers],[No.]])</f>
        <v/>
      </c>
      <c r="B1222" s="7" t="inlineStr">
        <is>
          <t>Expent  cost</t>
        </is>
      </c>
      <c r="C1222" s="355" t="n">
        <v>45823</v>
      </c>
      <c r="F1222" s="301" t="n">
        <v>45823</v>
      </c>
      <c r="G1222" s="5" t="inlineStr">
        <is>
          <t xml:space="preserve">PR2526-01036 </t>
        </is>
      </c>
      <c r="H1222" s="5" t="inlineStr">
        <is>
          <t>PO2526-01580</t>
        </is>
      </c>
      <c r="I1222" s="345" t="n">
        <v>45836</v>
      </c>
      <c r="J1222" s="345" t="n">
        <v>45836</v>
      </c>
      <c r="K1222" s="77" t="n">
        <v>20</v>
      </c>
      <c r="L1222" s="5" t="inlineStr">
        <is>
          <t>SFST81000009</t>
        </is>
      </c>
      <c r="M1222" s="7" t="inlineStr">
        <is>
          <t>Consumable part for MN</t>
        </is>
      </c>
      <c r="N1222" s="7" t="inlineStr">
        <is>
          <t>Consumable part</t>
        </is>
      </c>
      <c r="O1222" s="11" t="n">
        <v>1</v>
      </c>
      <c r="P1222" s="89" t="inlineStr">
        <is>
          <t>cableset white</t>
        </is>
      </c>
      <c r="Q1222" s="277" t="n">
        <v>10</v>
      </c>
      <c r="R1222" s="5" t="inlineStr">
        <is>
          <t>PCS.</t>
        </is>
      </c>
      <c r="S1222" s="292">
        <f>RawDataGenPO[[#This Row],[Total price]]/RawDataGenPO[[#This Row],[Qty'']]</f>
        <v/>
      </c>
      <c r="T1222" s="278" t="n">
        <v>1250</v>
      </c>
      <c r="U1222" s="291" t="n"/>
      <c r="V1222" s="7" t="inlineStr">
        <is>
          <t>V1000603 - TM SUKSAP TRADING LIMITED PARTNERSHIP</t>
        </is>
      </c>
      <c r="W1222" s="30" t="inlineStr">
        <is>
          <t>Recive bill and GRN already</t>
        </is>
      </c>
      <c r="X1222" s="5" t="inlineStr">
        <is>
          <t>GRN2526-0002241</t>
        </is>
      </c>
      <c r="Y1222" s="3" t="n">
        <v>45845</v>
      </c>
      <c r="AA1222" s="17">
        <f>IF(RawDataGenPO[[#This Row],[Date Gen PO]]="","",RawDataGenPO[[#This Row],[Date recive bill]]-RawDataGenPO[[#This Row],[Date Gen PO]])</f>
        <v/>
      </c>
      <c r="AB1222" s="16">
        <f>IF(RawDataGenPO[[#This Row],[GRN-PO date]]&gt;RawDataGenPO[[#This Row],[Lead time delivery (day)]],"over deliverry","Ontime")</f>
        <v/>
      </c>
      <c r="AC1222" s="22" t="n"/>
    </row>
    <row r="1223" ht="15" customHeight="1">
      <c r="A1223" s="5">
        <f>ROW()-ROW(RawDataGenPO[[#Headers],[No.]])</f>
        <v/>
      </c>
      <c r="B1223" s="7" t="inlineStr">
        <is>
          <t>Expent  cost</t>
        </is>
      </c>
      <c r="C1223" s="355" t="n">
        <v>45823</v>
      </c>
      <c r="F1223" s="301" t="n">
        <v>45823</v>
      </c>
      <c r="G1223" s="5" t="inlineStr">
        <is>
          <t xml:space="preserve">PR2526-01036 </t>
        </is>
      </c>
      <c r="H1223" s="5" t="inlineStr">
        <is>
          <t>PO2526-01580</t>
        </is>
      </c>
      <c r="I1223" s="345" t="n">
        <v>45836</v>
      </c>
      <c r="J1223" s="345" t="n">
        <v>45836</v>
      </c>
      <c r="K1223" s="77" t="n">
        <v>20</v>
      </c>
      <c r="L1223" s="5" t="inlineStr">
        <is>
          <t>SFST81000009</t>
        </is>
      </c>
      <c r="M1223" s="7" t="inlineStr">
        <is>
          <t>Consumable part for MN</t>
        </is>
      </c>
      <c r="N1223" s="7" t="inlineStr">
        <is>
          <t>Consumable part</t>
        </is>
      </c>
      <c r="O1223" s="11" t="n">
        <v>2</v>
      </c>
      <c r="P1223" s="89" t="inlineStr">
        <is>
          <t>setcable stainless steel set</t>
        </is>
      </c>
      <c r="Q1223" s="277" t="n">
        <v>10</v>
      </c>
      <c r="R1223" s="5" t="inlineStr">
        <is>
          <t>PCS.</t>
        </is>
      </c>
      <c r="S1223" s="292">
        <f>RawDataGenPO[[#This Row],[Total price]]/RawDataGenPO[[#This Row],[Qty'']]</f>
        <v/>
      </c>
      <c r="T1223" s="278" t="n">
        <v>1600</v>
      </c>
      <c r="U1223" s="291" t="n"/>
      <c r="V1223" s="7" t="inlineStr">
        <is>
          <t>V1000603 - TM SUKSAP TRADING LIMITED PARTNERSHIP</t>
        </is>
      </c>
      <c r="W1223" s="30" t="inlineStr">
        <is>
          <t>Recive bill and GRN already</t>
        </is>
      </c>
      <c r="X1223" s="5" t="inlineStr">
        <is>
          <t>GRN2526-0002241</t>
        </is>
      </c>
      <c r="Y1223" s="3" t="n">
        <v>45845</v>
      </c>
      <c r="AA1223" s="17">
        <f>IF(RawDataGenPO[[#This Row],[Date Gen PO]]="","",RawDataGenPO[[#This Row],[Date recive bill]]-RawDataGenPO[[#This Row],[Date Gen PO]])</f>
        <v/>
      </c>
      <c r="AB1223" s="16">
        <f>IF(RawDataGenPO[[#This Row],[GRN-PO date]]&gt;RawDataGenPO[[#This Row],[Lead time delivery (day)]],"over deliverry","Ontime")</f>
        <v/>
      </c>
      <c r="AC1223" s="22" t="n"/>
    </row>
    <row r="1224" ht="15" customHeight="1">
      <c r="A1224" s="5">
        <f>ROW()-ROW(RawDataGenPO[[#Headers],[No.]])</f>
        <v/>
      </c>
      <c r="B1224" s="7" t="inlineStr">
        <is>
          <t>Expent  cost</t>
        </is>
      </c>
      <c r="C1224" s="355" t="n">
        <v>45823</v>
      </c>
      <c r="F1224" s="301" t="n">
        <v>45823</v>
      </c>
      <c r="G1224" s="5" t="inlineStr">
        <is>
          <t xml:space="preserve">PR2526-01036 </t>
        </is>
      </c>
      <c r="H1224" s="5" t="inlineStr">
        <is>
          <t>PO2526-01580</t>
        </is>
      </c>
      <c r="I1224" s="345" t="n">
        <v>45836</v>
      </c>
      <c r="J1224" s="345" t="n">
        <v>45836</v>
      </c>
      <c r="K1224" s="77" t="n">
        <v>20</v>
      </c>
      <c r="L1224" s="5" t="inlineStr">
        <is>
          <t>SFST81000009</t>
        </is>
      </c>
      <c r="M1224" s="7" t="inlineStr">
        <is>
          <t>Consumable part for MN</t>
        </is>
      </c>
      <c r="N1224" s="7" t="inlineStr">
        <is>
          <t>Consumable part</t>
        </is>
      </c>
      <c r="O1224" s="11" t="n">
        <v>3</v>
      </c>
      <c r="P1224" s="89" t="inlineStr"/>
      <c r="Q1224" s="277" t="n">
        <v>10</v>
      </c>
      <c r="R1224" s="5" t="inlineStr">
        <is>
          <t>PCS.</t>
        </is>
      </c>
      <c r="S1224" s="292">
        <f>RawDataGenPO[[#This Row],[Total price]]/RawDataGenPO[[#This Row],[Qty'']]</f>
        <v/>
      </c>
      <c r="T1224" s="278" t="n">
        <v>1600</v>
      </c>
      <c r="U1224" s="291" t="n"/>
      <c r="V1224" s="7" t="inlineStr">
        <is>
          <t>V1000603 - TM SUKSAP TRADING LIMITED PARTNERSHIP</t>
        </is>
      </c>
      <c r="W1224" s="30" t="inlineStr">
        <is>
          <t>Recive bill and GRN already</t>
        </is>
      </c>
      <c r="X1224" s="5" t="inlineStr">
        <is>
          <t>GRN2526-0002241</t>
        </is>
      </c>
      <c r="Y1224" s="3" t="n">
        <v>45845</v>
      </c>
      <c r="AA1224" s="17">
        <f>IF(RawDataGenPO[[#This Row],[Date Gen PO]]="","",RawDataGenPO[[#This Row],[Date recive bill]]-RawDataGenPO[[#This Row],[Date Gen PO]])</f>
        <v/>
      </c>
      <c r="AB1224" s="16">
        <f>IF(RawDataGenPO[[#This Row],[GRN-PO date]]&gt;RawDataGenPO[[#This Row],[Lead time delivery (day)]],"over deliverry","Ontime")</f>
        <v/>
      </c>
      <c r="AC1224" s="22" t="n"/>
    </row>
    <row r="1225" ht="15" customHeight="1">
      <c r="A1225" s="5">
        <f>ROW()-ROW(RawDataGenPO[[#Headers],[No.]])</f>
        <v/>
      </c>
      <c r="B1225" s="7" t="inlineStr">
        <is>
          <t>Expent  cost</t>
        </is>
      </c>
      <c r="C1225" s="355" t="n">
        <v>45823</v>
      </c>
      <c r="F1225" s="301" t="n">
        <v>45823</v>
      </c>
      <c r="G1225" s="5" t="inlineStr">
        <is>
          <t xml:space="preserve">PR2526-01036 </t>
        </is>
      </c>
      <c r="H1225" s="5" t="inlineStr">
        <is>
          <t>PO2526-01581</t>
        </is>
      </c>
      <c r="I1225" s="345" t="n">
        <v>45829</v>
      </c>
      <c r="J1225" s="345" t="n">
        <v>45829</v>
      </c>
      <c r="K1225" s="77" t="n">
        <v>20</v>
      </c>
      <c r="L1225" s="5" t="inlineStr">
        <is>
          <t>SFST81000009</t>
        </is>
      </c>
      <c r="M1225" s="7" t="inlineStr">
        <is>
          <t>Consumable part for MN</t>
        </is>
      </c>
      <c r="N1225" s="7" t="inlineStr">
        <is>
          <t>Consumable part</t>
        </is>
      </c>
      <c r="O1225" s="11" t="n">
        <v>4</v>
      </c>
      <c r="P1225" s="94" t="inlineStr"/>
      <c r="Q1225" s="277" t="n">
        <v>6</v>
      </c>
      <c r="R1225" s="5" t="inlineStr">
        <is>
          <t>PCS.</t>
        </is>
      </c>
      <c r="S1225" s="292">
        <f>RawDataGenPO[[#This Row],[Total price]]/RawDataGenPO[[#This Row],[Qty'']]</f>
        <v/>
      </c>
      <c r="T1225" s="278" t="n">
        <v>1100</v>
      </c>
      <c r="U1225" s="291" t="n"/>
      <c r="V1225" s="7" t="inlineStr">
        <is>
          <t>V1000259 - JJP SUPPLY CO., LTD</t>
        </is>
      </c>
      <c r="W1225" s="30" t="inlineStr">
        <is>
          <t>Recive bill and GRN already</t>
        </is>
      </c>
      <c r="X1225" s="5" t="inlineStr">
        <is>
          <t>GRN2526-0002119</t>
        </is>
      </c>
      <c r="Y1225" s="3" t="n">
        <v>45840</v>
      </c>
      <c r="AA1225" s="17">
        <f>IF(RawDataGenPO[[#This Row],[Date Gen PO]]="","",RawDataGenPO[[#This Row],[Date recive bill]]-RawDataGenPO[[#This Row],[Date Gen PO]])</f>
        <v/>
      </c>
      <c r="AB1225" s="16">
        <f>IF(RawDataGenPO[[#This Row],[GRN-PO date]]&gt;RawDataGenPO[[#This Row],[Lead time delivery (day)]],"over deliverry","Ontime")</f>
        <v/>
      </c>
      <c r="AC1225" s="22" t="n"/>
    </row>
    <row r="1226" ht="15" customHeight="1">
      <c r="A1226" s="5">
        <f>ROW()-ROW(RawDataGenPO[[#Headers],[No.]])</f>
        <v/>
      </c>
      <c r="B1226" s="7" t="inlineStr">
        <is>
          <t>Expent  cost</t>
        </is>
      </c>
      <c r="C1226" s="355" t="n">
        <v>45823</v>
      </c>
      <c r="F1226" s="301" t="n">
        <v>45823</v>
      </c>
      <c r="G1226" s="5" t="inlineStr">
        <is>
          <t xml:space="preserve">PR2526-01036 </t>
        </is>
      </c>
      <c r="H1226" s="5" t="inlineStr">
        <is>
          <t>PO2526-01582</t>
        </is>
      </c>
      <c r="I1226" s="345" t="n">
        <v>45829</v>
      </c>
      <c r="J1226" s="345" t="n">
        <v>45829</v>
      </c>
      <c r="K1226" s="77" t="n">
        <v>20</v>
      </c>
      <c r="L1226" s="5" t="inlineStr">
        <is>
          <t>SFST81000009</t>
        </is>
      </c>
      <c r="M1226" s="7" t="inlineStr">
        <is>
          <t>Consumable part for MN</t>
        </is>
      </c>
      <c r="N1226" s="7" t="inlineStr">
        <is>
          <t>Consumable part</t>
        </is>
      </c>
      <c r="O1226" s="11" t="n">
        <v>5</v>
      </c>
      <c r="P1226" s="91" t="inlineStr">
        <is>
          <t>valvepcsbrassyellow 1 inch</t>
        </is>
      </c>
      <c r="Q1226" s="277" t="n">
        <v>4</v>
      </c>
      <c r="R1226" s="5" t="inlineStr">
        <is>
          <t>PCS.</t>
        </is>
      </c>
      <c r="S1226" s="292">
        <f>RawDataGenPO[[#This Row],[Total price]]/RawDataGenPO[[#This Row],[Qty'']]</f>
        <v/>
      </c>
      <c r="T1226" s="278" t="n">
        <v>1580</v>
      </c>
      <c r="U1226" s="291" t="n"/>
      <c r="V1226" s="7" t="inlineStr">
        <is>
          <t>V1000840 - S.Q. &amp; CO CO., LTD</t>
        </is>
      </c>
      <c r="W1226" s="30" t="inlineStr">
        <is>
          <t>Recive bill and GRN already</t>
        </is>
      </c>
      <c r="X1226" s="5" t="inlineStr">
        <is>
          <t>GRN2526-0001985</t>
        </is>
      </c>
      <c r="Y1226" s="3" t="n">
        <v>45834</v>
      </c>
      <c r="AA1226" s="17">
        <f>IF(RawDataGenPO[[#This Row],[Date Gen PO]]="","",RawDataGenPO[[#This Row],[Date recive bill]]-RawDataGenPO[[#This Row],[Date Gen PO]])</f>
        <v/>
      </c>
      <c r="AB1226" s="16">
        <f>IF(RawDataGenPO[[#This Row],[GRN-PO date]]&gt;RawDataGenPO[[#This Row],[Lead time delivery (day)]],"over deliverry","Ontime")</f>
        <v/>
      </c>
      <c r="AC1226" s="22" t="n"/>
    </row>
    <row r="1227" ht="15" customHeight="1">
      <c r="A1227" s="5">
        <f>ROW()-ROW(RawDataGenPO[[#Headers],[No.]])</f>
        <v/>
      </c>
      <c r="B1227" s="7" t="inlineStr">
        <is>
          <t>Expent  cost</t>
        </is>
      </c>
      <c r="C1227" s="355" t="n">
        <v>45823</v>
      </c>
      <c r="F1227" s="301" t="n">
        <v>45823</v>
      </c>
      <c r="G1227" s="5" t="inlineStr">
        <is>
          <t xml:space="preserve">PR2526-01036 </t>
        </is>
      </c>
      <c r="H1227" s="5" t="inlineStr">
        <is>
          <t>PO2526-01580</t>
        </is>
      </c>
      <c r="I1227" s="345" t="n">
        <v>45829</v>
      </c>
      <c r="J1227" s="77" t="n"/>
      <c r="K1227" s="77" t="n">
        <v>20</v>
      </c>
      <c r="L1227" s="5" t="inlineStr">
        <is>
          <t>SFST81000009</t>
        </is>
      </c>
      <c r="M1227" s="7" t="inlineStr">
        <is>
          <t>Consumable part for MN</t>
        </is>
      </c>
      <c r="N1227" s="7" t="inlineStr">
        <is>
          <t>Consumable part</t>
        </is>
      </c>
      <c r="O1227" s="11" t="n">
        <v>6</v>
      </c>
      <c r="P1227" s="89" t="inlineStr">
        <is>
          <t>spare part</t>
        </is>
      </c>
      <c r="Q1227" s="277" t="n">
        <v>10</v>
      </c>
      <c r="R1227" s="5" t="inlineStr">
        <is>
          <t>PCS.</t>
        </is>
      </c>
      <c r="S1227" s="292">
        <f>RawDataGenPO[[#This Row],[Total price]]/RawDataGenPO[[#This Row],[Qty'']]</f>
        <v/>
      </c>
      <c r="T1227" s="278" t="n">
        <v>4000</v>
      </c>
      <c r="U1227" s="291" t="n"/>
      <c r="V1227" s="7" t="inlineStr">
        <is>
          <t>V1000603 - TM SUKSAP TRADING LIMITED PARTNERSHIP</t>
        </is>
      </c>
      <c r="W1227" s="30" t="inlineStr">
        <is>
          <t>Recive bill and GRN already</t>
        </is>
      </c>
      <c r="X1227" s="5" t="inlineStr">
        <is>
          <t>GRN2526-0002241</t>
        </is>
      </c>
      <c r="Y1227" s="3" t="n">
        <v>45845</v>
      </c>
      <c r="AA1227" s="17">
        <f>IF(RawDataGenPO[[#This Row],[Date Gen PO]]="","",RawDataGenPO[[#This Row],[Date recive bill]]-RawDataGenPO[[#This Row],[Date Gen PO]])</f>
        <v/>
      </c>
      <c r="AB1227" s="16">
        <f>IF(RawDataGenPO[[#This Row],[GRN-PO date]]&gt;RawDataGenPO[[#This Row],[Lead time delivery (day)]],"over deliverry","Ontime")</f>
        <v/>
      </c>
      <c r="AC1227" s="22" t="n"/>
    </row>
    <row r="1228" ht="15" customHeight="1">
      <c r="A1228" s="5">
        <f>ROW()-ROW(RawDataGenPO[[#Headers],[No.]])</f>
        <v/>
      </c>
      <c r="B1228" s="7" t="inlineStr">
        <is>
          <t>Expent  cost</t>
        </is>
      </c>
      <c r="C1228" s="355" t="n">
        <v>45823</v>
      </c>
      <c r="F1228" s="301" t="n">
        <v>45823</v>
      </c>
      <c r="G1228" s="5" t="inlineStr">
        <is>
          <t xml:space="preserve">PR2526-01036 </t>
        </is>
      </c>
      <c r="H1228" s="5" t="inlineStr">
        <is>
          <t>PO2526-01581</t>
        </is>
      </c>
      <c r="I1228" s="345" t="n">
        <v>45829</v>
      </c>
      <c r="J1228" s="345" t="n">
        <v>45829</v>
      </c>
      <c r="K1228" s="77" t="n">
        <v>20</v>
      </c>
      <c r="L1228" s="5" t="inlineStr">
        <is>
          <t>SFST81000009</t>
        </is>
      </c>
      <c r="M1228" s="7" t="inlineStr">
        <is>
          <t>Consumable part for MN</t>
        </is>
      </c>
      <c r="N1228" s="7" t="inlineStr">
        <is>
          <t>Consumable part</t>
        </is>
      </c>
      <c r="O1228" s="11" t="n">
        <v>7</v>
      </c>
      <c r="P1228" s="94" t="inlineStr">
        <is>
          <t>spare part</t>
        </is>
      </c>
      <c r="Q1228" s="277" t="n">
        <v>10</v>
      </c>
      <c r="R1228" s="5" t="inlineStr">
        <is>
          <t>PCS.</t>
        </is>
      </c>
      <c r="S1228" s="292">
        <f>RawDataGenPO[[#This Row],[Total price]]/RawDataGenPO[[#This Row],[Qty'']]</f>
        <v/>
      </c>
      <c r="T1228" s="278" t="n">
        <v>1200</v>
      </c>
      <c r="U1228" s="291" t="n"/>
      <c r="V1228" s="7" t="inlineStr">
        <is>
          <t>V1000259 - JJP SUPPLY CO., LTD</t>
        </is>
      </c>
      <c r="W1228" s="30" t="inlineStr">
        <is>
          <t>Recive bill and GRN already</t>
        </is>
      </c>
      <c r="X1228" s="5" t="inlineStr">
        <is>
          <t>GRN2526-0002119</t>
        </is>
      </c>
      <c r="Y1228" s="3" t="n">
        <v>45840</v>
      </c>
      <c r="AA1228" s="17">
        <f>IF(RawDataGenPO[[#This Row],[Date Gen PO]]="","",RawDataGenPO[[#This Row],[Date recive bill]]-RawDataGenPO[[#This Row],[Date Gen PO]])</f>
        <v/>
      </c>
      <c r="AB1228" s="16">
        <f>IF(RawDataGenPO[[#This Row],[GRN-PO date]]&gt;RawDataGenPO[[#This Row],[Lead time delivery (day)]],"over deliverry","Ontime")</f>
        <v/>
      </c>
      <c r="AC1228" s="22" t="n"/>
    </row>
    <row r="1229" ht="15" customHeight="1">
      <c r="A1229" s="5">
        <f>ROW()-ROW(RawDataGenPO[[#Headers],[No.]])</f>
        <v/>
      </c>
      <c r="B1229" s="7" t="inlineStr">
        <is>
          <t>Expent  cost</t>
        </is>
      </c>
      <c r="C1229" s="355" t="n">
        <v>45823</v>
      </c>
      <c r="F1229" s="301" t="n">
        <v>45823</v>
      </c>
      <c r="G1229" s="5" t="inlineStr">
        <is>
          <t xml:space="preserve">PR2526-01036 </t>
        </is>
      </c>
      <c r="H1229" s="5" t="inlineStr">
        <is>
          <t>PO2526-01582</t>
        </is>
      </c>
      <c r="I1229" s="345" t="n">
        <v>45829</v>
      </c>
      <c r="J1229" s="345" t="n">
        <v>45829</v>
      </c>
      <c r="K1229" s="77" t="n">
        <v>20</v>
      </c>
      <c r="L1229" s="5" t="inlineStr">
        <is>
          <t>SFST81000009</t>
        </is>
      </c>
      <c r="M1229" s="7" t="inlineStr">
        <is>
          <t>Consumable part for MN</t>
        </is>
      </c>
      <c r="N1229" s="7" t="inlineStr">
        <is>
          <t>Consumable part</t>
        </is>
      </c>
      <c r="O1229" s="11" t="n">
        <v>8</v>
      </c>
      <c r="P1229" s="91" t="inlineStr">
        <is>
          <t>cablewater 1/2x40 inch stainless steel</t>
        </is>
      </c>
      <c r="Q1229" s="277" t="n">
        <v>10</v>
      </c>
      <c r="R1229" s="5" t="inlineStr">
        <is>
          <t>PCS.</t>
        </is>
      </c>
      <c r="S1229" s="292">
        <f>RawDataGenPO[[#This Row],[Total price]]/RawDataGenPO[[#This Row],[Qty'']]</f>
        <v/>
      </c>
      <c r="T1229" s="278" t="n">
        <v>280</v>
      </c>
      <c r="U1229" s="291" t="n"/>
      <c r="V1229" s="7" t="inlineStr">
        <is>
          <t>V1000840 - S.Q. &amp; CO CO., LTD</t>
        </is>
      </c>
      <c r="W1229" s="30" t="inlineStr">
        <is>
          <t>Recive bill and GRN already</t>
        </is>
      </c>
      <c r="X1229" s="5" t="inlineStr">
        <is>
          <t>GRN2526-0001985</t>
        </is>
      </c>
      <c r="Y1229" s="3" t="n">
        <v>45834</v>
      </c>
      <c r="AA1229" s="17">
        <f>IF(RawDataGenPO[[#This Row],[Date Gen PO]]="","",RawDataGenPO[[#This Row],[Date recive bill]]-RawDataGenPO[[#This Row],[Date Gen PO]])</f>
        <v/>
      </c>
      <c r="AB1229" s="16">
        <f>IF(RawDataGenPO[[#This Row],[GRN-PO date]]&gt;RawDataGenPO[[#This Row],[Lead time delivery (day)]],"over deliverry","Ontime")</f>
        <v/>
      </c>
      <c r="AC1229" s="22" t="n"/>
    </row>
    <row r="1230" ht="15" customHeight="1">
      <c r="A1230" s="5">
        <f>ROW()-ROW(RawDataGenPO[[#Headers],[No.]])</f>
        <v/>
      </c>
      <c r="B1230" s="7" t="inlineStr">
        <is>
          <t>Expent  cost</t>
        </is>
      </c>
      <c r="C1230" s="355" t="n">
        <v>45823</v>
      </c>
      <c r="F1230" s="301" t="n">
        <v>45823</v>
      </c>
      <c r="G1230" s="5" t="inlineStr">
        <is>
          <t xml:space="preserve">PR2526-01036 </t>
        </is>
      </c>
      <c r="H1230" s="5" t="inlineStr">
        <is>
          <t>PO2526-01582</t>
        </is>
      </c>
      <c r="I1230" s="345" t="n">
        <v>45829</v>
      </c>
      <c r="J1230" s="345" t="n">
        <v>45829</v>
      </c>
      <c r="K1230" s="77" t="n">
        <v>20</v>
      </c>
      <c r="L1230" s="5" t="inlineStr">
        <is>
          <t>SFST81000009</t>
        </is>
      </c>
      <c r="M1230" s="7" t="inlineStr">
        <is>
          <t>Consumable part for MN</t>
        </is>
      </c>
      <c r="N1230" s="7" t="inlineStr">
        <is>
          <t>Consumable part</t>
        </is>
      </c>
      <c r="O1230" s="11" t="n">
        <v>9</v>
      </c>
      <c r="P1230" s="91" t="inlineStr">
        <is>
          <t>ball valve PVC 1/2" socket type-W</t>
        </is>
      </c>
      <c r="Q1230" s="277" t="n">
        <v>10</v>
      </c>
      <c r="R1230" s="5" t="inlineStr">
        <is>
          <t>PCS.</t>
        </is>
      </c>
      <c r="S1230" s="292">
        <f>RawDataGenPO[[#This Row],[Total price]]/RawDataGenPO[[#This Row],[Qty'']]</f>
        <v/>
      </c>
      <c r="T1230" s="278" t="n">
        <v>280</v>
      </c>
      <c r="U1230" s="291" t="n"/>
      <c r="V1230" s="7" t="inlineStr">
        <is>
          <t>V1000840 - S.Q. &amp; CO CO., LTD</t>
        </is>
      </c>
      <c r="W1230" s="30" t="inlineStr">
        <is>
          <t>Recive bill and GRN already</t>
        </is>
      </c>
      <c r="X1230" s="5" t="inlineStr">
        <is>
          <t>GRN2526-0001985</t>
        </is>
      </c>
      <c r="Y1230" s="3" t="n">
        <v>45834</v>
      </c>
      <c r="AA1230" s="17">
        <f>IF(RawDataGenPO[[#This Row],[Date Gen PO]]="","",RawDataGenPO[[#This Row],[Date recive bill]]-RawDataGenPO[[#This Row],[Date Gen PO]])</f>
        <v/>
      </c>
      <c r="AB1230" s="16">
        <f>IF(RawDataGenPO[[#This Row],[GRN-PO date]]&gt;RawDataGenPO[[#This Row],[Lead time delivery (day)]],"over deliverry","Ontime")</f>
        <v/>
      </c>
      <c r="AC1230" s="22" t="n"/>
    </row>
    <row r="1231" ht="15" customHeight="1">
      <c r="A1231" s="5">
        <f>ROW()-ROW(RawDataGenPO[[#Headers],[No.]])</f>
        <v/>
      </c>
      <c r="B1231" s="7" t="inlineStr">
        <is>
          <t>Expent  cost</t>
        </is>
      </c>
      <c r="C1231" s="355" t="n">
        <v>45823</v>
      </c>
      <c r="F1231" s="301" t="n">
        <v>45823</v>
      </c>
      <c r="G1231" s="5" t="inlineStr">
        <is>
          <t xml:space="preserve">PR2526-01036 </t>
        </is>
      </c>
      <c r="H1231" s="5" t="inlineStr">
        <is>
          <t>PO2526-01582</t>
        </is>
      </c>
      <c r="I1231" s="345" t="n">
        <v>45829</v>
      </c>
      <c r="J1231" s="345" t="n">
        <v>45829</v>
      </c>
      <c r="K1231" s="77" t="n">
        <v>20</v>
      </c>
      <c r="L1231" s="5" t="inlineStr">
        <is>
          <t>SFST81000009</t>
        </is>
      </c>
      <c r="M1231" s="7" t="inlineStr">
        <is>
          <t>Consumable part for MN</t>
        </is>
      </c>
      <c r="N1231" s="7" t="inlineStr">
        <is>
          <t>Consumable part</t>
        </is>
      </c>
      <c r="O1231" s="11" t="n">
        <v>10</v>
      </c>
      <c r="P1231" s="91" t="inlineStr">
        <is>
          <t>ball valve PVC 3/4" socket type-W</t>
        </is>
      </c>
      <c r="Q1231" s="277" t="n">
        <v>10</v>
      </c>
      <c r="R1231" s="5" t="inlineStr">
        <is>
          <t>PCS.</t>
        </is>
      </c>
      <c r="S1231" s="292">
        <f>RawDataGenPO[[#This Row],[Total price]]/RawDataGenPO[[#This Row],[Qty'']]</f>
        <v/>
      </c>
      <c r="T1231" s="278" t="n">
        <v>380</v>
      </c>
      <c r="U1231" s="291" t="n"/>
      <c r="V1231" s="7" t="inlineStr">
        <is>
          <t>V1000840 - S.Q. &amp; CO CO., LTD</t>
        </is>
      </c>
      <c r="W1231" s="30" t="inlineStr">
        <is>
          <t>Recive bill and GRN already</t>
        </is>
      </c>
      <c r="X1231" s="5" t="inlineStr">
        <is>
          <t>GRN2526-0001985</t>
        </is>
      </c>
      <c r="Y1231" s="3" t="n">
        <v>45834</v>
      </c>
      <c r="AA1231" s="17">
        <f>IF(RawDataGenPO[[#This Row],[Date Gen PO]]="","",RawDataGenPO[[#This Row],[Date recive bill]]-RawDataGenPO[[#This Row],[Date Gen PO]])</f>
        <v/>
      </c>
      <c r="AB1231" s="16">
        <f>IF(RawDataGenPO[[#This Row],[GRN-PO date]]&gt;RawDataGenPO[[#This Row],[Lead time delivery (day)]],"over deliverry","Ontime")</f>
        <v/>
      </c>
      <c r="AC1231" s="22" t="n"/>
    </row>
    <row r="1232" ht="15" customHeight="1">
      <c r="A1232" s="5">
        <f>ROW()-ROW(RawDataGenPO[[#Headers],[No.]])</f>
        <v/>
      </c>
      <c r="B1232" s="7" t="inlineStr">
        <is>
          <t>Expent  cost</t>
        </is>
      </c>
      <c r="C1232" s="355" t="n">
        <v>45823</v>
      </c>
      <c r="F1232" s="301" t="n">
        <v>45823</v>
      </c>
      <c r="G1232" s="5" t="inlineStr">
        <is>
          <t xml:space="preserve">PR2526-01036 </t>
        </is>
      </c>
      <c r="H1232" s="5" t="inlineStr">
        <is>
          <t>PO2526-01582</t>
        </is>
      </c>
      <c r="I1232" s="345" t="n">
        <v>45829</v>
      </c>
      <c r="J1232" s="345" t="n">
        <v>45829</v>
      </c>
      <c r="K1232" s="77" t="n">
        <v>20</v>
      </c>
      <c r="L1232" s="5" t="inlineStr">
        <is>
          <t>SFST81000009</t>
        </is>
      </c>
      <c r="M1232" s="7" t="inlineStr">
        <is>
          <t>Consumable part for MN</t>
        </is>
      </c>
      <c r="N1232" s="7" t="inlineStr">
        <is>
          <t>Consumable part</t>
        </is>
      </c>
      <c r="O1232" s="11" t="n">
        <v>11</v>
      </c>
      <c r="P1232" s="91" t="inlineStr">
        <is>
          <t>tapwater</t>
        </is>
      </c>
      <c r="Q1232" s="277" t="n">
        <v>6</v>
      </c>
      <c r="R1232" s="5" t="inlineStr">
        <is>
          <t>PCS.</t>
        </is>
      </c>
      <c r="S1232" s="292">
        <f>RawDataGenPO[[#This Row],[Total price]]/RawDataGenPO[[#This Row],[Qty'']]</f>
        <v/>
      </c>
      <c r="T1232" s="278" t="n">
        <v>2340</v>
      </c>
      <c r="U1232" s="291" t="n"/>
      <c r="V1232" s="7" t="inlineStr">
        <is>
          <t>V1000840 - S.Q. &amp; CO CO., LTD</t>
        </is>
      </c>
      <c r="W1232" s="30" t="inlineStr">
        <is>
          <t>Recive bill and GRN already</t>
        </is>
      </c>
      <c r="X1232" s="5" t="inlineStr">
        <is>
          <t>GRN2526-0001985</t>
        </is>
      </c>
      <c r="Y1232" s="3" t="n">
        <v>45834</v>
      </c>
      <c r="AA1232" s="17">
        <f>IF(RawDataGenPO[[#This Row],[Date Gen PO]]="","",RawDataGenPO[[#This Row],[Date recive bill]]-RawDataGenPO[[#This Row],[Date Gen PO]])</f>
        <v/>
      </c>
      <c r="AB1232" s="16">
        <f>IF(RawDataGenPO[[#This Row],[GRN-PO date]]&gt;RawDataGenPO[[#This Row],[Lead time delivery (day)]],"over deliverry","Ontime")</f>
        <v/>
      </c>
      <c r="AC1232" s="22" t="n"/>
    </row>
    <row r="1233" ht="15" customHeight="1">
      <c r="A1233" s="5">
        <f>ROW()-ROW(RawDataGenPO[[#Headers],[No.]])</f>
        <v/>
      </c>
      <c r="B1233" s="7" t="inlineStr">
        <is>
          <t>Expent  cost</t>
        </is>
      </c>
      <c r="C1233" s="355" t="n">
        <v>45823</v>
      </c>
      <c r="F1233" s="301" t="n">
        <v>45823</v>
      </c>
      <c r="G1233" s="5" t="inlineStr">
        <is>
          <t>PR2526-01037</t>
        </is>
      </c>
      <c r="H1233" s="5" t="inlineStr">
        <is>
          <t xml:space="preserve">PO2526-01643 </t>
        </is>
      </c>
      <c r="I1233" s="345" t="n">
        <v>45833</v>
      </c>
      <c r="J1233" s="345" t="n">
        <v>45833</v>
      </c>
      <c r="K1233" s="77" t="n">
        <v>20</v>
      </c>
      <c r="L1233" s="5" t="inlineStr">
        <is>
          <t>SFST81000009</t>
        </is>
      </c>
      <c r="M1233" s="7" t="inlineStr">
        <is>
          <t>Consumable part for MN</t>
        </is>
      </c>
      <c r="N1233" s="7" t="inlineStr">
        <is>
          <t>Consumable part</t>
        </is>
      </c>
      <c r="O1233" s="11" t="n">
        <v>1</v>
      </c>
      <c r="P1233" s="93" t="inlineStr">
        <is>
          <t>1/4"x50 (M6) anchorstainless steel 304 washer spring (100pcs/box)</t>
        </is>
      </c>
      <c r="Q1233" s="277" t="n">
        <v>1</v>
      </c>
      <c r="R1233" s="5" t="inlineStr">
        <is>
          <t>BOX.</t>
        </is>
      </c>
      <c r="S1233" s="292">
        <f>RawDataGenPO[[#This Row],[Total price]]/RawDataGenPO[[#This Row],[Qty'']]</f>
        <v/>
      </c>
      <c r="T1233" s="278" t="n">
        <v>1243</v>
      </c>
      <c r="U1233" s="291" t="n"/>
      <c r="V1233" s="7" t="inlineStr">
        <is>
          <t>V1000729 - BN SUPPLY 1991 CO., LTD.</t>
        </is>
      </c>
      <c r="W1233" s="30" t="inlineStr">
        <is>
          <t>Recive bill and GRN already</t>
        </is>
      </c>
      <c r="X1233" s="5" t="inlineStr">
        <is>
          <t>GRN2526-0002175</t>
        </is>
      </c>
      <c r="Y1233" s="3" t="n">
        <v>45845</v>
      </c>
      <c r="AA1233" s="17">
        <f>IF(RawDataGenPO[[#This Row],[Date Gen PO]]="","",RawDataGenPO[[#This Row],[Date recive bill]]-RawDataGenPO[[#This Row],[Date Gen PO]])</f>
        <v/>
      </c>
      <c r="AB1233" s="16">
        <f>IF(RawDataGenPO[[#This Row],[GRN-PO date]]&gt;RawDataGenPO[[#This Row],[Lead time delivery (day)]],"over deliverry","Ontime")</f>
        <v/>
      </c>
      <c r="AC1233" s="22" t="n"/>
    </row>
    <row r="1234" ht="15" customHeight="1">
      <c r="A1234" s="5">
        <f>ROW()-ROW(RawDataGenPO[[#Headers],[No.]])</f>
        <v/>
      </c>
      <c r="B1234" s="7" t="inlineStr">
        <is>
          <t>Expent  cost</t>
        </is>
      </c>
      <c r="C1234" s="355" t="n">
        <v>45823</v>
      </c>
      <c r="F1234" s="301" t="n">
        <v>45823</v>
      </c>
      <c r="G1234" s="5" t="inlineStr">
        <is>
          <t>PR2526-01037</t>
        </is>
      </c>
      <c r="H1234" s="5" t="inlineStr">
        <is>
          <t xml:space="preserve">PO2526-01643 </t>
        </is>
      </c>
      <c r="I1234" s="345" t="n">
        <v>45833</v>
      </c>
      <c r="J1234" s="345" t="n">
        <v>45833</v>
      </c>
      <c r="K1234" s="77" t="n">
        <v>20</v>
      </c>
      <c r="L1234" s="5" t="inlineStr">
        <is>
          <t>SFST81000009</t>
        </is>
      </c>
      <c r="M1234" s="7" t="inlineStr">
        <is>
          <t>Consumable part for MN</t>
        </is>
      </c>
      <c r="N1234" s="7" t="inlineStr">
        <is>
          <t>Consumable part</t>
        </is>
      </c>
      <c r="O1234" s="11" t="n">
        <v>2</v>
      </c>
      <c r="P1234" s="93" t="inlineStr">
        <is>
          <t>5/16"x50 (M8) anchorstainless steel 304 washer spring (100pcs/box)</t>
        </is>
      </c>
      <c r="Q1234" s="277" t="n">
        <v>1</v>
      </c>
      <c r="R1234" s="5" t="inlineStr">
        <is>
          <t>BOX.</t>
        </is>
      </c>
      <c r="S1234" s="292">
        <f>RawDataGenPO[[#This Row],[Total price]]/RawDataGenPO[[#This Row],[Qty'']]</f>
        <v/>
      </c>
      <c r="T1234" s="278" t="n">
        <v>1850</v>
      </c>
      <c r="U1234" s="291" t="n"/>
      <c r="V1234" s="7" t="inlineStr">
        <is>
          <t>V1000729 - BN SUPPLY 1991 CO., LTD.</t>
        </is>
      </c>
      <c r="W1234" s="30" t="inlineStr">
        <is>
          <t>Recive bill and GRN already</t>
        </is>
      </c>
      <c r="X1234" s="5" t="inlineStr">
        <is>
          <t>GRN2526-0002175</t>
        </is>
      </c>
      <c r="Y1234" s="3" t="n">
        <v>45845</v>
      </c>
      <c r="AA1234" s="17">
        <f>IF(RawDataGenPO[[#This Row],[Date Gen PO]]="","",RawDataGenPO[[#This Row],[Date recive bill]]-RawDataGenPO[[#This Row],[Date Gen PO]])</f>
        <v/>
      </c>
      <c r="AB1234" s="16">
        <f>IF(RawDataGenPO[[#This Row],[GRN-PO date]]&gt;RawDataGenPO[[#This Row],[Lead time delivery (day)]],"over deliverry","Ontime")</f>
        <v/>
      </c>
      <c r="AC1234" s="22" t="n"/>
    </row>
    <row r="1235" ht="15" customHeight="1">
      <c r="A1235" s="5">
        <f>ROW()-ROW(RawDataGenPO[[#Headers],[No.]])</f>
        <v/>
      </c>
      <c r="B1235" s="7" t="inlineStr">
        <is>
          <t>Expent  cost</t>
        </is>
      </c>
      <c r="C1235" s="355" t="n">
        <v>45823</v>
      </c>
      <c r="F1235" s="301" t="n">
        <v>45823</v>
      </c>
      <c r="G1235" s="5" t="inlineStr">
        <is>
          <t>PR2526-01037</t>
        </is>
      </c>
      <c r="H1235" s="5" t="inlineStr">
        <is>
          <t>PO2526-01644</t>
        </is>
      </c>
      <c r="I1235" s="345" t="n">
        <v>45833</v>
      </c>
      <c r="J1235" s="345" t="n">
        <v>45833</v>
      </c>
      <c r="K1235" s="77" t="n">
        <v>20</v>
      </c>
      <c r="L1235" s="5" t="inlineStr">
        <is>
          <t>SFST81000009</t>
        </is>
      </c>
      <c r="M1235" s="7" t="inlineStr">
        <is>
          <t>Consumable part for MN</t>
        </is>
      </c>
      <c r="N1235" s="7" t="inlineStr">
        <is>
          <t>Consumable part</t>
        </is>
      </c>
      <c r="O1235" s="11" t="n">
        <v>3</v>
      </c>
      <c r="P1235" s="92" t="inlineStr">
        <is>
          <t>3/8"x70 (M10) anchorstainless steel 304 washer spring (75pcs/box)</t>
        </is>
      </c>
      <c r="Q1235" s="277" t="n">
        <v>1</v>
      </c>
      <c r="R1235" s="5" t="inlineStr">
        <is>
          <t>BOX.</t>
        </is>
      </c>
      <c r="S1235" s="292">
        <f>RawDataGenPO[[#This Row],[Total price]]/RawDataGenPO[[#This Row],[Qty'']]</f>
        <v/>
      </c>
      <c r="T1235" s="278" t="n">
        <v>2100</v>
      </c>
      <c r="U1235" s="291" t="n"/>
      <c r="V1235" s="7" t="inlineStr">
        <is>
          <t>V1000840 - S.Q. &amp; CO CO., LTD</t>
        </is>
      </c>
      <c r="W1235" s="30" t="inlineStr">
        <is>
          <t>Recive bill and GRN already</t>
        </is>
      </c>
      <c r="X1235" s="5" t="inlineStr">
        <is>
          <t>GRN2526-0002161</t>
        </is>
      </c>
      <c r="Y1235" s="3" t="n">
        <v>45842</v>
      </c>
      <c r="AA1235" s="17">
        <f>IF(RawDataGenPO[[#This Row],[Date Gen PO]]="","",RawDataGenPO[[#This Row],[Date recive bill]]-RawDataGenPO[[#This Row],[Date Gen PO]])</f>
        <v/>
      </c>
      <c r="AB1235" s="16">
        <f>IF(RawDataGenPO[[#This Row],[GRN-PO date]]&gt;RawDataGenPO[[#This Row],[Lead time delivery (day)]],"over deliverry","Ontime")</f>
        <v/>
      </c>
      <c r="AC1235" s="22" t="n"/>
    </row>
    <row r="1236" ht="15" customHeight="1">
      <c r="A1236" s="5">
        <f>ROW()-ROW(RawDataGenPO[[#Headers],[No.]])</f>
        <v/>
      </c>
      <c r="B1236" s="7" t="inlineStr">
        <is>
          <t>Expent  cost</t>
        </is>
      </c>
      <c r="C1236" s="355" t="n">
        <v>45823</v>
      </c>
      <c r="F1236" s="301" t="n">
        <v>45823</v>
      </c>
      <c r="G1236" s="5" t="inlineStr">
        <is>
          <t>PR2526-01037</t>
        </is>
      </c>
      <c r="H1236" s="5" t="inlineStr">
        <is>
          <t>PO2526-01644</t>
        </is>
      </c>
      <c r="I1236" s="345" t="n">
        <v>45833</v>
      </c>
      <c r="J1236" s="345" t="n">
        <v>45833</v>
      </c>
      <c r="K1236" s="77" t="n">
        <v>20</v>
      </c>
      <c r="L1236" s="5" t="inlineStr">
        <is>
          <t>SFST81000009</t>
        </is>
      </c>
      <c r="M1236" s="7" t="inlineStr">
        <is>
          <t>Consumable part for MN</t>
        </is>
      </c>
      <c r="N1236" s="7" t="inlineStr">
        <is>
          <t>Consumable part</t>
        </is>
      </c>
      <c r="O1236" s="11" t="n">
        <v>4</v>
      </c>
      <c r="P1236" s="92" t="inlineStr">
        <is>
          <t>anchor No. 7 wallpcs m (100pcs/)</t>
        </is>
      </c>
      <c r="Q1236" s="277" t="n">
        <v>2</v>
      </c>
      <c r="R1236" s="5" t="inlineStr">
        <is>
          <t>BOX.</t>
        </is>
      </c>
      <c r="S1236" s="292">
        <f>RawDataGenPO[[#This Row],[Total price]]/RawDataGenPO[[#This Row],[Qty'']]</f>
        <v/>
      </c>
      <c r="T1236" s="278" t="n">
        <v>290</v>
      </c>
      <c r="U1236" s="291" t="n"/>
      <c r="V1236" s="7" t="inlineStr">
        <is>
          <t>V1000840 - S.Q. &amp; CO CO., LTD</t>
        </is>
      </c>
      <c r="W1236" s="30" t="inlineStr">
        <is>
          <t>Recive bill and GRN already</t>
        </is>
      </c>
      <c r="X1236" s="5" t="inlineStr">
        <is>
          <t>GRN2526-0002161</t>
        </is>
      </c>
      <c r="Y1236" s="3" t="n">
        <v>45842</v>
      </c>
      <c r="AA1236" s="17">
        <f>IF(RawDataGenPO[[#This Row],[Date Gen PO]]="","",RawDataGenPO[[#This Row],[Date recive bill]]-RawDataGenPO[[#This Row],[Date Gen PO]])</f>
        <v/>
      </c>
      <c r="AB1236" s="16">
        <f>IF(RawDataGenPO[[#This Row],[GRN-PO date]]&gt;RawDataGenPO[[#This Row],[Lead time delivery (day)]],"over deliverry","Ontime")</f>
        <v/>
      </c>
      <c r="AC1236" s="22" t="n"/>
    </row>
    <row r="1237" ht="15" customHeight="1">
      <c r="A1237" s="5">
        <f>ROW()-ROW(RawDataGenPO[[#Headers],[No.]])</f>
        <v/>
      </c>
      <c r="B1237" s="7" t="inlineStr">
        <is>
          <t>Expent  cost</t>
        </is>
      </c>
      <c r="C1237" s="355" t="n">
        <v>45823</v>
      </c>
      <c r="F1237" s="301" t="n">
        <v>45823</v>
      </c>
      <c r="G1237" s="5" t="inlineStr">
        <is>
          <t>PR2526-01037</t>
        </is>
      </c>
      <c r="H1237" s="5" t="inlineStr">
        <is>
          <t>PO2526-01644</t>
        </is>
      </c>
      <c r="I1237" s="345" t="n">
        <v>45833</v>
      </c>
      <c r="J1237" s="345" t="n">
        <v>45833</v>
      </c>
      <c r="K1237" s="77" t="n">
        <v>20</v>
      </c>
      <c r="L1237" s="5" t="inlineStr">
        <is>
          <t>SFST81000009</t>
        </is>
      </c>
      <c r="M1237" s="7" t="inlineStr">
        <is>
          <t>Consumable part for MN</t>
        </is>
      </c>
      <c r="N1237" s="7" t="inlineStr">
        <is>
          <t>Consumable part</t>
        </is>
      </c>
      <c r="O1237" s="11" t="n">
        <v>5</v>
      </c>
      <c r="P1237" s="92" t="inlineStr">
        <is>
          <t>anchorWwithscrewandwasher 5/8</t>
        </is>
      </c>
      <c r="Q1237" s="277" t="n">
        <v>10</v>
      </c>
      <c r="R1237" s="5" t="inlineStr">
        <is>
          <t>SET.</t>
        </is>
      </c>
      <c r="S1237" s="292">
        <f>RawDataGenPO[[#This Row],[Total price]]/RawDataGenPO[[#This Row],[Qty'']]</f>
        <v/>
      </c>
      <c r="T1237" s="278" t="n">
        <v>1050</v>
      </c>
      <c r="U1237" s="291" t="n"/>
      <c r="V1237" s="7" t="inlineStr">
        <is>
          <t>V1000840 - S.Q. &amp; CO CO., LTD</t>
        </is>
      </c>
      <c r="W1237" s="30" t="inlineStr">
        <is>
          <t>Recive bill and GRN already</t>
        </is>
      </c>
      <c r="X1237" s="5" t="inlineStr">
        <is>
          <t>GRN2526-0002161</t>
        </is>
      </c>
      <c r="Y1237" s="3" t="n">
        <v>45842</v>
      </c>
      <c r="AA1237" s="17">
        <f>IF(RawDataGenPO[[#This Row],[Date Gen PO]]="","",RawDataGenPO[[#This Row],[Date recive bill]]-RawDataGenPO[[#This Row],[Date Gen PO]])</f>
        <v/>
      </c>
      <c r="AB1237" s="16">
        <f>IF(RawDataGenPO[[#This Row],[GRN-PO date]]&gt;RawDataGenPO[[#This Row],[Lead time delivery (day)]],"over deliverry","Ontime")</f>
        <v/>
      </c>
      <c r="AC1237" s="22" t="n"/>
    </row>
    <row r="1238" ht="15" customHeight="1">
      <c r="A1238" s="5">
        <f>ROW()-ROW(RawDataGenPO[[#Headers],[No.]])</f>
        <v/>
      </c>
      <c r="B1238" s="7" t="inlineStr">
        <is>
          <t>Expent  cost</t>
        </is>
      </c>
      <c r="C1238" s="355" t="n">
        <v>45823</v>
      </c>
      <c r="F1238" s="301" t="n">
        <v>45823</v>
      </c>
      <c r="G1238" s="5" t="inlineStr">
        <is>
          <t>PR2526-01037</t>
        </is>
      </c>
      <c r="H1238" s="5" t="inlineStr">
        <is>
          <t>PO2526-01644</t>
        </is>
      </c>
      <c r="I1238" s="345" t="n">
        <v>45833</v>
      </c>
      <c r="J1238" s="345" t="n">
        <v>45833</v>
      </c>
      <c r="K1238" s="77" t="n">
        <v>20</v>
      </c>
      <c r="L1238" s="5" t="inlineStr">
        <is>
          <t>SFST81000009</t>
        </is>
      </c>
      <c r="M1238" s="7" t="inlineStr">
        <is>
          <t>Consumable part for MN</t>
        </is>
      </c>
      <c r="N1238" s="7" t="inlineStr">
        <is>
          <t>Consumable part</t>
        </is>
      </c>
      <c r="O1238" s="11" t="n">
        <v>6</v>
      </c>
      <c r="P1238" s="92" t="inlineStr">
        <is>
          <t>anchorWwithscrewandwasher 1/2</t>
        </is>
      </c>
      <c r="Q1238" s="277" t="n">
        <v>10</v>
      </c>
      <c r="R1238" s="5" t="inlineStr">
        <is>
          <t>SET.</t>
        </is>
      </c>
      <c r="S1238" s="292">
        <f>RawDataGenPO[[#This Row],[Total price]]/RawDataGenPO[[#This Row],[Qty'']]</f>
        <v/>
      </c>
      <c r="T1238" s="278" t="n">
        <v>540</v>
      </c>
      <c r="U1238" s="291" t="n"/>
      <c r="V1238" s="7" t="inlineStr">
        <is>
          <t>V1000840 - S.Q. &amp; CO CO., LTD</t>
        </is>
      </c>
      <c r="W1238" s="30" t="inlineStr">
        <is>
          <t>Recive bill and GRN already</t>
        </is>
      </c>
      <c r="X1238" s="5" t="inlineStr">
        <is>
          <t>GRN2526-0002161</t>
        </is>
      </c>
      <c r="Y1238" s="3" t="n">
        <v>45842</v>
      </c>
      <c r="AA1238" s="17">
        <f>IF(RawDataGenPO[[#This Row],[Date Gen PO]]="","",RawDataGenPO[[#This Row],[Date recive bill]]-RawDataGenPO[[#This Row],[Date Gen PO]])</f>
        <v/>
      </c>
      <c r="AB1238" s="16">
        <f>IF(RawDataGenPO[[#This Row],[GRN-PO date]]&gt;RawDataGenPO[[#This Row],[Lead time delivery (day)]],"over deliverry","Ontime")</f>
        <v/>
      </c>
      <c r="AC1238" s="22" t="n"/>
    </row>
    <row r="1239" ht="15" customHeight="1">
      <c r="A1239" s="5">
        <f>ROW()-ROW(RawDataGenPO[[#Headers],[No.]])</f>
        <v/>
      </c>
      <c r="B1239" s="7" t="inlineStr">
        <is>
          <t>Expent  cost</t>
        </is>
      </c>
      <c r="C1239" s="355" t="n">
        <v>45823</v>
      </c>
      <c r="F1239" s="301" t="n">
        <v>45823</v>
      </c>
      <c r="G1239" s="5" t="inlineStr">
        <is>
          <t>PR2526-01037</t>
        </is>
      </c>
      <c r="H1239" s="5" t="inlineStr">
        <is>
          <t>PO2526-01644</t>
        </is>
      </c>
      <c r="I1239" s="345" t="n">
        <v>45833</v>
      </c>
      <c r="J1239" s="345" t="n">
        <v>45833</v>
      </c>
      <c r="K1239" s="77" t="n">
        <v>20</v>
      </c>
      <c r="L1239" s="5" t="inlineStr">
        <is>
          <t>SFST81000009</t>
        </is>
      </c>
      <c r="M1239" s="7" t="inlineStr">
        <is>
          <t>Consumable part for MN</t>
        </is>
      </c>
      <c r="N1239" s="7" t="inlineStr">
        <is>
          <t>Consumable part</t>
        </is>
      </c>
      <c r="O1239" s="11" t="n">
        <v>7</v>
      </c>
      <c r="P1239" s="92" t="inlineStr">
        <is>
          <t>anchorWwithscrewandwasher 3/8</t>
        </is>
      </c>
      <c r="Q1239" s="277" t="n">
        <v>10</v>
      </c>
      <c r="R1239" s="5" t="inlineStr">
        <is>
          <t>SET.</t>
        </is>
      </c>
      <c r="S1239" s="292">
        <f>RawDataGenPO[[#This Row],[Total price]]/RawDataGenPO[[#This Row],[Qty'']]</f>
        <v/>
      </c>
      <c r="T1239" s="278" t="n">
        <v>360</v>
      </c>
      <c r="U1239" s="291" t="n"/>
      <c r="V1239" s="7" t="inlineStr">
        <is>
          <t>V1000840 - S.Q. &amp; CO CO., LTD</t>
        </is>
      </c>
      <c r="W1239" s="30" t="inlineStr">
        <is>
          <t>Recive bill and GRN already</t>
        </is>
      </c>
      <c r="X1239" s="5" t="inlineStr">
        <is>
          <t>GRN2526-0002161</t>
        </is>
      </c>
      <c r="Y1239" s="3" t="n">
        <v>45842</v>
      </c>
      <c r="AA1239" s="17">
        <f>IF(RawDataGenPO[[#This Row],[Date Gen PO]]="","",RawDataGenPO[[#This Row],[Date recive bill]]-RawDataGenPO[[#This Row],[Date Gen PO]])</f>
        <v/>
      </c>
      <c r="AB1239" s="16">
        <f>IF(RawDataGenPO[[#This Row],[GRN-PO date]]&gt;RawDataGenPO[[#This Row],[Lead time delivery (day)]],"over deliverry","Ontime")</f>
        <v/>
      </c>
      <c r="AC1239" s="22" t="n"/>
    </row>
    <row r="1240" ht="15" customHeight="1">
      <c r="A1240" s="5">
        <f>ROW()-ROW(RawDataGenPO[[#Headers],[No.]])</f>
        <v/>
      </c>
      <c r="B1240" s="7" t="inlineStr">
        <is>
          <t>Expent  cost</t>
        </is>
      </c>
      <c r="C1240" s="355" t="n">
        <v>45828</v>
      </c>
      <c r="F1240" s="301" t="n">
        <v>45828</v>
      </c>
      <c r="G1240" s="5" t="inlineStr">
        <is>
          <t>PR2526-01089</t>
        </is>
      </c>
      <c r="H1240" s="5" t="inlineStr">
        <is>
          <t>PO2526-01679</t>
        </is>
      </c>
      <c r="I1240" s="345" t="n">
        <v>45833</v>
      </c>
      <c r="J1240" s="345" t="n">
        <v>45833</v>
      </c>
      <c r="K1240" s="77" t="n">
        <v>20</v>
      </c>
      <c r="L1240" s="5" t="inlineStr">
        <is>
          <t>SFST34000102</t>
        </is>
      </c>
      <c r="M1240" s="7" t="inlineStr">
        <is>
          <t>Consumable part for MN</t>
        </is>
      </c>
      <c r="N1240" s="7" t="inlineStr">
        <is>
          <t>Tool and Equipment</t>
        </is>
      </c>
      <c r="O1240" s="11" t="n">
        <v>1</v>
      </c>
      <c r="P1240" s="80" t="inlineStr">
        <is>
          <t>acid-free anti-mold silicone Wessbond silicone Neutra grey</t>
        </is>
      </c>
      <c r="Q1240" s="277" t="n">
        <v>25</v>
      </c>
      <c r="R1240" s="5" t="inlineStr">
        <is>
          <t>PCS.</t>
        </is>
      </c>
      <c r="S1240" s="292">
        <f>RawDataGenPO[[#This Row],[Total price]]/RawDataGenPO[[#This Row],[Qty'']]</f>
        <v/>
      </c>
      <c r="T1240" s="278" t="n">
        <v>5500</v>
      </c>
      <c r="U1240" s="291" t="n"/>
      <c r="V1240" s="7" t="inlineStr">
        <is>
          <t>V1000576 - Darmex Petroleum (Thailand) Corp., Ltd.</t>
        </is>
      </c>
      <c r="W1240" s="30" t="inlineStr">
        <is>
          <t>Recive bill and GRN already</t>
        </is>
      </c>
      <c r="X1240" s="5" t="inlineStr">
        <is>
          <t>GRN2526-0002160</t>
        </is>
      </c>
      <c r="Y1240" s="3" t="n">
        <v>45842</v>
      </c>
      <c r="AA1240" s="17">
        <f>IF(RawDataGenPO[[#This Row],[Date Gen PO]]="","",RawDataGenPO[[#This Row],[Date recive bill]]-RawDataGenPO[[#This Row],[Date Gen PO]])</f>
        <v/>
      </c>
      <c r="AB1240" s="16">
        <f>IF(RawDataGenPO[[#This Row],[GRN-PO date]]&gt;RawDataGenPO[[#This Row],[Lead time delivery (day)]],"over deliverry","Ontime")</f>
        <v/>
      </c>
      <c r="AC1240" s="22" t="n"/>
    </row>
    <row r="1241" ht="15" customHeight="1">
      <c r="A1241" s="5">
        <f>ROW()-ROW(RawDataGenPO[[#Headers],[No.]])</f>
        <v/>
      </c>
      <c r="B1241" s="7" t="inlineStr">
        <is>
          <t>Expent  cost</t>
        </is>
      </c>
      <c r="C1241" s="355" t="n">
        <v>45828</v>
      </c>
      <c r="F1241" s="301" t="n">
        <v>45828</v>
      </c>
      <c r="G1241" s="5" t="inlineStr">
        <is>
          <t>PR2526-01089</t>
        </is>
      </c>
      <c r="H1241" s="5" t="inlineStr">
        <is>
          <t xml:space="preserve">PO2526-01680 </t>
        </is>
      </c>
      <c r="I1241" s="345" t="n">
        <v>45840</v>
      </c>
      <c r="J1241" s="345" t="n"/>
      <c r="K1241" s="77" t="n">
        <v>20</v>
      </c>
      <c r="L1241" s="5" t="inlineStr">
        <is>
          <t>SFST34000189</t>
        </is>
      </c>
      <c r="M1241" s="7" t="inlineStr">
        <is>
          <t>Consumable part for MN</t>
        </is>
      </c>
      <c r="N1241" s="7" t="inlineStr">
        <is>
          <t>Tool and Equipment</t>
        </is>
      </c>
      <c r="O1241" s="11" t="n">
        <v>2</v>
      </c>
      <c r="P1241" s="80" t="inlineStr">
        <is>
          <t>PU Foam Sika Boom AP 500ml</t>
        </is>
      </c>
      <c r="Q1241" s="277" t="n">
        <v>24</v>
      </c>
      <c r="R1241" s="5" t="inlineStr">
        <is>
          <t>PCS.</t>
        </is>
      </c>
      <c r="S1241" s="292">
        <f>RawDataGenPO[[#This Row],[Total price]]/RawDataGenPO[[#This Row],[Qty'']]</f>
        <v/>
      </c>
      <c r="T1241" s="278" t="n">
        <v>5880</v>
      </c>
      <c r="U1241" s="291" t="n"/>
      <c r="V1241" s="7" t="inlineStr">
        <is>
          <t>V1000289 - Kitticharoen Supply Co., Ltd</t>
        </is>
      </c>
      <c r="W1241" s="30" t="inlineStr">
        <is>
          <t>Recive bill and GRN already</t>
        </is>
      </c>
      <c r="X1241" s="5" t="inlineStr">
        <is>
          <t>GRN2526-0002369</t>
        </is>
      </c>
      <c r="Y1241" s="3" t="n">
        <v>45854</v>
      </c>
      <c r="AA1241" s="17">
        <f>IF(RawDataGenPO[[#This Row],[Date Gen PO]]="","",RawDataGenPO[[#This Row],[Date recive bill]]-RawDataGenPO[[#This Row],[Date Gen PO]])</f>
        <v/>
      </c>
      <c r="AB1241" s="16">
        <f>IF(RawDataGenPO[[#This Row],[GRN-PO date]]&gt;RawDataGenPO[[#This Row],[Lead time delivery (day)]],"over deliverry","Ontime")</f>
        <v/>
      </c>
      <c r="AC1241" s="22" t="n"/>
    </row>
    <row r="1242" ht="15" customHeight="1">
      <c r="A1242" s="5">
        <f>ROW()-ROW(RawDataGenPO[[#Headers],[No.]])</f>
        <v/>
      </c>
      <c r="B1242" s="7" t="inlineStr">
        <is>
          <t>Expent  cost</t>
        </is>
      </c>
      <c r="C1242" s="355" t="n">
        <v>45832</v>
      </c>
      <c r="F1242" s="301" t="n">
        <v>45832</v>
      </c>
      <c r="G1242" s="5" t="inlineStr">
        <is>
          <t>PR2526-01099</t>
        </is>
      </c>
      <c r="H1242" s="5" t="inlineStr">
        <is>
          <t>PO2526-01720</t>
        </is>
      </c>
      <c r="I1242" s="286" t="n">
        <v>45840</v>
      </c>
      <c r="J1242" s="77" t="n"/>
      <c r="K1242" s="77" t="n">
        <v>30</v>
      </c>
      <c r="L1242" s="5" t="inlineStr">
        <is>
          <t>SFST11000256</t>
        </is>
      </c>
      <c r="M1242" s="7" t="inlineStr">
        <is>
          <t xml:space="preserve">Waste water </t>
        </is>
      </c>
      <c r="N1242" s="7" t="inlineStr">
        <is>
          <t>Waste water system Jobs</t>
        </is>
      </c>
      <c r="O1242" s="11" t="n">
        <v>1</v>
      </c>
      <c r="P1242" s="80" t="inlineStr">
        <is>
          <t>Bio Solution 1 lit</t>
        </is>
      </c>
      <c r="Q1242" s="277" t="n">
        <v>2</v>
      </c>
      <c r="R1242" s="5" t="inlineStr">
        <is>
          <t>BOT.</t>
        </is>
      </c>
      <c r="S1242" s="292">
        <f>RawDataGenPO[[#This Row],[Total price]]/RawDataGenPO[[#This Row],[Qty'']]</f>
        <v/>
      </c>
      <c r="T1242" s="278" t="n">
        <v>1600</v>
      </c>
      <c r="U1242" s="291" t="n"/>
      <c r="V1242" s="7" t="inlineStr">
        <is>
          <t>V1000206 - TECHMAN (THAILAND) CO.,LTD.</t>
        </is>
      </c>
      <c r="W1242" s="30" t="inlineStr">
        <is>
          <t>Recive bill and GRN already</t>
        </is>
      </c>
      <c r="X1242" s="5" t="inlineStr">
        <is>
          <t>GRN2526-0002292</t>
        </is>
      </c>
      <c r="Y1242" s="3" t="n">
        <v>45848</v>
      </c>
      <c r="AA1242" s="17">
        <f>IF(RawDataGenPO[[#This Row],[Date Gen PO]]="","",RawDataGenPO[[#This Row],[Date recive bill]]-RawDataGenPO[[#This Row],[Date Gen PO]])</f>
        <v/>
      </c>
      <c r="AB1242" s="16">
        <f>IF(RawDataGenPO[[#This Row],[GRN-PO date]]&gt;RawDataGenPO[[#This Row],[Lead time delivery (day)]],"over deliverry","Ontime")</f>
        <v/>
      </c>
      <c r="AC1242" s="22" t="n"/>
    </row>
    <row r="1243" ht="15" customHeight="1">
      <c r="A1243" s="5">
        <f>ROW()-ROW(RawDataGenPO[[#Headers],[No.]])</f>
        <v/>
      </c>
      <c r="B1243" s="7" t="inlineStr">
        <is>
          <t>Expent  cost</t>
        </is>
      </c>
      <c r="C1243" s="355" t="n">
        <v>45834</v>
      </c>
      <c r="F1243" s="301" t="n">
        <v>45834</v>
      </c>
      <c r="G1243" s="5" t="inlineStr">
        <is>
          <t>PR2526-01120</t>
        </is>
      </c>
      <c r="H1243" s="5" t="inlineStr">
        <is>
          <t>PO2526-01714</t>
        </is>
      </c>
      <c r="I1243" s="345" t="n">
        <v>45842</v>
      </c>
      <c r="J1243" s="77" t="n"/>
      <c r="K1243" s="77" t="n">
        <v>30</v>
      </c>
      <c r="L1243" s="5" t="inlineStr">
        <is>
          <t>SFST81000048</t>
        </is>
      </c>
      <c r="M1243" s="7" t="inlineStr">
        <is>
          <t>PD Machine</t>
        </is>
      </c>
      <c r="N1243" s="7" t="inlineStr">
        <is>
          <t>Steam Bratt pan No.2</t>
        </is>
      </c>
      <c r="O1243" s="11" t="n">
        <v>2</v>
      </c>
      <c r="P1243" s="80" t="inlineStr">
        <is>
          <t>Safety Valve Brass PD 9.2 BAR for Bratt pan #2</t>
        </is>
      </c>
      <c r="Q1243" s="277" t="n">
        <v>1</v>
      </c>
      <c r="R1243" s="5" t="inlineStr">
        <is>
          <t>PCS.</t>
        </is>
      </c>
      <c r="S1243" s="292">
        <f>RawDataGenPO[[#This Row],[Total price]]/RawDataGenPO[[#This Row],[Qty'']]</f>
        <v/>
      </c>
      <c r="T1243" s="278" t="n">
        <v>26514.4</v>
      </c>
      <c r="U1243" s="291" t="n"/>
      <c r="V1243" s="7" t="inlineStr">
        <is>
          <t>V1000189 - FPT FOOD PROCESS TECHNOLOGY CO., LTD.</t>
        </is>
      </c>
      <c r="W1243" s="30" t="inlineStr">
        <is>
          <t>Recive bill and GRN already</t>
        </is>
      </c>
      <c r="X1243" s="5" t="inlineStr">
        <is>
          <t>GRN2526-0002409</t>
        </is>
      </c>
      <c r="Y1243" s="3" t="n">
        <v>45855</v>
      </c>
      <c r="AA1243" s="17">
        <f>IF(RawDataGenPO[[#This Row],[Date Gen PO]]="","",RawDataGenPO[[#This Row],[Date recive bill]]-RawDataGenPO[[#This Row],[Date Gen PO]])</f>
        <v/>
      </c>
      <c r="AB1243" s="16">
        <f>IF(RawDataGenPO[[#This Row],[GRN-PO date]]&gt;RawDataGenPO[[#This Row],[Lead time delivery (day)]],"over deliverry","Ontime")</f>
        <v/>
      </c>
      <c r="AC1243" s="22" t="n"/>
    </row>
    <row r="1244" ht="45" customHeight="1">
      <c r="A1244" s="5">
        <f>ROW()-ROW(RawDataGenPO[[#Headers],[No.]])</f>
        <v/>
      </c>
      <c r="B1244" s="7" t="inlineStr">
        <is>
          <t>Expent  cost</t>
        </is>
      </c>
      <c r="C1244" s="355" t="n">
        <v>45834</v>
      </c>
      <c r="F1244" s="301" t="n">
        <v>45834</v>
      </c>
      <c r="G1244" s="5" t="inlineStr">
        <is>
          <t>PR2526-01121</t>
        </is>
      </c>
      <c r="H1244" s="5" t="inlineStr">
        <is>
          <t>PO2526-01803</t>
        </is>
      </c>
      <c r="I1244" s="345" t="n">
        <v>45842</v>
      </c>
      <c r="J1244" s="77" t="n"/>
      <c r="K1244" s="77" t="n">
        <v>30</v>
      </c>
      <c r="L1244" s="5" t="inlineStr">
        <is>
          <t>SFST81000048</t>
        </is>
      </c>
      <c r="M1244" s="7" t="inlineStr">
        <is>
          <t>PD Machine</t>
        </is>
      </c>
      <c r="N1244" s="7" t="inlineStr">
        <is>
          <t>Steambox1</t>
        </is>
      </c>
      <c r="O1244" s="11" t="n">
        <v>1</v>
      </c>
      <c r="P1244" s="80" t="inlineStr">
        <is>
          <t>Spong Silicone Rubber
- Size:15 X 40 mm.
- 180 degree</t>
        </is>
      </c>
      <c r="Q1244" s="277" t="n">
        <v>30</v>
      </c>
      <c r="R1244" s="5" t="inlineStr">
        <is>
          <t>M.</t>
        </is>
      </c>
      <c r="S1244" s="292">
        <f>RawDataGenPO[[#This Row],[Total price]]/RawDataGenPO[[#This Row],[Qty'']]</f>
        <v/>
      </c>
      <c r="T1244" s="278" t="n">
        <v>26700</v>
      </c>
      <c r="U1244" s="291" t="n"/>
      <c r="W1244" s="30" t="inlineStr">
        <is>
          <t>Recive bill and GRN already</t>
        </is>
      </c>
      <c r="X1244" s="5" t="inlineStr">
        <is>
          <t>GRN2526-0002412</t>
        </is>
      </c>
      <c r="Y1244" s="3" t="n">
        <v>45855</v>
      </c>
      <c r="AA1244" s="17">
        <f>IF(RawDataGenPO[[#This Row],[Date Gen PO]]="","",RawDataGenPO[[#This Row],[Date recive bill]]-RawDataGenPO[[#This Row],[Date Gen PO]])</f>
        <v/>
      </c>
      <c r="AB1244" s="16">
        <f>IF(RawDataGenPO[[#This Row],[GRN-PO date]]&gt;RawDataGenPO[[#This Row],[Lead time delivery (day)]],"over deliverry","Ontime")</f>
        <v/>
      </c>
      <c r="AC1244" s="22" t="n"/>
    </row>
    <row r="1245" ht="30" customHeight="1">
      <c r="A1245" s="5">
        <f>ROW()-ROW(RawDataGenPO[[#Headers],[No.]])</f>
        <v/>
      </c>
      <c r="B1245" s="7" t="inlineStr">
        <is>
          <t>Expent  cost</t>
        </is>
      </c>
      <c r="C1245" s="355" t="n">
        <v>45834</v>
      </c>
      <c r="F1245" s="301" t="n">
        <v>45834</v>
      </c>
      <c r="G1245" s="5" t="inlineStr">
        <is>
          <t>PR2526-01122</t>
        </is>
      </c>
      <c r="H1245" s="5" t="inlineStr">
        <is>
          <t>PO2526-01711</t>
        </is>
      </c>
      <c r="I1245" s="286" t="n">
        <v>45842</v>
      </c>
      <c r="J1245" s="77" t="n"/>
      <c r="K1245" s="77" t="n">
        <v>45</v>
      </c>
      <c r="L1245" s="5" t="inlineStr">
        <is>
          <t>SFST81000048</t>
        </is>
      </c>
      <c r="M1245" s="7" t="inlineStr">
        <is>
          <t>Tool and Equipment PD M/C</t>
        </is>
      </c>
      <c r="N1245" s="7" t="inlineStr">
        <is>
          <t>Tool and Equipment</t>
        </is>
      </c>
      <c r="O1245" s="11" t="n">
        <v>1</v>
      </c>
      <c r="P1245" s="80" t="inlineStr">
        <is>
          <t>Solenoid Valve Pneumatic 3/2 way 1/8 PT NC (Airtac 3V110-06) AC 220V Single coil</t>
        </is>
      </c>
      <c r="Q1245" s="277" t="n">
        <v>2</v>
      </c>
      <c r="R1245" s="5" t="inlineStr">
        <is>
          <t>PCS.</t>
        </is>
      </c>
      <c r="S1245" s="292">
        <f>RawDataGenPO[[#This Row],[Total price]]/RawDataGenPO[[#This Row],[Qty'']]</f>
        <v/>
      </c>
      <c r="T1245" s="278" t="n">
        <v>620</v>
      </c>
      <c r="U1245" s="291" t="n"/>
      <c r="V1245" s="7" t="inlineStr">
        <is>
          <t>V1000481 - Company JW Tech Ltd.</t>
        </is>
      </c>
      <c r="W1245" s="30" t="inlineStr">
        <is>
          <t>Recive bill and GRN already</t>
        </is>
      </c>
      <c r="X1245" s="5" t="inlineStr">
        <is>
          <t>GRN2526-0002655</t>
        </is>
      </c>
      <c r="Y1245" s="3" t="n">
        <v>45863</v>
      </c>
      <c r="AA1245" s="17">
        <f>IF(RawDataGenPO[[#This Row],[Date Gen PO]]="","",RawDataGenPO[[#This Row],[Date recive bill]]-RawDataGenPO[[#This Row],[Date Gen PO]])</f>
        <v/>
      </c>
      <c r="AB1245" s="16">
        <f>IF(RawDataGenPO[[#This Row],[GRN-PO date]]&gt;RawDataGenPO[[#This Row],[Lead time delivery (day)]],"over deliverry","Ontime")</f>
        <v/>
      </c>
      <c r="AC1245" s="22" t="n"/>
    </row>
    <row r="1246" ht="15" customHeight="1">
      <c r="A1246" s="5">
        <f>ROW()-ROW(RawDataGenPO[[#Headers],[No.]])</f>
        <v/>
      </c>
      <c r="B1246" s="7" t="inlineStr">
        <is>
          <t>Expent  cost</t>
        </is>
      </c>
      <c r="C1246" s="355" t="n">
        <v>45834</v>
      </c>
      <c r="F1246" s="301" t="n">
        <v>45834</v>
      </c>
      <c r="G1246" s="5" t="inlineStr">
        <is>
          <t>PR2526-01123</t>
        </is>
      </c>
      <c r="H1246" s="5" t="inlineStr">
        <is>
          <t>PO2526-01712</t>
        </is>
      </c>
      <c r="I1246" s="286" t="n">
        <v>45842</v>
      </c>
      <c r="J1246" s="77" t="n"/>
      <c r="K1246" s="77" t="n">
        <v>60</v>
      </c>
      <c r="L1246" s="5" t="inlineStr">
        <is>
          <t>SFST81000048</t>
        </is>
      </c>
      <c r="M1246" s="7" t="inlineStr">
        <is>
          <t>Tool and Equipment PD M/C</t>
        </is>
      </c>
      <c r="N1246" s="7" t="inlineStr">
        <is>
          <t>Tool and Equipment</t>
        </is>
      </c>
      <c r="O1246" s="11" t="n">
        <v>1</v>
      </c>
      <c r="P1246" s="80" t="inlineStr">
        <is>
          <t>belt V Belt (B-50) brand MITSUBOSHI BELTING</t>
        </is>
      </c>
      <c r="Q1246" s="277" t="n">
        <v>8</v>
      </c>
      <c r="R1246" s="5" t="inlineStr">
        <is>
          <t>PCS.</t>
        </is>
      </c>
      <c r="S1246" s="292">
        <f>RawDataGenPO[[#This Row],[Total price]]/RawDataGenPO[[#This Row],[Qty'']]</f>
        <v/>
      </c>
      <c r="T1246" s="278" t="n">
        <v>790</v>
      </c>
      <c r="U1246" s="291" t="n"/>
      <c r="V1246" s="7" t="inlineStr">
        <is>
          <t>V1000763 - North Power Co., Ltd.</t>
        </is>
      </c>
      <c r="W1246" s="30" t="inlineStr">
        <is>
          <t>Recive bill and GRN already</t>
        </is>
      </c>
      <c r="X1246" s="5" t="inlineStr">
        <is>
          <t>GRN2526-0002896</t>
        </is>
      </c>
      <c r="Y1246" s="3" t="n">
        <v>45874</v>
      </c>
      <c r="AA1246" s="17">
        <f>IF(RawDataGenPO[[#This Row],[Date Gen PO]]="","",RawDataGenPO[[#This Row],[Date recive bill]]-RawDataGenPO[[#This Row],[Date Gen PO]])</f>
        <v/>
      </c>
      <c r="AB1246" s="16">
        <f>IF(RawDataGenPO[[#This Row],[GRN-PO date]]&gt;RawDataGenPO[[#This Row],[Lead time delivery (day)]],"over deliverry","Ontime")</f>
        <v/>
      </c>
      <c r="AC1246" s="22" t="n"/>
    </row>
    <row r="1247" ht="60" customHeight="1">
      <c r="A1247" s="5">
        <f>ROW()-ROW(RawDataGenPO[[#Headers],[No.]])</f>
        <v/>
      </c>
      <c r="B1247" s="7" t="inlineStr">
        <is>
          <t>Expent  cost</t>
        </is>
      </c>
      <c r="C1247" s="355" t="n">
        <v>45834</v>
      </c>
      <c r="F1247" s="301" t="n">
        <v>45834</v>
      </c>
      <c r="G1247" s="5" t="inlineStr">
        <is>
          <t>PR2526-01130</t>
        </is>
      </c>
      <c r="H1247" s="5" t="inlineStr">
        <is>
          <t>PO2526-01722</t>
        </is>
      </c>
      <c r="I1247" s="286" t="n">
        <v>45840</v>
      </c>
      <c r="J1247" s="77" t="n"/>
      <c r="K1247" s="77" t="n">
        <v>60</v>
      </c>
      <c r="L1247" s="5" t="inlineStr">
        <is>
          <t>SFST81000064</t>
        </is>
      </c>
      <c r="M1247" s="7" t="inlineStr">
        <is>
          <t>Annual cost</t>
        </is>
      </c>
      <c r="N1247" s="7" t="inlineStr">
        <is>
          <t>Inspect cost</t>
        </is>
      </c>
      <c r="O1247" s="11" t="n">
        <v>1</v>
      </c>
      <c r="P1247" s="80" t="inlineStr">
        <is>
          <t>CALIBRATION FEE Multi Gas Detectors
- Model: PONPE 323-1
- CAL 4 MIX GAS
- Carbon Monoxide, Methane, Oxygen, Hydrogen Sulfide</t>
        </is>
      </c>
      <c r="Q1247" s="277" t="n">
        <v>1</v>
      </c>
      <c r="R1247" s="5" t="inlineStr">
        <is>
          <t>EA.</t>
        </is>
      </c>
      <c r="S1247" s="292">
        <f>RawDataGenPO[[#This Row],[Total price]]/RawDataGenPO[[#This Row],[Qty'']]</f>
        <v/>
      </c>
      <c r="T1247" s="278" t="n">
        <v>3500</v>
      </c>
      <c r="U1247" s="291" t="n"/>
      <c r="V1247" s="7" t="inlineStr">
        <is>
          <t>V1000125 - CALIBRATION LABORATORY CO.,LTD.</t>
        </is>
      </c>
      <c r="W1247" s="30" t="inlineStr">
        <is>
          <t>Recive bill and GRN already</t>
        </is>
      </c>
      <c r="X1247" s="5" t="inlineStr">
        <is>
          <t>GRN2526-0003195</t>
        </is>
      </c>
      <c r="Y1247" s="3" t="n">
        <v>45888</v>
      </c>
      <c r="AA1247" s="17">
        <f>IF(RawDataGenPO[[#This Row],[Date Gen PO]]="","",RawDataGenPO[[#This Row],[Date recive bill]]-RawDataGenPO[[#This Row],[Date Gen PO]])</f>
        <v/>
      </c>
      <c r="AB1247" s="16">
        <f>IF(RawDataGenPO[[#This Row],[GRN-PO date]]&gt;RawDataGenPO[[#This Row],[Lead time delivery (day)]],"over deliverry","Ontime")</f>
        <v/>
      </c>
      <c r="AC1247" s="22" t="n"/>
    </row>
    <row r="1248" ht="30" customHeight="1">
      <c r="A1248" s="5">
        <f>ROW()-ROW(RawDataGenPO[[#Headers],[No.]])</f>
        <v/>
      </c>
      <c r="B1248" s="7" t="inlineStr">
        <is>
          <t>Expent  cost</t>
        </is>
      </c>
      <c r="C1248" s="355" t="n">
        <v>45834</v>
      </c>
      <c r="F1248" s="301" t="n">
        <v>45834</v>
      </c>
      <c r="G1248" s="5" t="inlineStr">
        <is>
          <t>PR2526-01131</t>
        </is>
      </c>
      <c r="H1248" s="5" t="inlineStr">
        <is>
          <t>PO2526-01878</t>
        </is>
      </c>
      <c r="I1248" s="286" t="n">
        <v>45847</v>
      </c>
      <c r="J1248" s="77" t="n"/>
      <c r="K1248" s="77" t="n">
        <v>60</v>
      </c>
      <c r="L1248" s="5" t="inlineStr">
        <is>
          <t>SFST81000087</t>
        </is>
      </c>
      <c r="M1248" s="7" t="inlineStr">
        <is>
          <t>Annual cost</t>
        </is>
      </c>
      <c r="N1248" s="7" t="inlineStr">
        <is>
          <t>Inspect cost</t>
        </is>
      </c>
      <c r="O1248" s="11" t="n">
        <v>1</v>
      </c>
      <c r="P1248" s="80" t="inlineStr">
        <is>
          <t>workmfrontinternaloperationwork
minternal (In - House Trainning) 1 model 1-20</t>
        </is>
      </c>
      <c r="Q1248" s="277" t="n">
        <v>1</v>
      </c>
      <c r="R1248" s="5" t="inlineStr">
        <is>
          <t>GROUP</t>
        </is>
      </c>
      <c r="S1248" s="292">
        <f>RawDataGenPO[[#This Row],[Total price]]/RawDataGenPO[[#This Row],[Qty'']]</f>
        <v/>
      </c>
      <c r="T1248" s="278" t="n">
        <v>25000</v>
      </c>
      <c r="U1248" s="291" t="n"/>
      <c r="V1248" s="7" t="inlineStr">
        <is>
          <t>V1000854 - Safesiri (Thailand) Co., Ltd.</t>
        </is>
      </c>
      <c r="W1248" s="30" t="inlineStr">
        <is>
          <t>Recive bill and GRN already</t>
        </is>
      </c>
      <c r="X1248" s="5" t="inlineStr">
        <is>
          <t>GRN2526-0002939</t>
        </is>
      </c>
      <c r="Y1248" s="3" t="n">
        <v>45876</v>
      </c>
      <c r="AA1248" s="17">
        <f>IF(RawDataGenPO[[#This Row],[Date Gen PO]]="","",RawDataGenPO[[#This Row],[Date recive bill]]-RawDataGenPO[[#This Row],[Date Gen PO]])</f>
        <v/>
      </c>
      <c r="AB1248" s="16">
        <f>IF(RawDataGenPO[[#This Row],[GRN-PO date]]&gt;RawDataGenPO[[#This Row],[Lead time delivery (day)]],"over deliverry","Ontime")</f>
        <v/>
      </c>
      <c r="AC1248" s="22" t="n"/>
    </row>
    <row r="1249" ht="30" customHeight="1">
      <c r="A1249" s="5">
        <f>ROW()-ROW(RawDataGenPO[[#Headers],[No.]])</f>
        <v/>
      </c>
      <c r="B1249" s="7" t="inlineStr">
        <is>
          <t>Expent  cost</t>
        </is>
      </c>
      <c r="C1249" s="355" t="n">
        <v>45834</v>
      </c>
      <c r="F1249" s="301" t="n">
        <v>45834</v>
      </c>
      <c r="G1249" s="5" t="inlineStr">
        <is>
          <t>PR2526-01131</t>
        </is>
      </c>
      <c r="H1249" s="5" t="inlineStr">
        <is>
          <t>PO2526-01878</t>
        </is>
      </c>
      <c r="I1249" s="286" t="n">
        <v>45847</v>
      </c>
      <c r="J1249" s="77" t="n"/>
      <c r="K1249" s="77" t="n">
        <v>60</v>
      </c>
      <c r="L1249" s="5" t="inlineStr">
        <is>
          <t>SFST81000087</t>
        </is>
      </c>
      <c r="M1249" s="7" t="inlineStr">
        <is>
          <t>Annual cost</t>
        </is>
      </c>
      <c r="N1249" s="7" t="inlineStr">
        <is>
          <t>Inspect cost</t>
        </is>
      </c>
      <c r="O1249" s="11" t="n">
        <v>2</v>
      </c>
      <c r="P1249" s="80" t="inlineStr">
        <is>
          <t>21-25 mm 250
m 2 day (12 Wm)</t>
        </is>
      </c>
      <c r="Q1249" s="277" t="n">
        <v>5</v>
      </c>
      <c r="R1249" s="5" t="inlineStr">
        <is>
          <t>PERON</t>
        </is>
      </c>
      <c r="S1249" s="292">
        <f>RawDataGenPO[[#This Row],[Total price]]/RawDataGenPO[[#This Row],[Qty'']]</f>
        <v/>
      </c>
      <c r="T1249" s="278" t="n">
        <v>1250</v>
      </c>
      <c r="U1249" s="291" t="n"/>
      <c r="V1249" s="7" t="inlineStr">
        <is>
          <t>V1000854 - Safesiri (Thailand) Co., Ltd.</t>
        </is>
      </c>
      <c r="W1249" s="30" t="inlineStr">
        <is>
          <t>Recive bill and GRN already</t>
        </is>
      </c>
      <c r="X1249" s="5" t="inlineStr">
        <is>
          <t>GRN2526-0002939</t>
        </is>
      </c>
      <c r="Y1249" s="3" t="n">
        <v>45876</v>
      </c>
      <c r="AA1249" s="17">
        <f>IF(RawDataGenPO[[#This Row],[Date Gen PO]]="","",RawDataGenPO[[#This Row],[Date recive bill]]-RawDataGenPO[[#This Row],[Date Gen PO]])</f>
        <v/>
      </c>
      <c r="AB1249" s="16">
        <f>IF(RawDataGenPO[[#This Row],[GRN-PO date]]&gt;RawDataGenPO[[#This Row],[Lead time delivery (day)]],"over deliverry","Ontime")</f>
        <v/>
      </c>
      <c r="AC1249" s="22" t="n"/>
    </row>
    <row r="1250" ht="30" customHeight="1">
      <c r="A1250" s="5">
        <f>ROW()-ROW(RawDataGenPO[[#Headers],[No.]])</f>
        <v/>
      </c>
      <c r="B1250" s="7" t="inlineStr">
        <is>
          <t>Expent  cost</t>
        </is>
      </c>
      <c r="C1250" s="355" t="n">
        <v>45834</v>
      </c>
      <c r="F1250" s="301" t="n">
        <v>45834</v>
      </c>
      <c r="G1250" s="5" t="inlineStr">
        <is>
          <t>PR2526-01135</t>
        </is>
      </c>
      <c r="H1250" s="5" t="inlineStr">
        <is>
          <t>PO2526-01879</t>
        </is>
      </c>
      <c r="I1250" s="286" t="n">
        <v>45847</v>
      </c>
      <c r="J1250" s="77" t="n"/>
      <c r="K1250" s="77" t="n">
        <v>60</v>
      </c>
      <c r="L1250" s="5" t="inlineStr">
        <is>
          <t>SFST81000087</t>
        </is>
      </c>
      <c r="M1250" s="7" t="inlineStr">
        <is>
          <t>Annual cost</t>
        </is>
      </c>
      <c r="N1250" s="7" t="inlineStr">
        <is>
          <t>Inspect cost</t>
        </is>
      </c>
      <c r="O1250" s="11" t="n">
        <v>1</v>
      </c>
      <c r="P1250" s="80" t="inlineStr">
        <is>
          <t>workmfrontinternaloperationwork headfrontwork
minternal (In - House Trainning) 1 model 1-20</t>
        </is>
      </c>
      <c r="Q1250" s="277" t="n">
        <v>1</v>
      </c>
      <c r="R1250" s="5" t="inlineStr">
        <is>
          <t>GROUP</t>
        </is>
      </c>
      <c r="S1250" s="292">
        <f>RawDataGenPO[[#This Row],[Total price]]/RawDataGenPO[[#This Row],[Qty'']]</f>
        <v/>
      </c>
      <c r="T1250" s="278" t="n">
        <v>25000</v>
      </c>
      <c r="U1250" s="291" t="n"/>
      <c r="V1250" s="7" t="inlineStr">
        <is>
          <t>V1000854 - Safesiri (Thailand) Co., Ltd.</t>
        </is>
      </c>
      <c r="W1250" s="30" t="inlineStr">
        <is>
          <t>Recive bill and GRN already</t>
        </is>
      </c>
      <c r="X1250" s="5" t="inlineStr">
        <is>
          <t>GRN2526-0003508</t>
        </is>
      </c>
      <c r="Y1250" s="3" t="n">
        <v>45901</v>
      </c>
      <c r="AA1250" s="17">
        <f>IF(RawDataGenPO[[#This Row],[Date Gen PO]]="","",RawDataGenPO[[#This Row],[Date recive bill]]-RawDataGenPO[[#This Row],[Date Gen PO]])</f>
        <v/>
      </c>
      <c r="AB1250" s="16">
        <f>IF(RawDataGenPO[[#This Row],[GRN-PO date]]&gt;RawDataGenPO[[#This Row],[Lead time delivery (day)]],"over deliverry","Ontime")</f>
        <v/>
      </c>
      <c r="AC1250" s="22" t="n"/>
    </row>
    <row r="1251" ht="30" customHeight="1">
      <c r="A1251" s="5">
        <f>ROW()-ROW(RawDataGenPO[[#Headers],[No.]])</f>
        <v/>
      </c>
      <c r="B1251" s="7" t="inlineStr">
        <is>
          <t>Expent  cost</t>
        </is>
      </c>
      <c r="C1251" s="355" t="n">
        <v>45834</v>
      </c>
      <c r="F1251" s="301" t="n">
        <v>45834</v>
      </c>
      <c r="G1251" s="5" t="inlineStr">
        <is>
          <t>PR2526-01135</t>
        </is>
      </c>
      <c r="H1251" s="5" t="inlineStr">
        <is>
          <t>PO2526-01879</t>
        </is>
      </c>
      <c r="I1251" s="286" t="n">
        <v>45847</v>
      </c>
      <c r="J1251" s="77" t="n"/>
      <c r="K1251" s="77" t="n">
        <v>60</v>
      </c>
      <c r="L1251" s="5" t="inlineStr">
        <is>
          <t>SFST81000087</t>
        </is>
      </c>
      <c r="M1251" s="7" t="inlineStr">
        <is>
          <t>Annual cost</t>
        </is>
      </c>
      <c r="N1251" s="7" t="inlineStr">
        <is>
          <t>Inspect cost</t>
        </is>
      </c>
      <c r="O1251" s="11" t="n">
        <v>2</v>
      </c>
      <c r="P1251" s="80" t="inlineStr">
        <is>
          <t>21-25 mm 250
- m 2 day (12 Wm)</t>
        </is>
      </c>
      <c r="Q1251" s="277" t="n">
        <v>5</v>
      </c>
      <c r="R1251" s="5" t="inlineStr">
        <is>
          <t>PERON</t>
        </is>
      </c>
      <c r="S1251" s="292">
        <f>RawDataGenPO[[#This Row],[Total price]]/RawDataGenPO[[#This Row],[Qty'']]</f>
        <v/>
      </c>
      <c r="T1251" s="278" t="n">
        <v>1250</v>
      </c>
      <c r="U1251" s="291" t="n"/>
      <c r="V1251" s="7" t="inlineStr">
        <is>
          <t>V1000854 - Safesiri (Thailand) Co., Ltd.</t>
        </is>
      </c>
      <c r="W1251" s="30" t="inlineStr">
        <is>
          <t>Recive bill and GRN already</t>
        </is>
      </c>
      <c r="X1251" s="5" t="inlineStr">
        <is>
          <t>GRN2526-0003508</t>
        </is>
      </c>
      <c r="Y1251" s="3" t="n">
        <v>45901</v>
      </c>
      <c r="AA1251" s="17">
        <f>IF(RawDataGenPO[[#This Row],[Date Gen PO]]="","",RawDataGenPO[[#This Row],[Date recive bill]]-RawDataGenPO[[#This Row],[Date Gen PO]])</f>
        <v/>
      </c>
      <c r="AB1251" s="16">
        <f>IF(RawDataGenPO[[#This Row],[GRN-PO date]]&gt;RawDataGenPO[[#This Row],[Lead time delivery (day)]],"over deliverry","Ontime")</f>
        <v/>
      </c>
      <c r="AC1251" s="22" t="n"/>
    </row>
    <row r="1252" ht="30" customHeight="1">
      <c r="A1252" s="5">
        <f>ROW()-ROW(RawDataGenPO[[#Headers],[No.]])</f>
        <v/>
      </c>
      <c r="B1252" s="7" t="inlineStr">
        <is>
          <t>Expent  cost</t>
        </is>
      </c>
      <c r="C1252" s="355" t="n">
        <v>45834</v>
      </c>
      <c r="F1252" s="301" t="n">
        <v>45834</v>
      </c>
      <c r="G1252" s="5" t="inlineStr">
        <is>
          <t>PR2526-01136</t>
        </is>
      </c>
      <c r="H1252" s="5" t="inlineStr">
        <is>
          <t>PO2526-02562</t>
        </is>
      </c>
      <c r="I1252" s="286" t="n">
        <v>45890</v>
      </c>
      <c r="J1252" s="77" t="n"/>
      <c r="K1252" s="77" t="n">
        <v>60</v>
      </c>
      <c r="L1252" s="5" t="inlineStr">
        <is>
          <t>SFST81000087</t>
        </is>
      </c>
      <c r="M1252" s="7" t="inlineStr">
        <is>
          <t>Annual cost</t>
        </is>
      </c>
      <c r="N1252" s="7" t="inlineStr">
        <is>
          <t>Inspect cost</t>
        </is>
      </c>
      <c r="O1252" s="11" t="n">
        <v>1</v>
      </c>
      <c r="P1252" s="80" t="inlineStr">
        <is>
          <t>workmsystemwater 2
-maleWmsystemwater</t>
        </is>
      </c>
      <c r="Q1252" s="277" t="n">
        <v>1</v>
      </c>
      <c r="R1252" s="5" t="inlineStr">
        <is>
          <t>JOB.</t>
        </is>
      </c>
      <c r="S1252" s="292">
        <f>RawDataGenPO[[#This Row],[Total price]]/RawDataGenPO[[#This Row],[Qty'']]</f>
        <v/>
      </c>
      <c r="T1252" s="278" t="n">
        <v>5607.48</v>
      </c>
      <c r="U1252" s="291" t="n"/>
      <c r="V1252" s="7" t="inlineStr">
        <is>
          <t>V1000876 - Thailand Environment Institute Foundation (TEI)</t>
        </is>
      </c>
      <c r="W1252" s="30" t="inlineStr">
        <is>
          <t xml:space="preserve">Waitting Supplier transportation </t>
        </is>
      </c>
      <c r="AA1252" s="17">
        <f>IF(RawDataGenPO[[#This Row],[Date Gen PO]]="","",RawDataGenPO[[#This Row],[Date recive bill]]-RawDataGenPO[[#This Row],[Date Gen PO]])</f>
        <v/>
      </c>
      <c r="AB1252" s="16">
        <f>IF(RawDataGenPO[[#This Row],[GRN-PO date]]&gt;RawDataGenPO[[#This Row],[Lead time delivery (day)]],"over deliverry","Ontime")</f>
        <v/>
      </c>
      <c r="AC1252" s="22" t="n"/>
    </row>
    <row r="1253" ht="15" customHeight="1">
      <c r="A1253" s="5">
        <f>ROW()-ROW(RawDataGenPO[[#Headers],[No.]])</f>
        <v/>
      </c>
      <c r="B1253" s="7" t="inlineStr">
        <is>
          <t>Expent  cost</t>
        </is>
      </c>
      <c r="C1253" s="355" t="n">
        <v>45834</v>
      </c>
      <c r="F1253" s="301" t="n">
        <v>45834</v>
      </c>
      <c r="G1253" s="5" t="inlineStr">
        <is>
          <t>PR2526-01136</t>
        </is>
      </c>
      <c r="H1253" s="5" t="inlineStr">
        <is>
          <t>PO2526-02562</t>
        </is>
      </c>
      <c r="I1253" s="286" t="n">
        <v>45890</v>
      </c>
      <c r="J1253" s="77" t="n"/>
      <c r="K1253" s="77" t="n">
        <v>60</v>
      </c>
      <c r="L1253" s="5" t="inlineStr">
        <is>
          <t>SFST81000087</t>
        </is>
      </c>
      <c r="M1253" s="7" t="inlineStr">
        <is>
          <t>Annual cost</t>
        </is>
      </c>
      <c r="N1253" s="7" t="inlineStr">
        <is>
          <t>Inspect cost</t>
        </is>
      </c>
      <c r="O1253" s="11" t="n">
        <v>2</v>
      </c>
      <c r="P1253" s="80" t="inlineStr">
        <is>
          <t>- maleworksystemwater</t>
        </is>
      </c>
      <c r="Q1253" s="277" t="n">
        <v>1</v>
      </c>
      <c r="R1253" s="5" t="inlineStr">
        <is>
          <t>JOB.</t>
        </is>
      </c>
      <c r="S1253" s="292">
        <f>RawDataGenPO[[#This Row],[Total price]]/RawDataGenPO[[#This Row],[Qty'']]</f>
        <v/>
      </c>
      <c r="T1253" s="278" t="n">
        <v>3364.49</v>
      </c>
      <c r="U1253" s="291" t="n"/>
      <c r="V1253" s="7" t="inlineStr">
        <is>
          <t>V1000876 - Thailand Environment Institute Foundation (TEI)</t>
        </is>
      </c>
      <c r="W1253" s="30" t="inlineStr">
        <is>
          <t xml:space="preserve">Waitting Supplier transportation </t>
        </is>
      </c>
      <c r="AA1253" s="17">
        <f>IF(RawDataGenPO[[#This Row],[Date Gen PO]]="","",RawDataGenPO[[#This Row],[Date recive bill]]-RawDataGenPO[[#This Row],[Date Gen PO]])</f>
        <v/>
      </c>
      <c r="AB1253" s="16">
        <f>IF(RawDataGenPO[[#This Row],[GRN-PO date]]&gt;RawDataGenPO[[#This Row],[Lead time delivery (day)]],"over deliverry","Ontime")</f>
        <v/>
      </c>
      <c r="AC1253" s="22" t="n"/>
    </row>
    <row r="1254" ht="30" customHeight="1">
      <c r="A1254" s="5">
        <f>ROW()-ROW(RawDataGenPO[[#Headers],[No.]])</f>
        <v/>
      </c>
      <c r="B1254" s="7" t="inlineStr">
        <is>
          <t>Expent  cost</t>
        </is>
      </c>
      <c r="C1254" s="355" t="n">
        <v>45834</v>
      </c>
      <c r="F1254" s="301" t="n">
        <v>45834</v>
      </c>
      <c r="G1254" s="5" t="inlineStr">
        <is>
          <t>PR2526-01137</t>
        </is>
      </c>
      <c r="H1254" s="5" t="inlineStr">
        <is>
          <t>PO2526-01723</t>
        </is>
      </c>
      <c r="I1254" s="286" t="n">
        <v>45842</v>
      </c>
      <c r="J1254" s="77" t="n"/>
      <c r="K1254" s="77" t="n">
        <v>30</v>
      </c>
      <c r="L1254" s="5" t="inlineStr">
        <is>
          <t>SFST81000050</t>
        </is>
      </c>
      <c r="M1254" s="7" t="inlineStr">
        <is>
          <t>Safety equipment</t>
        </is>
      </c>
      <c r="N1254" s="7" t="inlineStr">
        <is>
          <t>Safety equipment</t>
        </is>
      </c>
      <c r="O1254" s="11" t="n">
        <v>1</v>
      </c>
      <c r="P1254" s="80" t="inlineStr">
        <is>
          <t>machinefire-fighting typewater W brand IMPERRIAL size 15 lb Fire Rating 10A-40B pcswithstainless steel</t>
        </is>
      </c>
      <c r="Q1254" s="277" t="n">
        <v>4</v>
      </c>
      <c r="R1254" s="5" t="inlineStr">
        <is>
          <t>EA.</t>
        </is>
      </c>
      <c r="S1254" s="292">
        <f>RawDataGenPO[[#This Row],[Total price]]/RawDataGenPO[[#This Row],[Qty'']]</f>
        <v/>
      </c>
      <c r="T1254" s="278" t="n">
        <v>11000</v>
      </c>
      <c r="U1254" s="291" t="n"/>
      <c r="V1254" s="7" t="inlineStr">
        <is>
          <t>V1000781 - FIRE-ENGINE IMPERIAL CO.,LTD.</t>
        </is>
      </c>
      <c r="W1254" s="30" t="inlineStr">
        <is>
          <t>Recive bill and GRN already</t>
        </is>
      </c>
      <c r="X1254" s="5" t="inlineStr">
        <is>
          <t>GRN2526-0002542</t>
        </is>
      </c>
      <c r="Y1254" s="3" t="n">
        <v>45859</v>
      </c>
      <c r="AA1254" s="17">
        <f>IF(RawDataGenPO[[#This Row],[Date Gen PO]]="","",RawDataGenPO[[#This Row],[Date recive bill]]-RawDataGenPO[[#This Row],[Date Gen PO]])</f>
        <v/>
      </c>
      <c r="AB1254" s="16">
        <f>IF(RawDataGenPO[[#This Row],[GRN-PO date]]&gt;RawDataGenPO[[#This Row],[Lead time delivery (day)]],"over deliverry","Ontime")</f>
        <v/>
      </c>
      <c r="AC1254" s="22" t="n"/>
    </row>
    <row r="1255" ht="30" customHeight="1">
      <c r="A1255" s="5">
        <f>ROW()-ROW(RawDataGenPO[[#Headers],[No.]])</f>
        <v/>
      </c>
      <c r="B1255" s="7" t="inlineStr">
        <is>
          <t>CAPEX  (Budget)</t>
        </is>
      </c>
      <c r="C1255" s="355" t="n">
        <v>45834</v>
      </c>
      <c r="F1255" s="301" t="n">
        <v>45834</v>
      </c>
      <c r="G1255" s="5" t="inlineStr">
        <is>
          <t>PR2526-01137</t>
        </is>
      </c>
      <c r="H1255" s="5" t="inlineStr">
        <is>
          <t>PO2526-01789</t>
        </is>
      </c>
      <c r="I1255" s="286" t="n">
        <v>45842</v>
      </c>
      <c r="J1255" s="77" t="n"/>
      <c r="K1255" s="77" t="n">
        <v>30</v>
      </c>
      <c r="L1255" s="5" t="inlineStr">
        <is>
          <t>SFST82000007</t>
        </is>
      </c>
      <c r="M1255" s="7" t="inlineStr">
        <is>
          <t>Safety equipment</t>
        </is>
      </c>
      <c r="N1255" s="7" t="inlineStr">
        <is>
          <t>Safety  annual jobs</t>
        </is>
      </c>
      <c r="O1255" s="11" t="n">
        <v>2</v>
      </c>
      <c r="P1255" s="80" t="inlineStr">
        <is>
          <t>machinefire-fighting type HFC-236fa brand IMPERRIAL size 15 lb Fire Rating 2A-5B-C</t>
        </is>
      </c>
      <c r="Q1255" s="277" t="n">
        <v>1</v>
      </c>
      <c r="R1255" s="5" t="inlineStr">
        <is>
          <t>EA.</t>
        </is>
      </c>
      <c r="S1255" s="292">
        <f>RawDataGenPO[[#This Row],[Total price]]/RawDataGenPO[[#This Row],[Qty'']]</f>
        <v/>
      </c>
      <c r="T1255" s="278" t="n">
        <v>8500</v>
      </c>
      <c r="U1255" s="291" t="n"/>
      <c r="V1255" s="7" t="inlineStr">
        <is>
          <t>V1000781 - FIRE-ENGINE IMPERIAL CO.,LTD.</t>
        </is>
      </c>
      <c r="W1255" s="30" t="inlineStr">
        <is>
          <t>Recive bill and GRN already</t>
        </is>
      </c>
      <c r="X1255" s="5" t="inlineStr">
        <is>
          <t>GRN2526-0002543</t>
        </is>
      </c>
      <c r="Y1255" s="3" t="n">
        <v>45859</v>
      </c>
      <c r="AA1255" s="17">
        <f>IF(RawDataGenPO[[#This Row],[Date Gen PO]]="","",RawDataGenPO[[#This Row],[Date recive bill]]-RawDataGenPO[[#This Row],[Date Gen PO]])</f>
        <v/>
      </c>
      <c r="AB1255" s="16">
        <f>IF(RawDataGenPO[[#This Row],[GRN-PO date]]&gt;RawDataGenPO[[#This Row],[Lead time delivery (day)]],"over deliverry","Ontime")</f>
        <v/>
      </c>
      <c r="AC1255" s="22" t="n"/>
    </row>
    <row r="1256" ht="30" customHeight="1">
      <c r="A1256" s="5">
        <f>ROW()-ROW(RawDataGenPO[[#Headers],[No.]])</f>
        <v/>
      </c>
      <c r="B1256" s="7" t="inlineStr">
        <is>
          <t>Expent  cost</t>
        </is>
      </c>
      <c r="C1256" s="355" t="n">
        <v>45834</v>
      </c>
      <c r="F1256" s="301" t="n">
        <v>45834</v>
      </c>
      <c r="G1256" s="5" t="inlineStr">
        <is>
          <t>PR2526-01137</t>
        </is>
      </c>
      <c r="H1256" s="5" t="inlineStr">
        <is>
          <t>PO2526-01723</t>
        </is>
      </c>
      <c r="I1256" s="286" t="n">
        <v>45842</v>
      </c>
      <c r="J1256" s="77" t="n"/>
      <c r="K1256" s="77" t="n">
        <v>30</v>
      </c>
      <c r="L1256" s="5" t="inlineStr">
        <is>
          <t>SFST81000050</t>
        </is>
      </c>
      <c r="M1256" s="7" t="inlineStr">
        <is>
          <t>Safety equipment</t>
        </is>
      </c>
      <c r="N1256" s="7" t="inlineStr">
        <is>
          <t>Safety equipment</t>
        </is>
      </c>
      <c r="O1256" s="11" t="n">
        <v>3</v>
      </c>
      <c r="P1256" s="80" t="inlineStr">
        <is>
          <t>dry chemical fire extinguisher brand IMPERIAL size 15 lb Fire Rating 6A-20B</t>
        </is>
      </c>
      <c r="Q1256" s="277" t="n">
        <v>2</v>
      </c>
      <c r="R1256" s="5" t="inlineStr">
        <is>
          <t>EA.</t>
        </is>
      </c>
      <c r="S1256" s="292">
        <f>RawDataGenPO[[#This Row],[Total price]]/RawDataGenPO[[#This Row],[Qty'']]</f>
        <v/>
      </c>
      <c r="T1256" s="278" t="n">
        <v>2800</v>
      </c>
      <c r="U1256" s="291" t="n"/>
      <c r="V1256" s="7" t="inlineStr">
        <is>
          <t>V1000781 - FIRE-ENGINE IMPERIAL CO.,LTD.</t>
        </is>
      </c>
      <c r="W1256" s="30" t="inlineStr">
        <is>
          <t>Recive bill and GRN already</t>
        </is>
      </c>
      <c r="X1256" s="5" t="inlineStr">
        <is>
          <t>GRN2526-0002542</t>
        </is>
      </c>
      <c r="Y1256" s="3" t="n">
        <v>45859</v>
      </c>
      <c r="AA1256" s="17">
        <f>IF(RawDataGenPO[[#This Row],[Date Gen PO]]="","",RawDataGenPO[[#This Row],[Date recive bill]]-RawDataGenPO[[#This Row],[Date Gen PO]])</f>
        <v/>
      </c>
      <c r="AB1256" s="16">
        <f>IF(RawDataGenPO[[#This Row],[GRN-PO date]]&gt;RawDataGenPO[[#This Row],[Lead time delivery (day)]],"over deliverry","Ontime")</f>
        <v/>
      </c>
      <c r="AC1256" s="22" t="n"/>
    </row>
    <row r="1257" ht="15" customHeight="1">
      <c r="A1257" s="5">
        <f>ROW()-ROW(RawDataGenPO[[#Headers],[No.]])</f>
        <v/>
      </c>
      <c r="B1257" s="7" t="inlineStr">
        <is>
          <t>Expent  cost</t>
        </is>
      </c>
      <c r="C1257" s="355" t="n">
        <v>45834</v>
      </c>
      <c r="F1257" s="301" t="n">
        <v>45834</v>
      </c>
      <c r="G1257" s="5" t="inlineStr">
        <is>
          <t>PR2526-01137</t>
        </is>
      </c>
      <c r="H1257" s="5" t="inlineStr">
        <is>
          <t>PO2526-01723</t>
        </is>
      </c>
      <c r="I1257" s="286" t="n">
        <v>45842</v>
      </c>
      <c r="J1257" s="77" t="n"/>
      <c r="K1257" s="77" t="n">
        <v>30</v>
      </c>
      <c r="L1257" s="5" t="inlineStr">
        <is>
          <t>SFST81000050</t>
        </is>
      </c>
      <c r="M1257" s="7" t="inlineStr">
        <is>
          <t>Safety equipment</t>
        </is>
      </c>
      <c r="N1257" s="7" t="inlineStr">
        <is>
          <t>Safety equipment</t>
        </is>
      </c>
      <c r="O1257" s="11" t="n">
        <v>4</v>
      </c>
      <c r="P1257" s="80" t="inlineStr">
        <is>
          <t>brand IMPERIAL model IMP-03-9ED-L (2 x 9W) 3 Wm</t>
        </is>
      </c>
      <c r="Q1257" s="277" t="n">
        <v>28</v>
      </c>
      <c r="R1257" s="5" t="inlineStr">
        <is>
          <t>EA.</t>
        </is>
      </c>
      <c r="S1257" s="292">
        <f>RawDataGenPO[[#This Row],[Total price]]/RawDataGenPO[[#This Row],[Qty'']]</f>
        <v/>
      </c>
      <c r="T1257" s="278" t="n">
        <v>37800</v>
      </c>
      <c r="U1257" s="291" t="n"/>
      <c r="V1257" s="7" t="inlineStr">
        <is>
          <t>V1000781 - FIRE-ENGINE IMPERIAL CO.,LTD.</t>
        </is>
      </c>
      <c r="W1257" s="30" t="inlineStr">
        <is>
          <t>Recive bill and GRN already</t>
        </is>
      </c>
      <c r="X1257" s="5" t="inlineStr">
        <is>
          <t>GRN2526-0002542</t>
        </is>
      </c>
      <c r="Y1257" s="3" t="n">
        <v>45859</v>
      </c>
      <c r="AA1257" s="17">
        <f>IF(RawDataGenPO[[#This Row],[Date Gen PO]]="","",RawDataGenPO[[#This Row],[Date recive bill]]-RawDataGenPO[[#This Row],[Date Gen PO]])</f>
        <v/>
      </c>
      <c r="AB1257" s="16">
        <f>IF(RawDataGenPO[[#This Row],[GRN-PO date]]&gt;RawDataGenPO[[#This Row],[Lead time delivery (day)]],"over deliverry","Ontime")</f>
        <v/>
      </c>
      <c r="AC1257" s="22" t="n"/>
    </row>
    <row r="1258" ht="30" customHeight="1">
      <c r="A1258" s="5">
        <f>ROW()-ROW(RawDataGenPO[[#Headers],[No.]])</f>
        <v/>
      </c>
      <c r="B1258" s="7" t="inlineStr">
        <is>
          <t>CAPEX  (Budget)</t>
        </is>
      </c>
      <c r="C1258" s="355" t="n">
        <v>45834</v>
      </c>
      <c r="F1258" s="301" t="n">
        <v>45834</v>
      </c>
      <c r="G1258" s="5" t="inlineStr">
        <is>
          <t>PR2526-01138</t>
        </is>
      </c>
      <c r="H1258" s="5" t="inlineStr">
        <is>
          <t>PO2526-01724</t>
        </is>
      </c>
      <c r="I1258" s="286" t="n">
        <v>45842</v>
      </c>
      <c r="J1258" s="77" t="n"/>
      <c r="K1258" s="77" t="n">
        <v>45</v>
      </c>
      <c r="L1258" s="5" t="inlineStr">
        <is>
          <t>SFST82000007</t>
        </is>
      </c>
      <c r="M1258" s="7" t="inlineStr">
        <is>
          <t>Safety equipment</t>
        </is>
      </c>
      <c r="N1258" s="7" t="inlineStr">
        <is>
          <t>Safety  annual jobs</t>
        </is>
      </c>
      <c r="O1258" s="11" t="n">
        <v>1</v>
      </c>
      <c r="P1258" s="80" t="inlineStr">
        <is>
          <t>machinemeasuringgas Wintact model WT8811
- measuringgas 4 type : CO, O2, H2S, LEL</t>
        </is>
      </c>
      <c r="Q1258" s="277" t="n">
        <v>2</v>
      </c>
      <c r="R1258" s="5" t="inlineStr">
        <is>
          <t>EA.</t>
        </is>
      </c>
      <c r="S1258" s="292">
        <f>RawDataGenPO[[#This Row],[Total price]]/RawDataGenPO[[#This Row],[Qty'']]</f>
        <v/>
      </c>
      <c r="T1258" s="278" t="n">
        <v>12130.84</v>
      </c>
      <c r="U1258" s="291" t="n"/>
      <c r="V1258" s="7" t="inlineStr">
        <is>
          <t>V1000272 - Zolftech Innovation Co., Ltd</t>
        </is>
      </c>
      <c r="W1258" s="30" t="inlineStr">
        <is>
          <t>Recive bill and GRN already</t>
        </is>
      </c>
      <c r="X1258" s="5" t="inlineStr">
        <is>
          <t>GRN2526-0002790</t>
        </is>
      </c>
      <c r="Y1258" s="3" t="n">
        <v>45870</v>
      </c>
      <c r="AA1258" s="17">
        <f>IF(RawDataGenPO[[#This Row],[Date Gen PO]]="","",RawDataGenPO[[#This Row],[Date recive bill]]-RawDataGenPO[[#This Row],[Date Gen PO]])</f>
        <v/>
      </c>
      <c r="AB1258" s="16">
        <f>IF(RawDataGenPO[[#This Row],[GRN-PO date]]&gt;RawDataGenPO[[#This Row],[Lead time delivery (day)]],"over deliverry","Ontime")</f>
        <v/>
      </c>
      <c r="AC1258" s="22" t="n"/>
    </row>
    <row r="1259" ht="75" customHeight="1">
      <c r="A1259" s="5">
        <f>ROW()-ROW(RawDataGenPO[[#Headers],[No.]])</f>
        <v/>
      </c>
      <c r="B1259" s="7" t="inlineStr">
        <is>
          <t>CAPEX  (Budget)</t>
        </is>
      </c>
      <c r="C1259" s="355" t="n">
        <v>45834</v>
      </c>
      <c r="F1259" s="301" t="n">
        <v>45834</v>
      </c>
      <c r="G1259" s="5" t="inlineStr">
        <is>
          <t>PR2526-01139</t>
        </is>
      </c>
      <c r="H1259" s="5" t="inlineStr">
        <is>
          <t>PO2526-01721</t>
        </is>
      </c>
      <c r="I1259" s="286" t="n">
        <v>45842</v>
      </c>
      <c r="J1259" s="77" t="n"/>
      <c r="K1259" s="77" t="n">
        <v>45</v>
      </c>
      <c r="L1259" s="5" t="inlineStr">
        <is>
          <t>SFST82000007</t>
        </is>
      </c>
      <c r="M1259" s="7" t="inlineStr">
        <is>
          <t>Safety equipment</t>
        </is>
      </c>
      <c r="N1259" s="7" t="inlineStr">
        <is>
          <t>Safety  annual jobs</t>
        </is>
      </c>
      <c r="O1259" s="11" t="n">
        <v>1</v>
      </c>
      <c r="P1259" s="80" t="inlineStr">
        <is>
          <t>pcsrelocatemaleW withm andbeltmaleW
-
- weighthigh 200 m
- sizepcsrelocatemaleW 183 x 44.7 cm
- standard CE</t>
        </is>
      </c>
      <c r="Q1259" s="277" t="n">
        <v>1</v>
      </c>
      <c r="R1259" s="5" t="inlineStr">
        <is>
          <t>SET.</t>
        </is>
      </c>
      <c r="S1259" s="292">
        <f>RawDataGenPO[[#This Row],[Total price]]/RawDataGenPO[[#This Row],[Qty'']]</f>
        <v/>
      </c>
      <c r="T1259" s="278" t="n">
        <v>3485</v>
      </c>
      <c r="U1259" s="291" t="n"/>
      <c r="V1259" s="7" t="inlineStr">
        <is>
          <t>V1000556 - Team Safety Sales Co., Ltd.</t>
        </is>
      </c>
      <c r="W1259" s="30" t="inlineStr">
        <is>
          <t>Recive bill and GRN already</t>
        </is>
      </c>
      <c r="X1259" s="5" t="inlineStr">
        <is>
          <t>GRN2526-0002616</t>
        </is>
      </c>
      <c r="Y1259" s="3" t="n">
        <v>45861</v>
      </c>
      <c r="AA1259" s="17">
        <f>IF(RawDataGenPO[[#This Row],[Date Gen PO]]="","",RawDataGenPO[[#This Row],[Date recive bill]]-RawDataGenPO[[#This Row],[Date Gen PO]])</f>
        <v/>
      </c>
      <c r="AB1259" s="16">
        <f>IF(RawDataGenPO[[#This Row],[GRN-PO date]]&gt;RawDataGenPO[[#This Row],[Lead time delivery (day)]],"over deliverry","Ontime")</f>
        <v/>
      </c>
      <c r="AC1259" s="22" t="n"/>
    </row>
    <row r="1260" ht="45" customHeight="1">
      <c r="A1260" s="5">
        <f>ROW()-ROW(RawDataGenPO[[#Headers],[No.]])</f>
        <v/>
      </c>
      <c r="B1260" s="7" t="inlineStr">
        <is>
          <t>Expent  cost</t>
        </is>
      </c>
      <c r="C1260" s="355" t="n">
        <v>45836</v>
      </c>
      <c r="F1260" s="301" t="n">
        <v>45836</v>
      </c>
      <c r="G1260" s="5" t="inlineStr">
        <is>
          <t>PR2526-01161</t>
        </is>
      </c>
      <c r="H1260" s="5" t="inlineStr">
        <is>
          <t>PO2526-01765</t>
        </is>
      </c>
      <c r="I1260" s="286" t="n">
        <v>45842</v>
      </c>
      <c r="J1260" s="77" t="n"/>
      <c r="K1260" s="77" t="n">
        <v>45</v>
      </c>
      <c r="L1260" s="5" t="inlineStr">
        <is>
          <t>SFST81000050</t>
        </is>
      </c>
      <c r="M1260" s="7" t="inlineStr">
        <is>
          <t>Safety equipment</t>
        </is>
      </c>
      <c r="N1260" s="7" t="inlineStr">
        <is>
          <t>Safety equipment</t>
        </is>
      </c>
      <c r="O1260" s="11" t="n">
        <v>1</v>
      </c>
      <c r="P1260" s="80" t="inlineStr">
        <is>
          <t>safety shoes Pangolin model ELITE floor PU
mpcs
- Size: 8UK = 4 pair, 9UK = 3 pair, 10UK = 1 pair, 12UK = 2pair</t>
        </is>
      </c>
      <c r="Q1260" s="277" t="n">
        <v>10</v>
      </c>
      <c r="R1260" s="5" t="inlineStr">
        <is>
          <t>PCS.</t>
        </is>
      </c>
      <c r="S1260" s="292">
        <f>RawDataGenPO[[#This Row],[Total price]]/RawDataGenPO[[#This Row],[Qty'']]</f>
        <v/>
      </c>
      <c r="T1260" s="278" t="n">
        <v>11607.5</v>
      </c>
      <c r="U1260" s="291" t="n"/>
      <c r="V1260" s="7" t="inlineStr">
        <is>
          <t>V1000852 - CPL Group Public Company Limited</t>
        </is>
      </c>
      <c r="W1260" s="30" t="inlineStr">
        <is>
          <t>Recive bill and GRN already</t>
        </is>
      </c>
      <c r="X1260" s="5" t="inlineStr">
        <is>
          <t>GRN2526-0002614</t>
        </is>
      </c>
      <c r="Y1260" s="3" t="n">
        <v>45861</v>
      </c>
      <c r="AA1260" s="17">
        <f>IF(RawDataGenPO[[#This Row],[Date Gen PO]]="","",RawDataGenPO[[#This Row],[Date recive bill]]-RawDataGenPO[[#This Row],[Date Gen PO]])</f>
        <v/>
      </c>
      <c r="AB1260" s="16">
        <f>IF(RawDataGenPO[[#This Row],[GRN-PO date]]&gt;RawDataGenPO[[#This Row],[Lead time delivery (day)]],"over deliverry","Ontime")</f>
        <v/>
      </c>
      <c r="AC1260" s="22" t="n"/>
    </row>
    <row r="1261" ht="30" customHeight="1">
      <c r="A1261" s="5">
        <f>ROW()-ROW(RawDataGenPO[[#Headers],[No.]])</f>
        <v/>
      </c>
      <c r="B1261" s="7" t="inlineStr">
        <is>
          <t>Expent  cost</t>
        </is>
      </c>
      <c r="C1261" s="355" t="n">
        <v>45836</v>
      </c>
      <c r="F1261" s="301" t="n">
        <v>45836</v>
      </c>
      <c r="G1261" s="5" t="inlineStr">
        <is>
          <t>PR2526-01162</t>
        </is>
      </c>
      <c r="H1261" s="5" t="inlineStr">
        <is>
          <t>PO2526-02259</t>
        </is>
      </c>
      <c r="I1261" s="286" t="n">
        <v>45869</v>
      </c>
      <c r="J1261" s="77" t="n"/>
      <c r="K1261" s="77" t="n">
        <v>120</v>
      </c>
      <c r="L1261" s="5" t="inlineStr">
        <is>
          <t>SFST81000081</t>
        </is>
      </c>
      <c r="M1261" s="7" t="inlineStr">
        <is>
          <t>Safety equipment</t>
        </is>
      </c>
      <c r="N1261" s="7" t="inlineStr">
        <is>
          <t>Safety  annual jobs</t>
        </is>
      </c>
      <c r="O1261" s="11" t="n">
        <v>1</v>
      </c>
      <c r="P1261" s="80" t="inlineStr">
        <is>
          <t>Eliminate industrial waste
- Ammonia water</t>
        </is>
      </c>
      <c r="Q1261" s="277" t="n">
        <v>132</v>
      </c>
      <c r="R1261" s="5" t="inlineStr">
        <is>
          <t>T</t>
        </is>
      </c>
      <c r="S1261" s="292">
        <f>RawDataGenPO[[#This Row],[Total price]]/RawDataGenPO[[#This Row],[Qty'']]</f>
        <v/>
      </c>
      <c r="T1261" s="278" t="n">
        <v>264000</v>
      </c>
      <c r="U1261" s="291" t="n"/>
      <c r="V1261" s="7" t="inlineStr">
        <is>
          <t>V1000871 - AKKHIE PRAKARN PUBLIC COMPANY LIMITED</t>
        </is>
      </c>
      <c r="W1261" s="30" t="inlineStr">
        <is>
          <t>Recive bill and GRN already</t>
        </is>
      </c>
      <c r="X1261" s="6" t="inlineStr">
        <is>
          <t>GRN2526-0003129,GRN2526-0003128</t>
        </is>
      </c>
      <c r="Y1261" s="3" t="n">
        <v>45884</v>
      </c>
      <c r="AA1261" s="17">
        <f>IF(RawDataGenPO[[#This Row],[Date Gen PO]]="","",RawDataGenPO[[#This Row],[Date recive bill]]-RawDataGenPO[[#This Row],[Date Gen PO]])</f>
        <v/>
      </c>
      <c r="AB1261" s="16">
        <f>IF(RawDataGenPO[[#This Row],[GRN-PO date]]&gt;RawDataGenPO[[#This Row],[Lead time delivery (day)]],"over deliverry","Ontime")</f>
        <v/>
      </c>
      <c r="AC1261" s="22" t="n"/>
    </row>
    <row r="1262" ht="30" customHeight="1">
      <c r="A1262" s="5">
        <f>ROW()-ROW(RawDataGenPO[[#Headers],[No.]])</f>
        <v/>
      </c>
      <c r="B1262" s="7" t="inlineStr">
        <is>
          <t>Expent  cost</t>
        </is>
      </c>
      <c r="C1262" s="355" t="n">
        <v>45836</v>
      </c>
      <c r="F1262" s="301" t="n">
        <v>45836</v>
      </c>
      <c r="G1262" s="5" t="inlineStr">
        <is>
          <t>PR2526-01162</t>
        </is>
      </c>
      <c r="H1262" s="5" t="inlineStr">
        <is>
          <t>PO2526-02259</t>
        </is>
      </c>
      <c r="I1262" s="286" t="n">
        <v>45869</v>
      </c>
      <c r="J1262" s="77" t="n"/>
      <c r="K1262" s="77" t="n">
        <v>120</v>
      </c>
      <c r="L1262" s="5" t="inlineStr">
        <is>
          <t>SFST81000081</t>
        </is>
      </c>
      <c r="M1262" s="7" t="inlineStr">
        <is>
          <t>Safety equipment</t>
        </is>
      </c>
      <c r="N1262" s="7" t="inlineStr">
        <is>
          <t>Safety  annual jobs</t>
        </is>
      </c>
      <c r="O1262" s="11" t="n">
        <v>2</v>
      </c>
      <c r="P1262" s="80" t="inlineStr">
        <is>
          <t>- Overhead</t>
        </is>
      </c>
      <c r="Q1262" s="277" t="n">
        <v>1</v>
      </c>
      <c r="R1262" s="5" t="inlineStr">
        <is>
          <t>JOB.</t>
        </is>
      </c>
      <c r="S1262" s="292">
        <f>RawDataGenPO[[#This Row],[Total price]]/RawDataGenPO[[#This Row],[Qty'']]</f>
        <v/>
      </c>
      <c r="T1262" s="278" t="n">
        <v>370300</v>
      </c>
      <c r="U1262" s="291" t="n"/>
      <c r="V1262" s="7" t="inlineStr">
        <is>
          <t>V1000871 - AKKHIE PRAKARN PUBLIC COMPANY LIMITED</t>
        </is>
      </c>
      <c r="W1262" s="30" t="inlineStr">
        <is>
          <t>Recive bill and GRN already</t>
        </is>
      </c>
      <c r="X1262" s="6" t="inlineStr">
        <is>
          <t>GRN2526-0003129,GRN2526-0003128</t>
        </is>
      </c>
      <c r="Y1262" s="3" t="n">
        <v>45884</v>
      </c>
      <c r="AA1262" s="17">
        <f>IF(RawDataGenPO[[#This Row],[Date Gen PO]]="","",RawDataGenPO[[#This Row],[Date recive bill]]-RawDataGenPO[[#This Row],[Date Gen PO]])</f>
        <v/>
      </c>
      <c r="AB1262" s="16">
        <f>IF(RawDataGenPO[[#This Row],[GRN-PO date]]&gt;RawDataGenPO[[#This Row],[Lead time delivery (day)]],"over deliverry","Ontime")</f>
        <v/>
      </c>
      <c r="AC1262" s="22" t="n"/>
    </row>
    <row r="1263" ht="30" customHeight="1">
      <c r="A1263" s="5">
        <f>ROW()-ROW(RawDataGenPO[[#Headers],[No.]])</f>
        <v/>
      </c>
      <c r="B1263" s="7" t="inlineStr">
        <is>
          <t>Expent  cost</t>
        </is>
      </c>
      <c r="C1263" s="355" t="n">
        <v>45836</v>
      </c>
      <c r="F1263" s="301" t="n">
        <v>45836</v>
      </c>
      <c r="G1263" s="5" t="inlineStr">
        <is>
          <t>PR2526-01162</t>
        </is>
      </c>
      <c r="H1263" s="5" t="inlineStr">
        <is>
          <t>PO2526-02259</t>
        </is>
      </c>
      <c r="I1263" s="286" t="n">
        <v>45869</v>
      </c>
      <c r="J1263" s="77" t="n"/>
      <c r="K1263" s="77" t="n">
        <v>120</v>
      </c>
      <c r="L1263" s="5" t="inlineStr">
        <is>
          <t>SFST81000081</t>
        </is>
      </c>
      <c r="M1263" s="7" t="inlineStr">
        <is>
          <t>Safety equipment</t>
        </is>
      </c>
      <c r="N1263" s="7" t="inlineStr">
        <is>
          <t>Safety  annual jobs</t>
        </is>
      </c>
      <c r="O1263" s="11" t="n">
        <v>3</v>
      </c>
      <c r="P1263" s="80" t="inlineStr">
        <is>
          <t>Transportation
Roll Off Truck 15 Q</t>
        </is>
      </c>
      <c r="Q1263" s="277" t="n">
        <v>11</v>
      </c>
      <c r="R1263" s="5" t="inlineStr">
        <is>
          <t>TRIP</t>
        </is>
      </c>
      <c r="S1263" s="292">
        <f>RawDataGenPO[[#This Row],[Total price]]/RawDataGenPO[[#This Row],[Qty'']]</f>
        <v/>
      </c>
      <c r="T1263" s="278" t="n">
        <v>72600</v>
      </c>
      <c r="U1263" s="291" t="n"/>
      <c r="V1263" s="7" t="inlineStr">
        <is>
          <t>V1000871 - AKKHIE PRAKARN PUBLIC COMPANY LIMITED</t>
        </is>
      </c>
      <c r="W1263" s="30" t="inlineStr">
        <is>
          <t>Recive bill and GRN already</t>
        </is>
      </c>
      <c r="X1263" s="6" t="inlineStr">
        <is>
          <t>GRN2526-0003129,GRN2526-0003128</t>
        </is>
      </c>
      <c r="Y1263" s="3" t="n">
        <v>45884</v>
      </c>
      <c r="AA1263" s="17">
        <f>IF(RawDataGenPO[[#This Row],[Date Gen PO]]="","",RawDataGenPO[[#This Row],[Date recive bill]]-RawDataGenPO[[#This Row],[Date Gen PO]])</f>
        <v/>
      </c>
      <c r="AB1263" s="16">
        <f>IF(RawDataGenPO[[#This Row],[GRN-PO date]]&gt;RawDataGenPO[[#This Row],[Lead time delivery (day)]],"over deliverry","Ontime")</f>
        <v/>
      </c>
      <c r="AC1263" s="22" t="n"/>
    </row>
    <row r="1264" ht="15" customHeight="1">
      <c r="A1264" s="5">
        <f>ROW()-ROW(RawDataGenPO[[#Headers],[No.]])</f>
        <v/>
      </c>
      <c r="B1264" s="7" t="inlineStr">
        <is>
          <t>Expent  cost</t>
        </is>
      </c>
      <c r="C1264" s="355" t="n">
        <v>45836</v>
      </c>
      <c r="F1264" s="301" t="n">
        <v>45836</v>
      </c>
      <c r="G1264" s="5" t="inlineStr">
        <is>
          <t>PR2526-01163</t>
        </is>
      </c>
      <c r="H1264" s="5" t="inlineStr">
        <is>
          <t xml:space="preserve">PO2526-01717 </t>
        </is>
      </c>
      <c r="I1264" s="286" t="n">
        <v>45842</v>
      </c>
      <c r="J1264" s="77" t="n"/>
      <c r="K1264" s="77" t="n">
        <v>30</v>
      </c>
      <c r="L1264" s="5" t="inlineStr">
        <is>
          <t>SFST81000048</t>
        </is>
      </c>
      <c r="M1264" s="7" t="inlineStr">
        <is>
          <t>PD Machine</t>
        </is>
      </c>
      <c r="N1264" s="7" t="inlineStr">
        <is>
          <t>Combi oven No.2</t>
        </is>
      </c>
      <c r="O1264" s="11" t="n">
        <v>4</v>
      </c>
      <c r="P1264" s="80" t="inlineStr">
        <is>
          <t>24.05.616P GASKET GLASS PANE/TROLLY</t>
        </is>
      </c>
      <c r="Q1264" s="277" t="n">
        <v>2</v>
      </c>
      <c r="R1264" s="5" t="inlineStr">
        <is>
          <t>PCS.</t>
        </is>
      </c>
      <c r="S1264" s="292">
        <f>RawDataGenPO[[#This Row],[Total price]]/RawDataGenPO[[#This Row],[Qty'']]</f>
        <v/>
      </c>
      <c r="T1264" s="278" t="n">
        <v>7410</v>
      </c>
      <c r="U1264" s="291" t="n"/>
      <c r="V1264" s="7" t="inlineStr">
        <is>
          <t>V1000460 - FIX EVOLUTION CO., LTD.</t>
        </is>
      </c>
      <c r="W1264" s="30" t="inlineStr">
        <is>
          <t>Recive bill and GRN already</t>
        </is>
      </c>
      <c r="X1264" s="5" t="inlineStr">
        <is>
          <t>GRN2526-0002266</t>
        </is>
      </c>
      <c r="Y1264" s="3" t="n">
        <v>45846</v>
      </c>
      <c r="AA1264" s="17">
        <f>IF(RawDataGenPO[[#This Row],[Date Gen PO]]="","",RawDataGenPO[[#This Row],[Date recive bill]]-RawDataGenPO[[#This Row],[Date Gen PO]])</f>
        <v/>
      </c>
      <c r="AB1264" s="16">
        <f>IF(RawDataGenPO[[#This Row],[GRN-PO date]]&gt;RawDataGenPO[[#This Row],[Lead time delivery (day)]],"over deliverry","Ontime")</f>
        <v/>
      </c>
      <c r="AC1264" s="22" t="n"/>
    </row>
    <row r="1265" ht="15" customHeight="1">
      <c r="A1265" s="5">
        <f>ROW()-ROW(RawDataGenPO[[#Headers],[No.]])</f>
        <v/>
      </c>
      <c r="B1265" s="7" t="inlineStr">
        <is>
          <t>Expent  cost</t>
        </is>
      </c>
      <c r="C1265" s="355" t="n">
        <v>45836</v>
      </c>
      <c r="F1265" s="301" t="n">
        <v>45836</v>
      </c>
      <c r="G1265" s="5" t="inlineStr">
        <is>
          <t>PR2526-01164</t>
        </is>
      </c>
      <c r="H1265" s="5" t="inlineStr">
        <is>
          <t>PO2526-01716</t>
        </is>
      </c>
      <c r="I1265" s="345" t="n">
        <v>45842</v>
      </c>
      <c r="J1265" s="77" t="n"/>
      <c r="K1265" s="77" t="n">
        <v>20</v>
      </c>
      <c r="L1265" s="5" t="inlineStr">
        <is>
          <t>SFST81000009</t>
        </is>
      </c>
      <c r="M1265" s="7" t="inlineStr">
        <is>
          <t>Tool and Equipment PD M/C</t>
        </is>
      </c>
      <c r="N1265" s="7" t="inlineStr">
        <is>
          <t>Tool and Equipment</t>
        </is>
      </c>
      <c r="O1265" s="11" t="n">
        <v>5</v>
      </c>
      <c r="P1265" s="80" t="inlineStr">
        <is>
          <t>Spring SUS for sink (washbasin)</t>
        </is>
      </c>
      <c r="Q1265" s="277" t="n">
        <v>50</v>
      </c>
      <c r="R1265" s="5" t="inlineStr">
        <is>
          <t>PCS.</t>
        </is>
      </c>
      <c r="S1265" s="292">
        <f>RawDataGenPO[[#This Row],[Total price]]/RawDataGenPO[[#This Row],[Qty'']]</f>
        <v/>
      </c>
      <c r="T1265" s="278" t="n">
        <v>8000</v>
      </c>
      <c r="U1265" s="291" t="n"/>
      <c r="V1265" s="7" t="inlineStr">
        <is>
          <t>V1000655 - SRM ENGINEERING 1991 CO., LTD.</t>
        </is>
      </c>
      <c r="W1265" s="30" t="inlineStr">
        <is>
          <t>Recive bill and GRN already</t>
        </is>
      </c>
      <c r="X1265" s="5" t="inlineStr">
        <is>
          <t>GRN2526-0002323</t>
        </is>
      </c>
      <c r="Y1265" s="3" t="n">
        <v>45852</v>
      </c>
      <c r="AA1265" s="17">
        <f>IF(RawDataGenPO[[#This Row],[Date Gen PO]]="","",RawDataGenPO[[#This Row],[Date recive bill]]-RawDataGenPO[[#This Row],[Date Gen PO]])</f>
        <v/>
      </c>
      <c r="AB1265" s="16">
        <f>IF(RawDataGenPO[[#This Row],[GRN-PO date]]&gt;RawDataGenPO[[#This Row],[Lead time delivery (day)]],"over deliverry","Ontime")</f>
        <v/>
      </c>
      <c r="AC1265" s="22" t="n"/>
    </row>
    <row r="1266" ht="45" customHeight="1">
      <c r="A1266" s="5">
        <f>ROW()-ROW(RawDataGenPO[[#Headers],[No.]])</f>
        <v/>
      </c>
      <c r="B1266" s="7" t="inlineStr">
        <is>
          <t>Expent  cost</t>
        </is>
      </c>
      <c r="C1266" s="355" t="n">
        <v>45836</v>
      </c>
      <c r="F1266" s="301" t="n">
        <v>45836</v>
      </c>
      <c r="G1266" s="5" t="inlineStr">
        <is>
          <t xml:space="preserve">PR2526-01165 </t>
        </is>
      </c>
      <c r="H1266" s="5" t="inlineStr">
        <is>
          <t>PO2526-01715</t>
        </is>
      </c>
      <c r="I1266" s="286" t="n">
        <v>45842</v>
      </c>
      <c r="J1266" s="77" t="n"/>
      <c r="K1266" s="77" t="n">
        <v>45</v>
      </c>
      <c r="L1266" s="5" t="inlineStr">
        <is>
          <t>SFST81000048</t>
        </is>
      </c>
      <c r="M1266" s="7" t="inlineStr">
        <is>
          <t>Tool and Equipment PD M/C</t>
        </is>
      </c>
      <c r="N1266" s="7" t="inlineStr">
        <is>
          <t>Tool and Equipment</t>
        </is>
      </c>
      <c r="O1266" s="11" t="n">
        <v>6</v>
      </c>
      <c r="P1266" s="80" t="inlineStr">
        <is>
          <t>Digital Temperature Controller PID "PRIMUS" TMP-96-R-R-AB
Size: 96x96 mm. /Output1: Relay Contact/Output2: Relay
Contact/Supply: 100-250 VAC</t>
        </is>
      </c>
      <c r="Q1266" s="277" t="n">
        <v>2</v>
      </c>
      <c r="R1266" s="5" t="inlineStr">
        <is>
          <t>PCS.</t>
        </is>
      </c>
      <c r="S1266" s="292">
        <f>RawDataGenPO[[#This Row],[Total price]]/RawDataGenPO[[#This Row],[Qty'']]</f>
        <v/>
      </c>
      <c r="T1266" s="278" t="n">
        <v>8432</v>
      </c>
      <c r="U1266" s="291" t="n"/>
      <c r="V1266" s="7" t="inlineStr">
        <is>
          <t>V1000668 - Primus Co.,Ltd</t>
        </is>
      </c>
      <c r="W1266" s="30" t="inlineStr">
        <is>
          <t>Recive bill and GRN already</t>
        </is>
      </c>
      <c r="X1266" s="31" t="inlineStr">
        <is>
          <t>GRN2526-0002618</t>
        </is>
      </c>
      <c r="Y1266" s="3" t="n">
        <v>45861</v>
      </c>
      <c r="AA1266" s="17">
        <f>IF(RawDataGenPO[[#This Row],[Date Gen PO]]="","",RawDataGenPO[[#This Row],[Date recive bill]]-RawDataGenPO[[#This Row],[Date Gen PO]])</f>
        <v/>
      </c>
      <c r="AB1266" s="16">
        <f>IF(RawDataGenPO[[#This Row],[GRN-PO date]]&gt;RawDataGenPO[[#This Row],[Lead time delivery (day)]],"over deliverry","Ontime")</f>
        <v/>
      </c>
      <c r="AC1266" s="22" t="n"/>
    </row>
    <row r="1267" ht="15" customHeight="1">
      <c r="A1267" s="5">
        <f>ROW()-ROW(RawDataGenPO[[#Headers],[No.]])</f>
        <v/>
      </c>
      <c r="B1267" s="7" t="inlineStr">
        <is>
          <t>Expent  cost</t>
        </is>
      </c>
      <c r="C1267" s="355" t="n">
        <v>45836</v>
      </c>
      <c r="F1267" s="301" t="n">
        <v>45836</v>
      </c>
      <c r="G1267" s="5" t="inlineStr">
        <is>
          <t>PR2526-01166</t>
        </is>
      </c>
      <c r="H1267" s="5" t="inlineStr">
        <is>
          <t>PO2526-01718</t>
        </is>
      </c>
      <c r="I1267" s="286" t="n">
        <v>45840</v>
      </c>
      <c r="J1267" s="77" t="n"/>
      <c r="K1267" s="77" t="n">
        <v>30</v>
      </c>
      <c r="L1267" s="5" t="inlineStr">
        <is>
          <t>SFST81000009</t>
        </is>
      </c>
      <c r="M1267" s="7" t="inlineStr">
        <is>
          <t>Consumable part for MN</t>
        </is>
      </c>
      <c r="N1267" s="7" t="inlineStr">
        <is>
          <t>Consumable part</t>
        </is>
      </c>
      <c r="O1267" s="11" t="n">
        <v>1</v>
      </c>
      <c r="P1267" s="91" t="inlineStr">
        <is>
          <t>Steel sheet 4' x 8' x 1.5MM</t>
        </is>
      </c>
      <c r="Q1267" s="277" t="n">
        <v>4</v>
      </c>
      <c r="R1267" s="5" t="inlineStr">
        <is>
          <t>PCS.</t>
        </is>
      </c>
      <c r="S1267" s="292">
        <f>RawDataGenPO[[#This Row],[Total price]]/RawDataGenPO[[#This Row],[Qty'']]</f>
        <v/>
      </c>
      <c r="T1267" s="278" t="n">
        <v>3280</v>
      </c>
      <c r="U1267" s="291" t="n"/>
      <c r="V1267" s="90" t="inlineStr">
        <is>
          <t>V1000840 - S.Q. &amp; CO CO., LTD</t>
        </is>
      </c>
      <c r="W1267" s="30" t="inlineStr">
        <is>
          <t>Recive bill and GRN already</t>
        </is>
      </c>
      <c r="X1267" s="5" t="inlineStr">
        <is>
          <t>GRN2526-0002290</t>
        </is>
      </c>
      <c r="Y1267" s="3" t="n">
        <v>45847</v>
      </c>
      <c r="AA1267" s="17">
        <f>IF(RawDataGenPO[[#This Row],[Date Gen PO]]="","",RawDataGenPO[[#This Row],[Date recive bill]]-RawDataGenPO[[#This Row],[Date Gen PO]])</f>
        <v/>
      </c>
      <c r="AB1267" s="16">
        <f>IF(RawDataGenPO[[#This Row],[GRN-PO date]]&gt;RawDataGenPO[[#This Row],[Lead time delivery (day)]],"over deliverry","Ontime")</f>
        <v/>
      </c>
      <c r="AC1267" s="22" t="n"/>
    </row>
    <row r="1268" ht="15" customHeight="1">
      <c r="A1268" s="5">
        <f>ROW()-ROW(RawDataGenPO[[#Headers],[No.]])</f>
        <v/>
      </c>
      <c r="B1268" s="7" t="inlineStr">
        <is>
          <t>Expent  cost</t>
        </is>
      </c>
      <c r="C1268" s="355" t="n">
        <v>45836</v>
      </c>
      <c r="F1268" s="301" t="n">
        <v>45836</v>
      </c>
      <c r="G1268" s="5" t="inlineStr">
        <is>
          <t>PR2526-01166</t>
        </is>
      </c>
      <c r="H1268" s="5" t="inlineStr">
        <is>
          <t>PO2526-01719</t>
        </is>
      </c>
      <c r="I1268" s="286" t="n">
        <v>45840</v>
      </c>
      <c r="J1268" s="77" t="n"/>
      <c r="K1268" s="77" t="n">
        <v>30</v>
      </c>
      <c r="L1268" s="5" t="inlineStr">
        <is>
          <t>SFST81000009</t>
        </is>
      </c>
      <c r="M1268" s="7" t="inlineStr">
        <is>
          <t>Consumable part for MN</t>
        </is>
      </c>
      <c r="N1268" s="7" t="inlineStr">
        <is>
          <t>Consumable part</t>
        </is>
      </c>
      <c r="O1268" s="11" t="n">
        <v>2</v>
      </c>
      <c r="P1268" s="89" t="inlineStr">
        <is>
          <t>stainless steelbox SS304 1" x 1" x 1.5MM x 6M - HL</t>
        </is>
      </c>
      <c r="Q1268" s="277" t="n">
        <v>2</v>
      </c>
      <c r="R1268" s="5" t="inlineStr">
        <is>
          <t>PCS.</t>
        </is>
      </c>
      <c r="S1268" s="292">
        <f>RawDataGenPO[[#This Row],[Total price]]/RawDataGenPO[[#This Row],[Qty'']]</f>
        <v/>
      </c>
      <c r="T1268" s="278" t="n">
        <v>1340</v>
      </c>
      <c r="U1268" s="291" t="n"/>
      <c r="V1268" s="88" t="inlineStr">
        <is>
          <t>V1000307 - M.C.K.STEEL CENTER CO., LTD.</t>
        </is>
      </c>
      <c r="W1268" s="30" t="inlineStr">
        <is>
          <t>Recive bill and GRN already</t>
        </is>
      </c>
      <c r="X1268" s="5" t="inlineStr">
        <is>
          <t>GRN2526-0002291</t>
        </is>
      </c>
      <c r="Y1268" s="3" t="n">
        <v>45848</v>
      </c>
      <c r="AA1268" s="17">
        <f>IF(RawDataGenPO[[#This Row],[Date Gen PO]]="","",RawDataGenPO[[#This Row],[Date recive bill]]-RawDataGenPO[[#This Row],[Date Gen PO]])</f>
        <v/>
      </c>
      <c r="AB1268" s="16">
        <f>IF(RawDataGenPO[[#This Row],[GRN-PO date]]&gt;RawDataGenPO[[#This Row],[Lead time delivery (day)]],"over deliverry","Ontime")</f>
        <v/>
      </c>
      <c r="AC1268" s="22" t="n"/>
    </row>
    <row r="1269" ht="15" customHeight="1">
      <c r="A1269" s="5">
        <f>ROW()-ROW(RawDataGenPO[[#Headers],[No.]])</f>
        <v/>
      </c>
      <c r="B1269" s="7" t="inlineStr">
        <is>
          <t>Expent  cost</t>
        </is>
      </c>
      <c r="C1269" s="355" t="n">
        <v>45836</v>
      </c>
      <c r="F1269" s="301" t="n">
        <v>45836</v>
      </c>
      <c r="G1269" s="5" t="inlineStr">
        <is>
          <t>PR2526-01166</t>
        </is>
      </c>
      <c r="H1269" s="5" t="inlineStr">
        <is>
          <t>PO2526-01718</t>
        </is>
      </c>
      <c r="I1269" s="286" t="n">
        <v>45840</v>
      </c>
      <c r="J1269" s="77" t="n"/>
      <c r="K1269" s="77" t="n">
        <v>30</v>
      </c>
      <c r="L1269" s="5" t="inlineStr">
        <is>
          <t>SFST81000009</t>
        </is>
      </c>
      <c r="M1269" s="7" t="inlineStr">
        <is>
          <t>Consumable part for MN</t>
        </is>
      </c>
      <c r="N1269" s="7" t="inlineStr">
        <is>
          <t>Consumable part</t>
        </is>
      </c>
      <c r="O1269" s="11" t="n">
        <v>3</v>
      </c>
      <c r="P1269" s="91" t="inlineStr">
        <is>
          <t>stainless steelbox SS304 2" x 1" x 1.5MM X 6M - polished</t>
        </is>
      </c>
      <c r="Q1269" s="277" t="n">
        <v>2</v>
      </c>
      <c r="R1269" s="5" t="inlineStr">
        <is>
          <t>PCS.</t>
        </is>
      </c>
      <c r="S1269" s="292">
        <f>RawDataGenPO[[#This Row],[Total price]]/RawDataGenPO[[#This Row],[Qty'']]</f>
        <v/>
      </c>
      <c r="T1269" s="278" t="n">
        <v>2500</v>
      </c>
      <c r="U1269" s="291" t="n"/>
      <c r="V1269" s="90" t="inlineStr">
        <is>
          <t>V1000840 - S.Q. &amp; CO CO., LTD</t>
        </is>
      </c>
      <c r="W1269" s="30" t="inlineStr">
        <is>
          <t>Recive bill and GRN already</t>
        </is>
      </c>
      <c r="X1269" s="5" t="inlineStr">
        <is>
          <t>GRN2526-0002290</t>
        </is>
      </c>
      <c r="Y1269" s="3" t="n">
        <v>45847</v>
      </c>
      <c r="AA1269" s="17">
        <f>IF(RawDataGenPO[[#This Row],[Date Gen PO]]="","",RawDataGenPO[[#This Row],[Date recive bill]]-RawDataGenPO[[#This Row],[Date Gen PO]])</f>
        <v/>
      </c>
      <c r="AB1269" s="16">
        <f>IF(RawDataGenPO[[#This Row],[GRN-PO date]]&gt;RawDataGenPO[[#This Row],[Lead time delivery (day)]],"over deliverry","Ontime")</f>
        <v/>
      </c>
      <c r="AC1269" s="22" t="n"/>
    </row>
    <row r="1270" ht="15" customHeight="1">
      <c r="A1270" s="5">
        <f>ROW()-ROW(RawDataGenPO[[#Headers],[No.]])</f>
        <v/>
      </c>
      <c r="B1270" s="7" t="inlineStr">
        <is>
          <t>Expent  cost</t>
        </is>
      </c>
      <c r="C1270" s="355" t="n">
        <v>45836</v>
      </c>
      <c r="F1270" s="301" t="n">
        <v>45836</v>
      </c>
      <c r="G1270" s="5" t="inlineStr">
        <is>
          <t>PR2526-01166</t>
        </is>
      </c>
      <c r="H1270" s="5" t="inlineStr">
        <is>
          <t>PO2526-01718</t>
        </is>
      </c>
      <c r="I1270" s="286" t="n">
        <v>45840</v>
      </c>
      <c r="J1270" s="77" t="n"/>
      <c r="K1270" s="77" t="n">
        <v>30</v>
      </c>
      <c r="L1270" s="5" t="inlineStr">
        <is>
          <t>SFST81000009</t>
        </is>
      </c>
      <c r="M1270" s="7" t="inlineStr">
        <is>
          <t>Consumable part for MN</t>
        </is>
      </c>
      <c r="N1270" s="7" t="inlineStr">
        <is>
          <t>Consumable part</t>
        </is>
      </c>
      <c r="O1270" s="11" t="n">
        <v>4</v>
      </c>
      <c r="P1270" s="91" t="inlineStr">
        <is>
          <t>Stainless steel angle SS304 1" x 1" x 1/8" (3.0MM) x 6M</t>
        </is>
      </c>
      <c r="Q1270" s="277" t="n">
        <v>2</v>
      </c>
      <c r="R1270" s="5" t="inlineStr">
        <is>
          <t>PCS.</t>
        </is>
      </c>
      <c r="S1270" s="292">
        <f>RawDataGenPO[[#This Row],[Total price]]/RawDataGenPO[[#This Row],[Qty'']]</f>
        <v/>
      </c>
      <c r="T1270" s="278" t="n">
        <v>1240</v>
      </c>
      <c r="U1270" s="291" t="n"/>
      <c r="V1270" s="90" t="inlineStr">
        <is>
          <t>V1000840 - S.Q. &amp; CO CO., LTD</t>
        </is>
      </c>
      <c r="W1270" s="30" t="inlineStr">
        <is>
          <t>Recive bill and GRN already</t>
        </is>
      </c>
      <c r="X1270" s="5" t="inlineStr">
        <is>
          <t>GRN2526-0002290</t>
        </is>
      </c>
      <c r="Y1270" s="3" t="n">
        <v>45847</v>
      </c>
      <c r="AA1270" s="17">
        <f>IF(RawDataGenPO[[#This Row],[Date Gen PO]]="","",RawDataGenPO[[#This Row],[Date recive bill]]-RawDataGenPO[[#This Row],[Date Gen PO]])</f>
        <v/>
      </c>
      <c r="AB1270" s="16">
        <f>IF(RawDataGenPO[[#This Row],[GRN-PO date]]&gt;RawDataGenPO[[#This Row],[Lead time delivery (day)]],"over deliverry","Ontime")</f>
        <v/>
      </c>
      <c r="AC1270" s="22" t="n"/>
    </row>
    <row r="1271" ht="15" customHeight="1">
      <c r="A1271" s="5">
        <f>ROW()-ROW(RawDataGenPO[[#Headers],[No.]])</f>
        <v/>
      </c>
      <c r="B1271" s="7" t="inlineStr">
        <is>
          <t>Expent  cost</t>
        </is>
      </c>
      <c r="C1271" s="355" t="n">
        <v>45836</v>
      </c>
      <c r="F1271" s="301" t="n">
        <v>45836</v>
      </c>
      <c r="G1271" s="5" t="inlineStr">
        <is>
          <t>PR2526-01166</t>
        </is>
      </c>
      <c r="H1271" s="5" t="inlineStr">
        <is>
          <t>PO2526-01719</t>
        </is>
      </c>
      <c r="I1271" s="286" t="n">
        <v>45840</v>
      </c>
      <c r="J1271" s="77" t="n"/>
      <c r="K1271" s="77" t="n">
        <v>30</v>
      </c>
      <c r="L1271" s="5" t="inlineStr">
        <is>
          <t>SFST81000009</t>
        </is>
      </c>
      <c r="M1271" s="7" t="inlineStr">
        <is>
          <t>Consumable part for MN</t>
        </is>
      </c>
      <c r="N1271" s="7" t="inlineStr">
        <is>
          <t>Consumable part</t>
        </is>
      </c>
      <c r="O1271" s="11" t="n">
        <v>5</v>
      </c>
      <c r="P1271" s="89" t="inlineStr">
        <is>
          <t>Stainless steel flat bar SS304 1" x 1/8" (3.0MM) x 6M</t>
        </is>
      </c>
      <c r="Q1271" s="277" t="n">
        <v>6</v>
      </c>
      <c r="R1271" s="5" t="inlineStr">
        <is>
          <t>PCS.</t>
        </is>
      </c>
      <c r="S1271" s="292">
        <f>RawDataGenPO[[#This Row],[Total price]]/RawDataGenPO[[#This Row],[Qty'']]</f>
        <v/>
      </c>
      <c r="T1271" s="278" t="n">
        <v>1710</v>
      </c>
      <c r="U1271" s="291" t="n"/>
      <c r="V1271" s="88" t="inlineStr">
        <is>
          <t>V1000307 - M.C.K.STEEL CENTER CO., LTD.</t>
        </is>
      </c>
      <c r="W1271" s="30" t="inlineStr">
        <is>
          <t>Recive bill and GRN already</t>
        </is>
      </c>
      <c r="X1271" s="5" t="inlineStr">
        <is>
          <t>GRN2526-0002291</t>
        </is>
      </c>
      <c r="Y1271" s="3" t="n">
        <v>45848</v>
      </c>
      <c r="AA1271" s="17">
        <f>IF(RawDataGenPO[[#This Row],[Date Gen PO]]="","",RawDataGenPO[[#This Row],[Date recive bill]]-RawDataGenPO[[#This Row],[Date Gen PO]])</f>
        <v/>
      </c>
      <c r="AB1271" s="16">
        <f>IF(RawDataGenPO[[#This Row],[GRN-PO date]]&gt;RawDataGenPO[[#This Row],[Lead time delivery (day)]],"over deliverry","Ontime")</f>
        <v/>
      </c>
      <c r="AC1271" s="22" t="n"/>
    </row>
    <row r="1272" ht="15" customHeight="1">
      <c r="A1272" s="5">
        <f>ROW()-ROW(RawDataGenPO[[#Headers],[No.]])</f>
        <v/>
      </c>
      <c r="B1272" s="7" t="inlineStr">
        <is>
          <t>Expent  cost</t>
        </is>
      </c>
      <c r="C1272" s="355" t="n">
        <v>45836</v>
      </c>
      <c r="F1272" s="301" t="n">
        <v>45836</v>
      </c>
      <c r="G1272" s="5" t="inlineStr">
        <is>
          <t>PR2526-01166</t>
        </is>
      </c>
      <c r="H1272" s="5" t="inlineStr">
        <is>
          <t>PO2526-01719</t>
        </is>
      </c>
      <c r="I1272" s="286" t="n">
        <v>45840</v>
      </c>
      <c r="J1272" s="77" t="n"/>
      <c r="K1272" s="77" t="n">
        <v>30</v>
      </c>
      <c r="L1272" s="5" t="inlineStr">
        <is>
          <t>SFST81000009</t>
        </is>
      </c>
      <c r="M1272" s="7" t="inlineStr">
        <is>
          <t>Consumable part for MN</t>
        </is>
      </c>
      <c r="N1272" s="7" t="inlineStr">
        <is>
          <t>Consumable part</t>
        </is>
      </c>
      <c r="O1272" s="11" t="n">
        <v>6</v>
      </c>
      <c r="P1272" s="89" t="inlineStr">
        <is>
          <t>Phillips 1/2" 6 m</t>
        </is>
      </c>
      <c r="Q1272" s="277" t="n">
        <v>1</v>
      </c>
      <c r="R1272" s="5" t="inlineStr">
        <is>
          <t>PCS.</t>
        </is>
      </c>
      <c r="S1272" s="292">
        <f>RawDataGenPO[[#This Row],[Total price]]/RawDataGenPO[[#This Row],[Qty'']]</f>
        <v/>
      </c>
      <c r="T1272" s="278" t="n">
        <v>170</v>
      </c>
      <c r="U1272" s="291" t="n"/>
      <c r="V1272" s="88" t="inlineStr">
        <is>
          <t>V1000307 - M.C.K.STEEL CENTER CO., LTD.</t>
        </is>
      </c>
      <c r="W1272" s="30" t="inlineStr">
        <is>
          <t>Recive bill and GRN already</t>
        </is>
      </c>
      <c r="X1272" s="5" t="inlineStr">
        <is>
          <t>GRN2526-0002291</t>
        </is>
      </c>
      <c r="Y1272" s="3" t="n">
        <v>45848</v>
      </c>
      <c r="AA1272" s="17">
        <f>IF(RawDataGenPO[[#This Row],[Date Gen PO]]="","",RawDataGenPO[[#This Row],[Date recive bill]]-RawDataGenPO[[#This Row],[Date Gen PO]])</f>
        <v/>
      </c>
      <c r="AB1272" s="16">
        <f>IF(RawDataGenPO[[#This Row],[GRN-PO date]]&gt;RawDataGenPO[[#This Row],[Lead time delivery (day)]],"over deliverry","Ontime")</f>
        <v/>
      </c>
      <c r="AC1272" s="22" t="n"/>
    </row>
    <row r="1273" ht="214.5" customHeight="1">
      <c r="A1273" s="5">
        <f>ROW()-ROW(RawDataGenPO[[#Headers],[No.]])</f>
        <v/>
      </c>
      <c r="B1273" s="7" t="inlineStr">
        <is>
          <t>Expent  cost</t>
        </is>
      </c>
      <c r="C1273" s="355" t="n">
        <v>45836</v>
      </c>
      <c r="F1273" s="301" t="n">
        <v>45836</v>
      </c>
      <c r="G1273" s="5" t="inlineStr">
        <is>
          <t>PR2526-01167</t>
        </is>
      </c>
      <c r="H1273" s="5" t="inlineStr">
        <is>
          <t>PO2526-01713</t>
        </is>
      </c>
      <c r="I1273" s="286" t="n">
        <v>45842</v>
      </c>
      <c r="J1273" s="77" t="n"/>
      <c r="K1273" s="77" t="n">
        <v>45</v>
      </c>
      <c r="L1273" s="5" t="inlineStr">
        <is>
          <t>SFST81000048</t>
        </is>
      </c>
      <c r="M1273" s="7" t="inlineStr">
        <is>
          <t>PD Machine</t>
        </is>
      </c>
      <c r="N1273" s="7" t="inlineStr">
        <is>
          <t>Machanical jobs</t>
        </is>
      </c>
      <c r="O1273" s="11" t="n">
        <v>1</v>
      </c>
      <c r="P1273" s="80" t="inlineStr">
        <is>
          <t>workremoveset Blowers withinternal Blower andreplacepieceinlet-outlet
- Steam Bratt Pan No.1
- Deep Pan fryer No.1
- Round Bratt Pan No.1
- Steam Bratt Pan No.3
- Cast Iron Bratt Pan
- Steam Bratt No.2-3
- Combi Oven No.2-3
- Combi Oven No.1
- Combi Oven No.4
- Fryer No.2-3
- Frame grill
Front steam Box No 1&amp;2 (Hight risk)</t>
        </is>
      </c>
      <c r="Q1273" s="277" t="n">
        <v>1</v>
      </c>
      <c r="R1273" s="5" t="inlineStr">
        <is>
          <t>JOB.</t>
        </is>
      </c>
      <c r="S1273" s="292">
        <f>RawDataGenPO[[#This Row],[Total price]]/RawDataGenPO[[#This Row],[Qty'']]</f>
        <v/>
      </c>
      <c r="T1273" s="278" t="n">
        <v>108000</v>
      </c>
      <c r="U1273" s="291" t="n"/>
      <c r="V1273" s="7" t="inlineStr">
        <is>
          <t>V1000799 - LALIN CLEAN TECH CO., LTD.</t>
        </is>
      </c>
      <c r="W1273" s="30" t="inlineStr">
        <is>
          <t>Recive bill and GRN already</t>
        </is>
      </c>
      <c r="X1273" s="5" t="inlineStr">
        <is>
          <t>GRN2526-0002657</t>
        </is>
      </c>
      <c r="Y1273" s="3" t="n">
        <v>45863</v>
      </c>
      <c r="AA1273" s="17">
        <f>IF(RawDataGenPO[[#This Row],[Date Gen PO]]="","",RawDataGenPO[[#This Row],[Date recive bill]]-RawDataGenPO[[#This Row],[Date Gen PO]])</f>
        <v/>
      </c>
      <c r="AB1273" s="16">
        <f>IF(RawDataGenPO[[#This Row],[GRN-PO date]]&gt;RawDataGenPO[[#This Row],[Lead time delivery (day)]],"over deliverry","Ontime")</f>
        <v/>
      </c>
      <c r="AC1273" s="22" t="n"/>
    </row>
    <row r="1274" ht="105" customHeight="1">
      <c r="A1274" s="5">
        <f>ROW()-ROW(RawDataGenPO[[#Headers],[No.]])</f>
        <v/>
      </c>
      <c r="B1274" s="7" t="inlineStr">
        <is>
          <t>Expent  cost</t>
        </is>
      </c>
      <c r="C1274" s="355" t="n">
        <v>45839</v>
      </c>
      <c r="F1274" s="301" t="n">
        <v>45839</v>
      </c>
      <c r="G1274" s="5" t="inlineStr">
        <is>
          <t>PR2526-01192</t>
        </is>
      </c>
      <c r="H1274" s="5" t="inlineStr">
        <is>
          <t xml:space="preserve">PO2526-02034 </t>
        </is>
      </c>
      <c r="I1274" s="286" t="n">
        <v>45858</v>
      </c>
      <c r="J1274" s="77" t="n"/>
      <c r="K1274" s="77" t="n">
        <v>60</v>
      </c>
      <c r="L1274" s="301" t="inlineStr">
        <is>
          <t>SFST81000016</t>
        </is>
      </c>
      <c r="M1274" s="7" t="inlineStr">
        <is>
          <t>Safety equipment</t>
        </is>
      </c>
      <c r="N1274" s="7" t="inlineStr">
        <is>
          <t>Safety  annual jobs</t>
        </is>
      </c>
      <c r="O1274" s="11" t="n">
        <v>1</v>
      </c>
      <c r="P1274" s="80" t="inlineStr">
        <is>
          <t>mmkgm form
1.WWmfittingmm, Wwheelmandwork work/work andmWfitting rearconnectorto
2.Update moutletnew monthly W
- m
- Update moutletnewmonthly
- additional detailsmm as per attached quotation</t>
        </is>
      </c>
      <c r="Q1274" s="277" t="n">
        <v>1</v>
      </c>
      <c r="R1274" s="5" t="inlineStr">
        <is>
          <t>EA.</t>
        </is>
      </c>
      <c r="S1274" s="292">
        <f>RawDataGenPO[[#This Row],[Total price]]/RawDataGenPO[[#This Row],[Qty'']]</f>
        <v/>
      </c>
      <c r="T1274" s="278" t="n">
        <v>2750</v>
      </c>
      <c r="U1274" s="291" t="n"/>
      <c r="V1274" s="7" t="inlineStr">
        <is>
          <t>V1000858 - WISS BUSINESS CORPORATION CO., LTD.</t>
        </is>
      </c>
      <c r="W1274" s="30" t="inlineStr">
        <is>
          <t>Recive bill and GRN already</t>
        </is>
      </c>
      <c r="X1274" s="5" t="inlineStr">
        <is>
          <t>GRN2526-0003126</t>
        </is>
      </c>
      <c r="Y1274" s="3" t="n">
        <v>45884</v>
      </c>
      <c r="AA1274" s="17">
        <f>IF(RawDataGenPO[[#This Row],[Date Gen PO]]="","",RawDataGenPO[[#This Row],[Date recive bill]]-RawDataGenPO[[#This Row],[Date Gen PO]])</f>
        <v/>
      </c>
      <c r="AB1274" s="16">
        <f>IF(RawDataGenPO[[#This Row],[GRN-PO date]]&gt;RawDataGenPO[[#This Row],[Lead time delivery (day)]],"over deliverry","Ontime")</f>
        <v/>
      </c>
      <c r="AC1274" s="22" t="n"/>
    </row>
    <row r="1275" ht="105" customHeight="1">
      <c r="A1275" s="5">
        <f>ROW()-ROW(RawDataGenPO[[#Headers],[No.]])</f>
        <v/>
      </c>
      <c r="B1275" s="7" t="inlineStr">
        <is>
          <t>Expent  cost</t>
        </is>
      </c>
      <c r="C1275" s="355" t="n">
        <v>45839</v>
      </c>
      <c r="F1275" s="301" t="n">
        <v>45839</v>
      </c>
      <c r="G1275" s="5" t="inlineStr">
        <is>
          <t>PR2526-01192</t>
        </is>
      </c>
      <c r="H1275" s="5" t="inlineStr">
        <is>
          <t xml:space="preserve">PO2526-02034 </t>
        </is>
      </c>
      <c r="I1275" s="286" t="n">
        <v>45858</v>
      </c>
      <c r="J1275" s="77" t="n"/>
      <c r="K1275" s="77" t="n">
        <v>60</v>
      </c>
      <c r="L1275" s="5" t="inlineStr">
        <is>
          <t>SFST81000083</t>
        </is>
      </c>
      <c r="M1275" s="7" t="inlineStr">
        <is>
          <t>Safety equipment</t>
        </is>
      </c>
      <c r="N1275" s="7" t="inlineStr">
        <is>
          <t>Safety  annual jobs</t>
        </is>
      </c>
      <c r="O1275" s="11" t="n">
        <v>2</v>
      </c>
      <c r="P1275" s="80" t="inlineStr">
        <is>
          <t>mmkgm form
1.WWmfittingmm, Wwheelmandwork work/work andmWfitting rearconnectorto
2.Update moutletnew monthly W
- m
- Update moutletnewmonthly
- additional detailsmm as per attached quotation</t>
        </is>
      </c>
      <c r="Q1275" s="277" t="n">
        <v>1</v>
      </c>
      <c r="R1275" s="5" t="inlineStr">
        <is>
          <t>EA.</t>
        </is>
      </c>
      <c r="S1275" s="292">
        <f>RawDataGenPO[[#This Row],[Total price]]/RawDataGenPO[[#This Row],[Qty'']]</f>
        <v/>
      </c>
      <c r="T1275" s="278" t="n">
        <v>250</v>
      </c>
      <c r="U1275" s="291" t="n"/>
      <c r="V1275" s="7" t="inlineStr">
        <is>
          <t>V1000858 - WISS BUSINESS CORPORATION CO., LTD.</t>
        </is>
      </c>
      <c r="W1275" s="30" t="inlineStr">
        <is>
          <t>Recive bill and GRN already</t>
        </is>
      </c>
      <c r="X1275" s="5" t="inlineStr">
        <is>
          <t>GRN2526-0003126</t>
        </is>
      </c>
      <c r="Y1275" s="3" t="n">
        <v>45884</v>
      </c>
      <c r="AA1275" s="17">
        <f>IF(RawDataGenPO[[#This Row],[Date Gen PO]]="","",RawDataGenPO[[#This Row],[Date recive bill]]-RawDataGenPO[[#This Row],[Date Gen PO]])</f>
        <v/>
      </c>
      <c r="AB1275" s="16">
        <f>IF(RawDataGenPO[[#This Row],[GRN-PO date]]&gt;RawDataGenPO[[#This Row],[Lead time delivery (day)]],"over deliverry","Ontime")</f>
        <v/>
      </c>
      <c r="AC1275" s="22" t="n"/>
    </row>
    <row r="1276" ht="75" customHeight="1">
      <c r="A1276" s="5">
        <f>ROW()-ROW(RawDataGenPO[[#Headers],[No.]])</f>
        <v/>
      </c>
      <c r="B1276" s="7" t="inlineStr">
        <is>
          <t>Expent  cost</t>
        </is>
      </c>
      <c r="C1276" s="355" t="n">
        <v>45839</v>
      </c>
      <c r="F1276" s="301" t="n">
        <v>45839</v>
      </c>
      <c r="G1276" s="5" t="inlineStr">
        <is>
          <t>PR2526-01272</t>
        </is>
      </c>
      <c r="H1276" s="5" t="inlineStr">
        <is>
          <t>PO2526-01910</t>
        </is>
      </c>
      <c r="I1276" s="286" t="n">
        <v>45854</v>
      </c>
      <c r="J1276" s="56" t="n"/>
      <c r="K1276" s="20" t="n">
        <v>30</v>
      </c>
      <c r="L1276" s="5" t="inlineStr">
        <is>
          <t>SFST81000048</t>
        </is>
      </c>
      <c r="M1276" s="7" t="inlineStr">
        <is>
          <t>Tool and Equipment PD M/C</t>
        </is>
      </c>
      <c r="N1276" s="7" t="inlineStr">
        <is>
          <t>Tool and Equipment</t>
        </is>
      </c>
      <c r="O1276" s="11" t="n">
        <v>1</v>
      </c>
      <c r="P1276" s="80" t="inlineStr">
        <is>
          <t>FLEXIBLE HOSE STAINLESS STEEL FMA321-3/4"
SIZE: 3/4"
END TO END: 50 CM.
CONNECTION #1: FLANGE PN16 SS304 1" (FIX)
CONNECTION #2: UNION SS304 3/4"</t>
        </is>
      </c>
      <c r="Q1276" s="277" t="n">
        <v>2</v>
      </c>
      <c r="R1276" s="5" t="inlineStr">
        <is>
          <t>PCS.</t>
        </is>
      </c>
      <c r="S1276" s="284">
        <f>RawDataGenPO[[#This Row],[Total price]]/RawDataGenPO[[#This Row],[Qty'']]</f>
        <v/>
      </c>
      <c r="T1276" s="278" t="n">
        <v>4200</v>
      </c>
      <c r="U1276" s="291" t="n"/>
      <c r="V1276" s="7" t="inlineStr">
        <is>
          <t>V1000655 - SRM ENGINEERING 1991 CO., LTD.</t>
        </is>
      </c>
      <c r="W1276" s="30" t="inlineStr">
        <is>
          <t>Recive bill and GRN already</t>
        </is>
      </c>
      <c r="X1276" s="5" t="inlineStr">
        <is>
          <t>GRN2526-0002413</t>
        </is>
      </c>
      <c r="Y1276" s="3" t="n">
        <v>45855</v>
      </c>
      <c r="Z1276" s="23" t="n"/>
      <c r="AA1276" s="17">
        <f>IF(RawDataGenPO[[#This Row],[Date Gen PO]]="","",RawDataGenPO[[#This Row],[Date recive bill]]-RawDataGenPO[[#This Row],[Date Gen PO]])</f>
        <v/>
      </c>
      <c r="AB1276" s="16">
        <f>IF(RawDataGenPO[[#This Row],[GRN-PO date]]&gt;RawDataGenPO[[#This Row],[Lead time delivery (day)]],"over deliverry","Ontime")</f>
        <v/>
      </c>
      <c r="AC1276" s="22" t="n"/>
    </row>
    <row r="1277" ht="75" customHeight="1">
      <c r="A1277" s="5">
        <f>ROW()-ROW(RawDataGenPO[[#Headers],[No.]])</f>
        <v/>
      </c>
      <c r="B1277" s="7" t="inlineStr">
        <is>
          <t>Expent  cost</t>
        </is>
      </c>
      <c r="C1277" s="355" t="n">
        <v>45839</v>
      </c>
      <c r="F1277" s="301" t="n">
        <v>45839</v>
      </c>
      <c r="G1277" s="5" t="inlineStr">
        <is>
          <t>PR2526-01272</t>
        </is>
      </c>
      <c r="H1277" s="5" t="inlineStr">
        <is>
          <t>PO2526-01910</t>
        </is>
      </c>
      <c r="I1277" s="286" t="n">
        <v>45854</v>
      </c>
      <c r="J1277" s="56" t="n"/>
      <c r="K1277" s="20" t="n">
        <v>30</v>
      </c>
      <c r="L1277" s="5" t="inlineStr">
        <is>
          <t>SFST81000048</t>
        </is>
      </c>
      <c r="M1277" s="7" t="inlineStr">
        <is>
          <t>Tool and Equipment PD M/C</t>
        </is>
      </c>
      <c r="N1277" s="7" t="inlineStr">
        <is>
          <t>Tool and Equipment</t>
        </is>
      </c>
      <c r="O1277" s="11" t="n">
        <v>2</v>
      </c>
      <c r="P1277" s="80" t="inlineStr">
        <is>
          <t>FLEXIBLE HOSE STAINLESS STEEL FMA321-3/4"
SIZE: 3/4"
END TO END: 30 CM.
CONNECTION #1: FLANGE 150P SS304 1" (FIX)
CONNECTION #2: MALE SS304 3/4"</t>
        </is>
      </c>
      <c r="Q1277" s="277" t="n">
        <v>2</v>
      </c>
      <c r="R1277" s="5" t="inlineStr">
        <is>
          <t>PCS.</t>
        </is>
      </c>
      <c r="S1277" s="284">
        <f>RawDataGenPO[[#This Row],[Total price]]/RawDataGenPO[[#This Row],[Qty'']]</f>
        <v/>
      </c>
      <c r="T1277" s="278" t="n">
        <v>3400</v>
      </c>
      <c r="U1277" s="291" t="n"/>
      <c r="V1277" s="7" t="inlineStr">
        <is>
          <t>V1000655 - SRM ENGINEERING 1991 CO., LTD.</t>
        </is>
      </c>
      <c r="W1277" s="30" t="inlineStr">
        <is>
          <t>Recive bill and GRN already</t>
        </is>
      </c>
      <c r="X1277" s="5" t="inlineStr">
        <is>
          <t>GRN2526-0002413</t>
        </is>
      </c>
      <c r="Y1277" s="3" t="n">
        <v>45855</v>
      </c>
      <c r="Z1277" s="23" t="n"/>
      <c r="AA1277" s="17">
        <f>IF(RawDataGenPO[[#This Row],[Date Gen PO]]="","",RawDataGenPO[[#This Row],[Date recive bill]]-RawDataGenPO[[#This Row],[Date Gen PO]])</f>
        <v/>
      </c>
      <c r="AB1277" s="16">
        <f>IF(RawDataGenPO[[#This Row],[GRN-PO date]]&gt;RawDataGenPO[[#This Row],[Lead time delivery (day)]],"over deliverry","Ontime")</f>
        <v/>
      </c>
      <c r="AC1277" s="22" t="n"/>
    </row>
    <row r="1278" ht="15" customHeight="1">
      <c r="A1278" s="5">
        <f>ROW()-ROW(RawDataGenPO[[#Headers],[No.]])</f>
        <v/>
      </c>
      <c r="B1278" s="7" t="inlineStr">
        <is>
          <t>CAPEX  (Budget)</t>
        </is>
      </c>
      <c r="C1278" s="355" t="n">
        <v>45839</v>
      </c>
      <c r="F1278" s="301" t="n">
        <v>45839</v>
      </c>
      <c r="G1278" s="5" t="inlineStr">
        <is>
          <t>PR2526-01290</t>
        </is>
      </c>
      <c r="H1278" s="5" t="inlineStr">
        <is>
          <t>PO2526-02035</t>
        </is>
      </c>
      <c r="I1278" s="286" t="n">
        <v>45858</v>
      </c>
      <c r="J1278" s="56" t="n"/>
      <c r="K1278" s="20" t="n">
        <v>60</v>
      </c>
      <c r="L1278" s="5" t="inlineStr">
        <is>
          <t>SFST82000004</t>
        </is>
      </c>
      <c r="M1278" s="7" t="inlineStr">
        <is>
          <t>Civill jobs (Floor-Wall-Celling-roof)</t>
        </is>
      </c>
      <c r="N1278" s="7" t="inlineStr">
        <is>
          <t>Cevil jobs</t>
        </is>
      </c>
      <c r="O1278" s="11" t="n">
        <v>1</v>
      </c>
      <c r="P1278" s="7" t="inlineStr">
        <is>
          <t>material, Nuts and silicone</t>
        </is>
      </c>
      <c r="Q1278" s="277" t="n">
        <v>1</v>
      </c>
      <c r="R1278" s="5" t="inlineStr">
        <is>
          <t>EA.</t>
        </is>
      </c>
      <c r="S1278" s="284">
        <f>RawDataGenPO[[#This Row],[Total price]]/RawDataGenPO[[#This Row],[Qty'']]</f>
        <v/>
      </c>
      <c r="T1278" s="278" t="n">
        <v>1500</v>
      </c>
      <c r="U1278" s="291" t="n"/>
      <c r="V1278" s="7" t="inlineStr">
        <is>
          <t>V1000687 - UM.TECH COMPANY LIMITED</t>
        </is>
      </c>
      <c r="W1278" s="30" t="inlineStr">
        <is>
          <t>Recive bill and GRN already</t>
        </is>
      </c>
      <c r="X1278" s="5" t="inlineStr">
        <is>
          <t>GRN2526-0003308</t>
        </is>
      </c>
      <c r="Y1278" s="3" t="n">
        <v>45891</v>
      </c>
      <c r="Z1278" s="23" t="n"/>
      <c r="AA1278" s="17">
        <f>IF(RawDataGenPO[[#This Row],[Date Gen PO]]="","",RawDataGenPO[[#This Row],[Date recive bill]]-RawDataGenPO[[#This Row],[Date Gen PO]])</f>
        <v/>
      </c>
      <c r="AB1278" s="16">
        <f>IF(RawDataGenPO[[#This Row],[GRN-PO date]]&gt;RawDataGenPO[[#This Row],[Lead time delivery (day)]],"over deliverry","Ontime")</f>
        <v/>
      </c>
      <c r="AC1278" s="22" t="n"/>
    </row>
    <row r="1279" ht="15" customHeight="1">
      <c r="A1279" s="5">
        <f>ROW()-ROW(RawDataGenPO[[#Headers],[No.]])</f>
        <v/>
      </c>
      <c r="B1279" s="7" t="inlineStr">
        <is>
          <t>CAPEX  (Budget)</t>
        </is>
      </c>
      <c r="C1279" s="355" t="n">
        <v>45839</v>
      </c>
      <c r="F1279" s="301" t="n">
        <v>45839</v>
      </c>
      <c r="G1279" s="5" t="inlineStr">
        <is>
          <t>PR2526-01290</t>
        </is>
      </c>
      <c r="H1279" s="5" t="inlineStr">
        <is>
          <t>PO2526-02035</t>
        </is>
      </c>
      <c r="I1279" s="286" t="n">
        <v>45858</v>
      </c>
      <c r="J1279" s="56" t="n"/>
      <c r="K1279" s="20" t="n">
        <v>60</v>
      </c>
      <c r="L1279" s="5" t="inlineStr">
        <is>
          <t>SFST82000004</t>
        </is>
      </c>
      <c r="M1279" s="7" t="inlineStr">
        <is>
          <t>Civill jobs (Floor-Wall-Celling-roof)</t>
        </is>
      </c>
      <c r="N1279" s="7" t="inlineStr">
        <is>
          <t>Cevil jobs</t>
        </is>
      </c>
      <c r="O1279" s="11" t="n">
        <v>2</v>
      </c>
      <c r="P1279" s="80" t="inlineStr">
        <is>
          <t>Labor costs for operations</t>
        </is>
      </c>
      <c r="Q1279" s="277" t="n">
        <v>1</v>
      </c>
      <c r="R1279" s="5" t="inlineStr">
        <is>
          <t>EA.</t>
        </is>
      </c>
      <c r="S1279" s="284">
        <f>RawDataGenPO[[#This Row],[Total price]]/RawDataGenPO[[#This Row],[Qty'']]</f>
        <v/>
      </c>
      <c r="T1279" s="278" t="n">
        <v>8500</v>
      </c>
      <c r="U1279" s="291" t="n"/>
      <c r="V1279" s="7" t="inlineStr">
        <is>
          <t>V1000687 - UM.TECH COMPANY LIMITED</t>
        </is>
      </c>
      <c r="W1279" s="30" t="inlineStr">
        <is>
          <t>Recive bill and GRN already</t>
        </is>
      </c>
      <c r="X1279" s="5" t="inlineStr">
        <is>
          <t>GRN2526-0003308</t>
        </is>
      </c>
      <c r="Y1279" s="3" t="n">
        <v>45891</v>
      </c>
      <c r="Z1279" s="23" t="n"/>
      <c r="AA1279" s="17">
        <f>IF(RawDataGenPO[[#This Row],[Date Gen PO]]="","",RawDataGenPO[[#This Row],[Date recive bill]]-RawDataGenPO[[#This Row],[Date Gen PO]])</f>
        <v/>
      </c>
      <c r="AB1279" s="16">
        <f>IF(RawDataGenPO[[#This Row],[GRN-PO date]]&gt;RawDataGenPO[[#This Row],[Lead time delivery (day)]],"over deliverry","Ontime")</f>
        <v/>
      </c>
      <c r="AC1279" s="22" t="n"/>
    </row>
    <row r="1280" ht="15" customHeight="1">
      <c r="A1280" s="5">
        <f>ROW()-ROW(RawDataGenPO[[#Headers],[No.]])</f>
        <v/>
      </c>
      <c r="B1280" s="7" t="inlineStr">
        <is>
          <t>CAPEX  (Budget)</t>
        </is>
      </c>
      <c r="C1280" s="355" t="n">
        <v>45839</v>
      </c>
      <c r="F1280" s="301" t="n">
        <v>45839</v>
      </c>
      <c r="G1280" s="5" t="inlineStr">
        <is>
          <t>PR2526-01290</t>
        </is>
      </c>
      <c r="H1280" s="5" t="inlineStr">
        <is>
          <t>PO2526-02035</t>
        </is>
      </c>
      <c r="I1280" s="286" t="n">
        <v>45858</v>
      </c>
      <c r="J1280" s="56" t="n"/>
      <c r="K1280" s="20" t="n">
        <v>60</v>
      </c>
      <c r="L1280" s="5" t="inlineStr">
        <is>
          <t>SFST82000004</t>
        </is>
      </c>
      <c r="M1280" s="7" t="inlineStr">
        <is>
          <t>Civill jobs (Floor-Wall-Celling-roof)</t>
        </is>
      </c>
      <c r="N1280" s="7" t="inlineStr">
        <is>
          <t>Cevil jobs</t>
        </is>
      </c>
      <c r="O1280" s="11" t="n">
        <v>3</v>
      </c>
      <c r="P1280" s="80" t="inlineStr">
        <is>
          <t>Transportation</t>
        </is>
      </c>
      <c r="Q1280" s="277" t="n">
        <v>1</v>
      </c>
      <c r="R1280" s="5" t="inlineStr">
        <is>
          <t>EA.</t>
        </is>
      </c>
      <c r="S1280" s="284">
        <f>RawDataGenPO[[#This Row],[Total price]]/RawDataGenPO[[#This Row],[Qty'']]</f>
        <v/>
      </c>
      <c r="T1280" s="278" t="n">
        <v>5000</v>
      </c>
      <c r="U1280" s="291" t="n"/>
      <c r="V1280" s="7" t="inlineStr">
        <is>
          <t>V1000687 - UM.TECH COMPANY LIMITED</t>
        </is>
      </c>
      <c r="W1280" s="30" t="inlineStr">
        <is>
          <t>Recive bill and GRN already</t>
        </is>
      </c>
      <c r="X1280" s="5" t="inlineStr">
        <is>
          <t>GRN2526-0003308</t>
        </is>
      </c>
      <c r="Y1280" s="3" t="n">
        <v>45891</v>
      </c>
      <c r="Z1280" s="23" t="n"/>
      <c r="AA1280" s="17">
        <f>IF(RawDataGenPO[[#This Row],[Date Gen PO]]="","",RawDataGenPO[[#This Row],[Date recive bill]]-RawDataGenPO[[#This Row],[Date Gen PO]])</f>
        <v/>
      </c>
      <c r="AB1280" s="16">
        <f>IF(RawDataGenPO[[#This Row],[GRN-PO date]]&gt;RawDataGenPO[[#This Row],[Lead time delivery (day)]],"over deliverry","Ontime")</f>
        <v/>
      </c>
      <c r="AC1280" s="22" t="n"/>
    </row>
    <row r="1281" ht="15" customHeight="1">
      <c r="A1281" s="5">
        <f>ROW()-ROW(RawDataGenPO[[#Headers],[No.]])</f>
        <v/>
      </c>
      <c r="B1281" s="7" t="inlineStr">
        <is>
          <t>CAPEX  (Budget)</t>
        </is>
      </c>
      <c r="C1281" s="355" t="n">
        <v>45839</v>
      </c>
      <c r="F1281" s="301" t="n">
        <v>45839</v>
      </c>
      <c r="G1281" s="5" t="inlineStr">
        <is>
          <t>PR2526-01290</t>
        </is>
      </c>
      <c r="H1281" s="5" t="inlineStr">
        <is>
          <t>PO2526-02035</t>
        </is>
      </c>
      <c r="I1281" s="286" t="n">
        <v>45858</v>
      </c>
      <c r="J1281" s="56" t="n"/>
      <c r="K1281" s="20" t="n">
        <v>60</v>
      </c>
      <c r="L1281" s="5" t="inlineStr">
        <is>
          <t>SFST82000004</t>
        </is>
      </c>
      <c r="M1281" s="7" t="inlineStr">
        <is>
          <t>Civill jobs (Floor-Wall-Celling-roof)</t>
        </is>
      </c>
      <c r="N1281" s="7" t="inlineStr">
        <is>
          <t>Cevil jobs</t>
        </is>
      </c>
      <c r="O1281" s="11" t="n">
        <v>4</v>
      </c>
      <c r="P1281" s="80" t="inlineStr">
        <is>
          <t>Processing fee</t>
        </is>
      </c>
      <c r="Q1281" s="277" t="n">
        <v>1</v>
      </c>
      <c r="R1281" s="5" t="inlineStr">
        <is>
          <t>EA.</t>
        </is>
      </c>
      <c r="S1281" s="284">
        <f>RawDataGenPO[[#This Row],[Total price]]/RawDataGenPO[[#This Row],[Qty'']]</f>
        <v/>
      </c>
      <c r="T1281" s="278" t="n">
        <v>1500</v>
      </c>
      <c r="U1281" s="291" t="n"/>
      <c r="V1281" s="7" t="inlineStr">
        <is>
          <t>V1000687 - UM.TECH COMPANY LIMITED</t>
        </is>
      </c>
      <c r="W1281" s="30" t="inlineStr">
        <is>
          <t>Recive bill and GRN already</t>
        </is>
      </c>
      <c r="X1281" s="5" t="inlineStr">
        <is>
          <t>GRN2526-0003308</t>
        </is>
      </c>
      <c r="Y1281" s="3" t="n">
        <v>45891</v>
      </c>
      <c r="Z1281" s="23" t="n"/>
      <c r="AA1281" s="17">
        <f>IF(RawDataGenPO[[#This Row],[Date Gen PO]]="","",RawDataGenPO[[#This Row],[Date recive bill]]-RawDataGenPO[[#This Row],[Date Gen PO]])</f>
        <v/>
      </c>
      <c r="AB1281" s="16">
        <f>IF(RawDataGenPO[[#This Row],[GRN-PO date]]&gt;RawDataGenPO[[#This Row],[Lead time delivery (day)]],"over deliverry","Ontime")</f>
        <v/>
      </c>
      <c r="AC1281" s="22" t="n"/>
    </row>
    <row r="1282" ht="150" customHeight="1">
      <c r="A1282" s="5">
        <f>ROW()-ROW(RawDataGenPO[[#Headers],[No.]])</f>
        <v/>
      </c>
      <c r="B1282" s="7" t="inlineStr">
        <is>
          <t>CAPEX  (Budget)</t>
        </is>
      </c>
      <c r="C1282" s="355" t="n">
        <v>45839</v>
      </c>
      <c r="F1282" s="301" t="n">
        <v>45839</v>
      </c>
      <c r="G1282" s="5" t="inlineStr">
        <is>
          <t>PR2526-01291</t>
        </is>
      </c>
      <c r="H1282" s="5" t="inlineStr">
        <is>
          <t>PO2526-02036</t>
        </is>
      </c>
      <c r="I1282" s="286" t="n">
        <v>45858</v>
      </c>
      <c r="J1282" s="56" t="n"/>
      <c r="K1282" s="20" t="n">
        <v>30</v>
      </c>
      <c r="L1282" s="5" t="inlineStr">
        <is>
          <t>SFST82000007</t>
        </is>
      </c>
      <c r="M1282" s="7" t="inlineStr">
        <is>
          <t>Safety equipment</t>
        </is>
      </c>
      <c r="N1282" s="7" t="inlineStr">
        <is>
          <t>Safety equipment</t>
        </is>
      </c>
      <c r="O1282" s="11" t="n">
        <v>1</v>
      </c>
      <c r="P1282" s="80" t="inlineStr">
        <is>
          <t>installcabinetpcswheelcablefire-fighting Fire Hose Reel Cabinet withsetequipment
- cabinetpcswheelcablefire-fighting Fire Hose Reel Cabinet withset equipment
- size 80x110x35 cm, (typesurface-mounted) mpinhigh 30 cm mrear
internalsetwith
- "NIBCO' BRS Ball V., T-FP-40, UL/FM,350psi
- Angle Valve, typebrassyellow size 2.5"
-0fittingconnectorWmW+with typebrassyellow size 2.5"
- wheelcable SRI Auto Swing Hose Reel sizecable 1"x30 m
- fire-fighting m 4A5B size 10 lb
- installcabinet connectorpipe inletcabinet</t>
        </is>
      </c>
      <c r="S1282" s="284">
        <f>RawDataGenPO[[#This Row],[Total price]]/RawDataGenPO[[#This Row],[Qty'']]</f>
        <v/>
      </c>
      <c r="U1282" s="291" t="n"/>
      <c r="V1282" s="7" t="inlineStr">
        <is>
          <t>V1000790 - WEE SERVICE 2024 CO., LTD.</t>
        </is>
      </c>
      <c r="W1282" s="30" t="inlineStr">
        <is>
          <t>Recive bill and GRN already</t>
        </is>
      </c>
      <c r="X1282" s="5" t="inlineStr">
        <is>
          <t>GRN2526-0002892</t>
        </is>
      </c>
      <c r="Y1282" s="3" t="n">
        <v>45874</v>
      </c>
      <c r="Z1282" s="23" t="n"/>
      <c r="AA1282" s="17">
        <f>IF(RawDataGenPO[[#This Row],[Date Gen PO]]="","",RawDataGenPO[[#This Row],[Date recive bill]]-RawDataGenPO[[#This Row],[Date Gen PO]])</f>
        <v/>
      </c>
      <c r="AB1282" s="16">
        <f>IF(RawDataGenPO[[#This Row],[GRN-PO date]]&gt;RawDataGenPO[[#This Row],[Lead time delivery (day)]],"over deliverry","Ontime")</f>
        <v/>
      </c>
      <c r="AC1282" s="22" t="n"/>
    </row>
    <row r="1283" ht="135" customHeight="1">
      <c r="A1283" s="5">
        <f>ROW()-ROW(RawDataGenPO[[#Headers],[No.]])</f>
        <v/>
      </c>
      <c r="B1283" s="7" t="inlineStr">
        <is>
          <t>Expent  cost</t>
        </is>
      </c>
      <c r="C1283" s="355" t="n">
        <v>45846</v>
      </c>
      <c r="F1283" s="301" t="n">
        <v>45846</v>
      </c>
      <c r="G1283" s="5" t="inlineStr">
        <is>
          <t>PR2526-01292</t>
        </is>
      </c>
      <c r="H1283" s="5" t="inlineStr">
        <is>
          <t>PO2526-01908</t>
        </is>
      </c>
      <c r="I1283" s="345" t="n">
        <v>45854</v>
      </c>
      <c r="J1283" s="56" t="n"/>
      <c r="K1283" s="20" t="n">
        <v>30</v>
      </c>
      <c r="L1283" s="5" t="inlineStr">
        <is>
          <t>SFST81000048</t>
        </is>
      </c>
      <c r="M1283" s="7" t="inlineStr">
        <is>
          <t>Safety equipment</t>
        </is>
      </c>
      <c r="N1283" s="7" t="inlineStr">
        <is>
          <t>Safety equipment</t>
        </is>
      </c>
      <c r="O1283" s="11" t="n">
        <v>1</v>
      </c>
      <c r="P1283" s="80" t="inlineStr">
        <is>
          <t>Chemical cleaning and descaling of an internal boiler surface with a capacity of 2 tons per hour.
- slot Man Hole mminternalboiler
- wheelminternalboiler
- slot Man Holeand slot Hand Hole side
outlet
- pressure internalboiler
- slot Man Hole and slot Hand Hole
- leak</t>
        </is>
      </c>
      <c r="Q1283" s="277" t="n">
        <v>1</v>
      </c>
      <c r="R1283" s="5" t="inlineStr">
        <is>
          <t>JOB.</t>
        </is>
      </c>
      <c r="S1283" s="284">
        <f>RawDataGenPO[[#This Row],[Total price]]/RawDataGenPO[[#This Row],[Qty'']]</f>
        <v/>
      </c>
      <c r="T1283" s="278" t="n">
        <v>65000</v>
      </c>
      <c r="U1283" s="291" t="n"/>
      <c r="V1283" s="7" t="inlineStr">
        <is>
          <t>V1000524 - C.MAX STEAM AND SUPPLY LIMITED PARTNERSHIP</t>
        </is>
      </c>
      <c r="W1283" s="30" t="inlineStr">
        <is>
          <t>Recive bill and GRN already</t>
        </is>
      </c>
      <c r="X1283" s="5" t="inlineStr">
        <is>
          <t>GRN2526-0002537</t>
        </is>
      </c>
      <c r="Y1283" s="3" t="n">
        <v>45859</v>
      </c>
      <c r="Z1283" s="23" t="n"/>
      <c r="AA1283" s="17">
        <f>IF(RawDataGenPO[[#This Row],[Date Gen PO]]="","",RawDataGenPO[[#This Row],[Date recive bill]]-RawDataGenPO[[#This Row],[Date Gen PO]])</f>
        <v/>
      </c>
      <c r="AB1283" s="16">
        <f>IF(RawDataGenPO[[#This Row],[GRN-PO date]]&gt;RawDataGenPO[[#This Row],[Lead time delivery (day)]],"over deliverry","Ontime")</f>
        <v/>
      </c>
      <c r="AC1283" s="22" t="n"/>
    </row>
    <row r="1284" ht="30" customHeight="1">
      <c r="A1284" s="5">
        <f>ROW()-ROW(RawDataGenPO[[#Headers],[No.]])</f>
        <v/>
      </c>
      <c r="B1284" s="7" t="inlineStr">
        <is>
          <t>Expent  cost</t>
        </is>
      </c>
      <c r="C1284" s="355" t="n">
        <v>45846</v>
      </c>
      <c r="F1284" s="301" t="n">
        <v>45846</v>
      </c>
      <c r="G1284" s="5" t="inlineStr">
        <is>
          <t>PR2526-01293</t>
        </is>
      </c>
      <c r="H1284" s="5" t="inlineStr">
        <is>
          <t>PO2526-01909</t>
        </is>
      </c>
      <c r="I1284" s="345" t="n">
        <v>45854</v>
      </c>
      <c r="J1284" s="77" t="n"/>
      <c r="K1284" s="77" t="n">
        <v>30</v>
      </c>
      <c r="L1284" s="5" t="inlineStr">
        <is>
          <t>SFST81000048</t>
        </is>
      </c>
      <c r="M1284" s="7" t="inlineStr">
        <is>
          <t>Tool and Equipment PD M/C</t>
        </is>
      </c>
      <c r="N1284" s="7" t="inlineStr">
        <is>
          <t>Tool and Equipment</t>
        </is>
      </c>
      <c r="O1284" s="11" t="n">
        <v>1</v>
      </c>
      <c r="P1284" s="80" t="inlineStr">
        <is>
          <t>3V2-06NC Solenoid Valve - Airtac | 3/2 Way | NC
1/4" Ports | With coil | 24 VDC</t>
        </is>
      </c>
      <c r="Q1284" s="277" t="n">
        <v>2</v>
      </c>
      <c r="R1284" s="5" t="inlineStr">
        <is>
          <t>PCS.</t>
        </is>
      </c>
      <c r="S1284" s="292">
        <f>RawDataGenPO[[#This Row],[Total price]]/RawDataGenPO[[#This Row],[Qty'']]</f>
        <v/>
      </c>
      <c r="T1284" s="278" t="n">
        <v>1018</v>
      </c>
      <c r="U1284" s="291" t="n"/>
      <c r="V1284" s="7" t="inlineStr">
        <is>
          <t>V1000481 - Company JW Tech Ltd.</t>
        </is>
      </c>
      <c r="W1284" s="30" t="inlineStr">
        <is>
          <t>Recive bill and GRN already</t>
        </is>
      </c>
      <c r="X1284" s="5" t="inlineStr">
        <is>
          <t>GRN2526-0002654</t>
        </is>
      </c>
      <c r="Y1284" s="3" t="n">
        <v>45863</v>
      </c>
      <c r="AA1284" s="17">
        <f>IF(RawDataGenPO[[#This Row],[Date Gen PO]]="","",RawDataGenPO[[#This Row],[Date recive bill]]-RawDataGenPO[[#This Row],[Date Gen PO]])</f>
        <v/>
      </c>
      <c r="AB1284" s="16">
        <f>IF(RawDataGenPO[[#This Row],[GRN-PO date]]&gt;RawDataGenPO[[#This Row],[Lead time delivery (day)]],"over deliverry","Ontime")</f>
        <v/>
      </c>
      <c r="AC1284" s="22" t="n"/>
    </row>
    <row r="1285" ht="30" customHeight="1">
      <c r="A1285" s="5">
        <f>ROW()-ROW(RawDataGenPO[[#Headers],[No.]])</f>
        <v/>
      </c>
      <c r="B1285" s="7" t="inlineStr">
        <is>
          <t>Expent  cost</t>
        </is>
      </c>
      <c r="C1285" s="355" t="n">
        <v>45846</v>
      </c>
      <c r="F1285" s="301" t="n">
        <v>45846</v>
      </c>
      <c r="G1285" s="5" t="inlineStr">
        <is>
          <t>PR2526-01293</t>
        </is>
      </c>
      <c r="H1285" s="5" t="inlineStr">
        <is>
          <t>PO2526-01909</t>
        </is>
      </c>
      <c r="I1285" s="345" t="n">
        <v>45854</v>
      </c>
      <c r="J1285" s="77" t="n"/>
      <c r="K1285" s="77" t="n">
        <v>30</v>
      </c>
      <c r="L1285" s="5" t="inlineStr">
        <is>
          <t>SFST81000048</t>
        </is>
      </c>
      <c r="M1285" s="7" t="inlineStr">
        <is>
          <t>Tool and Equipment PD M/C</t>
        </is>
      </c>
      <c r="N1285" s="7" t="inlineStr">
        <is>
          <t>Tool and Equipment</t>
        </is>
      </c>
      <c r="O1285" s="11" t="n">
        <v>2</v>
      </c>
      <c r="P1285" s="80" t="inlineStr">
        <is>
          <t>3V2-06NC Solenoid Valve - Airtac | 3/2 Way | NC
1/8" Ports | With coil | 24 VDC</t>
        </is>
      </c>
      <c r="Q1285" s="277" t="n">
        <v>2</v>
      </c>
      <c r="R1285" s="5" t="inlineStr">
        <is>
          <t>PCS.</t>
        </is>
      </c>
      <c r="S1285" s="292">
        <f>RawDataGenPO[[#This Row],[Total price]]/RawDataGenPO[[#This Row],[Qty'']]</f>
        <v/>
      </c>
      <c r="T1285" s="278" t="n">
        <v>1018</v>
      </c>
      <c r="U1285" s="291" t="n"/>
      <c r="V1285" s="7" t="inlineStr">
        <is>
          <t>V1000481 - Company JW Tech Ltd.</t>
        </is>
      </c>
      <c r="W1285" s="30" t="inlineStr">
        <is>
          <t>Recive bill and GRN already</t>
        </is>
      </c>
      <c r="X1285" s="5" t="inlineStr">
        <is>
          <t>GRN2526-0002654</t>
        </is>
      </c>
      <c r="Y1285" s="3" t="n">
        <v>45863</v>
      </c>
      <c r="AA1285" s="17">
        <f>IF(RawDataGenPO[[#This Row],[Date Gen PO]]="","",RawDataGenPO[[#This Row],[Date recive bill]]-RawDataGenPO[[#This Row],[Date Gen PO]])</f>
        <v/>
      </c>
      <c r="AB1285" s="16">
        <f>IF(RawDataGenPO[[#This Row],[GRN-PO date]]&gt;RawDataGenPO[[#This Row],[Lead time delivery (day)]],"over deliverry","Ontime")</f>
        <v/>
      </c>
      <c r="AC1285" s="22" t="n"/>
    </row>
    <row r="1286" ht="15" customHeight="1">
      <c r="A1286" s="5">
        <f>ROW()-ROW(RawDataGenPO[[#Headers],[No.]])</f>
        <v/>
      </c>
      <c r="B1286" s="7" t="inlineStr">
        <is>
          <t>Expent  cost</t>
        </is>
      </c>
      <c r="C1286" s="355" t="n">
        <v>45846</v>
      </c>
      <c r="F1286" s="301" t="n">
        <v>45846</v>
      </c>
      <c r="G1286" s="5" t="inlineStr">
        <is>
          <t>PR2526-01294</t>
        </is>
      </c>
      <c r="H1286" s="5" t="inlineStr">
        <is>
          <t>PO2526-01907</t>
        </is>
      </c>
      <c r="I1286" s="345" t="n">
        <v>45854</v>
      </c>
      <c r="J1286" s="77" t="n"/>
      <c r="K1286" s="77" t="n">
        <v>30</v>
      </c>
      <c r="L1286" s="5" t="inlineStr">
        <is>
          <t>SFST81000009</t>
        </is>
      </c>
      <c r="M1286" s="7" t="inlineStr">
        <is>
          <t>Tool and Equipment  Engineering</t>
        </is>
      </c>
      <c r="N1286" s="7" t="inlineStr">
        <is>
          <t>Tool and Equipment</t>
        </is>
      </c>
      <c r="O1286" s="11" t="n">
        <v>1</v>
      </c>
      <c r="P1286" s="80" t="inlineStr">
        <is>
          <t>pcsNo.whitesmooth 4' x 8' x 3 MM</t>
        </is>
      </c>
      <c r="Q1286" s="277" t="n">
        <v>4</v>
      </c>
      <c r="R1286" s="5" t="inlineStr">
        <is>
          <t>PCS.</t>
        </is>
      </c>
      <c r="S1286" s="292">
        <f>RawDataGenPO[[#This Row],[Total price]]/RawDataGenPO[[#This Row],[Qty'']]</f>
        <v/>
      </c>
      <c r="T1286" s="278" t="n">
        <v>18000</v>
      </c>
      <c r="U1286" s="291" t="n"/>
      <c r="V1286" s="7" t="inlineStr">
        <is>
          <t>V1000655 - SRM ENGINEERING 1991 CO., LTD.</t>
        </is>
      </c>
      <c r="W1286" s="30" t="inlineStr">
        <is>
          <t>Recive bill and GRN already</t>
        </is>
      </c>
      <c r="X1286" s="5" t="inlineStr">
        <is>
          <t>GRN2526-0002615</t>
        </is>
      </c>
      <c r="Y1286" s="3" t="n">
        <v>45861</v>
      </c>
      <c r="AA1286" s="17">
        <f>IF(RawDataGenPO[[#This Row],[Date Gen PO]]="","",RawDataGenPO[[#This Row],[Date recive bill]]-RawDataGenPO[[#This Row],[Date Gen PO]])</f>
        <v/>
      </c>
      <c r="AB1286" s="16">
        <f>IF(RawDataGenPO[[#This Row],[GRN-PO date]]&gt;RawDataGenPO[[#This Row],[Lead time delivery (day)]],"over deliverry","Ontime")</f>
        <v/>
      </c>
      <c r="AC1286" s="22" t="n"/>
    </row>
    <row r="1287" ht="90" customHeight="1">
      <c r="A1287" s="5">
        <f>ROW()-ROW(RawDataGenPO[[#Headers],[No.]])</f>
        <v/>
      </c>
      <c r="B1287" s="7" t="inlineStr">
        <is>
          <t>Expent  cost</t>
        </is>
      </c>
      <c r="C1287" s="355" t="n">
        <v>45846</v>
      </c>
      <c r="F1287" s="301" t="n">
        <v>45846</v>
      </c>
      <c r="G1287" s="5" t="inlineStr">
        <is>
          <t>PR2526-01295</t>
        </is>
      </c>
      <c r="H1287" s="5" t="inlineStr">
        <is>
          <t>PO2526-02191</t>
        </is>
      </c>
      <c r="I1287" s="364" t="n">
        <v>45866</v>
      </c>
      <c r="J1287" s="77" t="n"/>
      <c r="K1287" s="77" t="n">
        <v>60</v>
      </c>
      <c r="L1287" s="5" t="inlineStr">
        <is>
          <t>SFST81000048</t>
        </is>
      </c>
      <c r="M1287" s="7" t="inlineStr">
        <is>
          <t>Tool and Equipment  Engineering</t>
        </is>
      </c>
      <c r="N1287" s="7" t="inlineStr">
        <is>
          <t>Tool and Equipment</t>
        </is>
      </c>
      <c r="O1287" s="11" t="n">
        <v>1</v>
      </c>
      <c r="P1287" s="80" t="inlineStr">
        <is>
          <t>Auto Drain CKD Model: 5100-4C
- CKD, pcswaterm Made By Japan.
- system m
- sizethread Rc 1/2"
- pressurehigh 10
- mworkW 5 - 65 degree</t>
        </is>
      </c>
      <c r="Q1287" s="277" t="n">
        <v>2</v>
      </c>
      <c r="R1287" s="5" t="inlineStr">
        <is>
          <t>EA.</t>
        </is>
      </c>
      <c r="S1287" s="292">
        <f>RawDataGenPO[[#This Row],[Total price]]/RawDataGenPO[[#This Row],[Qty'']]</f>
        <v/>
      </c>
      <c r="T1287" s="278" t="n">
        <v>16328.9</v>
      </c>
      <c r="U1287" s="291" t="n"/>
      <c r="V1287" s="7" t="inlineStr">
        <is>
          <t>V1000870 - MISUMI (THAILAND) CO., LTD.</t>
        </is>
      </c>
      <c r="W1287" s="30" t="inlineStr">
        <is>
          <t>Recive bill and GRN already</t>
        </is>
      </c>
      <c r="X1287" s="5" t="inlineStr">
        <is>
          <t>GRN2526-0003531</t>
        </is>
      </c>
      <c r="Y1287" s="3" t="n">
        <v>45903</v>
      </c>
      <c r="AA1287" s="17">
        <f>IF(RawDataGenPO[[#This Row],[Date Gen PO]]="","",RawDataGenPO[[#This Row],[Date recive bill]]-RawDataGenPO[[#This Row],[Date Gen PO]])</f>
        <v/>
      </c>
      <c r="AB1287" s="16">
        <f>IF(RawDataGenPO[[#This Row],[GRN-PO date]]&gt;RawDataGenPO[[#This Row],[Lead time delivery (day)]],"over deliverry","Ontime")</f>
        <v/>
      </c>
      <c r="AC1287" s="22" t="n"/>
    </row>
    <row r="1288" ht="15" customHeight="1">
      <c r="A1288" s="5">
        <f>ROW()-ROW(RawDataGenPO[[#Headers],[No.]])</f>
        <v/>
      </c>
      <c r="B1288" s="7" t="inlineStr">
        <is>
          <t>Expent  cost</t>
        </is>
      </c>
      <c r="C1288" s="355" t="n">
        <v>45846</v>
      </c>
      <c r="F1288" s="301" t="n">
        <v>45846</v>
      </c>
      <c r="G1288" s="5" t="inlineStr">
        <is>
          <t>PR2526-01296</t>
        </is>
      </c>
      <c r="H1288" s="5" t="inlineStr">
        <is>
          <t>PO2526-02040</t>
        </is>
      </c>
      <c r="I1288" s="345" t="n">
        <v>45853</v>
      </c>
      <c r="J1288" s="77" t="n"/>
      <c r="K1288" s="77" t="n">
        <v>30</v>
      </c>
      <c r="L1288" s="5" t="inlineStr">
        <is>
          <t>SFST34000054</t>
        </is>
      </c>
      <c r="M1288" s="7" t="inlineStr">
        <is>
          <t>Consumable part for MN</t>
        </is>
      </c>
      <c r="N1288" s="7" t="inlineStr">
        <is>
          <t>Refrigerant</t>
        </is>
      </c>
      <c r="O1288" s="11" t="n">
        <v>1</v>
      </c>
      <c r="P1288" s="83" t="inlineStr">
        <is>
          <t>R507 Refrigerant,(1 Tank 11.3 kg/Tank)</t>
        </is>
      </c>
      <c r="Q1288" s="333" t="n">
        <v>20</v>
      </c>
      <c r="R1288" s="64" t="inlineStr">
        <is>
          <t>DRUM.</t>
        </is>
      </c>
      <c r="S1288" s="334">
        <f>RawDataGenPO[[#This Row],[Total price]]/RawDataGenPO[[#This Row],[Qty'']]</f>
        <v/>
      </c>
      <c r="T1288" s="335" t="n">
        <v>52600</v>
      </c>
      <c r="U1288" s="291" t="n"/>
      <c r="V1288" s="80" t="inlineStr">
        <is>
          <t>V1000312 - Colder Solution Co., Ltd.</t>
        </is>
      </c>
      <c r="W1288" s="30" t="inlineStr">
        <is>
          <t>Recive bill and GRN already</t>
        </is>
      </c>
      <c r="X1288" s="5" t="inlineStr">
        <is>
          <t>GRN2526-0002619</t>
        </is>
      </c>
      <c r="Y1288" s="3" t="n">
        <v>45861</v>
      </c>
      <c r="AA1288" s="17">
        <f>IF(RawDataGenPO[[#This Row],[Date Gen PO]]="","",RawDataGenPO[[#This Row],[Date recive bill]]-RawDataGenPO[[#This Row],[Date Gen PO]])</f>
        <v/>
      </c>
      <c r="AB1288" s="16">
        <f>IF(RawDataGenPO[[#This Row],[GRN-PO date]]&gt;RawDataGenPO[[#This Row],[Lead time delivery (day)]],"over deliverry","Ontime")</f>
        <v/>
      </c>
      <c r="AC1288" s="22" t="n"/>
    </row>
    <row r="1289" ht="30" customHeight="1">
      <c r="A1289" s="5">
        <f>ROW()-ROW(RawDataGenPO[[#Headers],[No.]])</f>
        <v/>
      </c>
      <c r="B1289" s="7" t="inlineStr">
        <is>
          <t>Expent  cost</t>
        </is>
      </c>
      <c r="C1289" s="355" t="n">
        <v>45846</v>
      </c>
      <c r="F1289" s="301" t="n">
        <v>45846</v>
      </c>
      <c r="G1289" s="5" t="inlineStr">
        <is>
          <t xml:space="preserve">PR2526-01297 </t>
        </is>
      </c>
      <c r="H1289" s="5" t="inlineStr">
        <is>
          <t>PO2526-01912</t>
        </is>
      </c>
      <c r="I1289" s="345" t="n">
        <v>45853</v>
      </c>
      <c r="J1289" s="77" t="n"/>
      <c r="K1289" s="77" t="n">
        <v>30</v>
      </c>
      <c r="L1289" s="5" t="inlineStr">
        <is>
          <t>SFST81000048</t>
        </is>
      </c>
      <c r="M1289" s="7" t="inlineStr">
        <is>
          <t>Tool and Equipment  Engineering</t>
        </is>
      </c>
      <c r="N1289" s="7" t="inlineStr">
        <is>
          <t>Machanical jobs</t>
        </is>
      </c>
      <c r="O1289" s="11" t="n">
        <v>1</v>
      </c>
      <c r="P1289" s="80" t="inlineStr">
        <is>
          <t>Spare Part Compressor For MOBO EA37 (50 HP)
- Air Filter (pcsfilterair)</t>
        </is>
      </c>
      <c r="Q1289" s="277" t="n">
        <v>1</v>
      </c>
      <c r="R1289" s="5" t="inlineStr">
        <is>
          <t>EA.</t>
        </is>
      </c>
      <c r="S1289" s="292">
        <f>RawDataGenPO[[#This Row],[Total price]]/RawDataGenPO[[#This Row],[Qty'']]</f>
        <v/>
      </c>
      <c r="T1289" s="278" t="n">
        <v>2900</v>
      </c>
      <c r="U1289" s="291" t="n"/>
      <c r="V1289" s="7" t="inlineStr">
        <is>
          <t>V1000477 - Company YAWATA air compressor Ltd.</t>
        </is>
      </c>
      <c r="W1289" s="30" t="inlineStr">
        <is>
          <t>Recive bill and GRN already</t>
        </is>
      </c>
      <c r="X1289" s="5" t="inlineStr">
        <is>
          <t>GRN2526-0002539</t>
        </is>
      </c>
      <c r="Y1289" s="3" t="n">
        <v>45859</v>
      </c>
      <c r="AA1289" s="17">
        <f>IF(RawDataGenPO[[#This Row],[Date Gen PO]]="","",RawDataGenPO[[#This Row],[Date recive bill]]-RawDataGenPO[[#This Row],[Date Gen PO]])</f>
        <v/>
      </c>
      <c r="AB1289" s="16">
        <f>IF(RawDataGenPO[[#This Row],[GRN-PO date]]&gt;RawDataGenPO[[#This Row],[Lead time delivery (day)]],"over deliverry","Ontime")</f>
        <v/>
      </c>
      <c r="AC1289" s="22" t="n"/>
    </row>
    <row r="1290" ht="15" customHeight="1">
      <c r="A1290" s="5">
        <f>ROW()-ROW(RawDataGenPO[[#Headers],[No.]])</f>
        <v/>
      </c>
      <c r="B1290" s="7" t="inlineStr">
        <is>
          <t>Expent  cost</t>
        </is>
      </c>
      <c r="C1290" s="355" t="n">
        <v>45846</v>
      </c>
      <c r="F1290" s="301" t="n">
        <v>45846</v>
      </c>
      <c r="G1290" s="5" t="inlineStr">
        <is>
          <t xml:space="preserve">PR2526-01297 </t>
        </is>
      </c>
      <c r="H1290" s="5" t="inlineStr">
        <is>
          <t>PO2526-01912</t>
        </is>
      </c>
      <c r="I1290" s="345" t="n">
        <v>45853</v>
      </c>
      <c r="J1290" s="77" t="n"/>
      <c r="K1290" s="77" t="n">
        <v>30</v>
      </c>
      <c r="L1290" s="5" t="inlineStr">
        <is>
          <t>SFST81000048</t>
        </is>
      </c>
      <c r="M1290" s="7" t="inlineStr">
        <is>
          <t>Tool and Equipment  Engineering</t>
        </is>
      </c>
      <c r="N1290" s="7" t="inlineStr">
        <is>
          <t>Machanical jobs</t>
        </is>
      </c>
      <c r="O1290" s="11" t="n">
        <v>2</v>
      </c>
      <c r="P1290" s="80" t="inlineStr">
        <is>
          <t>Oil Filter (pcsfilteroil)</t>
        </is>
      </c>
      <c r="Q1290" s="277" t="n">
        <v>1</v>
      </c>
      <c r="R1290" s="5" t="inlineStr">
        <is>
          <t>EA.</t>
        </is>
      </c>
      <c r="S1290" s="292">
        <f>RawDataGenPO[[#This Row],[Total price]]/RawDataGenPO[[#This Row],[Qty'']]</f>
        <v/>
      </c>
      <c r="T1290" s="278" t="n">
        <v>2600</v>
      </c>
      <c r="U1290" s="291" t="n"/>
      <c r="V1290" s="7" t="inlineStr">
        <is>
          <t>V1000477 - Company YAWATA air compressor Ltd.</t>
        </is>
      </c>
      <c r="W1290" s="30" t="inlineStr">
        <is>
          <t>Recive bill and GRN already</t>
        </is>
      </c>
      <c r="X1290" s="5" t="inlineStr">
        <is>
          <t>GRN2526-0002539</t>
        </is>
      </c>
      <c r="Y1290" s="3" t="n">
        <v>45859</v>
      </c>
      <c r="AA1290" s="17">
        <f>IF(RawDataGenPO[[#This Row],[Date Gen PO]]="","",RawDataGenPO[[#This Row],[Date recive bill]]-RawDataGenPO[[#This Row],[Date Gen PO]])</f>
        <v/>
      </c>
      <c r="AB1290" s="16">
        <f>IF(RawDataGenPO[[#This Row],[GRN-PO date]]&gt;RawDataGenPO[[#This Row],[Lead time delivery (day)]],"over deliverry","Ontime")</f>
        <v/>
      </c>
      <c r="AC1290" s="22" t="n"/>
    </row>
    <row r="1291" ht="15" customHeight="1">
      <c r="A1291" s="5">
        <f>ROW()-ROW(RawDataGenPO[[#Headers],[No.]])</f>
        <v/>
      </c>
      <c r="B1291" s="7" t="inlineStr">
        <is>
          <t>Expent  cost</t>
        </is>
      </c>
      <c r="C1291" s="355" t="n">
        <v>45846</v>
      </c>
      <c r="F1291" s="301" t="n">
        <v>45846</v>
      </c>
      <c r="G1291" s="5" t="inlineStr">
        <is>
          <t xml:space="preserve">PR2526-01297 </t>
        </is>
      </c>
      <c r="H1291" s="5" t="inlineStr">
        <is>
          <t>PO2526-01912</t>
        </is>
      </c>
      <c r="I1291" s="345" t="n">
        <v>45853</v>
      </c>
      <c r="J1291" s="77" t="n"/>
      <c r="K1291" s="77" t="n">
        <v>30</v>
      </c>
      <c r="L1291" s="5" t="inlineStr">
        <is>
          <t>SFST81000048</t>
        </is>
      </c>
      <c r="M1291" s="7" t="inlineStr">
        <is>
          <t>Tool and Equipment  Engineering</t>
        </is>
      </c>
      <c r="N1291" s="7" t="inlineStr">
        <is>
          <t>Machanical jobs</t>
        </is>
      </c>
      <c r="O1291" s="11" t="n">
        <v>3</v>
      </c>
      <c r="P1291" s="80" t="inlineStr">
        <is>
          <t>Separater (pcsoil)</t>
        </is>
      </c>
      <c r="Q1291" s="277" t="n">
        <v>1</v>
      </c>
      <c r="R1291" s="5" t="inlineStr">
        <is>
          <t>EA.</t>
        </is>
      </c>
      <c r="S1291" s="292">
        <f>RawDataGenPO[[#This Row],[Total price]]/RawDataGenPO[[#This Row],[Qty'']]</f>
        <v/>
      </c>
      <c r="T1291" s="278" t="n">
        <v>10000</v>
      </c>
      <c r="U1291" s="291" t="n"/>
      <c r="V1291" s="7" t="inlineStr">
        <is>
          <t>V1000477 - Company YAWATA air compressor Ltd.</t>
        </is>
      </c>
      <c r="W1291" s="30" t="inlineStr">
        <is>
          <t>Recive bill and GRN already</t>
        </is>
      </c>
      <c r="X1291" s="5" t="inlineStr">
        <is>
          <t>GRN2526-0002539</t>
        </is>
      </c>
      <c r="Y1291" s="3" t="n">
        <v>45859</v>
      </c>
      <c r="AA1291" s="17">
        <f>IF(RawDataGenPO[[#This Row],[Date Gen PO]]="","",RawDataGenPO[[#This Row],[Date recive bill]]-RawDataGenPO[[#This Row],[Date Gen PO]])</f>
        <v/>
      </c>
      <c r="AB1291" s="16">
        <f>IF(RawDataGenPO[[#This Row],[GRN-PO date]]&gt;RawDataGenPO[[#This Row],[Lead time delivery (day)]],"over deliverry","Ontime")</f>
        <v/>
      </c>
      <c r="AC1291" s="22" t="n"/>
    </row>
    <row r="1292" ht="15" customHeight="1">
      <c r="A1292" s="5">
        <f>ROW()-ROW(RawDataGenPO[[#Headers],[No.]])</f>
        <v/>
      </c>
      <c r="B1292" s="7" t="inlineStr">
        <is>
          <t>Expent  cost</t>
        </is>
      </c>
      <c r="C1292" s="355" t="n">
        <v>45846</v>
      </c>
      <c r="F1292" s="301" t="n">
        <v>45846</v>
      </c>
      <c r="G1292" s="5" t="inlineStr">
        <is>
          <t xml:space="preserve">PR2526-01297 </t>
        </is>
      </c>
      <c r="H1292" s="5" t="inlineStr">
        <is>
          <t>PO2526-01912</t>
        </is>
      </c>
      <c r="I1292" s="345" t="n">
        <v>45853</v>
      </c>
      <c r="J1292" s="77" t="n"/>
      <c r="K1292" s="77" t="n">
        <v>30</v>
      </c>
      <c r="L1292" s="5" t="inlineStr">
        <is>
          <t>SFST81000048</t>
        </is>
      </c>
      <c r="M1292" s="7" t="inlineStr">
        <is>
          <t>Tool and Equipment  Engineering</t>
        </is>
      </c>
      <c r="N1292" s="7" t="inlineStr">
        <is>
          <t>Machanical jobs</t>
        </is>
      </c>
      <c r="O1292" s="11" t="n">
        <v>4</v>
      </c>
      <c r="P1292" s="80" t="inlineStr">
        <is>
          <t>Lubricant S46 (20 lites) (oilmm)</t>
        </is>
      </c>
      <c r="Q1292" s="277" t="n">
        <v>2</v>
      </c>
      <c r="R1292" s="5" t="inlineStr">
        <is>
          <t>EA.</t>
        </is>
      </c>
      <c r="S1292" s="292">
        <f>RawDataGenPO[[#This Row],[Total price]]/RawDataGenPO[[#This Row],[Qty'']]</f>
        <v/>
      </c>
      <c r="T1292" s="278" t="n">
        <v>8400</v>
      </c>
      <c r="U1292" s="291" t="n"/>
      <c r="V1292" s="7" t="inlineStr">
        <is>
          <t>V1000477 - Company YAWATA air compressor Ltd.</t>
        </is>
      </c>
      <c r="W1292" s="30" t="inlineStr">
        <is>
          <t>Recive bill and GRN already</t>
        </is>
      </c>
      <c r="X1292" s="5" t="inlineStr">
        <is>
          <t>GRN2526-0002539</t>
        </is>
      </c>
      <c r="Y1292" s="3" t="n">
        <v>45859</v>
      </c>
      <c r="AA1292" s="17">
        <f>IF(RawDataGenPO[[#This Row],[Date Gen PO]]="","",RawDataGenPO[[#This Row],[Date recive bill]]-RawDataGenPO[[#This Row],[Date Gen PO]])</f>
        <v/>
      </c>
      <c r="AB1292" s="16">
        <f>IF(RawDataGenPO[[#This Row],[GRN-PO date]]&gt;RawDataGenPO[[#This Row],[Lead time delivery (day)]],"over deliverry","Ontime")</f>
        <v/>
      </c>
      <c r="AC1292" s="22" t="n"/>
    </row>
    <row r="1293" ht="30" customHeight="1">
      <c r="A1293" s="5">
        <f>ROW()-ROW(RawDataGenPO[[#Headers],[No.]])</f>
        <v/>
      </c>
      <c r="B1293" s="7" t="inlineStr">
        <is>
          <t>Expent  cost</t>
        </is>
      </c>
      <c r="C1293" s="355" t="n">
        <v>45846</v>
      </c>
      <c r="F1293" s="301" t="n">
        <v>45846</v>
      </c>
      <c r="G1293" s="5" t="inlineStr">
        <is>
          <t>PR2526-01299</t>
        </is>
      </c>
      <c r="H1293" s="5" t="inlineStr">
        <is>
          <t>PO2526-01913</t>
        </is>
      </c>
      <c r="I1293" s="345" t="n">
        <v>45853</v>
      </c>
      <c r="J1293" s="77" t="n"/>
      <c r="K1293" s="77" t="n">
        <v>30</v>
      </c>
      <c r="L1293" s="5" t="inlineStr">
        <is>
          <t>SFST81000048</t>
        </is>
      </c>
      <c r="M1293" s="7" t="inlineStr">
        <is>
          <t>Tool and Equipment  Engineering</t>
        </is>
      </c>
      <c r="N1293" s="7" t="inlineStr">
        <is>
          <t>Machanical jobs</t>
        </is>
      </c>
      <c r="O1293" s="11" t="n">
        <v>5</v>
      </c>
      <c r="P1293" s="80" t="inlineStr">
        <is>
          <t>Spare Part Compressor For MOBO SA 8 (10 HP)
Air Filter (pcsfilterair)</t>
        </is>
      </c>
      <c r="Q1293" s="277" t="n">
        <v>1</v>
      </c>
      <c r="R1293" s="5" t="inlineStr">
        <is>
          <t>EA.</t>
        </is>
      </c>
      <c r="S1293" s="292">
        <f>RawDataGenPO[[#This Row],[Total price]]/RawDataGenPO[[#This Row],[Qty'']]</f>
        <v/>
      </c>
      <c r="T1293" s="278" t="n">
        <v>2120</v>
      </c>
      <c r="U1293" s="291" t="n"/>
      <c r="V1293" s="7" t="inlineStr">
        <is>
          <t>V1000477 - Company YAWATA air compressor Ltd.</t>
        </is>
      </c>
      <c r="W1293" s="30" t="inlineStr">
        <is>
          <t>Recive bill and GRN already</t>
        </is>
      </c>
      <c r="X1293" s="5" t="inlineStr">
        <is>
          <t>GRN2526-0002538</t>
        </is>
      </c>
      <c r="Y1293" s="3" t="n">
        <v>45859</v>
      </c>
      <c r="AA1293" s="17">
        <f>IF(RawDataGenPO[[#This Row],[Date Gen PO]]="","",RawDataGenPO[[#This Row],[Date recive bill]]-RawDataGenPO[[#This Row],[Date Gen PO]])</f>
        <v/>
      </c>
      <c r="AB1293" s="16">
        <f>IF(RawDataGenPO[[#This Row],[GRN-PO date]]&gt;RawDataGenPO[[#This Row],[Lead time delivery (day)]],"over deliverry","Ontime")</f>
        <v/>
      </c>
      <c r="AC1293" s="22" t="n"/>
    </row>
    <row r="1294" ht="15" customHeight="1">
      <c r="A1294" s="5">
        <f>ROW()-ROW(RawDataGenPO[[#Headers],[No.]])</f>
        <v/>
      </c>
      <c r="B1294" s="7" t="inlineStr">
        <is>
          <t>Expent  cost</t>
        </is>
      </c>
      <c r="C1294" s="355" t="n">
        <v>45846</v>
      </c>
      <c r="F1294" s="301" t="n">
        <v>45846</v>
      </c>
      <c r="G1294" s="5" t="inlineStr">
        <is>
          <t>PR2526-01299</t>
        </is>
      </c>
      <c r="H1294" s="5" t="inlineStr">
        <is>
          <t>PO2526-01913</t>
        </is>
      </c>
      <c r="I1294" s="345" t="n">
        <v>45853</v>
      </c>
      <c r="J1294" s="77" t="n"/>
      <c r="K1294" s="77" t="n">
        <v>30</v>
      </c>
      <c r="L1294" s="5" t="inlineStr">
        <is>
          <t>SFST81000048</t>
        </is>
      </c>
      <c r="M1294" s="7" t="inlineStr">
        <is>
          <t>Tool and Equipment  Engineering</t>
        </is>
      </c>
      <c r="N1294" s="7" t="inlineStr">
        <is>
          <t>Machanical jobs</t>
        </is>
      </c>
      <c r="O1294" s="11" t="n">
        <v>6</v>
      </c>
      <c r="P1294" s="80" t="inlineStr">
        <is>
          <t>Oil Filter (pcsfilteroil)</t>
        </is>
      </c>
      <c r="Q1294" s="277" t="n">
        <v>1</v>
      </c>
      <c r="R1294" s="5" t="inlineStr">
        <is>
          <t>EA.</t>
        </is>
      </c>
      <c r="S1294" s="292">
        <f>RawDataGenPO[[#This Row],[Total price]]/RawDataGenPO[[#This Row],[Qty'']]</f>
        <v/>
      </c>
      <c r="T1294" s="278" t="n">
        <v>1200</v>
      </c>
      <c r="U1294" s="291" t="n"/>
      <c r="V1294" s="7" t="inlineStr">
        <is>
          <t>V1000477 - Company YAWATA air compressor Ltd.</t>
        </is>
      </c>
      <c r="W1294" s="30" t="inlineStr">
        <is>
          <t>Recive bill and GRN already</t>
        </is>
      </c>
      <c r="X1294" s="5" t="inlineStr">
        <is>
          <t>GRN2526-0002538</t>
        </is>
      </c>
      <c r="Y1294" s="3" t="n">
        <v>45859</v>
      </c>
      <c r="AA1294" s="17">
        <f>IF(RawDataGenPO[[#This Row],[Date Gen PO]]="","",RawDataGenPO[[#This Row],[Date recive bill]]-RawDataGenPO[[#This Row],[Date Gen PO]])</f>
        <v/>
      </c>
      <c r="AB1294" s="16">
        <f>IF(RawDataGenPO[[#This Row],[GRN-PO date]]&gt;RawDataGenPO[[#This Row],[Lead time delivery (day)]],"over deliverry","Ontime")</f>
        <v/>
      </c>
      <c r="AC1294" s="22" t="n"/>
    </row>
    <row r="1295" ht="15" customHeight="1">
      <c r="A1295" s="5">
        <f>ROW()-ROW(RawDataGenPO[[#Headers],[No.]])</f>
        <v/>
      </c>
      <c r="B1295" s="7" t="inlineStr">
        <is>
          <t>Expent  cost</t>
        </is>
      </c>
      <c r="C1295" s="355" t="n">
        <v>45846</v>
      </c>
      <c r="F1295" s="301" t="n">
        <v>45846</v>
      </c>
      <c r="G1295" s="5" t="inlineStr">
        <is>
          <t>PR2526-01299</t>
        </is>
      </c>
      <c r="H1295" s="5" t="inlineStr">
        <is>
          <t>PO2526-01913</t>
        </is>
      </c>
      <c r="I1295" s="345" t="n">
        <v>45853</v>
      </c>
      <c r="J1295" s="77" t="n"/>
      <c r="K1295" s="77" t="n">
        <v>30</v>
      </c>
      <c r="L1295" s="5" t="inlineStr">
        <is>
          <t>SFST81000048</t>
        </is>
      </c>
      <c r="M1295" s="7" t="inlineStr">
        <is>
          <t>Tool and Equipment  Engineering</t>
        </is>
      </c>
      <c r="N1295" s="7" t="inlineStr">
        <is>
          <t>Machanical jobs</t>
        </is>
      </c>
      <c r="O1295" s="11" t="n">
        <v>7</v>
      </c>
      <c r="P1295" s="80" t="inlineStr">
        <is>
          <t>Separater (pcsoil)</t>
        </is>
      </c>
      <c r="Q1295" s="277" t="n">
        <v>1</v>
      </c>
      <c r="R1295" s="5" t="inlineStr">
        <is>
          <t>EA.</t>
        </is>
      </c>
      <c r="S1295" s="292">
        <f>RawDataGenPO[[#This Row],[Total price]]/RawDataGenPO[[#This Row],[Qty'']]</f>
        <v/>
      </c>
      <c r="T1295" s="278" t="n">
        <v>7200</v>
      </c>
      <c r="U1295" s="291" t="n"/>
      <c r="V1295" s="7" t="inlineStr">
        <is>
          <t>V1000477 - Company YAWATA air compressor Ltd.</t>
        </is>
      </c>
      <c r="W1295" s="30" t="inlineStr">
        <is>
          <t>Recive bill and GRN already</t>
        </is>
      </c>
      <c r="X1295" s="5" t="inlineStr">
        <is>
          <t>GRN2526-0002538</t>
        </is>
      </c>
      <c r="Y1295" s="3" t="n">
        <v>45859</v>
      </c>
      <c r="AA1295" s="17">
        <f>IF(RawDataGenPO[[#This Row],[Date Gen PO]]="","",RawDataGenPO[[#This Row],[Date recive bill]]-RawDataGenPO[[#This Row],[Date Gen PO]])</f>
        <v/>
      </c>
      <c r="AB1295" s="16">
        <f>IF(RawDataGenPO[[#This Row],[GRN-PO date]]&gt;RawDataGenPO[[#This Row],[Lead time delivery (day)]],"over deliverry","Ontime")</f>
        <v/>
      </c>
      <c r="AC1295" s="22" t="n"/>
    </row>
    <row r="1296" ht="15" customHeight="1">
      <c r="A1296" s="5">
        <f>ROW()-ROW(RawDataGenPO[[#Headers],[No.]])</f>
        <v/>
      </c>
      <c r="B1296" s="7" t="inlineStr">
        <is>
          <t>Expent  cost</t>
        </is>
      </c>
      <c r="C1296" s="355" t="n">
        <v>45846</v>
      </c>
      <c r="F1296" s="301" t="n">
        <v>45846</v>
      </c>
      <c r="G1296" s="5" t="inlineStr">
        <is>
          <t>PR2526-01299</t>
        </is>
      </c>
      <c r="H1296" s="5" t="inlineStr">
        <is>
          <t>PO2526-01913</t>
        </is>
      </c>
      <c r="I1296" s="345" t="n">
        <v>45853</v>
      </c>
      <c r="J1296" s="77" t="n"/>
      <c r="K1296" s="77" t="n">
        <v>30</v>
      </c>
      <c r="L1296" s="5" t="inlineStr">
        <is>
          <t>SFST81000048</t>
        </is>
      </c>
      <c r="M1296" s="7" t="inlineStr">
        <is>
          <t>Tool and Equipment  Engineering</t>
        </is>
      </c>
      <c r="N1296" s="7" t="inlineStr">
        <is>
          <t>Machanical jobs</t>
        </is>
      </c>
      <c r="O1296" s="11" t="n">
        <v>8</v>
      </c>
      <c r="P1296" s="80" t="inlineStr">
        <is>
          <t>Lubricant S46 (20 lites) (oilmm)</t>
        </is>
      </c>
      <c r="Q1296" s="277" t="n">
        <v>1</v>
      </c>
      <c r="R1296" s="5" t="inlineStr">
        <is>
          <t>EA.</t>
        </is>
      </c>
      <c r="S1296" s="292">
        <f>RawDataGenPO[[#This Row],[Total price]]/RawDataGenPO[[#This Row],[Qty'']]</f>
        <v/>
      </c>
      <c r="T1296" s="278" t="n">
        <v>4200</v>
      </c>
      <c r="U1296" s="291" t="n"/>
      <c r="V1296" s="7" t="inlineStr">
        <is>
          <t>V1000477 - Company YAWATA air compressor Ltd.</t>
        </is>
      </c>
      <c r="W1296" s="30" t="inlineStr">
        <is>
          <t>Recive bill and GRN already</t>
        </is>
      </c>
      <c r="X1296" s="5" t="inlineStr">
        <is>
          <t>GRN2526-0002538</t>
        </is>
      </c>
      <c r="Y1296" s="3" t="n">
        <v>45859</v>
      </c>
      <c r="AA1296" s="17">
        <f>IF(RawDataGenPO[[#This Row],[Date Gen PO]]="","",RawDataGenPO[[#This Row],[Date recive bill]]-RawDataGenPO[[#This Row],[Date Gen PO]])</f>
        <v/>
      </c>
      <c r="AB1296" s="16">
        <f>IF(RawDataGenPO[[#This Row],[GRN-PO date]]&gt;RawDataGenPO[[#This Row],[Lead time delivery (day)]],"over deliverry","Ontime")</f>
        <v/>
      </c>
      <c r="AC1296" s="22" t="n"/>
    </row>
    <row r="1297" ht="15" customHeight="1">
      <c r="A1297" s="5">
        <f>ROW()-ROW(RawDataGenPO[[#Headers],[No.]])</f>
        <v/>
      </c>
      <c r="B1297" s="7" t="inlineStr">
        <is>
          <t>Expent  cost</t>
        </is>
      </c>
      <c r="C1297" s="355" t="n">
        <v>45847</v>
      </c>
      <c r="F1297" s="301" t="n">
        <v>45847</v>
      </c>
      <c r="G1297" s="5" t="inlineStr">
        <is>
          <t>PR2526-01301</t>
        </is>
      </c>
      <c r="H1297" s="5" t="inlineStr">
        <is>
          <t>PO2526-02043</t>
        </is>
      </c>
      <c r="I1297" s="345" t="n">
        <v>45858</v>
      </c>
      <c r="J1297" s="77" t="n"/>
      <c r="K1297" s="77" t="n">
        <v>30</v>
      </c>
      <c r="L1297" s="5" t="inlineStr">
        <is>
          <t>SFST81000048</t>
        </is>
      </c>
      <c r="M1297" s="7" t="inlineStr">
        <is>
          <t>Tool and Equipment PD M/C</t>
        </is>
      </c>
      <c r="N1297" s="7" t="inlineStr">
        <is>
          <t>Tool and Equipment</t>
        </is>
      </c>
      <c r="O1297" s="11" t="n">
        <v>1</v>
      </c>
      <c r="P1297" s="80" t="inlineStr">
        <is>
          <t>cablestainless steel headrearunionstainless steel size1" length100cm. pressure 10Bar.</t>
        </is>
      </c>
      <c r="Q1297" s="277" t="n">
        <v>2</v>
      </c>
      <c r="R1297" s="5" t="inlineStr">
        <is>
          <t>PCS.</t>
        </is>
      </c>
      <c r="S1297" s="292">
        <f>RawDataGenPO[[#This Row],[Total price]]/RawDataGenPO[[#This Row],[Qty'']]</f>
        <v/>
      </c>
      <c r="T1297" s="278" t="n">
        <v>3100</v>
      </c>
      <c r="U1297" s="291" t="n"/>
      <c r="V1297" s="7" t="inlineStr">
        <is>
          <t>V1000529 - 168 Supply</t>
        </is>
      </c>
      <c r="W1297" s="30" t="inlineStr">
        <is>
          <t>Recive bill and GRN already</t>
        </is>
      </c>
      <c r="X1297" s="5" t="inlineStr">
        <is>
          <t>GRN2526-0002664</t>
        </is>
      </c>
      <c r="Y1297" s="3" t="n">
        <v>45863</v>
      </c>
      <c r="AA1297" s="17">
        <f>IF(RawDataGenPO[[#This Row],[Date Gen PO]]="","",RawDataGenPO[[#This Row],[Date recive bill]]-RawDataGenPO[[#This Row],[Date Gen PO]])</f>
        <v/>
      </c>
      <c r="AB1297" s="16">
        <f>IF(RawDataGenPO[[#This Row],[GRN-PO date]]&gt;RawDataGenPO[[#This Row],[Lead time delivery (day)]],"over deliverry","Ontime")</f>
        <v/>
      </c>
      <c r="AC1297" s="22" t="n"/>
    </row>
    <row r="1298" ht="15" customHeight="1">
      <c r="A1298" s="5">
        <f>ROW()-ROW(RawDataGenPO[[#Headers],[No.]])</f>
        <v/>
      </c>
      <c r="B1298" s="7" t="inlineStr">
        <is>
          <t>CAPEX  (Unbudget)</t>
        </is>
      </c>
      <c r="C1298" s="355" t="n">
        <v>45846</v>
      </c>
      <c r="F1298" s="301" t="n">
        <v>45846</v>
      </c>
      <c r="G1298" s="5" t="inlineStr">
        <is>
          <t>PR2526-01304</t>
        </is>
      </c>
      <c r="H1298" s="5" t="inlineStr">
        <is>
          <t>PO2526-02033</t>
        </is>
      </c>
      <c r="I1298" s="345" t="n">
        <v>45858</v>
      </c>
      <c r="J1298" s="77" t="n"/>
      <c r="K1298" s="77" t="n">
        <v>60</v>
      </c>
      <c r="L1298" s="5" t="inlineStr">
        <is>
          <t>SFST82000007</t>
        </is>
      </c>
      <c r="M1298" s="7" t="inlineStr">
        <is>
          <t>Water plant</t>
        </is>
      </c>
      <c r="N1298" s="7" t="inlineStr">
        <is>
          <t>Water system jobs</t>
        </is>
      </c>
      <c r="O1298" s="11" t="n">
        <v>1</v>
      </c>
      <c r="P1298" s="80" t="inlineStr">
        <is>
          <t>Sensor Chlorine "ProMinent" CGE 3-mA-2ppm</t>
        </is>
      </c>
      <c r="Q1298" s="277" t="n">
        <v>1</v>
      </c>
      <c r="R1298" s="5" t="inlineStr">
        <is>
          <t>EA.</t>
        </is>
      </c>
      <c r="S1298" s="292">
        <f>RawDataGenPO[[#This Row],[Total price]]/RawDataGenPO[[#This Row],[Qty'']]</f>
        <v/>
      </c>
      <c r="T1298" s="278" t="n">
        <v>63300</v>
      </c>
      <c r="U1298" s="291" t="n"/>
      <c r="V1298" s="7" t="inlineStr">
        <is>
          <t>V1000102 - PROMINENT FLUID CONTROLS (THAILAND) CO., LTD.</t>
        </is>
      </c>
      <c r="W1298" s="30" t="inlineStr">
        <is>
          <t>Recive bill and GRN already</t>
        </is>
      </c>
      <c r="X1298" s="5" t="inlineStr">
        <is>
          <t>GRN2526-0003511</t>
        </is>
      </c>
      <c r="Y1298" s="3" t="n">
        <v>45901</v>
      </c>
      <c r="AA1298" s="17">
        <f>IF(RawDataGenPO[[#This Row],[Date Gen PO]]="","",RawDataGenPO[[#This Row],[Date recive bill]]-RawDataGenPO[[#This Row],[Date Gen PO]])</f>
        <v/>
      </c>
      <c r="AB1298" s="16">
        <f>IF(RawDataGenPO[[#This Row],[GRN-PO date]]&gt;RawDataGenPO[[#This Row],[Lead time delivery (day)]],"over deliverry","Ontime")</f>
        <v/>
      </c>
      <c r="AC1298" s="22" t="n"/>
    </row>
    <row r="1299" ht="30" customHeight="1">
      <c r="A1299" s="5">
        <f>ROW()-ROW(RawDataGenPO[[#Headers],[No.]])</f>
        <v/>
      </c>
      <c r="B1299" s="7" t="inlineStr">
        <is>
          <t>CAPEX  (Budget)</t>
        </is>
      </c>
      <c r="C1299" s="355" t="n">
        <v>45846</v>
      </c>
      <c r="F1299" s="301" t="n">
        <v>45846</v>
      </c>
      <c r="G1299" s="5" t="inlineStr">
        <is>
          <t>PR2526-01309</t>
        </is>
      </c>
      <c r="H1299" s="5" t="inlineStr">
        <is>
          <t>PO2526-02274</t>
        </is>
      </c>
      <c r="I1299" s="286" t="n">
        <v>45873</v>
      </c>
      <c r="J1299" s="77" t="n"/>
      <c r="K1299" s="77" t="n">
        <v>120</v>
      </c>
      <c r="L1299" s="5" t="inlineStr">
        <is>
          <t>SFST82000008</t>
        </is>
      </c>
      <c r="M1299" s="7" t="inlineStr">
        <is>
          <t>Fire alarm &amp; Fire Pump system</t>
        </is>
      </c>
      <c r="N1299" s="7" t="inlineStr">
        <is>
          <t>Fire Pump System</t>
        </is>
      </c>
      <c r="O1299" s="11" t="n">
        <v>1</v>
      </c>
      <c r="P1299" s="80" t="inlineStr">
        <is>
          <t>FIRE ALARM SYSTEM
- F/A Module Box Size 9 Module</t>
        </is>
      </c>
      <c r="Q1299" s="277" t="n">
        <v>1</v>
      </c>
      <c r="R1299" s="5" t="inlineStr">
        <is>
          <t>EA.</t>
        </is>
      </c>
      <c r="S1299" s="292">
        <f>RawDataGenPO[[#This Row],[Total price]]/RawDataGenPO[[#This Row],[Qty'']]</f>
        <v/>
      </c>
      <c r="T1299" s="278" t="n">
        <v>8500</v>
      </c>
      <c r="U1299" s="291" t="n"/>
      <c r="V1299" s="7" t="inlineStr">
        <is>
          <t>V1000741 - Louis T. Leonowens (Thailand) .,Ltd.</t>
        </is>
      </c>
      <c r="W1299" s="30" t="inlineStr">
        <is>
          <t>Recive bill and GRN already</t>
        </is>
      </c>
      <c r="X1299" s="5" t="inlineStr">
        <is>
          <t>GRN2526-0004665</t>
        </is>
      </c>
      <c r="Y1299" s="3" t="n">
        <v>45947</v>
      </c>
      <c r="AA1299" s="17">
        <f>IF(RawDataGenPO[[#This Row],[Date Gen PO]]="","",RawDataGenPO[[#This Row],[Date recive bill]]-RawDataGenPO[[#This Row],[Date Gen PO]])</f>
        <v/>
      </c>
      <c r="AB1299" s="16">
        <f>IF(RawDataGenPO[[#This Row],[GRN-PO date]]&gt;RawDataGenPO[[#This Row],[Lead time delivery (day)]],"over deliverry","Ontime")</f>
        <v/>
      </c>
      <c r="AC1299" s="22" t="n"/>
    </row>
    <row r="1300" ht="15" customHeight="1">
      <c r="A1300" s="5">
        <f>ROW()-ROW(RawDataGenPO[[#Headers],[No.]])</f>
        <v/>
      </c>
      <c r="C1300" s="355" t="n"/>
      <c r="F1300" s="301" t="n">
        <v>45846</v>
      </c>
      <c r="G1300" s="5" t="inlineStr">
        <is>
          <t>PR2526-01309</t>
        </is>
      </c>
      <c r="H1300" s="5" t="inlineStr">
        <is>
          <t>PO2526-02274</t>
        </is>
      </c>
      <c r="I1300" s="286" t="n">
        <v>45873</v>
      </c>
      <c r="J1300" s="56" t="n"/>
      <c r="K1300" s="77" t="n">
        <v>120</v>
      </c>
      <c r="L1300" s="5" t="inlineStr">
        <is>
          <t>SFST82000008</t>
        </is>
      </c>
      <c r="M1300" s="7" t="inlineStr">
        <is>
          <t>Fire alarm &amp; Fire Pump system</t>
        </is>
      </c>
      <c r="N1300" s="7" t="inlineStr">
        <is>
          <t>Fire Pump System</t>
        </is>
      </c>
      <c r="O1300" s="11" t="n">
        <v>2</v>
      </c>
      <c r="P1300" s="80" t="inlineStr">
        <is>
          <t>- Monitor Module 2 wire-Detector</t>
        </is>
      </c>
      <c r="Q1300" s="277" t="n">
        <v>7</v>
      </c>
      <c r="R1300" s="5" t="inlineStr">
        <is>
          <t>EA.</t>
        </is>
      </c>
      <c r="S1300" s="284">
        <f>RawDataGenPO[[#This Row],[Total price]]/RawDataGenPO[[#This Row],[Qty'']]</f>
        <v/>
      </c>
      <c r="T1300" s="278" t="n">
        <v>10500</v>
      </c>
      <c r="U1300" s="291" t="n"/>
      <c r="V1300" s="7" t="inlineStr">
        <is>
          <t>V1000741 - Louis T. Leonowens (Thailand) .,Ltd.</t>
        </is>
      </c>
      <c r="W1300" s="30" t="inlineStr">
        <is>
          <t>Recive bill and GRN already</t>
        </is>
      </c>
      <c r="X1300" s="5" t="inlineStr">
        <is>
          <t>GRN2526-0004665</t>
        </is>
      </c>
      <c r="Y1300" s="3" t="n">
        <v>45947</v>
      </c>
      <c r="Z1300" s="23" t="n"/>
      <c r="AA1300" s="17">
        <f>IF(RawDataGenPO[[#This Row],[Date Gen PO]]="","",RawDataGenPO[[#This Row],[Date recive bill]]-RawDataGenPO[[#This Row],[Date Gen PO]])</f>
        <v/>
      </c>
      <c r="AB1300" s="16">
        <f>IF(RawDataGenPO[[#This Row],[GRN-PO date]]&gt;RawDataGenPO[[#This Row],[Lead time delivery (day)]],"over deliverry","Ontime")</f>
        <v/>
      </c>
      <c r="AC1300" s="22" t="n"/>
    </row>
    <row r="1301" ht="15" customHeight="1">
      <c r="A1301" s="5">
        <f>ROW()-ROW(RawDataGenPO[[#Headers],[No.]])</f>
        <v/>
      </c>
      <c r="C1301" s="355" t="n"/>
      <c r="F1301" s="301" t="n">
        <v>45846</v>
      </c>
      <c r="G1301" s="5" t="inlineStr">
        <is>
          <t>PR2526-01309</t>
        </is>
      </c>
      <c r="H1301" s="5" t="inlineStr">
        <is>
          <t>PO2526-02274</t>
        </is>
      </c>
      <c r="I1301" s="286" t="n">
        <v>45873</v>
      </c>
      <c r="J1301" s="56" t="n"/>
      <c r="K1301" s="77" t="n">
        <v>120</v>
      </c>
      <c r="L1301" s="5" t="inlineStr">
        <is>
          <t>SFST82000008</t>
        </is>
      </c>
      <c r="M1301" s="7" t="inlineStr">
        <is>
          <t>Fire alarm &amp; Fire Pump system</t>
        </is>
      </c>
      <c r="N1301" s="7" t="inlineStr">
        <is>
          <t>Fire Pump System</t>
        </is>
      </c>
      <c r="O1301" s="11" t="n">
        <v>3</v>
      </c>
      <c r="P1301" s="80" t="inlineStr">
        <is>
          <t>- Monitor Module 2 wire-Detector</t>
        </is>
      </c>
      <c r="Q1301" s="277" t="n">
        <v>1</v>
      </c>
      <c r="R1301" s="5" t="inlineStr">
        <is>
          <t>EA.</t>
        </is>
      </c>
      <c r="S1301" s="284">
        <f>RawDataGenPO[[#This Row],[Total price]]/RawDataGenPO[[#This Row],[Qty'']]</f>
        <v/>
      </c>
      <c r="T1301" s="278" t="n">
        <v>1600</v>
      </c>
      <c r="U1301" s="291" t="n"/>
      <c r="V1301" s="7" t="inlineStr">
        <is>
          <t>V1000741 - Louis T. Leonowens (Thailand) .,Ltd.</t>
        </is>
      </c>
      <c r="W1301" s="30" t="inlineStr">
        <is>
          <t>Recive bill and GRN already</t>
        </is>
      </c>
      <c r="X1301" s="5" t="inlineStr">
        <is>
          <t>GRN2526-0004665</t>
        </is>
      </c>
      <c r="Y1301" s="3" t="n">
        <v>45947</v>
      </c>
      <c r="Z1301" s="23" t="n"/>
      <c r="AA1301" s="17">
        <f>IF(RawDataGenPO[[#This Row],[Date Gen PO]]="","",RawDataGenPO[[#This Row],[Date recive bill]]-RawDataGenPO[[#This Row],[Date Gen PO]])</f>
        <v/>
      </c>
      <c r="AB1301" s="16">
        <f>IF(RawDataGenPO[[#This Row],[GRN-PO date]]&gt;RawDataGenPO[[#This Row],[Lead time delivery (day)]],"over deliverry","Ontime")</f>
        <v/>
      </c>
      <c r="AC1301" s="22" t="n"/>
    </row>
    <row r="1302" ht="15" customHeight="1">
      <c r="A1302" s="5">
        <f>ROW()-ROW(RawDataGenPO[[#Headers],[No.]])</f>
        <v/>
      </c>
      <c r="C1302" s="355" t="n"/>
      <c r="F1302" s="301" t="n">
        <v>45846</v>
      </c>
      <c r="G1302" s="5" t="inlineStr">
        <is>
          <t>PR2526-01309</t>
        </is>
      </c>
      <c r="H1302" s="5" t="inlineStr">
        <is>
          <t>PO2526-02274</t>
        </is>
      </c>
      <c r="I1302" s="286" t="n">
        <v>45873</v>
      </c>
      <c r="J1302" s="56" t="n"/>
      <c r="K1302" s="77" t="n">
        <v>120</v>
      </c>
      <c r="L1302" s="5" t="inlineStr">
        <is>
          <t>SFST82000008</t>
        </is>
      </c>
      <c r="M1302" s="7" t="inlineStr">
        <is>
          <t>Fire alarm &amp; Fire Pump system</t>
        </is>
      </c>
      <c r="N1302" s="7" t="inlineStr">
        <is>
          <t>Fire Pump System</t>
        </is>
      </c>
      <c r="O1302" s="11" t="n">
        <v>4</v>
      </c>
      <c r="P1302" s="80" t="inlineStr">
        <is>
          <t>- Power Supply 5 Ah</t>
        </is>
      </c>
      <c r="Q1302" s="277" t="n">
        <v>1</v>
      </c>
      <c r="R1302" s="5" t="inlineStr">
        <is>
          <t>EA.</t>
        </is>
      </c>
      <c r="S1302" s="284">
        <f>RawDataGenPO[[#This Row],[Total price]]/RawDataGenPO[[#This Row],[Qty'']]</f>
        <v/>
      </c>
      <c r="T1302" s="278" t="n">
        <v>6000</v>
      </c>
      <c r="U1302" s="291" t="n"/>
      <c r="V1302" s="7" t="inlineStr">
        <is>
          <t>V1000741 - Louis T. Leonowens (Thailand) .,Ltd.</t>
        </is>
      </c>
      <c r="W1302" s="30" t="inlineStr">
        <is>
          <t>Recive bill and GRN already</t>
        </is>
      </c>
      <c r="X1302" s="5" t="inlineStr">
        <is>
          <t>GRN2526-0004665</t>
        </is>
      </c>
      <c r="Y1302" s="3" t="n">
        <v>45947</v>
      </c>
      <c r="Z1302" s="23" t="n"/>
      <c r="AA1302" s="17">
        <f>IF(RawDataGenPO[[#This Row],[Date Gen PO]]="","",RawDataGenPO[[#This Row],[Date recive bill]]-RawDataGenPO[[#This Row],[Date Gen PO]])</f>
        <v/>
      </c>
      <c r="AB1302" s="16">
        <f>IF(RawDataGenPO[[#This Row],[GRN-PO date]]&gt;RawDataGenPO[[#This Row],[Lead time delivery (day)]],"over deliverry","Ontime")</f>
        <v/>
      </c>
      <c r="AC1302" s="22" t="n"/>
    </row>
    <row r="1303" ht="15" customHeight="1">
      <c r="A1303" s="5">
        <f>ROW()-ROW(RawDataGenPO[[#Headers],[No.]])</f>
        <v/>
      </c>
      <c r="C1303" s="355" t="n"/>
      <c r="F1303" s="301" t="n">
        <v>45846</v>
      </c>
      <c r="G1303" s="5" t="inlineStr">
        <is>
          <t>PR2526-01309</t>
        </is>
      </c>
      <c r="H1303" s="5" t="inlineStr">
        <is>
          <t>PO2526-02274</t>
        </is>
      </c>
      <c r="I1303" s="286" t="n">
        <v>45873</v>
      </c>
      <c r="J1303" s="56" t="n"/>
      <c r="K1303" s="77" t="n">
        <v>120</v>
      </c>
      <c r="L1303" s="5" t="inlineStr">
        <is>
          <t>SFST82000008</t>
        </is>
      </c>
      <c r="M1303" s="7" t="inlineStr">
        <is>
          <t>Fire alarm &amp; Fire Pump system</t>
        </is>
      </c>
      <c r="N1303" s="7" t="inlineStr">
        <is>
          <t>Fire Pump System</t>
        </is>
      </c>
      <c r="O1303" s="11" t="n">
        <v>5</v>
      </c>
      <c r="P1303" s="80" t="inlineStr">
        <is>
          <t>- Photoelectric Smoke Detector, 2-wire, Plug-in</t>
        </is>
      </c>
      <c r="Q1303" s="277" t="n">
        <v>7</v>
      </c>
      <c r="R1303" s="5" t="inlineStr">
        <is>
          <t>EA.</t>
        </is>
      </c>
      <c r="S1303" s="284">
        <f>RawDataGenPO[[#This Row],[Total price]]/RawDataGenPO[[#This Row],[Qty'']]</f>
        <v/>
      </c>
      <c r="T1303" s="278" t="n">
        <v>5600</v>
      </c>
      <c r="U1303" s="291" t="n"/>
      <c r="V1303" s="7" t="inlineStr">
        <is>
          <t>V1000741 - Louis T. Leonowens (Thailand) .,Ltd.</t>
        </is>
      </c>
      <c r="W1303" s="30" t="inlineStr">
        <is>
          <t>Recive bill and GRN already</t>
        </is>
      </c>
      <c r="X1303" s="5" t="inlineStr">
        <is>
          <t>GRN2526-0004665</t>
        </is>
      </c>
      <c r="Y1303" s="3" t="n">
        <v>45947</v>
      </c>
      <c r="Z1303" s="23" t="n"/>
      <c r="AA1303" s="17">
        <f>IF(RawDataGenPO[[#This Row],[Date Gen PO]]="","",RawDataGenPO[[#This Row],[Date recive bill]]-RawDataGenPO[[#This Row],[Date Gen PO]])</f>
        <v/>
      </c>
      <c r="AB1303" s="16">
        <f>IF(RawDataGenPO[[#This Row],[GRN-PO date]]&gt;RawDataGenPO[[#This Row],[Lead time delivery (day)]],"over deliverry","Ontime")</f>
        <v/>
      </c>
      <c r="AC1303" s="22" t="n"/>
    </row>
    <row r="1304" ht="15" customHeight="1">
      <c r="A1304" s="5">
        <f>ROW()-ROW(RawDataGenPO[[#Headers],[No.]])</f>
        <v/>
      </c>
      <c r="C1304" s="355" t="n"/>
      <c r="F1304" s="301" t="n">
        <v>45846</v>
      </c>
      <c r="G1304" s="5" t="inlineStr">
        <is>
          <t>PR2526-01309</t>
        </is>
      </c>
      <c r="H1304" s="5" t="inlineStr">
        <is>
          <t>PO2526-02274</t>
        </is>
      </c>
      <c r="I1304" s="286" t="n">
        <v>45873</v>
      </c>
      <c r="J1304" s="56" t="n"/>
      <c r="K1304" s="77" t="n">
        <v>120</v>
      </c>
      <c r="L1304" s="5" t="inlineStr">
        <is>
          <t>SFST82000008</t>
        </is>
      </c>
      <c r="M1304" s="7" t="inlineStr">
        <is>
          <t>Fire alarm &amp; Fire Pump system</t>
        </is>
      </c>
      <c r="N1304" s="7" t="inlineStr">
        <is>
          <t>Fire Pump System</t>
        </is>
      </c>
      <c r="O1304" s="11" t="n">
        <v>6</v>
      </c>
      <c r="P1304" s="80" t="inlineStr">
        <is>
          <t>- Rate-Anticipation Heat Detector</t>
        </is>
      </c>
      <c r="Q1304" s="277" t="n">
        <v>4</v>
      </c>
      <c r="R1304" s="5" t="inlineStr">
        <is>
          <t>EA.</t>
        </is>
      </c>
      <c r="S1304" s="284">
        <f>RawDataGenPO[[#This Row],[Total price]]/RawDataGenPO[[#This Row],[Qty'']]</f>
        <v/>
      </c>
      <c r="T1304" s="278" t="n">
        <v>8000</v>
      </c>
      <c r="U1304" s="291" t="n"/>
      <c r="V1304" s="7" t="inlineStr">
        <is>
          <t>V1000741 - Louis T. Leonowens (Thailand) .,Ltd.</t>
        </is>
      </c>
      <c r="W1304" s="30" t="inlineStr">
        <is>
          <t>Recive bill and GRN already</t>
        </is>
      </c>
      <c r="X1304" s="5" t="inlineStr">
        <is>
          <t>GRN2526-0004665</t>
        </is>
      </c>
      <c r="Y1304" s="3" t="n">
        <v>45947</v>
      </c>
      <c r="Z1304" s="23" t="n"/>
      <c r="AA1304" s="17">
        <f>IF(RawDataGenPO[[#This Row],[Date Gen PO]]="","",RawDataGenPO[[#This Row],[Date recive bill]]-RawDataGenPO[[#This Row],[Date Gen PO]])</f>
        <v/>
      </c>
      <c r="AB1304" s="16">
        <f>IF(RawDataGenPO[[#This Row],[GRN-PO date]]&gt;RawDataGenPO[[#This Row],[Lead time delivery (day)]],"over deliverry","Ontime")</f>
        <v/>
      </c>
      <c r="AC1304" s="22" t="n"/>
    </row>
    <row r="1305" ht="15" customHeight="1">
      <c r="A1305" s="5">
        <f>ROW()-ROW(RawDataGenPO[[#Headers],[No.]])</f>
        <v/>
      </c>
      <c r="C1305" s="355" t="n"/>
      <c r="F1305" s="301" t="n">
        <v>45846</v>
      </c>
      <c r="G1305" s="5" t="inlineStr">
        <is>
          <t>PR2526-01309</t>
        </is>
      </c>
      <c r="H1305" s="5" t="inlineStr">
        <is>
          <t>PO2526-02274</t>
        </is>
      </c>
      <c r="I1305" s="286" t="n">
        <v>45873</v>
      </c>
      <c r="J1305" s="56" t="n"/>
      <c r="K1305" s="77" t="n">
        <v>120</v>
      </c>
      <c r="L1305" s="5" t="inlineStr">
        <is>
          <t>SFST82000008</t>
        </is>
      </c>
      <c r="M1305" s="7" t="inlineStr">
        <is>
          <t>Fire alarm &amp; Fire Pump system</t>
        </is>
      </c>
      <c r="N1305" s="7" t="inlineStr">
        <is>
          <t>Fire Pump System</t>
        </is>
      </c>
      <c r="O1305" s="11" t="n">
        <v>7</v>
      </c>
      <c r="P1305" s="80" t="inlineStr">
        <is>
          <t>- Alarm Bell 24VDC, Polarized, 82 dBA, Size :6"</t>
        </is>
      </c>
      <c r="Q1305" s="277" t="n">
        <v>2</v>
      </c>
      <c r="R1305" s="5" t="inlineStr">
        <is>
          <t>EA.</t>
        </is>
      </c>
      <c r="S1305" s="284">
        <f>RawDataGenPO[[#This Row],[Total price]]/RawDataGenPO[[#This Row],[Qty'']]</f>
        <v/>
      </c>
      <c r="T1305" s="278" t="n">
        <v>1600</v>
      </c>
      <c r="U1305" s="291" t="n"/>
      <c r="V1305" s="7" t="inlineStr">
        <is>
          <t>V1000741 - Louis T. Leonowens (Thailand) .,Ltd.</t>
        </is>
      </c>
      <c r="W1305" s="30" t="inlineStr">
        <is>
          <t>Recive bill and GRN already</t>
        </is>
      </c>
      <c r="X1305" s="5" t="inlineStr">
        <is>
          <t>GRN2526-0004665</t>
        </is>
      </c>
      <c r="Y1305" s="3" t="n">
        <v>45947</v>
      </c>
      <c r="Z1305" s="23" t="n"/>
      <c r="AA1305" s="17">
        <f>IF(RawDataGenPO[[#This Row],[Date Gen PO]]="","",RawDataGenPO[[#This Row],[Date recive bill]]-RawDataGenPO[[#This Row],[Date Gen PO]])</f>
        <v/>
      </c>
      <c r="AB1305" s="16">
        <f>IF(RawDataGenPO[[#This Row],[GRN-PO date]]&gt;RawDataGenPO[[#This Row],[Lead time delivery (day)]],"over deliverry","Ontime")</f>
        <v/>
      </c>
      <c r="AC1305" s="22" t="n"/>
    </row>
    <row r="1306" ht="15" customHeight="1">
      <c r="A1306" s="5">
        <f>ROW()-ROW(RawDataGenPO[[#Headers],[No.]])</f>
        <v/>
      </c>
      <c r="C1306" s="355" t="n"/>
      <c r="F1306" s="301" t="n">
        <v>45846</v>
      </c>
      <c r="G1306" s="5" t="inlineStr">
        <is>
          <t>PR2526-01309</t>
        </is>
      </c>
      <c r="H1306" s="5" t="inlineStr">
        <is>
          <t>PO2526-02274</t>
        </is>
      </c>
      <c r="I1306" s="286" t="n">
        <v>45873</v>
      </c>
      <c r="J1306" s="56" t="n"/>
      <c r="K1306" s="77" t="n">
        <v>120</v>
      </c>
      <c r="L1306" s="5" t="inlineStr">
        <is>
          <t>SFST82000008</t>
        </is>
      </c>
      <c r="M1306" s="7" t="inlineStr">
        <is>
          <t>Fire alarm &amp; Fire Pump system</t>
        </is>
      </c>
      <c r="N1306" s="7" t="inlineStr">
        <is>
          <t>Fire Pump System</t>
        </is>
      </c>
      <c r="O1306" s="11" t="n">
        <v>8</v>
      </c>
      <c r="P1306" s="80" t="inlineStr">
        <is>
          <t>- Modify Plate Graphic Annunciator A3</t>
        </is>
      </c>
      <c r="Q1306" s="277" t="n">
        <v>2</v>
      </c>
      <c r="R1306" s="5" t="inlineStr">
        <is>
          <t>EA.</t>
        </is>
      </c>
      <c r="S1306" s="284">
        <f>RawDataGenPO[[#This Row],[Total price]]/RawDataGenPO[[#This Row],[Qty'']]</f>
        <v/>
      </c>
      <c r="T1306" s="278" t="n">
        <v>10000</v>
      </c>
      <c r="U1306" s="291" t="n"/>
      <c r="V1306" s="7" t="inlineStr">
        <is>
          <t>V1000741 - Louis T. Leonowens (Thailand) .,Ltd.</t>
        </is>
      </c>
      <c r="W1306" s="30" t="inlineStr">
        <is>
          <t>Recive bill and GRN already</t>
        </is>
      </c>
      <c r="X1306" s="5" t="inlineStr">
        <is>
          <t>GRN2526-0004665</t>
        </is>
      </c>
      <c r="Y1306" s="3" t="n">
        <v>45947</v>
      </c>
      <c r="Z1306" s="23" t="n"/>
      <c r="AA1306" s="17">
        <f>IF(RawDataGenPO[[#This Row],[Date Gen PO]]="","",RawDataGenPO[[#This Row],[Date recive bill]]-RawDataGenPO[[#This Row],[Date Gen PO]])</f>
        <v/>
      </c>
      <c r="AB1306" s="16">
        <f>IF(RawDataGenPO[[#This Row],[GRN-PO date]]&gt;RawDataGenPO[[#This Row],[Lead time delivery (day)]],"over deliverry","Ontime")</f>
        <v/>
      </c>
      <c r="AC1306" s="22" t="n"/>
    </row>
    <row r="1307" ht="15" customHeight="1">
      <c r="A1307" s="5">
        <f>ROW()-ROW(RawDataGenPO[[#Headers],[No.]])</f>
        <v/>
      </c>
      <c r="C1307" s="355" t="n"/>
      <c r="F1307" s="301" t="n">
        <v>45846</v>
      </c>
      <c r="G1307" s="5" t="inlineStr">
        <is>
          <t>PR2526-01309</t>
        </is>
      </c>
      <c r="H1307" s="5" t="inlineStr">
        <is>
          <t>PO2526-02274</t>
        </is>
      </c>
      <c r="I1307" s="286" t="n">
        <v>45873</v>
      </c>
      <c r="J1307" s="56" t="n"/>
      <c r="K1307" s="77" t="n">
        <v>120</v>
      </c>
      <c r="L1307" s="5" t="inlineStr">
        <is>
          <t>SFST82000008</t>
        </is>
      </c>
      <c r="M1307" s="7" t="inlineStr">
        <is>
          <t>Fire alarm &amp; Fire Pump system</t>
        </is>
      </c>
      <c r="N1307" s="7" t="inlineStr">
        <is>
          <t>Fire Pump System</t>
        </is>
      </c>
      <c r="O1307" s="11" t="n">
        <v>9</v>
      </c>
      <c r="P1307" s="80" t="inlineStr">
        <is>
          <t>- Rack Hose, 2.5" x 100 FT,w/ brass Inst, w/Box</t>
        </is>
      </c>
      <c r="Q1307" s="277" t="n">
        <v>1</v>
      </c>
      <c r="R1307" s="5" t="inlineStr">
        <is>
          <t>EA.</t>
        </is>
      </c>
      <c r="S1307" s="284">
        <f>RawDataGenPO[[#This Row],[Total price]]/RawDataGenPO[[#This Row],[Qty'']]</f>
        <v/>
      </c>
      <c r="T1307" s="278" t="n">
        <v>10000</v>
      </c>
      <c r="U1307" s="291" t="n"/>
      <c r="V1307" s="7" t="inlineStr">
        <is>
          <t>V1000741 - Louis T. Leonowens (Thailand) .,Ltd.</t>
        </is>
      </c>
      <c r="W1307" s="30" t="inlineStr">
        <is>
          <t>Recive bill and GRN already</t>
        </is>
      </c>
      <c r="X1307" s="5" t="inlineStr">
        <is>
          <t>GRN2526-0004665</t>
        </is>
      </c>
      <c r="Y1307" s="3" t="n">
        <v>45947</v>
      </c>
      <c r="Z1307" s="23" t="n"/>
      <c r="AA1307" s="17">
        <f>IF(RawDataGenPO[[#This Row],[Date Gen PO]]="","",RawDataGenPO[[#This Row],[Date recive bill]]-RawDataGenPO[[#This Row],[Date Gen PO]])</f>
        <v/>
      </c>
      <c r="AB1307" s="16">
        <f>IF(RawDataGenPO[[#This Row],[GRN-PO date]]&gt;RawDataGenPO[[#This Row],[Lead time delivery (day)]],"over deliverry","Ontime")</f>
        <v/>
      </c>
      <c r="AC1307" s="22" t="n"/>
    </row>
    <row r="1308" ht="15" customHeight="1">
      <c r="A1308" s="5">
        <f>ROW()-ROW(RawDataGenPO[[#Headers],[No.]])</f>
        <v/>
      </c>
      <c r="C1308" s="355" t="n"/>
      <c r="F1308" s="301" t="n">
        <v>45846</v>
      </c>
      <c r="G1308" s="5" t="inlineStr">
        <is>
          <t>PR2526-01309</t>
        </is>
      </c>
      <c r="H1308" s="5" t="inlineStr">
        <is>
          <t>PO2526-02274</t>
        </is>
      </c>
      <c r="I1308" s="286" t="n">
        <v>45873</v>
      </c>
      <c r="J1308" s="56" t="n"/>
      <c r="K1308" s="77" t="n">
        <v>120</v>
      </c>
      <c r="L1308" s="5" t="inlineStr">
        <is>
          <t>SFST82000008</t>
        </is>
      </c>
      <c r="M1308" s="7" t="inlineStr">
        <is>
          <t>Fire alarm &amp; Fire Pump system</t>
        </is>
      </c>
      <c r="N1308" s="7" t="inlineStr">
        <is>
          <t>Fire Pump System</t>
        </is>
      </c>
      <c r="O1308" s="11" t="n">
        <v>10</v>
      </c>
      <c r="P1308" s="10" t="inlineStr">
        <is>
          <t>Labor costs for repair and installation</t>
        </is>
      </c>
      <c r="Q1308" s="277" t="n">
        <v>1</v>
      </c>
      <c r="R1308" s="5" t="inlineStr">
        <is>
          <t>EA.</t>
        </is>
      </c>
      <c r="S1308" s="284">
        <f>RawDataGenPO[[#This Row],[Total price]]/RawDataGenPO[[#This Row],[Qty'']]</f>
        <v/>
      </c>
      <c r="T1308" s="278" t="n">
        <v>57000</v>
      </c>
      <c r="U1308" s="291" t="n"/>
      <c r="V1308" s="7" t="inlineStr">
        <is>
          <t>V1000741 - Louis T. Leonowens (Thailand) .,Ltd.</t>
        </is>
      </c>
      <c r="W1308" s="30" t="inlineStr">
        <is>
          <t>Recive bill and GRN already</t>
        </is>
      </c>
      <c r="X1308" s="5" t="inlineStr">
        <is>
          <t>GRN2526-0004670</t>
        </is>
      </c>
      <c r="Y1308" s="3" t="n">
        <v>45947</v>
      </c>
      <c r="Z1308" s="23" t="n"/>
      <c r="AA1308" s="17">
        <f>IF(RawDataGenPO[[#This Row],[Date Gen PO]]="","",RawDataGenPO[[#This Row],[Date recive bill]]-RawDataGenPO[[#This Row],[Date Gen PO]])</f>
        <v/>
      </c>
      <c r="AB1308" s="16">
        <f>IF(RawDataGenPO[[#This Row],[GRN-PO date]]&gt;RawDataGenPO[[#This Row],[Lead time delivery (day)]],"over deliverry","Ontime")</f>
        <v/>
      </c>
      <c r="AC1308" s="22" t="n"/>
    </row>
    <row r="1309" ht="60" customHeight="1">
      <c r="A1309" s="5">
        <f>ROW()-ROW(RawDataGenPO[[#Headers],[No.]])</f>
        <v/>
      </c>
      <c r="B1309" s="7" t="inlineStr">
        <is>
          <t>Expent  cost</t>
        </is>
      </c>
      <c r="C1309" s="355" t="n">
        <v>45846</v>
      </c>
      <c r="F1309" s="301" t="n">
        <v>45846</v>
      </c>
      <c r="G1309" s="5" t="inlineStr">
        <is>
          <t>PR2526-01311</t>
        </is>
      </c>
      <c r="H1309" s="5" t="inlineStr">
        <is>
          <t>PO2526-02159</t>
        </is>
      </c>
      <c r="I1309" s="364" t="n">
        <v>45866</v>
      </c>
      <c r="J1309" s="77" t="n"/>
      <c r="K1309" s="77" t="n">
        <v>60</v>
      </c>
      <c r="L1309" s="5" t="inlineStr">
        <is>
          <t>SFST81000009</t>
        </is>
      </c>
      <c r="M1309" s="7" t="inlineStr">
        <is>
          <t>Water plant</t>
        </is>
      </c>
      <c r="N1309" s="7" t="inlineStr">
        <is>
          <t>Sand Filter Tank No.1</t>
        </is>
      </c>
      <c r="O1309" s="11" t="n">
        <v>1</v>
      </c>
      <c r="P1309" s="80" t="inlineStr">
        <is>
          <t>Filter replacement for the softening tank 6 Unit
- Sand filter 2 Unit
- Carbon filter 2 Unit
- Rasin Filer 2 Unit</t>
        </is>
      </c>
      <c r="Q1309" s="277" t="n">
        <v>1</v>
      </c>
      <c r="R1309" s="5" t="inlineStr">
        <is>
          <t>JOB.</t>
        </is>
      </c>
      <c r="S1309" s="292">
        <f>RawDataGenPO[[#This Row],[Total price]]/RawDataGenPO[[#This Row],[Qty'']]</f>
        <v/>
      </c>
      <c r="T1309" s="278" t="n">
        <v>40000</v>
      </c>
      <c r="U1309" s="291" t="n"/>
      <c r="V1309" s="7" t="inlineStr">
        <is>
          <t>V1000865 - TAWANPHOEMPHOON ENGINEERING CO.,LTD.</t>
        </is>
      </c>
      <c r="W1309" s="30" t="inlineStr">
        <is>
          <t>Recive bill and GRN already</t>
        </is>
      </c>
      <c r="X1309" s="5" t="inlineStr">
        <is>
          <t>GRN2526-0002938</t>
        </is>
      </c>
      <c r="Y1309" s="3" t="n">
        <v>45876</v>
      </c>
      <c r="AA1309" s="17">
        <f>IF(RawDataGenPO[[#This Row],[Date Gen PO]]="","",RawDataGenPO[[#This Row],[Date recive bill]]-RawDataGenPO[[#This Row],[Date Gen PO]])</f>
        <v/>
      </c>
      <c r="AB1309" s="16">
        <f>IF(RawDataGenPO[[#This Row],[GRN-PO date]]&gt;RawDataGenPO[[#This Row],[Lead time delivery (day)]],"over deliverry","Ontime")</f>
        <v/>
      </c>
      <c r="AC1309" s="22" t="n"/>
    </row>
    <row r="1310" ht="30" customHeight="1">
      <c r="A1310" s="5">
        <f>ROW()-ROW(RawDataGenPO[[#Headers],[No.]])</f>
        <v/>
      </c>
      <c r="B1310" s="7" t="inlineStr">
        <is>
          <t>Expent  cost</t>
        </is>
      </c>
      <c r="C1310" s="355" t="n">
        <v>45846</v>
      </c>
      <c r="F1310" s="301" t="n">
        <v>45846</v>
      </c>
      <c r="G1310" s="5" t="inlineStr">
        <is>
          <t>PR2526-01311</t>
        </is>
      </c>
      <c r="H1310" s="5" t="inlineStr">
        <is>
          <t>PO2526-02159</t>
        </is>
      </c>
      <c r="I1310" s="364" t="n">
        <v>45866</v>
      </c>
      <c r="J1310" s="77" t="n"/>
      <c r="K1310" s="77" t="n">
        <v>60</v>
      </c>
      <c r="L1310" s="5" t="inlineStr">
        <is>
          <t>SFST81000009</t>
        </is>
      </c>
      <c r="M1310" s="7" t="inlineStr">
        <is>
          <t>Water plant</t>
        </is>
      </c>
      <c r="N1310" s="7" t="inlineStr">
        <is>
          <t>Sand Filter Tank No.2</t>
        </is>
      </c>
      <c r="O1310" s="11" t="n">
        <v>2</v>
      </c>
      <c r="P1310" s="80" t="inlineStr">
        <is>
          <t>Service charge for replacement
- Working 4 days</t>
        </is>
      </c>
      <c r="Q1310" s="277" t="n">
        <v>1</v>
      </c>
      <c r="R1310" s="5" t="inlineStr">
        <is>
          <t>JOB.</t>
        </is>
      </c>
      <c r="S1310" s="292">
        <f>RawDataGenPO[[#This Row],[Total price]]/RawDataGenPO[[#This Row],[Qty'']]</f>
        <v/>
      </c>
      <c r="T1310" s="278" t="n">
        <v>15000</v>
      </c>
      <c r="U1310" s="291" t="n"/>
      <c r="V1310" s="7" t="inlineStr">
        <is>
          <t>V1000865 - TAWANPHOEMPHOON ENGINEERING CO.,LTD.</t>
        </is>
      </c>
      <c r="W1310" s="30" t="inlineStr">
        <is>
          <t>Recive bill and GRN already</t>
        </is>
      </c>
      <c r="X1310" s="5" t="inlineStr">
        <is>
          <t>GRN2526-0002938</t>
        </is>
      </c>
      <c r="Y1310" s="3" t="n">
        <v>45876</v>
      </c>
      <c r="AA1310" s="17">
        <f>IF(RawDataGenPO[[#This Row],[Date Gen PO]]="","",RawDataGenPO[[#This Row],[Date recive bill]]-RawDataGenPO[[#This Row],[Date Gen PO]])</f>
        <v/>
      </c>
      <c r="AB1310" s="16">
        <f>IF(RawDataGenPO[[#This Row],[GRN-PO date]]&gt;RawDataGenPO[[#This Row],[Lead time delivery (day)]],"over deliverry","Ontime")</f>
        <v/>
      </c>
      <c r="AC1310" s="22" t="n"/>
    </row>
    <row r="1311" ht="15" customHeight="1">
      <c r="A1311" s="5">
        <f>ROW()-ROW(RawDataGenPO[[#Headers],[No.]])</f>
        <v/>
      </c>
      <c r="B1311" s="7" t="inlineStr">
        <is>
          <t>Expent  cost</t>
        </is>
      </c>
      <c r="C1311" s="355" t="n">
        <v>45846</v>
      </c>
      <c r="F1311" s="301" t="n">
        <v>45846</v>
      </c>
      <c r="G1311" s="5" t="inlineStr">
        <is>
          <t>PR2526-01312</t>
        </is>
      </c>
      <c r="H1311" s="5" t="inlineStr">
        <is>
          <t>PO2526-02046</t>
        </is>
      </c>
      <c r="I1311" s="345" t="n">
        <v>45858</v>
      </c>
      <c r="J1311" s="77" t="n"/>
      <c r="K1311" s="77" t="n">
        <v>120</v>
      </c>
      <c r="L1311" s="5" t="inlineStr">
        <is>
          <t>SFST81000048</t>
        </is>
      </c>
      <c r="M1311" s="7" t="inlineStr">
        <is>
          <t>Utility Jobs  (Boiler-Air compress-Transformer-LPG)</t>
        </is>
      </c>
      <c r="N1311" s="7" t="inlineStr">
        <is>
          <t>Cooling system jobs</t>
        </is>
      </c>
      <c r="O1311" s="11" t="n">
        <v>1</v>
      </c>
      <c r="P1311" s="80" t="inlineStr">
        <is>
          <t>Heater Coil 220V 750W</t>
        </is>
      </c>
      <c r="Q1311" s="277" t="n">
        <v>1</v>
      </c>
      <c r="R1311" s="5" t="inlineStr">
        <is>
          <t>EA.</t>
        </is>
      </c>
      <c r="S1311" s="292">
        <f>RawDataGenPO[[#This Row],[Total price]]/RawDataGenPO[[#This Row],[Qty'']]</f>
        <v/>
      </c>
      <c r="T1311" s="278" t="n">
        <v>9500</v>
      </c>
      <c r="U1311" s="291" t="n"/>
      <c r="V1311" s="7" t="inlineStr">
        <is>
          <t xml:space="preserve"> V1000554 - SHANTECH (THAILAND) CO.,LTD.</t>
        </is>
      </c>
      <c r="W1311" s="30" t="inlineStr">
        <is>
          <t>Recive bill and GRN already</t>
        </is>
      </c>
      <c r="X1311" s="5" t="inlineStr">
        <is>
          <t>GRN2526-0002789</t>
        </is>
      </c>
      <c r="Y1311" s="3" t="n">
        <v>45870</v>
      </c>
      <c r="AA1311" s="17">
        <f>IF(RawDataGenPO[[#This Row],[Date Gen PO]]="","",RawDataGenPO[[#This Row],[Date recive bill]]-RawDataGenPO[[#This Row],[Date Gen PO]])</f>
        <v/>
      </c>
      <c r="AB1311" s="16">
        <f>IF(RawDataGenPO[[#This Row],[GRN-PO date]]&gt;RawDataGenPO[[#This Row],[Lead time delivery (day)]],"over deliverry","Ontime")</f>
        <v/>
      </c>
      <c r="AC1311" s="22" t="n"/>
    </row>
    <row r="1312" ht="15" customHeight="1">
      <c r="A1312" s="5">
        <f>ROW()-ROW(RawDataGenPO[[#Headers],[No.]])</f>
        <v/>
      </c>
      <c r="B1312" s="7" t="inlineStr">
        <is>
          <t>Expent  cost</t>
        </is>
      </c>
      <c r="C1312" s="355" t="n">
        <v>45846</v>
      </c>
      <c r="F1312" s="301" t="n">
        <v>45846</v>
      </c>
      <c r="G1312" s="5" t="inlineStr">
        <is>
          <t>PR2526-01312</t>
        </is>
      </c>
      <c r="H1312" s="5" t="inlineStr">
        <is>
          <t>PO2526-02046</t>
        </is>
      </c>
      <c r="I1312" s="345" t="n">
        <v>45858</v>
      </c>
      <c r="J1312" s="77" t="n"/>
      <c r="K1312" s="77" t="n">
        <v>12</v>
      </c>
      <c r="L1312" s="5" t="inlineStr">
        <is>
          <t>SFST81000048</t>
        </is>
      </c>
      <c r="M1312" s="7" t="inlineStr">
        <is>
          <t>Utility Jobs  (Boiler-Air compress-Transformer-LPG)</t>
        </is>
      </c>
      <c r="N1312" s="7" t="inlineStr">
        <is>
          <t>Cooling system jobs</t>
        </is>
      </c>
      <c r="O1312" s="11" t="n">
        <v>2</v>
      </c>
      <c r="P1312" s="80" t="inlineStr">
        <is>
          <t>Heater Drain60w L=4m, dia 5.5mm 230V</t>
        </is>
      </c>
      <c r="Q1312" s="277" t="n">
        <v>1</v>
      </c>
      <c r="R1312" s="5" t="inlineStr">
        <is>
          <t>EA.</t>
        </is>
      </c>
      <c r="S1312" s="292">
        <f>RawDataGenPO[[#This Row],[Total price]]/RawDataGenPO[[#This Row],[Qty'']]</f>
        <v/>
      </c>
      <c r="T1312" s="278" t="n">
        <v>8000</v>
      </c>
      <c r="U1312" s="291" t="n"/>
      <c r="V1312" s="7" t="inlineStr">
        <is>
          <t xml:space="preserve"> V1000554 - SHANTECH (THAILAND) CO.,LTD.</t>
        </is>
      </c>
      <c r="W1312" s="30" t="inlineStr">
        <is>
          <t>Recive bill and GRN already</t>
        </is>
      </c>
      <c r="X1312" s="5" t="inlineStr">
        <is>
          <t>GRN2526-0002789</t>
        </is>
      </c>
      <c r="Y1312" s="3" t="n">
        <v>45870</v>
      </c>
      <c r="AA1312" s="17">
        <f>IF(RawDataGenPO[[#This Row],[Date Gen PO]]="","",RawDataGenPO[[#This Row],[Date recive bill]]-RawDataGenPO[[#This Row],[Date Gen PO]])</f>
        <v/>
      </c>
      <c r="AB1312" s="16">
        <f>IF(RawDataGenPO[[#This Row],[GRN-PO date]]&gt;RawDataGenPO[[#This Row],[Lead time delivery (day)]],"over deliverry","Ontime")</f>
        <v/>
      </c>
      <c r="AC1312" s="22" t="n"/>
    </row>
    <row r="1313" ht="15" customHeight="1">
      <c r="A1313" s="5">
        <f>ROW()-ROW(RawDataGenPO[[#Headers],[No.]])</f>
        <v/>
      </c>
      <c r="B1313" s="7" t="inlineStr">
        <is>
          <t>Expent  cost</t>
        </is>
      </c>
      <c r="C1313" s="355" t="n">
        <v>45846</v>
      </c>
      <c r="F1313" s="301" t="n">
        <v>45846</v>
      </c>
      <c r="G1313" s="5" t="inlineStr">
        <is>
          <t>PR2526-01312</t>
        </is>
      </c>
      <c r="H1313" s="5" t="inlineStr">
        <is>
          <t>PO2526-02046</t>
        </is>
      </c>
      <c r="I1313" s="345" t="n">
        <v>45858</v>
      </c>
      <c r="J1313" s="77" t="n"/>
      <c r="K1313" s="77" t="n">
        <v>120</v>
      </c>
      <c r="L1313" s="5" t="inlineStr">
        <is>
          <t>SFST81000048</t>
        </is>
      </c>
      <c r="M1313" s="7" t="inlineStr">
        <is>
          <t>Utility Jobs  (Boiler-Air compress-Transformer-LPG)</t>
        </is>
      </c>
      <c r="N1313" s="7" t="inlineStr">
        <is>
          <t>Cooling system jobs</t>
        </is>
      </c>
      <c r="O1313" s="11" t="n">
        <v>3</v>
      </c>
      <c r="P1313" s="80" t="inlineStr">
        <is>
          <t>Heater Drain 120w L=3m, dia 5.5mm 230V</t>
        </is>
      </c>
      <c r="Q1313" s="277" t="n">
        <v>1</v>
      </c>
      <c r="R1313" s="5" t="inlineStr">
        <is>
          <t>EA.</t>
        </is>
      </c>
      <c r="S1313" s="292">
        <f>RawDataGenPO[[#This Row],[Total price]]/RawDataGenPO[[#This Row],[Qty'']]</f>
        <v/>
      </c>
      <c r="T1313" s="278" t="n">
        <v>4500</v>
      </c>
      <c r="U1313" s="291" t="n"/>
      <c r="V1313" s="7" t="inlineStr">
        <is>
          <t xml:space="preserve"> V1000554 - SHANTECH (THAILAND) CO.,LTD.</t>
        </is>
      </c>
      <c r="W1313" s="30" t="inlineStr">
        <is>
          <t>Recive bill and GRN already</t>
        </is>
      </c>
      <c r="X1313" s="5" t="inlineStr">
        <is>
          <t>GRN2526-0002789</t>
        </is>
      </c>
      <c r="Y1313" s="3" t="n">
        <v>45870</v>
      </c>
      <c r="AA1313" s="17">
        <f>IF(RawDataGenPO[[#This Row],[Date Gen PO]]="","",RawDataGenPO[[#This Row],[Date recive bill]]-RawDataGenPO[[#This Row],[Date Gen PO]])</f>
        <v/>
      </c>
      <c r="AB1313" s="16">
        <f>IF(RawDataGenPO[[#This Row],[GRN-PO date]]&gt;RawDataGenPO[[#This Row],[Lead time delivery (day)]],"over deliverry","Ontime")</f>
        <v/>
      </c>
      <c r="AC1313" s="22" t="n"/>
    </row>
    <row r="1314" ht="15" customHeight="1">
      <c r="A1314" s="5">
        <f>ROW()-ROW(RawDataGenPO[[#Headers],[No.]])</f>
        <v/>
      </c>
      <c r="B1314" s="7" t="inlineStr">
        <is>
          <t>Expent  cost</t>
        </is>
      </c>
      <c r="C1314" s="355" t="n">
        <v>45846</v>
      </c>
      <c r="F1314" s="301" t="n">
        <v>45846</v>
      </c>
      <c r="G1314" s="5" t="inlineStr">
        <is>
          <t>PR2526-01312</t>
        </is>
      </c>
      <c r="H1314" s="5" t="inlineStr">
        <is>
          <t>PO2526-02046</t>
        </is>
      </c>
      <c r="I1314" s="345" t="n">
        <v>45858</v>
      </c>
      <c r="J1314" s="77" t="n"/>
      <c r="K1314" s="77" t="n">
        <v>120</v>
      </c>
      <c r="L1314" s="5" t="inlineStr">
        <is>
          <t>SFST81000048</t>
        </is>
      </c>
      <c r="M1314" s="7" t="inlineStr">
        <is>
          <t>Utility Jobs  (Boiler-Air compress-Transformer-LPG)</t>
        </is>
      </c>
      <c r="N1314" s="7" t="inlineStr">
        <is>
          <t>Cooling system jobs</t>
        </is>
      </c>
      <c r="O1314" s="11" t="n">
        <v>4</v>
      </c>
      <c r="P1314" s="80" t="inlineStr">
        <is>
          <t>workadjustwithinsulatedinsulationpipewastewater</t>
        </is>
      </c>
      <c r="Q1314" s="277" t="n">
        <v>2</v>
      </c>
      <c r="R1314" s="5" t="inlineStr">
        <is>
          <t>JOB.</t>
        </is>
      </c>
      <c r="S1314" s="292">
        <f>RawDataGenPO[[#This Row],[Total price]]/RawDataGenPO[[#This Row],[Qty'']]</f>
        <v/>
      </c>
      <c r="T1314" s="278" t="n">
        <v>4000</v>
      </c>
      <c r="U1314" s="291" t="n"/>
      <c r="V1314" s="7" t="inlineStr">
        <is>
          <t xml:space="preserve"> V1000554 - SHANTECH (THAILAND) CO.,LTD.</t>
        </is>
      </c>
      <c r="W1314" s="30" t="inlineStr">
        <is>
          <t>Recive bill and GRN already</t>
        </is>
      </c>
      <c r="X1314" s="5" t="inlineStr">
        <is>
          <t>GRN2526-0002789</t>
        </is>
      </c>
      <c r="Y1314" s="3" t="n">
        <v>45870</v>
      </c>
      <c r="AA1314" s="17">
        <f>IF(RawDataGenPO[[#This Row],[Date Gen PO]]="","",RawDataGenPO[[#This Row],[Date recive bill]]-RawDataGenPO[[#This Row],[Date Gen PO]])</f>
        <v/>
      </c>
      <c r="AB1314" s="16">
        <f>IF(RawDataGenPO[[#This Row],[GRN-PO date]]&gt;RawDataGenPO[[#This Row],[Lead time delivery (day)]],"over deliverry","Ontime")</f>
        <v/>
      </c>
      <c r="AC1314" s="22" t="n"/>
    </row>
    <row r="1315" ht="15" customHeight="1">
      <c r="A1315" s="5">
        <f>ROW()-ROW(RawDataGenPO[[#Headers],[No.]])</f>
        <v/>
      </c>
      <c r="B1315" s="7" t="inlineStr">
        <is>
          <t>Expent  cost</t>
        </is>
      </c>
      <c r="C1315" s="355" t="n">
        <v>45846</v>
      </c>
      <c r="F1315" s="301" t="n">
        <v>45846</v>
      </c>
      <c r="G1315" s="5" t="inlineStr">
        <is>
          <t>PR2526-01313</t>
        </is>
      </c>
      <c r="H1315" s="5" t="inlineStr">
        <is>
          <t>PO2526-02045</t>
        </is>
      </c>
      <c r="I1315" s="345" t="n">
        <v>45858</v>
      </c>
      <c r="J1315" s="77" t="n"/>
      <c r="K1315" s="77" t="n">
        <v>120</v>
      </c>
      <c r="L1315" s="5" t="inlineStr">
        <is>
          <t>SFST81000009</t>
        </is>
      </c>
      <c r="M1315" s="7" t="inlineStr">
        <is>
          <t>Foam &amp; Cleaning solution pump system</t>
        </is>
      </c>
      <c r="N1315" s="7" t="inlineStr">
        <is>
          <t>Water pump for production line cleaning No.2</t>
        </is>
      </c>
      <c r="O1315" s="11" t="n">
        <v>1</v>
      </c>
      <c r="P1315" s="80" t="inlineStr">
        <is>
          <t>Overhaul Grundfos Pump (Type CR 10-22) 7.5 KW.</t>
        </is>
      </c>
      <c r="Q1315" s="277" t="n">
        <v>1</v>
      </c>
      <c r="R1315" s="5" t="inlineStr">
        <is>
          <t>JOB.</t>
        </is>
      </c>
      <c r="S1315" s="292">
        <f>RawDataGenPO[[#This Row],[Total price]]/RawDataGenPO[[#This Row],[Qty'']]</f>
        <v/>
      </c>
      <c r="T1315" s="278" t="n">
        <v>15000</v>
      </c>
      <c r="U1315" s="291" t="n"/>
      <c r="V1315" s="7" t="inlineStr">
        <is>
          <t>V1000790 - WEE SERVICE 2024 CO., LTD.</t>
        </is>
      </c>
      <c r="W1315" s="30" t="inlineStr">
        <is>
          <t>Recive bill and GRN already</t>
        </is>
      </c>
      <c r="X1315" s="5" t="inlineStr">
        <is>
          <t>GRN2526-0003248</t>
        </is>
      </c>
      <c r="Y1315" s="3" t="n">
        <v>45890</v>
      </c>
      <c r="AA1315" s="17">
        <f>IF(RawDataGenPO[[#This Row],[Date Gen PO]]="","",RawDataGenPO[[#This Row],[Date recive bill]]-RawDataGenPO[[#This Row],[Date Gen PO]])</f>
        <v/>
      </c>
      <c r="AB1315" s="16">
        <f>IF(RawDataGenPO[[#This Row],[GRN-PO date]]&gt;RawDataGenPO[[#This Row],[Lead time delivery (day)]],"over deliverry","Ontime")</f>
        <v/>
      </c>
      <c r="AC1315" s="22" t="n"/>
    </row>
    <row r="1316" ht="30" customHeight="1">
      <c r="A1316" s="5">
        <f>ROW()-ROW(RawDataGenPO[[#Headers],[No.]])</f>
        <v/>
      </c>
      <c r="B1316" s="7" t="inlineStr">
        <is>
          <t>Expent  cost</t>
        </is>
      </c>
      <c r="C1316" s="355" t="n">
        <v>45846</v>
      </c>
      <c r="F1316" s="301" t="n">
        <v>45846</v>
      </c>
      <c r="G1316" s="5" t="inlineStr">
        <is>
          <t>PR2526-01313</t>
        </is>
      </c>
      <c r="H1316" s="5" t="inlineStr">
        <is>
          <t>PO2526-02045</t>
        </is>
      </c>
      <c r="I1316" s="345" t="n">
        <v>45858</v>
      </c>
      <c r="J1316" s="77" t="n"/>
      <c r="K1316" s="77" t="n">
        <v>120</v>
      </c>
      <c r="L1316" s="5" t="inlineStr">
        <is>
          <t>SFST81000009</t>
        </is>
      </c>
      <c r="M1316" s="7" t="inlineStr">
        <is>
          <t>Foam &amp; Cleaning solution pump system</t>
        </is>
      </c>
      <c r="N1316" s="7" t="inlineStr">
        <is>
          <t>Water pump for production line cleaning No.2</t>
        </is>
      </c>
      <c r="O1316" s="11" t="n">
        <v>2</v>
      </c>
      <c r="P1316" s="80" t="inlineStr">
        <is>
          <t>Overhaul and Rewinding Motor 7.5 Kw
- For water pumps in production lines (Spare 1 Unit)</t>
        </is>
      </c>
      <c r="Q1316" s="277" t="n">
        <v>1</v>
      </c>
      <c r="R1316" s="5" t="inlineStr">
        <is>
          <t>JOB.</t>
        </is>
      </c>
      <c r="S1316" s="292">
        <f>RawDataGenPO[[#This Row],[Total price]]/RawDataGenPO[[#This Row],[Qty'']]</f>
        <v/>
      </c>
      <c r="T1316" s="278" t="n">
        <v>12000</v>
      </c>
      <c r="U1316" s="291" t="n"/>
      <c r="V1316" s="7" t="inlineStr">
        <is>
          <t>V1000790 - WEE SERVICE 2024 CO., LTD.</t>
        </is>
      </c>
      <c r="W1316" s="30" t="inlineStr">
        <is>
          <t>Recive bill and GRN already</t>
        </is>
      </c>
      <c r="X1316" s="5" t="inlineStr">
        <is>
          <t>GRN2526-0003248</t>
        </is>
      </c>
      <c r="Y1316" s="3" t="n">
        <v>45890</v>
      </c>
      <c r="AA1316" s="17">
        <f>IF(RawDataGenPO[[#This Row],[Date Gen PO]]="","",RawDataGenPO[[#This Row],[Date recive bill]]-RawDataGenPO[[#This Row],[Date Gen PO]])</f>
        <v/>
      </c>
      <c r="AB1316" s="16">
        <f>IF(RawDataGenPO[[#This Row],[GRN-PO date]]&gt;RawDataGenPO[[#This Row],[Lead time delivery (day)]],"over deliverry","Ontime")</f>
        <v/>
      </c>
      <c r="AC1316" s="22" t="n"/>
    </row>
    <row r="1317" ht="15" customHeight="1">
      <c r="A1317" s="5">
        <f>ROW()-ROW(RawDataGenPO[[#Headers],[No.]])</f>
        <v/>
      </c>
      <c r="B1317" s="7" t="inlineStr">
        <is>
          <t>Expent  cost</t>
        </is>
      </c>
      <c r="C1317" s="355" t="n">
        <v>45846</v>
      </c>
      <c r="F1317" s="301" t="n">
        <v>45846</v>
      </c>
      <c r="G1317" s="5" t="inlineStr">
        <is>
          <t>PR2526-01313</t>
        </is>
      </c>
      <c r="H1317" s="5" t="inlineStr">
        <is>
          <t>PO2526-02045</t>
        </is>
      </c>
      <c r="I1317" s="345" t="n">
        <v>45858</v>
      </c>
      <c r="J1317" s="77" t="n"/>
      <c r="K1317" s="77" t="n">
        <v>120</v>
      </c>
      <c r="L1317" s="5" t="inlineStr">
        <is>
          <t>SFST81000009</t>
        </is>
      </c>
      <c r="M1317" s="7" t="inlineStr">
        <is>
          <t>Foam &amp; Cleaning solution pump system</t>
        </is>
      </c>
      <c r="N1317" s="7" t="inlineStr">
        <is>
          <t>Water pump for production line cleaning No.2</t>
        </is>
      </c>
      <c r="O1317" s="11" t="n">
        <v>3</v>
      </c>
      <c r="P1317" s="80" t="inlineStr">
        <is>
          <t>Overhaul Grundfos Pump (Type CR 10-8)</t>
        </is>
      </c>
      <c r="Q1317" s="277" t="n">
        <v>1</v>
      </c>
      <c r="R1317" s="5" t="inlineStr">
        <is>
          <t>JOB.</t>
        </is>
      </c>
      <c r="S1317" s="292">
        <f>RawDataGenPO[[#This Row],[Total price]]/RawDataGenPO[[#This Row],[Qty'']]</f>
        <v/>
      </c>
      <c r="T1317" s="278" t="n">
        <v>13000</v>
      </c>
      <c r="U1317" s="291" t="n"/>
      <c r="V1317" s="7" t="inlineStr">
        <is>
          <t>V1000790 - WEE SERVICE 2024 CO., LTD.</t>
        </is>
      </c>
      <c r="W1317" s="30" t="inlineStr">
        <is>
          <t>Recive bill and GRN already</t>
        </is>
      </c>
      <c r="X1317" s="5" t="inlineStr">
        <is>
          <t>GRN2526-0003249</t>
        </is>
      </c>
      <c r="Y1317" s="3" t="n">
        <v>45890</v>
      </c>
      <c r="AA1317" s="17">
        <f>IF(RawDataGenPO[[#This Row],[Date Gen PO]]="","",RawDataGenPO[[#This Row],[Date recive bill]]-RawDataGenPO[[#This Row],[Date Gen PO]])</f>
        <v/>
      </c>
      <c r="AB1317" s="16">
        <f>IF(RawDataGenPO[[#This Row],[GRN-PO date]]&gt;RawDataGenPO[[#This Row],[Lead time delivery (day)]],"over deliverry","Ontime")</f>
        <v/>
      </c>
      <c r="AC1317" s="22" t="n"/>
    </row>
    <row r="1318" ht="30" customHeight="1">
      <c r="A1318" s="5">
        <f>ROW()-ROW(RawDataGenPO[[#Headers],[No.]])</f>
        <v/>
      </c>
      <c r="B1318" s="7" t="inlineStr">
        <is>
          <t>Expent  cost</t>
        </is>
      </c>
      <c r="C1318" s="355" t="n">
        <v>45846</v>
      </c>
      <c r="F1318" s="301" t="n">
        <v>45846</v>
      </c>
      <c r="G1318" s="5" t="inlineStr">
        <is>
          <t>PR2526-01313</t>
        </is>
      </c>
      <c r="H1318" s="5" t="inlineStr">
        <is>
          <t>PO2526-02045</t>
        </is>
      </c>
      <c r="I1318" s="345" t="n">
        <v>45858</v>
      </c>
      <c r="J1318" s="77" t="n"/>
      <c r="K1318" s="77" t="n">
        <v>120</v>
      </c>
      <c r="L1318" s="5" t="inlineStr">
        <is>
          <t>SFST81000009</t>
        </is>
      </c>
      <c r="M1318" s="7" t="inlineStr">
        <is>
          <t>Foam &amp; Cleaning solution pump system</t>
        </is>
      </c>
      <c r="N1318" s="7" t="inlineStr">
        <is>
          <t>Water pump for production line cleaning No.2</t>
        </is>
      </c>
      <c r="O1318" s="11" t="n">
        <v>4</v>
      </c>
      <c r="P1318" s="80" t="inlineStr">
        <is>
          <t>Overhaul Motor 3 Kw.
- For Foam pumps in production lines (Spare 1 Unit)</t>
        </is>
      </c>
      <c r="Q1318" s="277" t="n">
        <v>1</v>
      </c>
      <c r="R1318" s="5" t="inlineStr">
        <is>
          <t>JOB.</t>
        </is>
      </c>
      <c r="S1318" s="292">
        <f>RawDataGenPO[[#This Row],[Total price]]/RawDataGenPO[[#This Row],[Qty'']]</f>
        <v/>
      </c>
      <c r="T1318" s="278" t="n">
        <v>7500</v>
      </c>
      <c r="U1318" s="291" t="n"/>
      <c r="V1318" s="7" t="inlineStr">
        <is>
          <t>V1000790 - WEE SERVICE 2024 CO., LTD.</t>
        </is>
      </c>
      <c r="W1318" s="30" t="inlineStr">
        <is>
          <t>Recive bill and GRN already</t>
        </is>
      </c>
      <c r="X1318" s="5" t="inlineStr">
        <is>
          <t>GRN2526-0003249</t>
        </is>
      </c>
      <c r="Y1318" s="3" t="n">
        <v>45890</v>
      </c>
      <c r="AA1318" s="17">
        <f>IF(RawDataGenPO[[#This Row],[Date Gen PO]]="","",RawDataGenPO[[#This Row],[Date recive bill]]-RawDataGenPO[[#This Row],[Date Gen PO]])</f>
        <v/>
      </c>
      <c r="AB1318" s="16">
        <f>IF(RawDataGenPO[[#This Row],[GRN-PO date]]&gt;RawDataGenPO[[#This Row],[Lead time delivery (day)]],"over deliverry","Ontime")</f>
        <v/>
      </c>
      <c r="AC1318" s="22" t="n"/>
    </row>
    <row r="1319" ht="15" customHeight="1">
      <c r="A1319" s="5">
        <f>ROW()-ROW(RawDataGenPO[[#Headers],[No.]])</f>
        <v/>
      </c>
      <c r="B1319" s="7" t="inlineStr">
        <is>
          <t>Expent  cost</t>
        </is>
      </c>
      <c r="C1319" s="355" t="n">
        <v>45846</v>
      </c>
      <c r="F1319" s="301" t="n">
        <v>45846</v>
      </c>
      <c r="G1319" s="5" t="inlineStr">
        <is>
          <t>PR2526-01313</t>
        </is>
      </c>
      <c r="H1319" s="5" t="inlineStr">
        <is>
          <t>PO2526-02045</t>
        </is>
      </c>
      <c r="I1319" s="345" t="n">
        <v>45858</v>
      </c>
      <c r="J1319" s="77" t="n"/>
      <c r="K1319" s="77" t="n">
        <v>120</v>
      </c>
      <c r="L1319" s="5" t="inlineStr">
        <is>
          <t>SFST81000009</t>
        </is>
      </c>
      <c r="M1319" s="7" t="inlineStr">
        <is>
          <t>Foam &amp; Cleaning solution pump system</t>
        </is>
      </c>
      <c r="N1319" s="7" t="inlineStr">
        <is>
          <t>Water pump for production line cleaning No.2</t>
        </is>
      </c>
      <c r="O1319" s="11" t="n">
        <v>5</v>
      </c>
      <c r="P1319" s="80" t="inlineStr">
        <is>
          <t>Transportation</t>
        </is>
      </c>
      <c r="Q1319" s="277" t="n">
        <v>1</v>
      </c>
      <c r="R1319" s="5" t="inlineStr">
        <is>
          <t>JOB.</t>
        </is>
      </c>
      <c r="S1319" s="292">
        <f>RawDataGenPO[[#This Row],[Total price]]/RawDataGenPO[[#This Row],[Qty'']]</f>
        <v/>
      </c>
      <c r="T1319" s="278" t="n">
        <v>1500</v>
      </c>
      <c r="U1319" s="291" t="n"/>
      <c r="V1319" s="7" t="inlineStr">
        <is>
          <t>V1000790 - WEE SERVICE 2024 CO., LTD.</t>
        </is>
      </c>
      <c r="W1319" s="30" t="inlineStr">
        <is>
          <t>Recive bill and GRN already</t>
        </is>
      </c>
      <c r="X1319" s="5" t="inlineStr">
        <is>
          <t>GRN2526-0003249</t>
        </is>
      </c>
      <c r="Y1319" s="3" t="n">
        <v>45890</v>
      </c>
      <c r="AA1319" s="17">
        <f>IF(RawDataGenPO[[#This Row],[Date Gen PO]]="","",RawDataGenPO[[#This Row],[Date recive bill]]-RawDataGenPO[[#This Row],[Date Gen PO]])</f>
        <v/>
      </c>
      <c r="AB1319" s="16">
        <f>IF(RawDataGenPO[[#This Row],[GRN-PO date]]&gt;RawDataGenPO[[#This Row],[Lead time delivery (day)]],"over deliverry","Ontime")</f>
        <v/>
      </c>
      <c r="AC1319" s="22" t="n"/>
    </row>
    <row r="1320" ht="15" customHeight="1">
      <c r="A1320" s="5">
        <f>ROW()-ROW(RawDataGenPO[[#Headers],[No.]])</f>
        <v/>
      </c>
      <c r="B1320" s="7" t="inlineStr">
        <is>
          <t>Expent  cost</t>
        </is>
      </c>
      <c r="C1320" s="355" t="n">
        <v>45846</v>
      </c>
      <c r="F1320" s="301" t="n">
        <v>45846</v>
      </c>
      <c r="G1320" s="5" t="inlineStr">
        <is>
          <t>PR2526-01313</t>
        </is>
      </c>
      <c r="H1320" s="5" t="inlineStr">
        <is>
          <t>PO2526-02045</t>
        </is>
      </c>
      <c r="I1320" s="345" t="n">
        <v>45858</v>
      </c>
      <c r="J1320" s="77" t="n"/>
      <c r="K1320" s="77" t="n">
        <v>120</v>
      </c>
      <c r="L1320" s="5" t="inlineStr">
        <is>
          <t>SFST81000009</t>
        </is>
      </c>
      <c r="M1320" s="7" t="inlineStr">
        <is>
          <t>Foam &amp; Cleaning solution pump system</t>
        </is>
      </c>
      <c r="N1320" s="7" t="inlineStr">
        <is>
          <t>Water pump for production line cleaning No.2</t>
        </is>
      </c>
      <c r="O1320" s="11" t="n">
        <v>6</v>
      </c>
      <c r="P1320" s="80" t="inlineStr">
        <is>
          <t>Transportation</t>
        </is>
      </c>
      <c r="Q1320" s="277" t="n">
        <v>1</v>
      </c>
      <c r="R1320" s="5" t="inlineStr">
        <is>
          <t>JOB.</t>
        </is>
      </c>
      <c r="S1320" s="292">
        <f>RawDataGenPO[[#This Row],[Total price]]/RawDataGenPO[[#This Row],[Qty'']]</f>
        <v/>
      </c>
      <c r="T1320" s="278" t="n">
        <v>1500</v>
      </c>
      <c r="U1320" s="291" t="n"/>
      <c r="V1320" s="7" t="inlineStr">
        <is>
          <t>V1000790 - WEE SERVICE 2024 CO., LTD.</t>
        </is>
      </c>
      <c r="W1320" s="30" t="inlineStr">
        <is>
          <t>Recive bill and GRN already</t>
        </is>
      </c>
      <c r="X1320" s="5" t="inlineStr">
        <is>
          <t>GRN2526-0003248</t>
        </is>
      </c>
      <c r="Y1320" s="3" t="n">
        <v>45890</v>
      </c>
      <c r="AA1320" s="17">
        <f>IF(RawDataGenPO[[#This Row],[Date Gen PO]]="","",RawDataGenPO[[#This Row],[Date recive bill]]-RawDataGenPO[[#This Row],[Date Gen PO]])</f>
        <v/>
      </c>
      <c r="AB1320" s="16">
        <f>IF(RawDataGenPO[[#This Row],[GRN-PO date]]&gt;RawDataGenPO[[#This Row],[Lead time delivery (day)]],"over deliverry","Ontime")</f>
        <v/>
      </c>
      <c r="AC1320" s="22" t="n"/>
    </row>
    <row r="1321" ht="15" customHeight="1">
      <c r="A1321" s="5">
        <f>ROW()-ROW(RawDataGenPO[[#Headers],[No.]])</f>
        <v/>
      </c>
      <c r="B1321" s="7" t="inlineStr">
        <is>
          <t>Expent  cost</t>
        </is>
      </c>
      <c r="C1321" s="355" t="n">
        <v>45846</v>
      </c>
      <c r="F1321" s="301" t="n">
        <v>45846</v>
      </c>
      <c r="G1321" s="5" t="inlineStr">
        <is>
          <t>PR2526-01314</t>
        </is>
      </c>
      <c r="H1321" s="5" t="inlineStr">
        <is>
          <t>PR2526-01314</t>
        </is>
      </c>
      <c r="I1321" s="345" t="n">
        <v>45858</v>
      </c>
      <c r="J1321" s="77" t="n"/>
      <c r="K1321" s="77" t="n">
        <v>30</v>
      </c>
      <c r="L1321" s="5" t="inlineStr">
        <is>
          <t>SFST81000009</t>
        </is>
      </c>
      <c r="M1321" s="7" t="inlineStr">
        <is>
          <t>Tool and Equipment PD M/C</t>
        </is>
      </c>
      <c r="N1321" s="7" t="inlineStr">
        <is>
          <t>Eletrical part</t>
        </is>
      </c>
      <c r="O1321" s="11" t="n">
        <v>1</v>
      </c>
      <c r="P1321" s="80" t="inlineStr">
        <is>
          <t>3-pin double socket WEG15929</t>
        </is>
      </c>
      <c r="Q1321" s="277" t="n">
        <v>20</v>
      </c>
      <c r="R1321" s="5" t="inlineStr">
        <is>
          <t>PCS.</t>
        </is>
      </c>
      <c r="S1321" s="292">
        <f>RawDataGenPO[[#This Row],[Total price]]/RawDataGenPO[[#This Row],[Qty'']]</f>
        <v/>
      </c>
      <c r="T1321" s="278" t="n">
        <v>2200</v>
      </c>
      <c r="U1321" s="291" t="n"/>
      <c r="V1321" s="7" t="inlineStr">
        <is>
          <t>V1000276 - SN. ELECTRIC AND SUPPLY CO., LTD.</t>
        </is>
      </c>
      <c r="W1321" s="30" t="inlineStr">
        <is>
          <t>Recive bill and GRN already</t>
        </is>
      </c>
      <c r="X1321" s="5" t="inlineStr">
        <is>
          <t>GRN2526-0002656</t>
        </is>
      </c>
      <c r="Y1321" s="3" t="n">
        <v>45863</v>
      </c>
      <c r="AA1321" s="17">
        <f>IF(RawDataGenPO[[#This Row],[Date Gen PO]]="","",RawDataGenPO[[#This Row],[Date recive bill]]-RawDataGenPO[[#This Row],[Date Gen PO]])</f>
        <v/>
      </c>
      <c r="AB1321" s="16">
        <f>IF(RawDataGenPO[[#This Row],[GRN-PO date]]&gt;RawDataGenPO[[#This Row],[Lead time delivery (day)]],"over deliverry","Ontime")</f>
        <v/>
      </c>
      <c r="AC1321" s="22" t="n"/>
    </row>
    <row r="1322" ht="30" customHeight="1">
      <c r="A1322" s="5">
        <f>ROW()-ROW(RawDataGenPO[[#Headers],[No.]])</f>
        <v/>
      </c>
      <c r="B1322" s="7" t="inlineStr">
        <is>
          <t>Expent  cost</t>
        </is>
      </c>
      <c r="C1322" s="355" t="n">
        <v>45846</v>
      </c>
      <c r="F1322" s="301" t="n">
        <v>45846</v>
      </c>
      <c r="G1322" s="5" t="inlineStr">
        <is>
          <t>PR2526-01314</t>
        </is>
      </c>
      <c r="H1322" s="5" t="inlineStr">
        <is>
          <t>PR2526-01314</t>
        </is>
      </c>
      <c r="I1322" s="345" t="n">
        <v>45858</v>
      </c>
      <c r="J1322" s="77" t="n"/>
      <c r="K1322" s="77" t="n">
        <v>30</v>
      </c>
      <c r="L1322" s="5" t="inlineStr">
        <is>
          <t>SFST81000009</t>
        </is>
      </c>
      <c r="M1322" s="7" t="inlineStr">
        <is>
          <t>Tool and Equipment PD M/C</t>
        </is>
      </c>
      <c r="N1322" s="7" t="inlineStr">
        <is>
          <t>Eletrical part</t>
        </is>
      </c>
      <c r="O1322" s="11" t="n">
        <v>2</v>
      </c>
      <c r="P1322" s="80" t="inlineStr">
        <is>
          <t>Waterproof cover, surface mounted, PVC front,
WEG8973LH</t>
        </is>
      </c>
      <c r="Q1322" s="277" t="n">
        <v>20</v>
      </c>
      <c r="R1322" s="5" t="inlineStr">
        <is>
          <t>PCS.</t>
        </is>
      </c>
      <c r="S1322" s="292">
        <f>RawDataGenPO[[#This Row],[Total price]]/RawDataGenPO[[#This Row],[Qty'']]</f>
        <v/>
      </c>
      <c r="T1322" s="278" t="n">
        <v>8200</v>
      </c>
      <c r="U1322" s="291" t="n"/>
      <c r="V1322" s="7" t="inlineStr">
        <is>
          <t>V1000276 - SN. ELECTRIC AND SUPPLY CO., LTD.</t>
        </is>
      </c>
      <c r="W1322" s="30" t="inlineStr">
        <is>
          <t>Recive bill and GRN already</t>
        </is>
      </c>
      <c r="X1322" s="5" t="inlineStr">
        <is>
          <t>GRN2526-0002656</t>
        </is>
      </c>
      <c r="Y1322" s="3" t="n">
        <v>45863</v>
      </c>
      <c r="AA1322" s="17">
        <f>IF(RawDataGenPO[[#This Row],[Date Gen PO]]="","",RawDataGenPO[[#This Row],[Date recive bill]]-RawDataGenPO[[#This Row],[Date Gen PO]])</f>
        <v/>
      </c>
      <c r="AB1322" s="16">
        <f>IF(RawDataGenPO[[#This Row],[GRN-PO date]]&gt;RawDataGenPO[[#This Row],[Lead time delivery (day)]],"over deliverry","Ontime")</f>
        <v/>
      </c>
      <c r="AC1322" s="22" t="n"/>
    </row>
    <row r="1323" ht="150" customHeight="1">
      <c r="A1323" s="5">
        <f>ROW()-ROW(RawDataGenPO[[#Headers],[No.]])</f>
        <v/>
      </c>
      <c r="B1323" s="7" t="inlineStr">
        <is>
          <t>Expent  cost</t>
        </is>
      </c>
      <c r="C1323" s="355" t="n">
        <v>45847</v>
      </c>
      <c r="F1323" s="301" t="n">
        <v>45847</v>
      </c>
      <c r="G1323" s="5" t="inlineStr">
        <is>
          <t>PR2526-01338</t>
        </is>
      </c>
      <c r="H1323" s="5" t="inlineStr">
        <is>
          <t xml:space="preserve">PO2526-02048 </t>
        </is>
      </c>
      <c r="I1323" s="345" t="n">
        <v>45858</v>
      </c>
      <c r="J1323" s="77" t="n"/>
      <c r="K1323" s="77" t="n">
        <v>80</v>
      </c>
      <c r="L1323" s="5" t="inlineStr">
        <is>
          <t>SFST81000078</t>
        </is>
      </c>
      <c r="M1323" s="7" t="inlineStr">
        <is>
          <t>Civill jobs (Floor-Wall-Celling-roof)</t>
        </is>
      </c>
      <c r="N1323" s="7" t="inlineStr">
        <is>
          <t>Cevil jobs</t>
        </is>
      </c>
      <c r="O1323" s="11" t="n">
        <v>1</v>
      </c>
      <c r="P1323" s="80" t="inlineStr">
        <is>
          <t>Genaral maintenance in Sunday: Only labor
- Panting
- Cleaning
- Electricity system
- Pipe repair
- Silicone wall
- PU - Epoxcy
- Working 8 Hr / Day
- Manpower 10 Person / Job
- Report Before - After according to work order</t>
        </is>
      </c>
      <c r="Q1323" s="277" t="n">
        <v>5</v>
      </c>
      <c r="R1323" s="5" t="inlineStr">
        <is>
          <t>TIME.</t>
        </is>
      </c>
      <c r="S1323" s="292">
        <f>RawDataGenPO[[#This Row],[Total price]]/RawDataGenPO[[#This Row],[Qty'']]</f>
        <v/>
      </c>
      <c r="T1323" s="278" t="n">
        <v>15500</v>
      </c>
      <c r="U1323" s="291" t="n"/>
      <c r="V1323" s="7" t="inlineStr">
        <is>
          <t>V1000117 - NPN ENGINEERING SOLUTION SUPPLY CO., LTD.</t>
        </is>
      </c>
      <c r="W1323" s="30" t="inlineStr">
        <is>
          <t>Recive bill and GRN already</t>
        </is>
      </c>
      <c r="X1323" s="6" t="inlineStr">
        <is>
          <t>GRN2526-0002620.GRN2526-0002913</t>
        </is>
      </c>
      <c r="Y1323" s="3" t="n">
        <v>45874</v>
      </c>
      <c r="AA1323" s="17">
        <f>IF(RawDataGenPO[[#This Row],[Date Gen PO]]="","",RawDataGenPO[[#This Row],[Date recive bill]]-RawDataGenPO[[#This Row],[Date Gen PO]])</f>
        <v/>
      </c>
      <c r="AB1323" s="16">
        <f>IF(RawDataGenPO[[#This Row],[GRN-PO date]]&gt;RawDataGenPO[[#This Row],[Lead time delivery (day)]],"over deliverry","Ontime")</f>
        <v/>
      </c>
      <c r="AC1323" s="22" t="n"/>
    </row>
    <row r="1324" ht="60" customHeight="1">
      <c r="A1324" s="5">
        <f>ROW()-ROW(RawDataGenPO[[#Headers],[No.]])</f>
        <v/>
      </c>
      <c r="B1324" s="7" t="inlineStr">
        <is>
          <t>Expent  cost</t>
        </is>
      </c>
      <c r="C1324" s="355" t="n">
        <v>45847</v>
      </c>
      <c r="F1324" s="301" t="n">
        <v>45847</v>
      </c>
      <c r="G1324" s="5" t="inlineStr">
        <is>
          <t>PR2526-01344</t>
        </is>
      </c>
      <c r="H1324" s="5" t="inlineStr">
        <is>
          <t>PO2526-02047</t>
        </is>
      </c>
      <c r="I1324" s="345" t="n">
        <v>45858</v>
      </c>
      <c r="J1324" s="77" t="n"/>
      <c r="K1324" s="77" t="n">
        <v>30</v>
      </c>
      <c r="L1324" s="5" t="inlineStr">
        <is>
          <t>SFST81000078</t>
        </is>
      </c>
      <c r="M1324" s="7" t="inlineStr">
        <is>
          <t>Civill jobs (Floor-Wall-Celling-roof)</t>
        </is>
      </c>
      <c r="N1324" s="7" t="inlineStr">
        <is>
          <t>Cevil jobs</t>
        </is>
      </c>
      <c r="O1324" s="11" t="n">
        <v>1</v>
      </c>
      <c r="P1324" s="80" t="inlineStr">
        <is>
          <t>Dismantling workfloorm + adjustfloor + Poly Urethane Screed thick 10 mm.
- WmService chargepcsdayW inletworkday 10-13/07/68
** Warranty 1 Year **</t>
        </is>
      </c>
      <c r="Q1324" s="277" t="n">
        <v>1</v>
      </c>
      <c r="R1324" s="5" t="inlineStr">
        <is>
          <t>JOB.</t>
        </is>
      </c>
      <c r="S1324" s="292">
        <f>RawDataGenPO[[#This Row],[Total price]]/RawDataGenPO[[#This Row],[Qty'']]</f>
        <v/>
      </c>
      <c r="T1324" s="278" t="n">
        <v>80000</v>
      </c>
      <c r="U1324" s="291" t="n"/>
      <c r="V1324" s="7" t="inlineStr">
        <is>
          <t>V1000179 - K.T.FLOORING &amp; SERVICE CO.,LTD</t>
        </is>
      </c>
      <c r="W1324" s="30" t="inlineStr">
        <is>
          <t>Recive bill and GRN already</t>
        </is>
      </c>
      <c r="X1324" s="5" t="inlineStr">
        <is>
          <t>GRN2526-0002617</t>
        </is>
      </c>
      <c r="Y1324" s="3" t="n">
        <v>45861</v>
      </c>
      <c r="AA1324" s="17">
        <f>IF(RawDataGenPO[[#This Row],[Date Gen PO]]="","",RawDataGenPO[[#This Row],[Date recive bill]]-RawDataGenPO[[#This Row],[Date Gen PO]])</f>
        <v/>
      </c>
      <c r="AB1324" s="16">
        <f>IF(RawDataGenPO[[#This Row],[GRN-PO date]]&gt;RawDataGenPO[[#This Row],[Lead time delivery (day)]],"over deliverry","Ontime")</f>
        <v/>
      </c>
      <c r="AC1324" s="22" t="n"/>
    </row>
    <row r="1325" ht="15" customHeight="1">
      <c r="A1325" s="5">
        <f>ROW()-ROW(RawDataGenPO[[#Headers],[No.]])</f>
        <v/>
      </c>
      <c r="B1325" s="7" t="inlineStr">
        <is>
          <t>Expent  cost</t>
        </is>
      </c>
      <c r="C1325" s="355" t="n">
        <v>45852</v>
      </c>
      <c r="F1325" s="301" t="n">
        <v>45852</v>
      </c>
      <c r="G1325" s="5" t="inlineStr">
        <is>
          <t>PR2526-01384</t>
        </is>
      </c>
      <c r="H1325" s="5" t="inlineStr">
        <is>
          <t>PO2526-02158</t>
        </is>
      </c>
      <c r="I1325" s="364" t="n">
        <v>45866</v>
      </c>
      <c r="J1325" s="77" t="n"/>
      <c r="K1325" s="77" t="n">
        <v>60</v>
      </c>
      <c r="L1325" s="5" t="inlineStr">
        <is>
          <t>SFST81000048</t>
        </is>
      </c>
      <c r="M1325" s="7" t="inlineStr">
        <is>
          <t>Utility Jobs  (Boiler-Air compress-Transformer-LPG)</t>
        </is>
      </c>
      <c r="N1325" s="7" t="inlineStr">
        <is>
          <t>Cooling system jobs</t>
        </is>
      </c>
      <c r="O1325" s="11" t="n">
        <v>1</v>
      </c>
      <c r="P1325" s="80" t="inlineStr">
        <is>
          <t>Air conditioner inspection checklist TRANE mmachine ACDU-M-01-2</t>
        </is>
      </c>
      <c r="Q1325" s="277" t="n">
        <v>1</v>
      </c>
      <c r="R1325" s="5" t="inlineStr">
        <is>
          <t>JOB.</t>
        </is>
      </c>
      <c r="S1325" s="292">
        <f>RawDataGenPO[[#This Row],[Total price]]/RawDataGenPO[[#This Row],[Qty'']]</f>
        <v/>
      </c>
      <c r="T1325" s="278" t="n">
        <v>1500</v>
      </c>
      <c r="U1325" s="291" t="n"/>
      <c r="V1325" s="7" t="inlineStr">
        <is>
          <t>V1000864 - RATCHANEE ENGINEERING CO., LTD.</t>
        </is>
      </c>
      <c r="W1325" s="30" t="inlineStr">
        <is>
          <t>Recive bill and GRN already</t>
        </is>
      </c>
      <c r="X1325" s="5" t="inlineStr">
        <is>
          <t>GRN2526-0002940</t>
        </is>
      </c>
      <c r="Y1325" s="3" t="n">
        <v>45876</v>
      </c>
      <c r="AA1325" s="17">
        <f>IF(RawDataGenPO[[#This Row],[Date Gen PO]]="","",RawDataGenPO[[#This Row],[Date recive bill]]-RawDataGenPO[[#This Row],[Date Gen PO]])</f>
        <v/>
      </c>
      <c r="AB1325" s="16">
        <f>IF(RawDataGenPO[[#This Row],[GRN-PO date]]&gt;RawDataGenPO[[#This Row],[Lead time delivery (day)]],"over deliverry","Ontime")</f>
        <v/>
      </c>
      <c r="AC1325" s="22" t="n"/>
    </row>
    <row r="1326" ht="15" customHeight="1">
      <c r="A1326" s="5">
        <f>ROW()-ROW(RawDataGenPO[[#Headers],[No.]])</f>
        <v/>
      </c>
      <c r="B1326" s="7" t="inlineStr">
        <is>
          <t>Expent  cost</t>
        </is>
      </c>
      <c r="C1326" s="355" t="n">
        <v>45855</v>
      </c>
      <c r="F1326" s="301" t="n">
        <v>45855</v>
      </c>
      <c r="G1326" s="5" t="inlineStr">
        <is>
          <t>PR2526-01459</t>
        </is>
      </c>
      <c r="H1326" s="5" t="inlineStr">
        <is>
          <t>PO2526-02163</t>
        </is>
      </c>
      <c r="I1326" s="364" t="n">
        <v>45866</v>
      </c>
      <c r="J1326" s="77" t="n"/>
      <c r="K1326" s="77" t="n">
        <v>180</v>
      </c>
      <c r="L1326" s="5" t="inlineStr">
        <is>
          <t>SFST34000136</t>
        </is>
      </c>
      <c r="M1326" s="7" t="inlineStr">
        <is>
          <t>Consumable part for MN</t>
        </is>
      </c>
      <c r="N1326" s="7" t="inlineStr">
        <is>
          <t>Cevil quipment  &amp; Part</t>
        </is>
      </c>
      <c r="O1326" s="11" t="n">
        <v>1</v>
      </c>
      <c r="P1326" s="80" t="inlineStr">
        <is>
          <t xml:space="preserve"> argon gas 1.5 Q</t>
        </is>
      </c>
      <c r="Q1326" s="277" t="n">
        <v>6</v>
      </c>
      <c r="R1326" s="5" t="inlineStr">
        <is>
          <t>DRUM.</t>
        </is>
      </c>
      <c r="S1326" s="292">
        <f>RawDataGenPO[[#This Row],[Total price]]/RawDataGenPO[[#This Row],[Qty'']]</f>
        <v/>
      </c>
      <c r="T1326" s="278" t="n">
        <v>2100</v>
      </c>
      <c r="U1326" s="291" t="n"/>
      <c r="V1326" s="7" t="inlineStr">
        <is>
          <t>V1000475 - Klong Karn Kha Trading</t>
        </is>
      </c>
      <c r="W1326" s="30" t="inlineStr">
        <is>
          <t>Recive bill and GRN already</t>
        </is>
      </c>
      <c r="X1326" s="5" t="inlineStr">
        <is>
          <t>GRN2526-0002796,GRN2526-0003247</t>
        </is>
      </c>
      <c r="Y1326" s="3" t="n">
        <v>45870</v>
      </c>
      <c r="AA1326" s="17">
        <f>IF(RawDataGenPO[[#This Row],[Date Gen PO]]="","",RawDataGenPO[[#This Row],[Date recive bill]]-RawDataGenPO[[#This Row],[Date Gen PO]])</f>
        <v/>
      </c>
      <c r="AB1326" s="16">
        <f>IF(RawDataGenPO[[#This Row],[GRN-PO date]]&gt;RawDataGenPO[[#This Row],[Lead time delivery (day)]],"over deliverry","Ontime")</f>
        <v/>
      </c>
      <c r="AC1326" s="86" t="inlineStr">
        <is>
          <t>to 1</t>
        </is>
      </c>
    </row>
    <row r="1327" ht="15" customHeight="1">
      <c r="A1327" s="5">
        <f>ROW()-ROW(RawDataGenPO[[#Headers],[No.]])</f>
        <v/>
      </c>
      <c r="B1327" s="7" t="inlineStr">
        <is>
          <t>Expent  cost</t>
        </is>
      </c>
      <c r="C1327" s="355" t="n">
        <v>45856</v>
      </c>
      <c r="F1327" s="301" t="n">
        <v>45856</v>
      </c>
      <c r="G1327" s="5" t="inlineStr">
        <is>
          <t>PR2526-01468</t>
        </is>
      </c>
      <c r="H1327" s="5" t="inlineStr">
        <is>
          <t>PO2526-02164</t>
        </is>
      </c>
      <c r="I1327" s="364" t="n">
        <v>45867</v>
      </c>
      <c r="J1327" s="85" t="n"/>
      <c r="K1327" s="77" t="n">
        <v>45</v>
      </c>
      <c r="L1327" s="301" t="inlineStr">
        <is>
          <t>SFST81000005</t>
        </is>
      </c>
      <c r="M1327" s="7" t="inlineStr">
        <is>
          <t>Tool and Equipment PD M/C</t>
        </is>
      </c>
      <c r="N1327" s="7" t="inlineStr">
        <is>
          <t>Eletrical part</t>
        </is>
      </c>
      <c r="O1327" s="11" t="n">
        <v>1</v>
      </c>
      <c r="P1327" s="80" t="inlineStr">
        <is>
          <t>W 450 VAC 50/60 Hz 4 uF-5/+10%</t>
        </is>
      </c>
      <c r="Q1327" s="277" t="n">
        <v>10</v>
      </c>
      <c r="R1327" s="5" t="inlineStr">
        <is>
          <t>PCS.</t>
        </is>
      </c>
      <c r="S1327" s="292">
        <f>RawDataGenPO[[#This Row],[Total price]]/RawDataGenPO[[#This Row],[Qty'']]</f>
        <v/>
      </c>
      <c r="T1327" s="278" t="n">
        <v>600</v>
      </c>
      <c r="U1327" s="291" t="n"/>
      <c r="V1327" s="7" t="inlineStr">
        <is>
          <t>V1000271 - 395 Shop Limited Partnership</t>
        </is>
      </c>
      <c r="W1327" s="30" t="inlineStr">
        <is>
          <t>Recive bill and GRN already</t>
        </is>
      </c>
      <c r="X1327" s="5" t="inlineStr">
        <is>
          <t>GRN2526-0002968</t>
        </is>
      </c>
      <c r="Y1327" s="3" t="n">
        <v>45876</v>
      </c>
      <c r="AA1327" s="17">
        <f>IF(RawDataGenPO[[#This Row],[Date Gen PO]]="","",RawDataGenPO[[#This Row],[Date recive bill]]-RawDataGenPO[[#This Row],[Date Gen PO]])</f>
        <v/>
      </c>
      <c r="AB1327" s="16">
        <f>IF(RawDataGenPO[[#This Row],[GRN-PO date]]&gt;RawDataGenPO[[#This Row],[Lead time delivery (day)]],"over deliverry","Ontime")</f>
        <v/>
      </c>
      <c r="AC1327" s="22" t="n"/>
    </row>
    <row r="1328" ht="15" customHeight="1">
      <c r="A1328" s="5">
        <f>ROW()-ROW(RawDataGenPO[[#Headers],[No.]])</f>
        <v/>
      </c>
      <c r="B1328" s="7" t="inlineStr">
        <is>
          <t>Expent  cost</t>
        </is>
      </c>
      <c r="C1328" s="355" t="n">
        <v>45856</v>
      </c>
      <c r="F1328" s="301" t="n">
        <v>45856</v>
      </c>
      <c r="G1328" s="5" t="inlineStr">
        <is>
          <t>PR2526-01470</t>
        </is>
      </c>
      <c r="H1328" s="5" t="inlineStr">
        <is>
          <t>PO2526-02165</t>
        </is>
      </c>
      <c r="I1328" s="364" t="n">
        <v>45866</v>
      </c>
      <c r="J1328" s="77" t="n"/>
      <c r="K1328" s="77" t="n">
        <v>60</v>
      </c>
      <c r="L1328" s="5" t="inlineStr">
        <is>
          <t>SFST81000009</t>
        </is>
      </c>
      <c r="M1328" s="7" t="inlineStr">
        <is>
          <t>Foam &amp; Cleaning solution pump system</t>
        </is>
      </c>
      <c r="N1328" s="7" t="inlineStr">
        <is>
          <t>Water pump for production line cleaning No.2</t>
        </is>
      </c>
      <c r="O1328" s="11" t="n">
        <v>1</v>
      </c>
      <c r="P1328" s="80" t="inlineStr">
        <is>
          <t>Repair and replacement of gasket, flange face, and flexible joint.</t>
        </is>
      </c>
      <c r="Q1328" s="277" t="n">
        <v>1</v>
      </c>
      <c r="R1328" s="5" t="inlineStr">
        <is>
          <t>JOB.</t>
        </is>
      </c>
      <c r="S1328" s="292">
        <f>RawDataGenPO[[#This Row],[Total price]]/RawDataGenPO[[#This Row],[Qty'']]</f>
        <v/>
      </c>
      <c r="T1328" s="278" t="n">
        <v>12000</v>
      </c>
      <c r="U1328" s="291" t="n"/>
      <c r="V1328" s="7" t="inlineStr">
        <is>
          <t>V1000790 - WEE SERVICE 2024 CO., LTD.</t>
        </is>
      </c>
      <c r="W1328" s="30" t="inlineStr">
        <is>
          <t>Recive bill and GRN already</t>
        </is>
      </c>
      <c r="X1328" s="5" t="inlineStr">
        <is>
          <t>GRN2526-0003164</t>
        </is>
      </c>
      <c r="Y1328" s="3" t="n">
        <v>45887</v>
      </c>
      <c r="AA1328" s="17">
        <f>IF(RawDataGenPO[[#This Row],[Date Gen PO]]="","",RawDataGenPO[[#This Row],[Date recive bill]]-RawDataGenPO[[#This Row],[Date Gen PO]])</f>
        <v/>
      </c>
      <c r="AB1328" s="16">
        <f>IF(RawDataGenPO[[#This Row],[GRN-PO date]]&gt;RawDataGenPO[[#This Row],[Lead time delivery (day)]],"over deliverry","Ontime")</f>
        <v/>
      </c>
      <c r="AC1328" s="22" t="n"/>
    </row>
    <row r="1329" ht="15" customHeight="1">
      <c r="A1329" s="5">
        <f>ROW()-ROW(RawDataGenPO[[#Headers],[No.]])</f>
        <v/>
      </c>
      <c r="B1329" s="7" t="inlineStr">
        <is>
          <t>Expent  cost</t>
        </is>
      </c>
      <c r="C1329" s="355" t="n">
        <v>45856</v>
      </c>
      <c r="F1329" s="301" t="n">
        <v>45856</v>
      </c>
      <c r="G1329" s="5" t="inlineStr">
        <is>
          <t>PR2526-01470</t>
        </is>
      </c>
      <c r="H1329" s="5" t="inlineStr">
        <is>
          <t>PO2526-02165</t>
        </is>
      </c>
      <c r="I1329" s="364" t="n">
        <v>45866</v>
      </c>
      <c r="J1329" s="77" t="n"/>
      <c r="K1329" s="77" t="n">
        <v>60</v>
      </c>
      <c r="L1329" s="5" t="inlineStr">
        <is>
          <t>SFST81000009</t>
        </is>
      </c>
      <c r="M1329" s="7" t="inlineStr">
        <is>
          <t>Foam &amp; Cleaning solution pump system</t>
        </is>
      </c>
      <c r="N1329" s="7" t="inlineStr">
        <is>
          <t>Water pump for production line cleaning No.2</t>
        </is>
      </c>
      <c r="O1329" s="11" t="n">
        <v>2</v>
      </c>
      <c r="P1329" s="80" t="inlineStr">
        <is>
          <t>Service : Site mobilization and transportation</t>
        </is>
      </c>
      <c r="Q1329" s="277" t="n">
        <v>1</v>
      </c>
      <c r="R1329" s="5" t="inlineStr">
        <is>
          <t>JOB.</t>
        </is>
      </c>
      <c r="S1329" s="292">
        <f>RawDataGenPO[[#This Row],[Total price]]/RawDataGenPO[[#This Row],[Qty'']]</f>
        <v/>
      </c>
      <c r="T1329" s="278" t="n">
        <v>3000</v>
      </c>
      <c r="U1329" s="291" t="n"/>
      <c r="V1329" s="7" t="inlineStr">
        <is>
          <t>V1000790 - WEE SERVICE 2024 CO., LTD.</t>
        </is>
      </c>
      <c r="W1329" s="30" t="inlineStr">
        <is>
          <t>Recive bill and GRN already</t>
        </is>
      </c>
      <c r="X1329" s="5" t="inlineStr">
        <is>
          <t>GRN2526-0003164</t>
        </is>
      </c>
      <c r="Y1329" s="3" t="n">
        <v>45887</v>
      </c>
      <c r="AA1329" s="17">
        <f>IF(RawDataGenPO[[#This Row],[Date Gen PO]]="","",RawDataGenPO[[#This Row],[Date recive bill]]-RawDataGenPO[[#This Row],[Date Gen PO]])</f>
        <v/>
      </c>
      <c r="AB1329" s="16">
        <f>IF(RawDataGenPO[[#This Row],[GRN-PO date]]&gt;RawDataGenPO[[#This Row],[Lead time delivery (day)]],"over deliverry","Ontime")</f>
        <v/>
      </c>
      <c r="AC1329" s="22" t="n"/>
    </row>
    <row r="1330" ht="198" customHeight="1">
      <c r="A1330" s="5">
        <f>ROW()-ROW(RawDataGenPO[[#Headers],[No.]])</f>
        <v/>
      </c>
      <c r="B1330" s="7" t="inlineStr">
        <is>
          <t>CAPEX  (Budget)</t>
        </is>
      </c>
      <c r="C1330" s="355" t="n">
        <v>45856</v>
      </c>
      <c r="F1330" s="301" t="n">
        <v>45856</v>
      </c>
      <c r="G1330" s="5" t="inlineStr">
        <is>
          <t>PR2526-01471</t>
        </is>
      </c>
      <c r="H1330" s="5" t="inlineStr">
        <is>
          <t>PO2526-02272</t>
        </is>
      </c>
      <c r="I1330" s="286" t="n">
        <v>45869</v>
      </c>
      <c r="J1330" s="77" t="n"/>
      <c r="K1330" s="77" t="n">
        <v>60</v>
      </c>
      <c r="L1330" s="5" t="inlineStr">
        <is>
          <t>SFST82000004</t>
        </is>
      </c>
      <c r="M1330" s="7" t="inlineStr">
        <is>
          <t>Civill jobs (Floor-Wall-Celling-roof)</t>
        </is>
      </c>
      <c r="N1330" s="7" t="inlineStr">
        <is>
          <t>Cevil jobs</t>
        </is>
      </c>
      <c r="O1330" s="11" t="n">
        <v>1</v>
      </c>
      <c r="P1330" s="80" t="inlineStr">
        <is>
          <t>workremovereplaceroomwaterfloor ceiling pcs
- switch light fixture room- WWm
- KOHLER K-22378X-C-O3/4.8L white quantity 2 pcs
- W COTTO C31217 white quantity 1pcs
-front TOTO L710CDX2 white quantity 3pcs
- roomwatersize 16x16 inch COTTO W W PM
- ceilingm thick 9mm. white
- pcs-roomwater PVC 70×200 grey quantity 3 panels
- boxinsert 2box, switch-waterproof
-light fixture quantity 3 set
- pipewastewater quantity 2 set
- wall-mounted quantity 2 panels
- wallrunpipeinstallWwaterroomwater 1</t>
        </is>
      </c>
      <c r="Q1330" s="277" t="n">
        <v>1</v>
      </c>
      <c r="R1330" s="5" t="inlineStr">
        <is>
          <t>JOB.</t>
        </is>
      </c>
      <c r="S1330" s="292">
        <f>RawDataGenPO[[#This Row],[Total price]]/RawDataGenPO[[#This Row],[Qty'']]</f>
        <v/>
      </c>
      <c r="T1330" s="278" t="n">
        <v>164000</v>
      </c>
      <c r="U1330" s="291" t="n"/>
      <c r="V1330" s="7" t="inlineStr">
        <is>
          <t>V1000865 - TAWANPHOEMPHOON ENGINEERING CO.,LTD.</t>
        </is>
      </c>
      <c r="W1330" s="30" t="inlineStr">
        <is>
          <t>Recive bill and GRN already</t>
        </is>
      </c>
      <c r="X1330" s="5" t="inlineStr">
        <is>
          <t>GRN2526-0003280</t>
        </is>
      </c>
      <c r="Y1330" s="3" t="n">
        <v>45891</v>
      </c>
      <c r="AA1330" s="17">
        <f>IF(RawDataGenPO[[#This Row],[Date Gen PO]]="","",RawDataGenPO[[#This Row],[Date recive bill]]-RawDataGenPO[[#This Row],[Date Gen PO]])</f>
        <v/>
      </c>
      <c r="AB1330" s="16">
        <f>IF(RawDataGenPO[[#This Row],[GRN-PO date]]&gt;RawDataGenPO[[#This Row],[Lead time delivery (day)]],"over deliverry","Ontime")</f>
        <v/>
      </c>
      <c r="AC1330" s="22" t="n"/>
    </row>
    <row r="1331" ht="30" customHeight="1">
      <c r="A1331" s="5">
        <f>ROW()-ROW(RawDataGenPO[[#Headers],[No.]])</f>
        <v/>
      </c>
      <c r="B1331" s="7" t="inlineStr">
        <is>
          <t>CAPEX  (Budget)</t>
        </is>
      </c>
      <c r="C1331" s="355" t="n">
        <v>45856</v>
      </c>
      <c r="F1331" s="301" t="n">
        <v>45856</v>
      </c>
      <c r="G1331" s="5" t="inlineStr">
        <is>
          <t>PR2526-01471</t>
        </is>
      </c>
      <c r="H1331" s="5" t="inlineStr">
        <is>
          <t>PO2526-02272</t>
        </is>
      </c>
      <c r="I1331" s="286" t="n">
        <v>45869</v>
      </c>
      <c r="J1331" s="77" t="n"/>
      <c r="K1331" s="77" t="n">
        <v>60</v>
      </c>
      <c r="L1331" s="5" t="inlineStr">
        <is>
          <t>SFST82000004</t>
        </is>
      </c>
      <c r="M1331" s="7" t="inlineStr">
        <is>
          <t>Civill jobs (Floor-Wall-Celling-roof)</t>
        </is>
      </c>
      <c r="N1331" s="7" t="inlineStr">
        <is>
          <t>Cevil jobs</t>
        </is>
      </c>
      <c r="O1331" s="11" t="n">
        <v>2</v>
      </c>
      <c r="P1331" s="80" t="inlineStr">
        <is>
          <t>labor costwork
- Wwork 4 day / inletwork daySaturday - Sunday</t>
        </is>
      </c>
      <c r="Q1331" s="277" t="n">
        <v>1</v>
      </c>
      <c r="R1331" s="5" t="inlineStr">
        <is>
          <t>JOB.</t>
        </is>
      </c>
      <c r="S1331" s="292">
        <f>RawDataGenPO[[#This Row],[Total price]]/RawDataGenPO[[#This Row],[Qty'']]</f>
        <v/>
      </c>
      <c r="T1331" s="278" t="n">
        <v>35000</v>
      </c>
      <c r="U1331" s="291" t="n"/>
      <c r="V1331" s="7" t="inlineStr">
        <is>
          <t>V1000865 - TAWANPHOEMPHOON ENGINEERING CO.,LTD.</t>
        </is>
      </c>
      <c r="W1331" s="30" t="inlineStr">
        <is>
          <t>Recive bill and GRN already</t>
        </is>
      </c>
      <c r="X1331" s="5" t="inlineStr">
        <is>
          <t>GRN2526-0003280</t>
        </is>
      </c>
      <c r="Y1331" s="3" t="n">
        <v>45891</v>
      </c>
      <c r="AA1331" s="17">
        <f>IF(RawDataGenPO[[#This Row],[Date Gen PO]]="","",RawDataGenPO[[#This Row],[Date recive bill]]-RawDataGenPO[[#This Row],[Date Gen PO]])</f>
        <v/>
      </c>
      <c r="AB1331" s="16">
        <f>IF(RawDataGenPO[[#This Row],[GRN-PO date]]&gt;RawDataGenPO[[#This Row],[Lead time delivery (day)]],"over deliverry","Ontime")</f>
        <v/>
      </c>
      <c r="AC1331" s="22" t="n"/>
    </row>
    <row r="1332" ht="60" customHeight="1">
      <c r="A1332" s="5">
        <f>ROW()-ROW(RawDataGenPO[[#Headers],[No.]])</f>
        <v/>
      </c>
      <c r="B1332" s="7" t="inlineStr">
        <is>
          <t>CAPEX  (Budget)</t>
        </is>
      </c>
      <c r="C1332" s="355" t="n">
        <v>45856</v>
      </c>
      <c r="F1332" s="301" t="n">
        <v>45856</v>
      </c>
      <c r="G1332" s="5" t="inlineStr">
        <is>
          <t>PR2526-01472</t>
        </is>
      </c>
      <c r="H1332" s="5" t="inlineStr">
        <is>
          <t>PO2526-02273</t>
        </is>
      </c>
      <c r="I1332" s="286" t="n">
        <v>45869</v>
      </c>
      <c r="J1332" s="77" t="n"/>
      <c r="K1332" s="77" t="n">
        <v>60</v>
      </c>
      <c r="L1332" s="5" t="inlineStr">
        <is>
          <t>SFST82000007</t>
        </is>
      </c>
      <c r="M1332" s="7" t="inlineStr">
        <is>
          <t>Utility Jobs  (Boiler-Air compress-Transformer-LPG)</t>
        </is>
      </c>
      <c r="N1332" s="7" t="inlineStr">
        <is>
          <t>Cooling system jobs</t>
        </is>
      </c>
      <c r="O1332" s="11" t="n">
        <v>1</v>
      </c>
      <c r="P1332" s="80" t="inlineStr">
        <is>
          <t>Cooling unit for control cabinets
- BAND: Master Model Mas24-03
- 220 VAC/1PH/50 Hz 960 Watt 3,290 BTU
- Diamension (mm.): WxHxD 313 mm.x648 mm.x246 mm.</t>
        </is>
      </c>
      <c r="Q1332" s="277" t="n">
        <v>1</v>
      </c>
      <c r="R1332" s="5" t="inlineStr">
        <is>
          <t>EA.</t>
        </is>
      </c>
      <c r="S1332" s="292">
        <f>RawDataGenPO[[#This Row],[Total price]]/RawDataGenPO[[#This Row],[Qty'']]</f>
        <v/>
      </c>
      <c r="T1332" s="278" t="n">
        <v>7500</v>
      </c>
      <c r="U1332" s="291" t="n"/>
      <c r="V1332" s="7" t="inlineStr">
        <is>
          <t>V1000743 - Waratep Nongpue</t>
        </is>
      </c>
      <c r="W1332" s="30" t="inlineStr">
        <is>
          <t>Recive bill and GRN already</t>
        </is>
      </c>
      <c r="X1332" s="5" t="inlineStr">
        <is>
          <t>GRN2526-0003152</t>
        </is>
      </c>
      <c r="Y1332" s="3" t="n">
        <v>45887</v>
      </c>
      <c r="AA1332" s="17">
        <f>IF(RawDataGenPO[[#This Row],[Date Gen PO]]="","",RawDataGenPO[[#This Row],[Date recive bill]]-RawDataGenPO[[#This Row],[Date Gen PO]])</f>
        <v/>
      </c>
      <c r="AB1332" s="16">
        <f>IF(RawDataGenPO[[#This Row],[GRN-PO date]]&gt;RawDataGenPO[[#This Row],[Lead time delivery (day)]],"over deliverry","Ontime")</f>
        <v/>
      </c>
      <c r="AC1332" s="22" t="n"/>
    </row>
    <row r="1333" ht="15" customHeight="1">
      <c r="A1333" s="5">
        <f>ROW()-ROW(RawDataGenPO[[#Headers],[No.]])</f>
        <v/>
      </c>
      <c r="B1333" s="7" t="inlineStr">
        <is>
          <t>CAPEX  (Budget)</t>
        </is>
      </c>
      <c r="C1333" s="355" t="n">
        <v>45856</v>
      </c>
      <c r="F1333" s="301" t="n">
        <v>45856</v>
      </c>
      <c r="G1333" s="5" t="inlineStr">
        <is>
          <t>PR2526-01472</t>
        </is>
      </c>
      <c r="H1333" s="5" t="inlineStr">
        <is>
          <t>PO2526-02273</t>
        </is>
      </c>
      <c r="I1333" s="286" t="n">
        <v>45869</v>
      </c>
      <c r="J1333" s="77" t="n"/>
      <c r="K1333" s="77" t="n">
        <v>60</v>
      </c>
      <c r="L1333" s="5" t="inlineStr">
        <is>
          <t>SFST82000007</t>
        </is>
      </c>
      <c r="M1333" s="7" t="inlineStr">
        <is>
          <t>Utility Jobs  (Boiler-Air compress-Transformer-LPG)</t>
        </is>
      </c>
      <c r="N1333" s="7" t="inlineStr">
        <is>
          <t>Cooling system jobs</t>
        </is>
      </c>
      <c r="O1333" s="11" t="n">
        <v>2</v>
      </c>
      <c r="P1333" s="80" t="inlineStr">
        <is>
          <t>Cooling unit for control cabinets</t>
        </is>
      </c>
      <c r="Q1333" s="277" t="n">
        <v>1</v>
      </c>
      <c r="R1333" s="5" t="inlineStr">
        <is>
          <t>EA.</t>
        </is>
      </c>
      <c r="S1333" s="292">
        <f>RawDataGenPO[[#This Row],[Total price]]/RawDataGenPO[[#This Row],[Qty'']]</f>
        <v/>
      </c>
      <c r="T1333" s="278" t="n">
        <v>7000</v>
      </c>
      <c r="U1333" s="291" t="n"/>
      <c r="V1333" s="7" t="inlineStr">
        <is>
          <t>V1000743 - Waratep Nongpue</t>
        </is>
      </c>
      <c r="W1333" s="30" t="inlineStr">
        <is>
          <t>Recive bill and GRN already</t>
        </is>
      </c>
      <c r="X1333" s="5" t="inlineStr">
        <is>
          <t>GRN2526-0003152</t>
        </is>
      </c>
      <c r="Y1333" s="3" t="n">
        <v>45887</v>
      </c>
      <c r="AA1333" s="17">
        <f>IF(RawDataGenPO[[#This Row],[Date Gen PO]]="","",RawDataGenPO[[#This Row],[Date recive bill]]-RawDataGenPO[[#This Row],[Date Gen PO]])</f>
        <v/>
      </c>
      <c r="AB1333" s="16">
        <f>IF(RawDataGenPO[[#This Row],[GRN-PO date]]&gt;RawDataGenPO[[#This Row],[Lead time delivery (day)]],"over deliverry","Ontime")</f>
        <v/>
      </c>
      <c r="AC1333" s="22" t="n"/>
    </row>
    <row r="1334" ht="15" customHeight="1">
      <c r="A1334" s="5">
        <f>ROW()-ROW(RawDataGenPO[[#Headers],[No.]])</f>
        <v/>
      </c>
      <c r="B1334" s="7" t="inlineStr">
        <is>
          <t>Expent  cost</t>
        </is>
      </c>
      <c r="C1334" s="355" t="n">
        <v>45861</v>
      </c>
      <c r="F1334" s="301" t="n">
        <v>45861</v>
      </c>
      <c r="G1334" s="5" t="inlineStr">
        <is>
          <t>PR2526-01536</t>
        </is>
      </c>
      <c r="H1334" s="5" t="inlineStr">
        <is>
          <t>PO2526-02304</t>
        </is>
      </c>
      <c r="I1334" s="286" t="n">
        <v>45873</v>
      </c>
      <c r="J1334" s="77" t="n"/>
      <c r="K1334" s="77" t="n">
        <v>30</v>
      </c>
      <c r="L1334" s="5" t="inlineStr">
        <is>
          <t>SFST81000050</t>
        </is>
      </c>
      <c r="M1334" s="7" t="inlineStr">
        <is>
          <t>Water plant</t>
        </is>
      </c>
      <c r="N1334" s="7" t="inlineStr">
        <is>
          <t>Tool and Equipment</t>
        </is>
      </c>
      <c r="O1334" s="11" t="n">
        <v>1</v>
      </c>
      <c r="P1334" s="80" t="inlineStr">
        <is>
          <t>DPD no.1 "Lovibond" 511052BT 500 Tablets (1Box/500 Pcs)</t>
        </is>
      </c>
      <c r="Q1334" s="277" t="n">
        <v>10</v>
      </c>
      <c r="R1334" s="5" t="inlineStr">
        <is>
          <t>PCS.</t>
        </is>
      </c>
      <c r="S1334" s="292">
        <f>RawDataGenPO[[#This Row],[Total price]]/RawDataGenPO[[#This Row],[Qty'']]</f>
        <v/>
      </c>
      <c r="T1334" s="278" t="n">
        <v>12300</v>
      </c>
      <c r="U1334" s="291" t="n"/>
      <c r="V1334" s="7" t="inlineStr">
        <is>
          <t>V1000210 - U.P. MARKETING GENERAL SUPPLY CO., LTD.</t>
        </is>
      </c>
      <c r="W1334" s="30" t="inlineStr">
        <is>
          <t>Recive bill and GRN already</t>
        </is>
      </c>
      <c r="X1334" s="5" t="inlineStr">
        <is>
          <t>GRN2526-0003008</t>
        </is>
      </c>
      <c r="Y1334" s="3" t="n">
        <v>45878</v>
      </c>
      <c r="AA1334" s="17">
        <f>IF(RawDataGenPO[[#This Row],[Date Gen PO]]="","",RawDataGenPO[[#This Row],[Date recive bill]]-RawDataGenPO[[#This Row],[Date Gen PO]])</f>
        <v/>
      </c>
      <c r="AB1334" s="16">
        <f>IF(RawDataGenPO[[#This Row],[GRN-PO date]]&gt;RawDataGenPO[[#This Row],[Lead time delivery (day)]],"over deliverry","Ontime")</f>
        <v/>
      </c>
      <c r="AC1334" s="22" t="n"/>
    </row>
    <row r="1335" ht="15" customHeight="1">
      <c r="A1335" s="5">
        <f>ROW()-ROW(RawDataGenPO[[#Headers],[No.]])</f>
        <v/>
      </c>
      <c r="B1335" s="7" t="inlineStr">
        <is>
          <t>Expent  cost</t>
        </is>
      </c>
      <c r="C1335" s="355" t="n">
        <v>45861</v>
      </c>
      <c r="F1335" s="301" t="n">
        <v>45861</v>
      </c>
      <c r="G1335" s="5" t="inlineStr">
        <is>
          <t>PR2526-01537</t>
        </is>
      </c>
      <c r="H1335" s="5" t="inlineStr">
        <is>
          <t>PO2526-02310</t>
        </is>
      </c>
      <c r="I1335" s="286" t="n">
        <v>45873</v>
      </c>
      <c r="J1335" s="77" t="n"/>
      <c r="K1335" s="77" t="n">
        <v>30</v>
      </c>
      <c r="L1335" s="5" t="inlineStr">
        <is>
          <t>SFST81000048</t>
        </is>
      </c>
      <c r="M1335" s="7" t="inlineStr">
        <is>
          <t>Cooling machine for PD line</t>
        </is>
      </c>
      <c r="N1335" s="7" t="inlineStr">
        <is>
          <t>Condencer Unit No.9 (COLD5)</t>
        </is>
      </c>
      <c r="O1335" s="11" t="n">
        <v>1</v>
      </c>
      <c r="P1335" s="80" t="inlineStr">
        <is>
          <t>replacepipewastewater Cold Room 5 Unit No.9.2</t>
        </is>
      </c>
      <c r="Q1335" s="277" t="n">
        <v>1</v>
      </c>
      <c r="R1335" s="5" t="inlineStr">
        <is>
          <t>JOB.</t>
        </is>
      </c>
      <c r="S1335" s="292">
        <f>RawDataGenPO[[#This Row],[Total price]]/RawDataGenPO[[#This Row],[Qty'']]</f>
        <v/>
      </c>
      <c r="T1335" s="278" t="n">
        <v>12000</v>
      </c>
      <c r="U1335" s="291" t="n"/>
      <c r="V1335" s="7" t="inlineStr">
        <is>
          <t>V1000554 - SHANTECH (THAILAND) CO.,LTD.</t>
        </is>
      </c>
      <c r="W1335" s="30" t="inlineStr">
        <is>
          <t>Recive bill and GRN already</t>
        </is>
      </c>
      <c r="X1335" s="5" t="inlineStr">
        <is>
          <t>GRN2526-0003100</t>
        </is>
      </c>
      <c r="Y1335" s="3" t="n">
        <v>45883</v>
      </c>
      <c r="AA1335" s="17">
        <f>IF(RawDataGenPO[[#This Row],[Date Gen PO]]="","",RawDataGenPO[[#This Row],[Date recive bill]]-RawDataGenPO[[#This Row],[Date Gen PO]])</f>
        <v/>
      </c>
      <c r="AB1335" s="16">
        <f>IF(RawDataGenPO[[#This Row],[GRN-PO date]]&gt;RawDataGenPO[[#This Row],[Lead time delivery (day)]],"over deliverry","Ontime")</f>
        <v/>
      </c>
      <c r="AC1335" s="22" t="n"/>
    </row>
    <row r="1336" ht="15" customHeight="1">
      <c r="A1336" s="5">
        <f>ROW()-ROW(RawDataGenPO[[#Headers],[No.]])</f>
        <v/>
      </c>
      <c r="B1336" s="7" t="inlineStr">
        <is>
          <t>Expent  cost</t>
        </is>
      </c>
      <c r="C1336" s="355" t="n">
        <v>45861</v>
      </c>
      <c r="F1336" s="301" t="n">
        <v>45861</v>
      </c>
      <c r="G1336" s="5" t="inlineStr">
        <is>
          <t xml:space="preserve">PR2526-01538 </t>
        </is>
      </c>
      <c r="H1336" s="5" t="inlineStr">
        <is>
          <t>PO2526-02324</t>
        </is>
      </c>
      <c r="I1336" s="286" t="n">
        <v>45873</v>
      </c>
      <c r="J1336" s="77" t="n"/>
      <c r="K1336" s="77" t="n">
        <v>30</v>
      </c>
      <c r="L1336" s="5" t="inlineStr">
        <is>
          <t>SFST34000029</t>
        </is>
      </c>
      <c r="M1336" s="7" t="inlineStr">
        <is>
          <t>Consumable part for MN</t>
        </is>
      </c>
      <c r="N1336" s="7" t="inlineStr">
        <is>
          <t>Eletrical part</t>
        </is>
      </c>
      <c r="O1336" s="11" t="n">
        <v>1</v>
      </c>
      <c r="P1336" s="80" t="inlineStr">
        <is>
          <t>"SIMENS",3TS33 00-0AN2, Magnatic contractor</t>
        </is>
      </c>
      <c r="Q1336" s="277" t="n">
        <v>4</v>
      </c>
      <c r="R1336" s="5" t="inlineStr">
        <is>
          <t>PCS.</t>
        </is>
      </c>
      <c r="S1336" s="292">
        <f>RawDataGenPO[[#This Row],[Total price]]/RawDataGenPO[[#This Row],[Qty'']]</f>
        <v/>
      </c>
      <c r="T1336" s="278" t="n">
        <v>4126</v>
      </c>
      <c r="U1336" s="291" t="n"/>
      <c r="V1336" s="7" t="inlineStr">
        <is>
          <t>V1000276 - SN. ELECTRIC AND SUPPLY CO., LTD.</t>
        </is>
      </c>
      <c r="W1336" s="30" t="inlineStr">
        <is>
          <t>Recive bill and GRN already</t>
        </is>
      </c>
      <c r="X1336" s="5" t="inlineStr">
        <is>
          <t>GRN2526-0003009</t>
        </is>
      </c>
      <c r="Y1336" s="3" t="n">
        <v>45878</v>
      </c>
      <c r="AA1336" s="17">
        <f>IF(RawDataGenPO[[#This Row],[Date Gen PO]]="","",RawDataGenPO[[#This Row],[Date recive bill]]-RawDataGenPO[[#This Row],[Date Gen PO]])</f>
        <v/>
      </c>
      <c r="AB1336" s="16">
        <f>IF(RawDataGenPO[[#This Row],[GRN-PO date]]&gt;RawDataGenPO[[#This Row],[Lead time delivery (day)]],"over deliverry","Ontime")</f>
        <v/>
      </c>
      <c r="AC1336" s="22" t="n"/>
    </row>
    <row r="1337" ht="15" customHeight="1">
      <c r="A1337" s="5">
        <f>ROW()-ROW(RawDataGenPO[[#Headers],[No.]])</f>
        <v/>
      </c>
      <c r="B1337" s="7" t="inlineStr">
        <is>
          <t>Expent  cost</t>
        </is>
      </c>
      <c r="C1337" s="355" t="n">
        <v>45861</v>
      </c>
      <c r="F1337" s="301" t="n">
        <v>45861</v>
      </c>
      <c r="G1337" s="5" t="inlineStr">
        <is>
          <t xml:space="preserve">PR2526-01538 </t>
        </is>
      </c>
      <c r="H1337" s="5" t="inlineStr">
        <is>
          <t>PO2526-02325</t>
        </is>
      </c>
      <c r="I1337" s="286" t="n">
        <v>45873</v>
      </c>
      <c r="J1337" s="77" t="n"/>
      <c r="K1337" s="20" t="n">
        <v>30</v>
      </c>
      <c r="L1337" s="5" t="inlineStr">
        <is>
          <t>SFST34000030</t>
        </is>
      </c>
      <c r="M1337" s="7" t="inlineStr">
        <is>
          <t>Consumable part for MN</t>
        </is>
      </c>
      <c r="N1337" s="7" t="inlineStr">
        <is>
          <t>Eletrical part</t>
        </is>
      </c>
      <c r="O1337" s="11" t="n">
        <v>1</v>
      </c>
      <c r="P1337" s="80" t="inlineStr">
        <is>
          <t>"SIMENS",3TS33 11-0AN2, Magnatic contractor</t>
        </is>
      </c>
      <c r="Q1337" s="277" t="n">
        <v>4</v>
      </c>
      <c r="R1337" s="5" t="inlineStr">
        <is>
          <t>PCS.</t>
        </is>
      </c>
      <c r="S1337" s="292">
        <f>RawDataGenPO[[#This Row],[Total price]]/RawDataGenPO[[#This Row],[Qty'']]</f>
        <v/>
      </c>
      <c r="T1337" s="278" t="n">
        <v>4576</v>
      </c>
      <c r="U1337" s="291" t="n"/>
      <c r="V1337" s="7" t="inlineStr">
        <is>
          <t>V1000481 - Company JW Tech Ltd.</t>
        </is>
      </c>
      <c r="W1337" s="30" t="inlineStr">
        <is>
          <t>Recive bill and GRN already</t>
        </is>
      </c>
      <c r="X1337" s="5" t="inlineStr">
        <is>
          <t>GRN2526-0002912</t>
        </is>
      </c>
      <c r="Y1337" s="3" t="n">
        <v>45874</v>
      </c>
      <c r="AA1337" s="17">
        <f>IF(RawDataGenPO[[#This Row],[Date Gen PO]]="","",RawDataGenPO[[#This Row],[Date recive bill]]-RawDataGenPO[[#This Row],[Date Gen PO]])</f>
        <v/>
      </c>
      <c r="AB1337" s="16">
        <f>IF(RawDataGenPO[[#This Row],[GRN-PO date]]&gt;RawDataGenPO[[#This Row],[Lead time delivery (day)]],"over deliverry","Ontime")</f>
        <v/>
      </c>
      <c r="AC1337" s="22" t="n"/>
    </row>
    <row r="1338" ht="15.75" customHeight="1">
      <c r="A1338" s="5">
        <f>ROW()-ROW(RawDataGenPO[[#Headers],[No.]])</f>
        <v/>
      </c>
      <c r="B1338" s="7" t="inlineStr">
        <is>
          <t>Expent  cost</t>
        </is>
      </c>
      <c r="C1338" s="355" t="n">
        <v>45861</v>
      </c>
      <c r="F1338" s="301" t="n">
        <v>45861</v>
      </c>
      <c r="G1338" s="5" t="inlineStr">
        <is>
          <t xml:space="preserve">PR2526-01538 </t>
        </is>
      </c>
      <c r="H1338" s="5" t="inlineStr">
        <is>
          <t>PO2526-02324</t>
        </is>
      </c>
      <c r="I1338" s="286" t="n">
        <v>45873</v>
      </c>
      <c r="J1338" s="77" t="n"/>
      <c r="K1338" s="20" t="n">
        <v>30</v>
      </c>
      <c r="L1338" s="5" t="inlineStr">
        <is>
          <t>SFST34000035</t>
        </is>
      </c>
      <c r="M1338" s="7" t="inlineStr">
        <is>
          <t>Consumable part for MN</t>
        </is>
      </c>
      <c r="N1338" s="7" t="inlineStr">
        <is>
          <t>Eletrical part</t>
        </is>
      </c>
      <c r="O1338" s="11" t="n">
        <v>2</v>
      </c>
      <c r="P1338" s="80" t="inlineStr">
        <is>
          <t>"SIMENS",3UA52 40-2C, Wreducing</t>
        </is>
      </c>
      <c r="Q1338" s="277" t="n">
        <v>2</v>
      </c>
      <c r="R1338" s="5" t="inlineStr">
        <is>
          <t>PCS.</t>
        </is>
      </c>
      <c r="S1338" s="292">
        <f>RawDataGenPO[[#This Row],[Total price]]/RawDataGenPO[[#This Row],[Qty'']]</f>
        <v/>
      </c>
      <c r="T1338" s="278" t="n">
        <v>1220</v>
      </c>
      <c r="U1338" s="291" t="n"/>
      <c r="V1338" s="7" t="inlineStr">
        <is>
          <t>V1000276 - SN. ELECTRIC AND SUPPLY CO., LTD.</t>
        </is>
      </c>
      <c r="W1338" s="30" t="inlineStr">
        <is>
          <t>Recive bill and GRN already</t>
        </is>
      </c>
      <c r="X1338" s="5" t="inlineStr">
        <is>
          <t>GRN2526-0003009</t>
        </is>
      </c>
      <c r="Y1338" s="3" t="n">
        <v>45878</v>
      </c>
      <c r="AA1338" s="17">
        <f>IF(RawDataGenPO[[#This Row],[Date Gen PO]]="","",RawDataGenPO[[#This Row],[Date recive bill]]-RawDataGenPO[[#This Row],[Date Gen PO]])</f>
        <v/>
      </c>
      <c r="AB1338" s="16">
        <f>IF(RawDataGenPO[[#This Row],[GRN-PO date]]&gt;RawDataGenPO[[#This Row],[Lead time delivery (day)]],"over deliverry","Ontime")</f>
        <v/>
      </c>
      <c r="AC1338" s="22" t="n"/>
    </row>
    <row r="1339" ht="15" customHeight="1">
      <c r="A1339" s="5">
        <f>ROW()-ROW(RawDataGenPO[[#Headers],[No.]])</f>
        <v/>
      </c>
      <c r="B1339" s="7" t="inlineStr">
        <is>
          <t>Expent  cost</t>
        </is>
      </c>
      <c r="C1339" s="355" t="n">
        <v>45861</v>
      </c>
      <c r="F1339" s="301" t="n">
        <v>45861</v>
      </c>
      <c r="G1339" s="5" t="inlineStr">
        <is>
          <t xml:space="preserve">PR2526-01538 </t>
        </is>
      </c>
      <c r="H1339" s="5" t="inlineStr">
        <is>
          <t>PO2526-02324</t>
        </is>
      </c>
      <c r="I1339" s="286" t="n">
        <v>45873</v>
      </c>
      <c r="J1339" s="77" t="n"/>
      <c r="K1339" s="20" t="n">
        <v>30</v>
      </c>
      <c r="L1339" s="5" t="inlineStr">
        <is>
          <t>SFST34000040</t>
        </is>
      </c>
      <c r="M1339" s="7" t="inlineStr">
        <is>
          <t>Consumable part for MN</t>
        </is>
      </c>
      <c r="N1339" s="7" t="inlineStr">
        <is>
          <t>Eletrical part</t>
        </is>
      </c>
      <c r="O1339" s="11" t="n">
        <v>3</v>
      </c>
      <c r="P1339" s="80" t="inlineStr">
        <is>
          <t>Cappacitor run, 45uF,450VAC</t>
        </is>
      </c>
      <c r="Q1339" s="277" t="n">
        <v>4</v>
      </c>
      <c r="R1339" s="5" t="inlineStr">
        <is>
          <t>PCS.</t>
        </is>
      </c>
      <c r="S1339" s="292">
        <f>RawDataGenPO[[#This Row],[Total price]]/RawDataGenPO[[#This Row],[Qty'']]</f>
        <v/>
      </c>
      <c r="T1339" s="278" t="n">
        <v>1000</v>
      </c>
      <c r="U1339" s="291" t="n"/>
      <c r="V1339" s="7" t="inlineStr">
        <is>
          <t>V1000276 - SN. ELECTRIC AND SUPPLY CO., LTD.</t>
        </is>
      </c>
      <c r="W1339" s="30" t="inlineStr">
        <is>
          <t>Recive bill and GRN already</t>
        </is>
      </c>
      <c r="X1339" s="5" t="inlineStr">
        <is>
          <t>GRN2526-0003009</t>
        </is>
      </c>
      <c r="Y1339" s="3" t="n">
        <v>45878</v>
      </c>
      <c r="AA1339" s="17">
        <f>IF(RawDataGenPO[[#This Row],[Date Gen PO]]="","",RawDataGenPO[[#This Row],[Date recive bill]]-RawDataGenPO[[#This Row],[Date Gen PO]])</f>
        <v/>
      </c>
      <c r="AB1339" s="16">
        <f>IF(RawDataGenPO[[#This Row],[GRN-PO date]]&gt;RawDataGenPO[[#This Row],[Lead time delivery (day)]],"over deliverry","Ontime")</f>
        <v/>
      </c>
      <c r="AC1339" s="22" t="n"/>
    </row>
    <row r="1340" ht="15" customHeight="1">
      <c r="A1340" s="5">
        <f>ROW()-ROW(RawDataGenPO[[#Headers],[No.]])</f>
        <v/>
      </c>
      <c r="B1340" s="7" t="inlineStr">
        <is>
          <t>Expent  cost</t>
        </is>
      </c>
      <c r="C1340" s="355" t="n">
        <v>45866</v>
      </c>
      <c r="F1340" s="301" t="n">
        <v>45866</v>
      </c>
      <c r="G1340" s="5" t="inlineStr">
        <is>
          <t xml:space="preserve">PR2526-01584 </t>
        </is>
      </c>
      <c r="H1340" s="5" t="inlineStr">
        <is>
          <t>PO2526-02359</t>
        </is>
      </c>
      <c r="I1340" s="286" t="n">
        <v>45873</v>
      </c>
      <c r="J1340" s="77" t="n"/>
      <c r="K1340" s="20" t="n">
        <v>30</v>
      </c>
      <c r="L1340" s="5" t="inlineStr">
        <is>
          <t>SFST81000048</t>
        </is>
      </c>
      <c r="M1340" s="7" t="inlineStr">
        <is>
          <t>Foam &amp; Cleaning solution pump system</t>
        </is>
      </c>
      <c r="N1340" s="7" t="inlineStr">
        <is>
          <t>Foam Pump No.1</t>
        </is>
      </c>
      <c r="O1340" s="11" t="n">
        <v>1</v>
      </c>
      <c r="P1340" s="80" t="inlineStr">
        <is>
          <t>Replace Mechanical seal</t>
        </is>
      </c>
      <c r="Q1340" s="277" t="n">
        <v>1</v>
      </c>
      <c r="R1340" s="5" t="inlineStr">
        <is>
          <t>PCS.</t>
        </is>
      </c>
      <c r="S1340" s="292">
        <f>RawDataGenPO[[#This Row],[Total price]]/RawDataGenPO[[#This Row],[Qty'']]</f>
        <v/>
      </c>
      <c r="T1340" s="278" t="n">
        <v>3000</v>
      </c>
      <c r="U1340" s="291" t="n"/>
      <c r="V1340" s="7" t="inlineStr">
        <is>
          <t>V1000790 - WEE SERVICE 2024 CO., LTD.</t>
        </is>
      </c>
      <c r="W1340" s="30" t="inlineStr">
        <is>
          <t>Recive bill and GRN already</t>
        </is>
      </c>
      <c r="X1340" s="5" t="inlineStr">
        <is>
          <t>GRN2526-0003013</t>
        </is>
      </c>
      <c r="Y1340" s="3" t="n">
        <v>45882</v>
      </c>
      <c r="AA1340" s="17">
        <f>IF(RawDataGenPO[[#This Row],[Date Gen PO]]="","",RawDataGenPO[[#This Row],[Date recive bill]]-RawDataGenPO[[#This Row],[Date Gen PO]])</f>
        <v/>
      </c>
      <c r="AB1340" s="16">
        <f>IF(RawDataGenPO[[#This Row],[GRN-PO date]]&gt;RawDataGenPO[[#This Row],[Lead time delivery (day)]],"over deliverry","Ontime")</f>
        <v/>
      </c>
      <c r="AC1340" s="22" t="n"/>
    </row>
    <row r="1341" ht="15" customHeight="1">
      <c r="A1341" s="5">
        <f>ROW()-ROW(RawDataGenPO[[#Headers],[No.]])</f>
        <v/>
      </c>
      <c r="B1341" s="7" t="inlineStr">
        <is>
          <t>Expent  cost</t>
        </is>
      </c>
      <c r="C1341" s="355" t="n">
        <v>45866</v>
      </c>
      <c r="F1341" s="301" t="n">
        <v>45866</v>
      </c>
      <c r="G1341" s="5" t="inlineStr">
        <is>
          <t xml:space="preserve">PR2526-01584 </t>
        </is>
      </c>
      <c r="H1341" s="5" t="inlineStr">
        <is>
          <t>PO2526-02359</t>
        </is>
      </c>
      <c r="I1341" s="286" t="n">
        <v>45873</v>
      </c>
      <c r="J1341" s="77" t="n"/>
      <c r="K1341" s="20" t="n">
        <v>30</v>
      </c>
      <c r="L1341" s="5" t="inlineStr">
        <is>
          <t>SFST81000048</t>
        </is>
      </c>
      <c r="M1341" s="7" t="inlineStr">
        <is>
          <t>Foam &amp; Cleaning solution pump system</t>
        </is>
      </c>
      <c r="N1341" s="7" t="inlineStr">
        <is>
          <t>Foam Pump No.1</t>
        </is>
      </c>
      <c r="O1341" s="11" t="n">
        <v>2</v>
      </c>
      <c r="P1341" s="80" t="inlineStr">
        <is>
          <t>Supply Mechanical seal</t>
        </is>
      </c>
      <c r="Q1341" s="277" t="n">
        <v>1</v>
      </c>
      <c r="R1341" s="5" t="inlineStr">
        <is>
          <t>PCS.</t>
        </is>
      </c>
      <c r="S1341" s="292">
        <f>RawDataGenPO[[#This Row],[Total price]]/RawDataGenPO[[#This Row],[Qty'']]</f>
        <v/>
      </c>
      <c r="T1341" s="278" t="n">
        <v>5500</v>
      </c>
      <c r="U1341" s="291" t="n"/>
      <c r="V1341" s="7" t="inlineStr">
        <is>
          <t>V1000790 - WEE SERVICE 2024 CO., LTD.</t>
        </is>
      </c>
      <c r="W1341" s="30" t="inlineStr">
        <is>
          <t>Recive bill and GRN already</t>
        </is>
      </c>
      <c r="X1341" s="5" t="inlineStr">
        <is>
          <t>GRN2526-0003013</t>
        </is>
      </c>
      <c r="Y1341" s="3" t="n">
        <v>45882</v>
      </c>
      <c r="AA1341" s="17">
        <f>IF(RawDataGenPO[[#This Row],[Date Gen PO]]="","",RawDataGenPO[[#This Row],[Date recive bill]]-RawDataGenPO[[#This Row],[Date Gen PO]])</f>
        <v/>
      </c>
      <c r="AB1341" s="16">
        <f>IF(RawDataGenPO[[#This Row],[GRN-PO date]]&gt;RawDataGenPO[[#This Row],[Lead time delivery (day)]],"over deliverry","Ontime")</f>
        <v/>
      </c>
      <c r="AC1341" s="22" t="n"/>
    </row>
    <row r="1342" ht="15" customHeight="1">
      <c r="A1342" s="5">
        <f>ROW()-ROW(RawDataGenPO[[#Headers],[No.]])</f>
        <v/>
      </c>
      <c r="B1342" s="7" t="inlineStr">
        <is>
          <t>Expent  cost</t>
        </is>
      </c>
      <c r="C1342" s="355" t="n">
        <v>45866</v>
      </c>
      <c r="F1342" s="301" t="n">
        <v>45866</v>
      </c>
      <c r="G1342" s="5" t="inlineStr">
        <is>
          <t xml:space="preserve">PR2526-01584 </t>
        </is>
      </c>
      <c r="H1342" s="5" t="inlineStr">
        <is>
          <t>PO2526-02359</t>
        </is>
      </c>
      <c r="I1342" s="286" t="n">
        <v>45873</v>
      </c>
      <c r="J1342" s="77" t="n"/>
      <c r="K1342" s="20" t="n">
        <v>30</v>
      </c>
      <c r="L1342" s="5" t="inlineStr">
        <is>
          <t>SFST81000048</t>
        </is>
      </c>
      <c r="M1342" s="7" t="inlineStr">
        <is>
          <t>Foam &amp; Cleaning solution pump system</t>
        </is>
      </c>
      <c r="N1342" s="7" t="inlineStr">
        <is>
          <t>Foam Pump No.1</t>
        </is>
      </c>
      <c r="O1342" s="11" t="n">
        <v>3</v>
      </c>
      <c r="P1342" s="80" t="inlineStr">
        <is>
          <t>Remove &amp; installation Motor &amp; Pump 3 Kw..</t>
        </is>
      </c>
      <c r="Q1342" s="277" t="n">
        <v>1</v>
      </c>
      <c r="R1342" s="5" t="inlineStr">
        <is>
          <t>PCS.</t>
        </is>
      </c>
      <c r="S1342" s="292">
        <f>RawDataGenPO[[#This Row],[Total price]]/RawDataGenPO[[#This Row],[Qty'']]</f>
        <v/>
      </c>
      <c r="T1342" s="278" t="n">
        <v>4000</v>
      </c>
      <c r="U1342" s="291" t="n"/>
      <c r="V1342" s="7" t="inlineStr">
        <is>
          <t>V1000790 - WEE SERVICE 2024 CO., LTD.</t>
        </is>
      </c>
      <c r="W1342" s="30" t="inlineStr">
        <is>
          <t>Recive bill and GRN already</t>
        </is>
      </c>
      <c r="X1342" s="5" t="inlineStr">
        <is>
          <t>GRN2526-0003013</t>
        </is>
      </c>
      <c r="Y1342" s="3" t="n">
        <v>45882</v>
      </c>
      <c r="AA1342" s="17">
        <f>IF(RawDataGenPO[[#This Row],[Date Gen PO]]="","",RawDataGenPO[[#This Row],[Date recive bill]]-RawDataGenPO[[#This Row],[Date Gen PO]])</f>
        <v/>
      </c>
      <c r="AB1342" s="16">
        <f>IF(RawDataGenPO[[#This Row],[GRN-PO date]]&gt;RawDataGenPO[[#This Row],[Lead time delivery (day)]],"over deliverry","Ontime")</f>
        <v/>
      </c>
      <c r="AC1342" s="22" t="n"/>
    </row>
    <row r="1343" ht="15" customHeight="1">
      <c r="A1343" s="5">
        <f>ROW()-ROW(RawDataGenPO[[#Headers],[No.]])</f>
        <v/>
      </c>
      <c r="B1343" s="7" t="inlineStr">
        <is>
          <t>Expent  cost</t>
        </is>
      </c>
      <c r="C1343" s="355" t="n">
        <v>45866</v>
      </c>
      <c r="F1343" s="301" t="n">
        <v>45866</v>
      </c>
      <c r="G1343" s="5" t="inlineStr">
        <is>
          <t xml:space="preserve">PR2526-01584 </t>
        </is>
      </c>
      <c r="H1343" s="5" t="inlineStr">
        <is>
          <t>PO2526-02359</t>
        </is>
      </c>
      <c r="I1343" s="286" t="n">
        <v>45873</v>
      </c>
      <c r="J1343" s="77" t="n"/>
      <c r="K1343" s="20" t="n">
        <v>30</v>
      </c>
      <c r="L1343" s="5" t="inlineStr">
        <is>
          <t>SFST81000048</t>
        </is>
      </c>
      <c r="M1343" s="7" t="inlineStr">
        <is>
          <t>Foam &amp; Cleaning solution pump system</t>
        </is>
      </c>
      <c r="N1343" s="7" t="inlineStr">
        <is>
          <t>Foam Pump No.1</t>
        </is>
      </c>
      <c r="O1343" s="11" t="n">
        <v>4</v>
      </c>
      <c r="P1343" s="80" t="inlineStr">
        <is>
          <t>Service report and transportation</t>
        </is>
      </c>
      <c r="Q1343" s="277" t="n">
        <v>1</v>
      </c>
      <c r="R1343" s="5" t="inlineStr">
        <is>
          <t>JOB.</t>
        </is>
      </c>
      <c r="S1343" s="292">
        <f>RawDataGenPO[[#This Row],[Total price]]/RawDataGenPO[[#This Row],[Qty'']]</f>
        <v/>
      </c>
      <c r="T1343" s="278" t="n">
        <v>1500</v>
      </c>
      <c r="U1343" s="291" t="n"/>
      <c r="V1343" s="7" t="inlineStr">
        <is>
          <t>V1000790 - WEE SERVICE 2024 CO., LTD.</t>
        </is>
      </c>
      <c r="W1343" s="30" t="inlineStr">
        <is>
          <t>Recive bill and GRN already</t>
        </is>
      </c>
      <c r="X1343" s="5" t="inlineStr">
        <is>
          <t>GRN2526-0003013</t>
        </is>
      </c>
      <c r="Y1343" s="3" t="n">
        <v>45882</v>
      </c>
      <c r="AA1343" s="17">
        <f>IF(RawDataGenPO[[#This Row],[Date Gen PO]]="","",RawDataGenPO[[#This Row],[Date recive bill]]-RawDataGenPO[[#This Row],[Date Gen PO]])</f>
        <v/>
      </c>
      <c r="AB1343" s="16">
        <f>IF(RawDataGenPO[[#This Row],[GRN-PO date]]&gt;RawDataGenPO[[#This Row],[Lead time delivery (day)]],"over deliverry","Ontime")</f>
        <v/>
      </c>
      <c r="AC1343" s="22" t="n"/>
    </row>
    <row r="1344" ht="15" customHeight="1">
      <c r="A1344" s="5">
        <f>ROW()-ROW(RawDataGenPO[[#Headers],[No.]])</f>
        <v/>
      </c>
      <c r="B1344" s="7" t="inlineStr">
        <is>
          <t>Expent  cost</t>
        </is>
      </c>
      <c r="C1344" s="355" t="n">
        <v>45866</v>
      </c>
      <c r="F1344" s="301" t="n">
        <v>45866</v>
      </c>
      <c r="G1344" s="5" t="inlineStr">
        <is>
          <t>PR2526-01585</t>
        </is>
      </c>
      <c r="H1344" s="5" t="inlineStr">
        <is>
          <t>PO2526-02302</t>
        </is>
      </c>
      <c r="I1344" s="286" t="n">
        <v>45867</v>
      </c>
      <c r="J1344" s="77" t="n"/>
      <c r="K1344" s="20" t="n">
        <v>30</v>
      </c>
      <c r="L1344" s="5" t="inlineStr">
        <is>
          <t>SFST34000054</t>
        </is>
      </c>
      <c r="M1344" s="7" t="inlineStr">
        <is>
          <t>Consumable part for MN</t>
        </is>
      </c>
      <c r="N1344" s="7" t="inlineStr">
        <is>
          <t>Refrigerant</t>
        </is>
      </c>
      <c r="O1344" s="11" t="n">
        <v>1</v>
      </c>
      <c r="P1344" s="83" t="inlineStr">
        <is>
          <t>R507 Refrigerant,(1 Tank 11.3 kg/Tank)</t>
        </is>
      </c>
      <c r="Q1344" s="333" t="n">
        <v>30</v>
      </c>
      <c r="R1344" s="64" t="inlineStr">
        <is>
          <t>DRUM.</t>
        </is>
      </c>
      <c r="S1344" s="334">
        <f>RawDataGenPO[[#This Row],[Total price]]/RawDataGenPO[[#This Row],[Qty'']]</f>
        <v/>
      </c>
      <c r="T1344" s="335" t="n">
        <v>78000</v>
      </c>
      <c r="U1344" s="291" t="n"/>
      <c r="V1344" s="7" t="inlineStr">
        <is>
          <t>V1000271 - 395 Shop Limited Partnership</t>
        </is>
      </c>
      <c r="W1344" s="30" t="inlineStr">
        <is>
          <t>Recive bill and GRN already</t>
        </is>
      </c>
      <c r="X1344" s="5" t="inlineStr">
        <is>
          <t>GRN2526-0002967</t>
        </is>
      </c>
      <c r="Y1344" s="3" t="n">
        <v>45876</v>
      </c>
      <c r="AA1344" s="17">
        <f>IF(RawDataGenPO[[#This Row],[Date Gen PO]]="","",RawDataGenPO[[#This Row],[Date recive bill]]-RawDataGenPO[[#This Row],[Date Gen PO]])</f>
        <v/>
      </c>
      <c r="AB1344" s="16">
        <f>IF(RawDataGenPO[[#This Row],[GRN-PO date]]&gt;RawDataGenPO[[#This Row],[Lead time delivery (day)]],"over deliverry","Ontime")</f>
        <v/>
      </c>
      <c r="AC1344" s="22" t="n"/>
    </row>
    <row r="1345" ht="15" customHeight="1">
      <c r="A1345" s="5">
        <f>ROW()-ROW(RawDataGenPO[[#Headers],[No.]])</f>
        <v/>
      </c>
      <c r="B1345" s="7" t="inlineStr">
        <is>
          <t>Expent  cost</t>
        </is>
      </c>
      <c r="C1345" s="355" t="n">
        <v>45866</v>
      </c>
      <c r="F1345" s="301" t="n">
        <v>45866</v>
      </c>
      <c r="G1345" s="5" t="inlineStr">
        <is>
          <t>PR2526-01589</t>
        </is>
      </c>
      <c r="H1345" s="5" t="inlineStr">
        <is>
          <t>PO252-02300</t>
        </is>
      </c>
      <c r="I1345" s="286" t="n">
        <v>45873</v>
      </c>
      <c r="J1345" s="77" t="n"/>
      <c r="K1345" s="20" t="n">
        <v>30</v>
      </c>
      <c r="L1345" s="5" t="inlineStr">
        <is>
          <t>SFST81000009</t>
        </is>
      </c>
      <c r="M1345" s="7" t="inlineStr">
        <is>
          <t>Electrical system in PD area</t>
        </is>
      </c>
      <c r="N1345" s="7" t="inlineStr">
        <is>
          <t>Eletrical part</t>
        </is>
      </c>
      <c r="O1345" s="11" t="n">
        <v>1</v>
      </c>
      <c r="P1345" s="80" t="inlineStr">
        <is>
          <t>IP 1 Way Switch Magic Advance M9001: Bticino 10 Pcs/Pack</t>
        </is>
      </c>
      <c r="Q1345" s="277" t="n">
        <v>3</v>
      </c>
      <c r="R1345" s="5" t="inlineStr">
        <is>
          <t>Pack.</t>
        </is>
      </c>
      <c r="S1345" s="292">
        <f>RawDataGenPO[[#This Row],[Total price]]/RawDataGenPO[[#This Row],[Qty'']]</f>
        <v/>
      </c>
      <c r="T1345" s="278" t="n">
        <v>1050</v>
      </c>
      <c r="U1345" s="291" t="n"/>
      <c r="V1345" s="7" t="inlineStr">
        <is>
          <t>V1000276 - SN. ELECTRIC AND SUPPLY CO., LTD.</t>
        </is>
      </c>
      <c r="W1345" s="30" t="inlineStr">
        <is>
          <t>Recive bill and GRN already</t>
        </is>
      </c>
      <c r="X1345" s="5" t="inlineStr">
        <is>
          <t>GRN2526-0003053</t>
        </is>
      </c>
      <c r="Y1345" s="3" t="n">
        <v>45883</v>
      </c>
      <c r="AA1345" s="17">
        <f>IF(RawDataGenPO[[#This Row],[Date Gen PO]]="","",RawDataGenPO[[#This Row],[Date recive bill]]-RawDataGenPO[[#This Row],[Date Gen PO]])</f>
        <v/>
      </c>
      <c r="AB1345" s="16">
        <f>IF(RawDataGenPO[[#This Row],[GRN-PO date]]&gt;RawDataGenPO[[#This Row],[Lead time delivery (day)]],"over deliverry","Ontime")</f>
        <v/>
      </c>
      <c r="AC1345" s="22" t="n"/>
    </row>
    <row r="1346" ht="30" customHeight="1">
      <c r="A1346" s="5">
        <f>ROW()-ROW(RawDataGenPO[[#Headers],[No.]])</f>
        <v/>
      </c>
      <c r="B1346" s="7" t="inlineStr">
        <is>
          <t>Expent  cost</t>
        </is>
      </c>
      <c r="C1346" s="355" t="n">
        <v>45866</v>
      </c>
      <c r="F1346" s="301" t="n">
        <v>45866</v>
      </c>
      <c r="G1346" s="5" t="inlineStr">
        <is>
          <t>PR2526-01590</t>
        </is>
      </c>
      <c r="H1346" s="5" t="inlineStr">
        <is>
          <t>PO2526-02322</t>
        </is>
      </c>
      <c r="I1346" s="286" t="n">
        <v>45873</v>
      </c>
      <c r="J1346" s="77" t="n"/>
      <c r="K1346" s="20" t="n">
        <v>60</v>
      </c>
      <c r="L1346" s="5" t="inlineStr">
        <is>
          <t>SFST81000048</t>
        </is>
      </c>
      <c r="M1346" s="7" t="inlineStr">
        <is>
          <t>Utility Jobs  (Boiler-Air compress-Transformer-LPG)</t>
        </is>
      </c>
      <c r="N1346" s="7" t="inlineStr">
        <is>
          <t>Air Compressor No.1</t>
        </is>
      </c>
      <c r="O1346" s="11" t="n">
        <v>1</v>
      </c>
      <c r="P1346" s="80" t="inlineStr">
        <is>
          <t>Spare Part Compressor for MOBO SA 8 (10 HP)
belt AIR COMPRESSOR FOR MOBO MODEL: SA 8 (10 HP)</t>
        </is>
      </c>
      <c r="Q1346" s="277" t="n">
        <v>2</v>
      </c>
      <c r="R1346" s="5" t="inlineStr">
        <is>
          <t>PCS.</t>
        </is>
      </c>
      <c r="S1346" s="292">
        <f>RawDataGenPO[[#This Row],[Total price]]/RawDataGenPO[[#This Row],[Qty'']]</f>
        <v/>
      </c>
      <c r="T1346" s="278" t="n">
        <v>1700</v>
      </c>
      <c r="U1346" s="291" t="n"/>
      <c r="V1346" s="7" t="inlineStr">
        <is>
          <t>V1000477 - Company YAWATA air compressor Ltd.</t>
        </is>
      </c>
      <c r="W1346" s="30" t="inlineStr">
        <is>
          <t>Recive bill and GRN already</t>
        </is>
      </c>
      <c r="X1346" s="5" t="inlineStr">
        <is>
          <t>GRN2526-0003678</t>
        </is>
      </c>
      <c r="Y1346" s="3" t="n">
        <v>45908</v>
      </c>
      <c r="AA1346" s="17">
        <f>IF(RawDataGenPO[[#This Row],[Date Gen PO]]="","",RawDataGenPO[[#This Row],[Date recive bill]]-RawDataGenPO[[#This Row],[Date Gen PO]])</f>
        <v/>
      </c>
      <c r="AB1346" s="16">
        <f>IF(RawDataGenPO[[#This Row],[GRN-PO date]]&gt;RawDataGenPO[[#This Row],[Lead time delivery (day)]],"over deliverry","Ontime")</f>
        <v/>
      </c>
      <c r="AC1346" s="22" t="n"/>
    </row>
    <row r="1347" ht="30" customHeight="1">
      <c r="A1347" s="5">
        <f>ROW()-ROW(RawDataGenPO[[#Headers],[No.]])</f>
        <v/>
      </c>
      <c r="B1347" s="7" t="inlineStr">
        <is>
          <t>Expent  cost</t>
        </is>
      </c>
      <c r="C1347" s="355" t="n">
        <v>45866</v>
      </c>
      <c r="F1347" s="301" t="n">
        <v>45866</v>
      </c>
      <c r="G1347" s="5" t="inlineStr">
        <is>
          <t>PR2526-01591</t>
        </is>
      </c>
      <c r="H1347" s="5" t="inlineStr">
        <is>
          <t>PO2526-02323</t>
        </is>
      </c>
      <c r="I1347" s="286" t="n">
        <v>45873</v>
      </c>
      <c r="J1347" s="77" t="n"/>
      <c r="K1347" s="20" t="n">
        <v>60</v>
      </c>
      <c r="L1347" s="5" t="inlineStr">
        <is>
          <t>SFST81000048</t>
        </is>
      </c>
      <c r="M1347" s="7" t="inlineStr">
        <is>
          <t>Utility Jobs  (Boiler-Air compress-Transformer-LPG)</t>
        </is>
      </c>
      <c r="N1347" s="7" t="inlineStr">
        <is>
          <t>Air Compressor No.1</t>
        </is>
      </c>
      <c r="O1347" s="11" t="n">
        <v>2</v>
      </c>
      <c r="P1347" s="80" t="inlineStr">
        <is>
          <t>Spare Part Compresser For MOBO: EA37 (50 HP)
Pressure Gauge Model: H-2.5AT63 (Range 0-15Bar) outlet</t>
        </is>
      </c>
      <c r="Q1347" s="277" t="n">
        <v>1</v>
      </c>
      <c r="R1347" s="5" t="inlineStr">
        <is>
          <t>PCS.</t>
        </is>
      </c>
      <c r="S1347" s="292">
        <f>RawDataGenPO[[#This Row],[Total price]]/RawDataGenPO[[#This Row],[Qty'']]</f>
        <v/>
      </c>
      <c r="T1347" s="278" t="n">
        <v>1850</v>
      </c>
      <c r="U1347" s="291" t="n"/>
      <c r="V1347" s="7" t="inlineStr">
        <is>
          <t>V1000477 - Company YAWATA air compressor Ltd.</t>
        </is>
      </c>
      <c r="W1347" s="30" t="inlineStr">
        <is>
          <t>Recive bill and GRN already</t>
        </is>
      </c>
      <c r="X1347" s="5" t="inlineStr">
        <is>
          <t>GRN2526-0003677</t>
        </is>
      </c>
      <c r="Y1347" s="3" t="n">
        <v>45908</v>
      </c>
      <c r="AA1347" s="17">
        <f>IF(RawDataGenPO[[#This Row],[Date Gen PO]]="","",RawDataGenPO[[#This Row],[Date recive bill]]-RawDataGenPO[[#This Row],[Date Gen PO]])</f>
        <v/>
      </c>
      <c r="AB1347" s="16">
        <f>IF(RawDataGenPO[[#This Row],[GRN-PO date]]&gt;RawDataGenPO[[#This Row],[Lead time delivery (day)]],"over deliverry","Ontime")</f>
        <v/>
      </c>
      <c r="AC1347" s="22" t="n"/>
    </row>
    <row r="1348" ht="15" customHeight="1">
      <c r="A1348" s="5">
        <f>ROW()-ROW(RawDataGenPO[[#Headers],[No.]])</f>
        <v/>
      </c>
      <c r="B1348" s="7" t="inlineStr">
        <is>
          <t>Expent  cost</t>
        </is>
      </c>
      <c r="C1348" s="355" t="n">
        <v>45866</v>
      </c>
      <c r="F1348" s="301" t="n">
        <v>45866</v>
      </c>
      <c r="G1348" s="5" t="inlineStr">
        <is>
          <t>PR2526-01591</t>
        </is>
      </c>
      <c r="H1348" s="5" t="inlineStr">
        <is>
          <t>PO2526-02323</t>
        </is>
      </c>
      <c r="I1348" s="286" t="n">
        <v>45873</v>
      </c>
      <c r="J1348" s="77" t="n"/>
      <c r="K1348" s="20" t="n">
        <v>60</v>
      </c>
      <c r="L1348" s="5" t="inlineStr">
        <is>
          <t>SFST81000048</t>
        </is>
      </c>
      <c r="M1348" s="7" t="inlineStr">
        <is>
          <t>Utility Jobs  (Boiler-Air compress-Transformer-LPG)</t>
        </is>
      </c>
      <c r="N1348" s="7" t="inlineStr">
        <is>
          <t>Air Compressor No.1</t>
        </is>
      </c>
      <c r="O1348" s="11" t="n">
        <v>3</v>
      </c>
      <c r="P1348" s="80" t="inlineStr">
        <is>
          <t>cooler () (tohand 2)</t>
        </is>
      </c>
      <c r="Q1348" s="277" t="n">
        <v>1</v>
      </c>
      <c r="R1348" s="5" t="inlineStr">
        <is>
          <t>PCS.</t>
        </is>
      </c>
      <c r="S1348" s="292">
        <f>RawDataGenPO[[#This Row],[Total price]]/RawDataGenPO[[#This Row],[Qty'']]</f>
        <v/>
      </c>
      <c r="T1348" s="278" t="n">
        <v>13500</v>
      </c>
      <c r="U1348" s="291" t="n"/>
      <c r="V1348" s="7" t="inlineStr">
        <is>
          <t>V1000477 - Company YAWATA air compressor Ltd.</t>
        </is>
      </c>
      <c r="W1348" s="30" t="inlineStr">
        <is>
          <t>Recive bill and GRN already</t>
        </is>
      </c>
      <c r="X1348" s="5" t="inlineStr">
        <is>
          <t>GRN2526-0003677</t>
        </is>
      </c>
      <c r="Y1348" s="3" t="n">
        <v>45908</v>
      </c>
      <c r="AA1348" s="17">
        <f>IF(RawDataGenPO[[#This Row],[Date Gen PO]]="","",RawDataGenPO[[#This Row],[Date recive bill]]-RawDataGenPO[[#This Row],[Date Gen PO]])</f>
        <v/>
      </c>
      <c r="AB1348" s="16">
        <f>IF(RawDataGenPO[[#This Row],[GRN-PO date]]&gt;RawDataGenPO[[#This Row],[Lead time delivery (day)]],"over deliverry","Ontime")</f>
        <v/>
      </c>
      <c r="AC1348" s="22" t="n"/>
    </row>
    <row r="1349" ht="15" customHeight="1">
      <c r="A1349" s="5">
        <f>ROW()-ROW(RawDataGenPO[[#Headers],[No.]])</f>
        <v/>
      </c>
      <c r="B1349" s="7" t="inlineStr">
        <is>
          <t>Expent  cost</t>
        </is>
      </c>
      <c r="C1349" s="355" t="n">
        <v>45866</v>
      </c>
      <c r="F1349" s="301" t="n">
        <v>45866</v>
      </c>
      <c r="G1349" s="5" t="inlineStr">
        <is>
          <t>PR2526-01592</t>
        </is>
      </c>
      <c r="H1349" s="5" t="inlineStr">
        <is>
          <t>PO2526-02298</t>
        </is>
      </c>
      <c r="I1349" s="286" t="n">
        <v>45873</v>
      </c>
      <c r="J1349" s="56" t="n"/>
      <c r="K1349" s="20" t="n">
        <v>60</v>
      </c>
      <c r="L1349" s="5" t="inlineStr">
        <is>
          <t>SFST81000048</t>
        </is>
      </c>
      <c r="M1349" s="7" t="inlineStr">
        <is>
          <t>Electrical system out  PD area</t>
        </is>
      </c>
      <c r="N1349" s="7" t="inlineStr">
        <is>
          <t>Electrical part</t>
        </is>
      </c>
      <c r="O1349" s="11" t="n">
        <v>1</v>
      </c>
      <c r="P1349" s="7" t="inlineStr">
        <is>
          <t>"UNI-D" Solenoid Valve US-25 SIZE1" AC220V</t>
        </is>
      </c>
      <c r="Q1349" s="277" t="n">
        <v>2</v>
      </c>
      <c r="R1349" s="5" t="inlineStr">
        <is>
          <t>PCS.</t>
        </is>
      </c>
      <c r="S1349" s="284">
        <f>RawDataGenPO[[#This Row],[Total price]]/RawDataGenPO[[#This Row],[Qty'']]</f>
        <v/>
      </c>
      <c r="T1349" s="278" t="n">
        <v>4500</v>
      </c>
      <c r="U1349" s="291" t="n"/>
      <c r="V1349" s="7" t="inlineStr">
        <is>
          <t>V1000292 - Nopachart Intertrade Co., Ltd</t>
        </is>
      </c>
      <c r="W1349" s="30" t="inlineStr">
        <is>
          <t>Recive bill and GRN already</t>
        </is>
      </c>
      <c r="X1349" s="5" t="inlineStr">
        <is>
          <t>GRN2526-0003307</t>
        </is>
      </c>
      <c r="Y1349" s="3" t="n">
        <v>45891</v>
      </c>
      <c r="Z1349" s="23" t="n"/>
      <c r="AA1349" s="17">
        <f>IF(RawDataGenPO[[#This Row],[Date Gen PO]]="","",RawDataGenPO[[#This Row],[Date recive bill]]-RawDataGenPO[[#This Row],[Date Gen PO]])</f>
        <v/>
      </c>
      <c r="AB1349" s="16">
        <f>IF(RawDataGenPO[[#This Row],[GRN-PO date]]&gt;RawDataGenPO[[#This Row],[Lead time delivery (day)]],"over deliverry","Ontime")</f>
        <v/>
      </c>
      <c r="AC1349" s="22" t="n"/>
    </row>
    <row r="1350" ht="75" customHeight="1">
      <c r="A1350" s="5">
        <f>ROW()-ROW(RawDataGenPO[[#Headers],[No.]])</f>
        <v/>
      </c>
      <c r="B1350" s="7" t="inlineStr">
        <is>
          <t>Expent  cost</t>
        </is>
      </c>
      <c r="C1350" s="355" t="n">
        <v>45866</v>
      </c>
      <c r="F1350" s="301" t="n">
        <v>45866</v>
      </c>
      <c r="G1350" s="5" t="inlineStr">
        <is>
          <t>PR2526-01593</t>
        </is>
      </c>
      <c r="H1350" s="5" t="inlineStr">
        <is>
          <t>PO2526-02299</t>
        </is>
      </c>
      <c r="I1350" s="286" t="n">
        <v>45873</v>
      </c>
      <c r="J1350" s="77" t="n"/>
      <c r="K1350" s="20" t="n">
        <v>60</v>
      </c>
      <c r="L1350" s="5" t="inlineStr">
        <is>
          <t>SFST81000050</t>
        </is>
      </c>
      <c r="M1350" s="7" t="inlineStr">
        <is>
          <t>Utility Jobs  (Boiler-Air compress-Transformer-LPG)</t>
        </is>
      </c>
      <c r="N1350" s="7" t="inlineStr">
        <is>
          <t xml:space="preserve">Staem pipe and Equipme </t>
        </is>
      </c>
      <c r="O1350" s="11" t="n">
        <v>1</v>
      </c>
      <c r="P1350" s="80" t="inlineStr">
        <is>
          <t>red
Model: 115-3
Size: W50xTHK80(Slope)xTL250mm.
Fills: PP 0.8mm Red Color
Body: Plastic Engineering.</t>
        </is>
      </c>
      <c r="Q1350" s="277" t="n">
        <v>16</v>
      </c>
      <c r="R1350" s="5" t="inlineStr">
        <is>
          <t>PCS.</t>
        </is>
      </c>
      <c r="S1350" s="292">
        <f>RawDataGenPO[[#This Row],[Total price]]/RawDataGenPO[[#This Row],[Qty'']]</f>
        <v/>
      </c>
      <c r="T1350" s="278" t="n">
        <v>20952</v>
      </c>
      <c r="U1350" s="291" t="n"/>
      <c r="V1350" s="7" t="inlineStr">
        <is>
          <t>V1000100 - VIRIYA TECHNOLOGY CO., LTD.</t>
        </is>
      </c>
      <c r="W1350" s="30" t="inlineStr">
        <is>
          <t>Recive bill and GRN already</t>
        </is>
      </c>
      <c r="X1350" s="5" t="inlineStr">
        <is>
          <t>GRN2526-0003672</t>
        </is>
      </c>
      <c r="Y1350" s="3" t="n">
        <v>45906</v>
      </c>
      <c r="AA1350" s="17">
        <f>IF(RawDataGenPO[[#This Row],[Date Gen PO]]="","",RawDataGenPO[[#This Row],[Date recive bill]]-RawDataGenPO[[#This Row],[Date Gen PO]])</f>
        <v/>
      </c>
      <c r="AB1350" s="16">
        <f>IF(RawDataGenPO[[#This Row],[GRN-PO date]]&gt;RawDataGenPO[[#This Row],[Lead time delivery (day)]],"over deliverry","Ontime")</f>
        <v/>
      </c>
      <c r="AC1350" s="22" t="n"/>
    </row>
    <row r="1351" ht="75" customHeight="1">
      <c r="A1351" s="5">
        <f>ROW()-ROW(RawDataGenPO[[#Headers],[No.]])</f>
        <v/>
      </c>
      <c r="B1351" s="7" t="inlineStr">
        <is>
          <t>Expent  cost</t>
        </is>
      </c>
      <c r="C1351" s="355" t="n">
        <v>45866</v>
      </c>
      <c r="F1351" s="301" t="n">
        <v>45866</v>
      </c>
      <c r="G1351" s="5" t="inlineStr">
        <is>
          <t>PR2526-01593</t>
        </is>
      </c>
      <c r="H1351" s="5" t="inlineStr">
        <is>
          <t>PO2526-02299</t>
        </is>
      </c>
      <c r="I1351" s="286" t="n">
        <v>45873</v>
      </c>
      <c r="J1351" s="77" t="n"/>
      <c r="K1351" s="20" t="n">
        <v>60</v>
      </c>
      <c r="L1351" s="5" t="inlineStr">
        <is>
          <t>SFST81000050</t>
        </is>
      </c>
      <c r="M1351" s="7" t="inlineStr">
        <is>
          <t>Consumable part for MN</t>
        </is>
      </c>
      <c r="N1351" s="7" t="inlineStr">
        <is>
          <t>Consumable part</t>
        </is>
      </c>
      <c r="O1351" s="11" t="n">
        <v>2</v>
      </c>
      <c r="P1351" s="80" t="inlineStr">
        <is>
          <t>green
Model: 115-3
Size: W50xTHK80(Slope)xTL250mm.
Fills: PP 0.8mm Green Color
Body: Plastic Engineering.</t>
        </is>
      </c>
      <c r="Q1351" s="277" t="n">
        <v>16</v>
      </c>
      <c r="R1351" s="5" t="inlineStr">
        <is>
          <t>PCS.</t>
        </is>
      </c>
      <c r="S1351" s="292">
        <f>RawDataGenPO[[#This Row],[Total price]]/RawDataGenPO[[#This Row],[Qty'']]</f>
        <v/>
      </c>
      <c r="T1351" s="278" t="n">
        <v>20952</v>
      </c>
      <c r="U1351" s="291" t="n"/>
      <c r="V1351" s="7" t="inlineStr">
        <is>
          <t>V1000100 - VIRIYA TECHNOLOGY CO., LTD.</t>
        </is>
      </c>
      <c r="W1351" s="30" t="inlineStr">
        <is>
          <t>Recive bill and GRN already</t>
        </is>
      </c>
      <c r="X1351" s="5" t="inlineStr">
        <is>
          <t>GRN2526-0003672</t>
        </is>
      </c>
      <c r="Y1351" s="3" t="n">
        <v>45906</v>
      </c>
      <c r="AA1351" s="17">
        <f>IF(RawDataGenPO[[#This Row],[Date Gen PO]]="","",RawDataGenPO[[#This Row],[Date recive bill]]-RawDataGenPO[[#This Row],[Date Gen PO]])</f>
        <v/>
      </c>
      <c r="AB1351" s="16">
        <f>IF(RawDataGenPO[[#This Row],[GRN-PO date]]&gt;RawDataGenPO[[#This Row],[Lead time delivery (day)]],"over deliverry","Ontime")</f>
        <v/>
      </c>
      <c r="AC1351" s="22" t="n"/>
    </row>
    <row r="1352" ht="30" customHeight="1">
      <c r="A1352" s="5">
        <f>ROW()-ROW(RawDataGenPO[[#Headers],[No.]])</f>
        <v/>
      </c>
      <c r="B1352" s="7" t="inlineStr">
        <is>
          <t>Expent  cost</t>
        </is>
      </c>
      <c r="C1352" s="355" t="n">
        <v>45866</v>
      </c>
      <c r="F1352" s="301" t="n">
        <v>45866</v>
      </c>
      <c r="G1352" s="5" t="inlineStr">
        <is>
          <t>PR2526-01594</t>
        </is>
      </c>
      <c r="H1352" s="5" t="inlineStr">
        <is>
          <t>PO2526-02305</t>
        </is>
      </c>
      <c r="I1352" s="286" t="n">
        <v>45873</v>
      </c>
      <c r="J1352" s="77" t="n"/>
      <c r="K1352" s="20" t="n">
        <v>30</v>
      </c>
      <c r="L1352" s="5" t="inlineStr">
        <is>
          <t>SFST81000050</t>
        </is>
      </c>
      <c r="M1352" s="7" t="inlineStr">
        <is>
          <t>Electrical system out  PD area</t>
        </is>
      </c>
      <c r="N1352" s="7" t="inlineStr">
        <is>
          <t>Eletrical part</t>
        </is>
      </c>
      <c r="O1352" s="11" t="n">
        <v>1</v>
      </c>
      <c r="P1352" s="80" t="inlineStr">
        <is>
          <t>Wpcssurface-mounted FLOAT SWITCH "SANCO" FA-10302-6
6 m 3A 250VAC (NO)</t>
        </is>
      </c>
      <c r="Q1352" s="277" t="n">
        <v>6</v>
      </c>
      <c r="R1352" s="5" t="inlineStr">
        <is>
          <t>PCS.</t>
        </is>
      </c>
      <c r="S1352" s="292">
        <f>RawDataGenPO[[#This Row],[Total price]]/RawDataGenPO[[#This Row],[Qty'']]</f>
        <v/>
      </c>
      <c r="T1352" s="278" t="n">
        <v>9900</v>
      </c>
      <c r="U1352" s="291" t="n"/>
      <c r="V1352" s="7" t="inlineStr">
        <is>
          <t>V1000840 - S.Q. &amp; CO CO., LTD</t>
        </is>
      </c>
      <c r="W1352" s="30" t="inlineStr">
        <is>
          <t>Recive bill and GRN already</t>
        </is>
      </c>
      <c r="X1352" s="5" t="inlineStr">
        <is>
          <t>GRN2526-0002966</t>
        </is>
      </c>
      <c r="Y1352" s="3" t="n">
        <v>45876</v>
      </c>
      <c r="AA1352" s="17">
        <f>IF(RawDataGenPO[[#This Row],[Date Gen PO]]="","",RawDataGenPO[[#This Row],[Date recive bill]]-RawDataGenPO[[#This Row],[Date Gen PO]])</f>
        <v/>
      </c>
      <c r="AB1352" s="16">
        <f>IF(RawDataGenPO[[#This Row],[GRN-PO date]]&gt;RawDataGenPO[[#This Row],[Lead time delivery (day)]],"over deliverry","Ontime")</f>
        <v/>
      </c>
      <c r="AC1352" s="22" t="n"/>
    </row>
    <row r="1353" ht="75" customHeight="1">
      <c r="A1353" s="5">
        <f>ROW()-ROW(RawDataGenPO[[#Headers],[No.]])</f>
        <v/>
      </c>
      <c r="B1353" s="7" t="inlineStr">
        <is>
          <t>Expent  cost</t>
        </is>
      </c>
      <c r="C1353" s="355" t="n">
        <v>45866</v>
      </c>
      <c r="F1353" s="301" t="n">
        <v>45866</v>
      </c>
      <c r="G1353" s="5" t="inlineStr">
        <is>
          <t xml:space="preserve">PR2526-01595 </t>
        </is>
      </c>
      <c r="H1353" s="5" t="inlineStr">
        <is>
          <t>PO2526-02321</t>
        </is>
      </c>
      <c r="I1353" s="286" t="n">
        <v>45873</v>
      </c>
      <c r="J1353" s="77" t="n"/>
      <c r="K1353" s="20" t="n">
        <v>60</v>
      </c>
      <c r="L1353" s="5" t="inlineStr">
        <is>
          <t>SFST81000064</t>
        </is>
      </c>
      <c r="M1353" s="7" t="inlineStr">
        <is>
          <t>Annual cost</t>
        </is>
      </c>
      <c r="N1353" s="7" t="inlineStr">
        <is>
          <t>Waste water system Jobs</t>
        </is>
      </c>
      <c r="O1353" s="11" t="n">
        <v>1</v>
      </c>
      <c r="P1353" s="80" t="inlineStr">
        <is>
          <t>Wastewater analysis and measurement fee
- m measurement every 3 months
- inlet point
- outlet
- discharge point in front of factory</t>
        </is>
      </c>
      <c r="Q1353" s="277" t="n">
        <v>1</v>
      </c>
      <c r="R1353" s="5" t="inlineStr">
        <is>
          <t>JOB.</t>
        </is>
      </c>
      <c r="S1353" s="292">
        <f>RawDataGenPO[[#This Row],[Total price]]/RawDataGenPO[[#This Row],[Qty'']]</f>
        <v/>
      </c>
      <c r="T1353" s="278" t="n">
        <v>5250</v>
      </c>
      <c r="U1353" s="291" t="n"/>
      <c r="V1353" s="7" t="inlineStr">
        <is>
          <t>V1000124 - S.P.J. SCIENTIFIC CO., LTD.</t>
        </is>
      </c>
      <c r="W1353" s="30" t="inlineStr">
        <is>
          <t>Recive bill and GRN already</t>
        </is>
      </c>
      <c r="X1353" s="5" t="inlineStr">
        <is>
          <t>GRN2526-0003675</t>
        </is>
      </c>
      <c r="Y1353" s="3" t="n">
        <v>45906</v>
      </c>
      <c r="AA1353" s="17">
        <f>IF(RawDataGenPO[[#This Row],[Date Gen PO]]="","",RawDataGenPO[[#This Row],[Date recive bill]]-RawDataGenPO[[#This Row],[Date Gen PO]])</f>
        <v/>
      </c>
      <c r="AB1353" s="16">
        <f>IF(RawDataGenPO[[#This Row],[GRN-PO date]]&gt;RawDataGenPO[[#This Row],[Lead time delivery (day)]],"over deliverry","Ontime")</f>
        <v/>
      </c>
      <c r="AC1353" s="22" t="n"/>
    </row>
    <row r="1354" ht="15" customHeight="1">
      <c r="A1354" s="5">
        <f>ROW()-ROW(RawDataGenPO[[#Headers],[No.]])</f>
        <v/>
      </c>
      <c r="B1354" s="7" t="inlineStr">
        <is>
          <t>Expent  cost</t>
        </is>
      </c>
      <c r="C1354" s="355" t="n">
        <v>45866</v>
      </c>
      <c r="F1354" s="301" t="n">
        <v>45866</v>
      </c>
      <c r="G1354" s="5" t="inlineStr">
        <is>
          <t>PR2526-01596</t>
        </is>
      </c>
      <c r="H1354" s="5" t="inlineStr">
        <is>
          <t>PO2526-02311</t>
        </is>
      </c>
      <c r="I1354" s="286" t="n">
        <v>45875</v>
      </c>
      <c r="J1354" s="77" t="n"/>
      <c r="K1354" s="20" t="n">
        <v>120</v>
      </c>
      <c r="L1354" s="5" t="inlineStr">
        <is>
          <t>SFST81000064</t>
        </is>
      </c>
      <c r="M1354" s="7" t="inlineStr">
        <is>
          <t>Fire alarm &amp; Fire Pump system</t>
        </is>
      </c>
      <c r="N1354" s="7" t="inlineStr">
        <is>
          <t>Fire alarm jobs</t>
        </is>
      </c>
      <c r="O1354" s="11" t="n">
        <v>1</v>
      </c>
      <c r="P1354" s="80" t="inlineStr">
        <is>
          <t>PM Program (Function Test)</t>
        </is>
      </c>
      <c r="Q1354" s="277" t="n">
        <v>1</v>
      </c>
      <c r="R1354" s="5" t="inlineStr">
        <is>
          <t>JOB.</t>
        </is>
      </c>
      <c r="S1354" s="292">
        <f>RawDataGenPO[[#This Row],[Total price]]/RawDataGenPO[[#This Row],[Qty'']]</f>
        <v/>
      </c>
      <c r="T1354" s="278" t="n">
        <v>6500</v>
      </c>
      <c r="U1354" s="291" t="n"/>
      <c r="V1354" s="7" t="inlineStr">
        <is>
          <t>V1000728 - SAITHONG ENGINEERING COMPANY LIMITED</t>
        </is>
      </c>
      <c r="W1354" s="30" t="inlineStr">
        <is>
          <t>Recive bill and GRN already</t>
        </is>
      </c>
      <c r="X1354" s="5" t="inlineStr">
        <is>
          <t>GRN2526-0009254</t>
        </is>
      </c>
      <c r="Y1354" s="3" t="n">
        <v>46101</v>
      </c>
      <c r="AA1354" s="17">
        <f>IF(RawDataGenPO[[#This Row],[Date Gen PO]]="","",RawDataGenPO[[#This Row],[Date recive bill]]-RawDataGenPO[[#This Row],[Date Gen PO]])</f>
        <v/>
      </c>
      <c r="AB1354" s="16">
        <f>IF(RawDataGenPO[[#This Row],[GRN-PO date]]&gt;RawDataGenPO[[#This Row],[Lead time delivery (day)]],"over deliverry","Ontime")</f>
        <v/>
      </c>
      <c r="AC1354" s="22" t="n"/>
    </row>
    <row r="1355" ht="15" customHeight="1">
      <c r="A1355" s="5">
        <f>ROW()-ROW(RawDataGenPO[[#Headers],[No.]])</f>
        <v/>
      </c>
      <c r="B1355" s="7" t="inlineStr">
        <is>
          <t>Expent  cost</t>
        </is>
      </c>
      <c r="C1355" s="355" t="n">
        <v>45866</v>
      </c>
      <c r="F1355" s="301" t="n">
        <v>45866</v>
      </c>
      <c r="G1355" s="5" t="inlineStr">
        <is>
          <t>PR2526-01596</t>
        </is>
      </c>
      <c r="H1355" s="5" t="inlineStr">
        <is>
          <t>PO2526-02311</t>
        </is>
      </c>
      <c r="I1355" s="286" t="n">
        <v>45875</v>
      </c>
      <c r="J1355" s="77" t="n"/>
      <c r="K1355" s="20" t="n">
        <v>120</v>
      </c>
      <c r="L1355" s="5" t="inlineStr">
        <is>
          <t>SFST81000064</t>
        </is>
      </c>
      <c r="M1355" s="7" t="inlineStr">
        <is>
          <t>Fire alarm &amp; Fire Pump system</t>
        </is>
      </c>
      <c r="N1355" s="7" t="inlineStr">
        <is>
          <t>Fire alarm jobs</t>
        </is>
      </c>
      <c r="O1355" s="11" t="n">
        <v>2</v>
      </c>
      <c r="P1355" s="80" t="inlineStr">
        <is>
          <t>KML-360 Type ML Link 360°F (182°C)</t>
        </is>
      </c>
      <c r="Q1355" s="277" t="n">
        <v>8</v>
      </c>
      <c r="R1355" s="5" t="inlineStr">
        <is>
          <t>JOB.</t>
        </is>
      </c>
      <c r="S1355" s="292">
        <f>RawDataGenPO[[#This Row],[Total price]]/RawDataGenPO[[#This Row],[Qty'']]</f>
        <v/>
      </c>
      <c r="T1355" s="278" t="n">
        <v>5200</v>
      </c>
      <c r="U1355" s="291" t="n"/>
      <c r="V1355" s="7" t="inlineStr">
        <is>
          <t>V1000728 - SAITHONG ENGINEERING COMPANY LIMITED</t>
        </is>
      </c>
      <c r="W1355" s="30" t="inlineStr">
        <is>
          <t>Recive bill and GRN already</t>
        </is>
      </c>
      <c r="X1355" s="5" t="inlineStr">
        <is>
          <t>GRN2526-0009254</t>
        </is>
      </c>
      <c r="Y1355" s="3" t="n">
        <v>46101</v>
      </c>
      <c r="AA1355" s="17">
        <f>IF(RawDataGenPO[[#This Row],[Date Gen PO]]="","",RawDataGenPO[[#This Row],[Date recive bill]]-RawDataGenPO[[#This Row],[Date Gen PO]])</f>
        <v/>
      </c>
      <c r="AB1355" s="16">
        <f>IF(RawDataGenPO[[#This Row],[GRN-PO date]]&gt;RawDataGenPO[[#This Row],[Lead time delivery (day)]],"over deliverry","Ontime")</f>
        <v/>
      </c>
      <c r="AC1355" s="22" t="n"/>
    </row>
    <row r="1356" ht="15" customHeight="1">
      <c r="A1356" s="5">
        <f>ROW()-ROW(RawDataGenPO[[#Headers],[No.]])</f>
        <v/>
      </c>
      <c r="B1356" s="7" t="inlineStr">
        <is>
          <t>Expent  cost</t>
        </is>
      </c>
      <c r="C1356" s="355" t="n">
        <v>45866</v>
      </c>
      <c r="F1356" s="301" t="n">
        <v>45866</v>
      </c>
      <c r="G1356" s="5" t="inlineStr">
        <is>
          <t>PR2526-01596</t>
        </is>
      </c>
      <c r="H1356" s="5" t="inlineStr">
        <is>
          <t>PO2526-02311</t>
        </is>
      </c>
      <c r="I1356" s="286" t="n">
        <v>45875</v>
      </c>
      <c r="J1356" s="77" t="n"/>
      <c r="K1356" s="20" t="n">
        <v>120</v>
      </c>
      <c r="L1356" s="5" t="inlineStr">
        <is>
          <t>SFST81000064</t>
        </is>
      </c>
      <c r="M1356" s="7" t="inlineStr">
        <is>
          <t>Fire alarm &amp; Fire Pump system</t>
        </is>
      </c>
      <c r="N1356" s="7" t="inlineStr">
        <is>
          <t>Fire alarm jobs</t>
        </is>
      </c>
      <c r="O1356" s="11" t="n">
        <v>3</v>
      </c>
      <c r="P1356" s="80" t="inlineStr">
        <is>
          <t>PM Program (Operation Test)</t>
        </is>
      </c>
      <c r="Q1356" s="277" t="n">
        <v>1</v>
      </c>
      <c r="R1356" s="5" t="inlineStr">
        <is>
          <t>JOB.</t>
        </is>
      </c>
      <c r="S1356" s="292">
        <f>RawDataGenPO[[#This Row],[Total price]]/RawDataGenPO[[#This Row],[Qty'']]</f>
        <v/>
      </c>
      <c r="T1356" s="278" t="n">
        <v>9500</v>
      </c>
      <c r="U1356" s="291" t="n"/>
      <c r="V1356" s="7" t="inlineStr">
        <is>
          <t>V1000728 - SAITHONG ENGINEERING COMPANY LIMITED</t>
        </is>
      </c>
      <c r="W1356" s="30" t="inlineStr">
        <is>
          <t>Recive bill and GRN already</t>
        </is>
      </c>
      <c r="X1356" s="5" t="inlineStr">
        <is>
          <t>GRN2526-0009254</t>
        </is>
      </c>
      <c r="Y1356" s="3" t="n">
        <v>46101</v>
      </c>
      <c r="AA1356" s="17">
        <f>IF(RawDataGenPO[[#This Row],[Date Gen PO]]="","",RawDataGenPO[[#This Row],[Date recive bill]]-RawDataGenPO[[#This Row],[Date Gen PO]])</f>
        <v/>
      </c>
      <c r="AB1356" s="16">
        <f>IF(RawDataGenPO[[#This Row],[GRN-PO date]]&gt;RawDataGenPO[[#This Row],[Lead time delivery (day)]],"over deliverry","Ontime")</f>
        <v/>
      </c>
      <c r="AC1356" s="22" t="n"/>
    </row>
    <row r="1357" ht="15" customHeight="1">
      <c r="A1357" s="5">
        <f>ROW()-ROW(RawDataGenPO[[#Headers],[No.]])</f>
        <v/>
      </c>
      <c r="B1357" s="7" t="inlineStr">
        <is>
          <t>Expent  cost</t>
        </is>
      </c>
      <c r="C1357" s="355" t="n">
        <v>45866</v>
      </c>
      <c r="F1357" s="301" t="n">
        <v>45866</v>
      </c>
      <c r="G1357" s="5" t="inlineStr">
        <is>
          <t>PR2526-01596</t>
        </is>
      </c>
      <c r="H1357" s="5" t="inlineStr">
        <is>
          <t>PO2526-02311</t>
        </is>
      </c>
      <c r="I1357" s="286" t="n">
        <v>45875</v>
      </c>
      <c r="J1357" s="77" t="n"/>
      <c r="K1357" s="20" t="n">
        <v>120</v>
      </c>
      <c r="L1357" s="5" t="inlineStr">
        <is>
          <t>SFST81000064</t>
        </is>
      </c>
      <c r="M1357" s="7" t="inlineStr">
        <is>
          <t>Fire alarm &amp; Fire Pump system</t>
        </is>
      </c>
      <c r="N1357" s="7" t="inlineStr">
        <is>
          <t>Fire alarm jobs</t>
        </is>
      </c>
      <c r="O1357" s="11" t="n">
        <v>4</v>
      </c>
      <c r="P1357" s="80" t="inlineStr">
        <is>
          <t>inspect system Gas Leck Detector</t>
        </is>
      </c>
      <c r="Q1357" s="277" t="n">
        <v>1</v>
      </c>
      <c r="R1357" s="5" t="inlineStr">
        <is>
          <t>JOB.</t>
        </is>
      </c>
      <c r="S1357" s="292">
        <f>RawDataGenPO[[#This Row],[Total price]]/RawDataGenPO[[#This Row],[Qty'']]</f>
        <v/>
      </c>
      <c r="T1357" s="278" t="n">
        <v>7500</v>
      </c>
      <c r="U1357" s="291" t="n"/>
      <c r="V1357" s="7" t="inlineStr">
        <is>
          <t>V1000728 - SAITHONG ENGINEERING COMPANY LIMITED</t>
        </is>
      </c>
      <c r="W1357" s="30" t="inlineStr">
        <is>
          <t>Recive bill and GRN already</t>
        </is>
      </c>
      <c r="X1357" s="5" t="inlineStr">
        <is>
          <t>GRN2526-0009254</t>
        </is>
      </c>
      <c r="Y1357" s="3" t="n">
        <v>46101</v>
      </c>
      <c r="AA1357" s="17">
        <f>IF(RawDataGenPO[[#This Row],[Date Gen PO]]="","",RawDataGenPO[[#This Row],[Date recive bill]]-RawDataGenPO[[#This Row],[Date Gen PO]])</f>
        <v/>
      </c>
      <c r="AB1357" s="16">
        <f>IF(RawDataGenPO[[#This Row],[GRN-PO date]]&gt;RawDataGenPO[[#This Row],[Lead time delivery (day)]],"over deliverry","Ontime")</f>
        <v/>
      </c>
      <c r="AC1357" s="22" t="n"/>
    </row>
    <row r="1358" ht="15" customHeight="1">
      <c r="A1358" s="5">
        <f>ROW()-ROW(RawDataGenPO[[#Headers],[No.]])</f>
        <v/>
      </c>
      <c r="B1358" s="7" t="inlineStr">
        <is>
          <t>Expent  cost</t>
        </is>
      </c>
      <c r="C1358" s="275" t="n">
        <v>45875</v>
      </c>
      <c r="F1358" s="301" t="n">
        <v>45875</v>
      </c>
      <c r="G1358" s="5" t="inlineStr">
        <is>
          <t>PR2526-01703</t>
        </is>
      </c>
      <c r="H1358" s="5" t="inlineStr">
        <is>
          <t>PO2526-02533</t>
        </is>
      </c>
      <c r="I1358" s="286" t="n">
        <v>45884</v>
      </c>
      <c r="J1358" s="77" t="n"/>
      <c r="K1358" s="20" t="n">
        <v>60</v>
      </c>
      <c r="L1358" s="5" t="inlineStr">
        <is>
          <t>SFST11000256</t>
        </is>
      </c>
      <c r="M1358" s="7" t="inlineStr">
        <is>
          <t xml:space="preserve">Waste water </t>
        </is>
      </c>
      <c r="N1358" s="7" t="inlineStr">
        <is>
          <t>Consumable part</t>
        </is>
      </c>
      <c r="O1358" s="11" t="n">
        <v>1</v>
      </c>
      <c r="P1358" s="80" t="inlineStr">
        <is>
          <t>Bio Solution 1 lit</t>
        </is>
      </c>
      <c r="Q1358" s="277" t="n">
        <v>2</v>
      </c>
      <c r="R1358" s="5" t="inlineStr">
        <is>
          <t>BOT.</t>
        </is>
      </c>
      <c r="S1358" s="292">
        <f>RawDataGenPO[[#This Row],[Total price]]/RawDataGenPO[[#This Row],[Qty'']]</f>
        <v/>
      </c>
      <c r="T1358" s="278" t="n">
        <v>1600</v>
      </c>
      <c r="U1358" s="291" t="n"/>
      <c r="V1358" s="7" t="inlineStr">
        <is>
          <t>V1000206 - TECHMAN (THAILAND) CO.,LTD.</t>
        </is>
      </c>
      <c r="W1358" s="30" t="inlineStr">
        <is>
          <t>Recive bill and GRN already</t>
        </is>
      </c>
      <c r="X1358" s="5" t="inlineStr">
        <is>
          <t>GRN2526-0003243</t>
        </is>
      </c>
      <c r="Y1358" s="3" t="n">
        <v>45889</v>
      </c>
      <c r="AA1358" s="17">
        <f>IF(RawDataGenPO[[#This Row],[Date Gen PO]]="","",RawDataGenPO[[#This Row],[Date recive bill]]-RawDataGenPO[[#This Row],[Date Gen PO]])</f>
        <v/>
      </c>
      <c r="AB1358" s="16">
        <f>IF(RawDataGenPO[[#This Row],[GRN-PO date]]&gt;RawDataGenPO[[#This Row],[Lead time delivery (day)]],"over deliverry","Ontime")</f>
        <v/>
      </c>
      <c r="AC1358" s="22" t="n"/>
    </row>
    <row r="1359" ht="15" customHeight="1">
      <c r="A1359" s="5">
        <f>ROW()-ROW(RawDataGenPO[[#Headers],[No.]])</f>
        <v/>
      </c>
      <c r="B1359" s="7" t="inlineStr">
        <is>
          <t>Expent  cost</t>
        </is>
      </c>
      <c r="C1359" s="275" t="n">
        <v>45876</v>
      </c>
      <c r="F1359" s="301" t="n">
        <v>45876</v>
      </c>
      <c r="G1359" s="5" t="inlineStr">
        <is>
          <t>PR2526-01738</t>
        </is>
      </c>
      <c r="H1359" s="5" t="inlineStr">
        <is>
          <t xml:space="preserve">PO2526-02549 </t>
        </is>
      </c>
      <c r="I1359" s="286" t="n">
        <v>45887</v>
      </c>
      <c r="J1359" s="77" t="n"/>
      <c r="K1359" s="20" t="n">
        <v>60</v>
      </c>
      <c r="L1359" s="5" t="inlineStr">
        <is>
          <t>SFST81000048</t>
        </is>
      </c>
      <c r="M1359" s="7" t="inlineStr">
        <is>
          <t>PD Machine</t>
        </is>
      </c>
      <c r="N1359" s="7" t="inlineStr">
        <is>
          <t>Bowl Cutter (Chopper) No.1</t>
        </is>
      </c>
      <c r="O1359" s="11" t="n">
        <v>1</v>
      </c>
      <c r="P1359" s="80" t="inlineStr">
        <is>
          <t>DRAIN PLUG FOR BOWL INCL. O-RING</t>
        </is>
      </c>
      <c r="Q1359" s="277" t="n">
        <v>1</v>
      </c>
      <c r="R1359" s="5" t="inlineStr">
        <is>
          <t>PCS.</t>
        </is>
      </c>
      <c r="S1359" s="292">
        <f>RawDataGenPO[[#This Row],[Total price]]/RawDataGenPO[[#This Row],[Qty'']]</f>
        <v/>
      </c>
      <c r="T1359" s="278" t="n">
        <v>8181</v>
      </c>
      <c r="U1359" s="291" t="n"/>
      <c r="V1359" s="7" t="inlineStr">
        <is>
          <t>V1000189 - FPT FOOD PROCESS TECHNOLOGY CO., LTD.</t>
        </is>
      </c>
      <c r="W1359" s="30" t="inlineStr">
        <is>
          <t>Recive bill and GRN already</t>
        </is>
      </c>
      <c r="X1359" s="5" t="inlineStr">
        <is>
          <t>GRN2526-0003282</t>
        </is>
      </c>
      <c r="Y1359" s="3" t="n">
        <v>45891</v>
      </c>
      <c r="AA1359" s="17">
        <f>IF(RawDataGenPO[[#This Row],[Date Gen PO]]="","",RawDataGenPO[[#This Row],[Date recive bill]]-RawDataGenPO[[#This Row],[Date Gen PO]])</f>
        <v/>
      </c>
      <c r="AB1359" s="16">
        <f>IF(RawDataGenPO[[#This Row],[GRN-PO date]]&gt;RawDataGenPO[[#This Row],[Lead time delivery (day)]],"over deliverry","Ontime")</f>
        <v/>
      </c>
      <c r="AC1359" s="22" t="n"/>
    </row>
    <row r="1360" ht="15" customHeight="1">
      <c r="A1360" s="5">
        <f>ROW()-ROW(RawDataGenPO[[#Headers],[No.]])</f>
        <v/>
      </c>
      <c r="B1360" s="7" t="inlineStr">
        <is>
          <t>Expent  cost</t>
        </is>
      </c>
      <c r="C1360" s="275" t="n">
        <v>45876</v>
      </c>
      <c r="F1360" s="301" t="n">
        <v>45876</v>
      </c>
      <c r="G1360" s="5" t="inlineStr">
        <is>
          <t>PR2526-01790</t>
        </is>
      </c>
      <c r="H1360" s="5" t="inlineStr">
        <is>
          <t>PO2526-02552</t>
        </is>
      </c>
      <c r="I1360" s="286" t="n">
        <v>45887</v>
      </c>
      <c r="J1360" s="77" t="n"/>
      <c r="K1360" s="20" t="n">
        <v>60</v>
      </c>
      <c r="L1360" s="5" t="inlineStr">
        <is>
          <t>SFST81000050</t>
        </is>
      </c>
      <c r="M1360" s="7" t="inlineStr">
        <is>
          <t>Tool and Equipment  Engineering</t>
        </is>
      </c>
      <c r="N1360" s="7" t="inlineStr">
        <is>
          <t>Tool and Equipment</t>
        </is>
      </c>
      <c r="O1360" s="11" t="n">
        <v>1</v>
      </c>
      <c r="P1360" s="80" t="inlineStr">
        <is>
          <t>STANEY" Power lock 5m/16' steel Tape</t>
        </is>
      </c>
      <c r="Q1360" s="277" t="n">
        <v>5</v>
      </c>
      <c r="R1360" s="5" t="inlineStr">
        <is>
          <t>PCS.</t>
        </is>
      </c>
      <c r="S1360" s="292">
        <f>RawDataGenPO[[#This Row],[Total price]]/RawDataGenPO[[#This Row],[Qty'']]</f>
        <v/>
      </c>
      <c r="T1360" s="278" t="n">
        <v>1250</v>
      </c>
      <c r="U1360" s="291" t="n"/>
      <c r="V1360" s="7" t="inlineStr">
        <is>
          <t>V1000259 - JJP SUPPLY CO., LTD</t>
        </is>
      </c>
      <c r="W1360" s="30" t="inlineStr">
        <is>
          <t>Recive bill and GRN already</t>
        </is>
      </c>
      <c r="X1360" s="5" t="inlineStr">
        <is>
          <t>GRN2526-0004106</t>
        </is>
      </c>
      <c r="Y1360" s="3" t="n">
        <v>45923</v>
      </c>
      <c r="AA1360" s="17">
        <f>IF(RawDataGenPO[[#This Row],[Date Gen PO]]="","",RawDataGenPO[[#This Row],[Date recive bill]]-RawDataGenPO[[#This Row],[Date Gen PO]])</f>
        <v/>
      </c>
      <c r="AB1360" s="16">
        <f>IF(RawDataGenPO[[#This Row],[GRN-PO date]]&gt;RawDataGenPO[[#This Row],[Lead time delivery (day)]],"over deliverry","Ontime")</f>
        <v/>
      </c>
      <c r="AC1360" s="22" t="n"/>
    </row>
    <row r="1361" ht="30" customHeight="1">
      <c r="A1361" s="5">
        <f>ROW()-ROW(RawDataGenPO[[#Headers],[No.]])</f>
        <v/>
      </c>
      <c r="B1361" s="7" t="inlineStr">
        <is>
          <t>Expent  cost</t>
        </is>
      </c>
      <c r="C1361" s="275" t="n">
        <v>45882</v>
      </c>
      <c r="F1361" s="301" t="n">
        <v>45882</v>
      </c>
      <c r="G1361" s="5" t="inlineStr">
        <is>
          <t>PR2526-01790</t>
        </is>
      </c>
      <c r="H1361" s="5" t="inlineStr">
        <is>
          <t>PO2526-02552</t>
        </is>
      </c>
      <c r="I1361" s="286" t="n">
        <v>45887</v>
      </c>
      <c r="J1361" s="77" t="n"/>
      <c r="K1361" s="20" t="n">
        <v>60</v>
      </c>
      <c r="L1361" s="5" t="inlineStr">
        <is>
          <t>SFST81000050</t>
        </is>
      </c>
      <c r="M1361" s="7" t="inlineStr">
        <is>
          <t>Tool and Equipment  Engineering</t>
        </is>
      </c>
      <c r="N1361" s="7" t="inlineStr">
        <is>
          <t>Tool and Equipment</t>
        </is>
      </c>
      <c r="O1361" s="11" t="n">
        <v>1</v>
      </c>
      <c r="P1361" s="80" t="inlineStr">
        <is>
          <t>boxinsertmachinehandstainless steel type3class sizelarge
- size width 20CM length 46CM high 22CM</t>
        </is>
      </c>
      <c r="Q1361" s="277" t="n">
        <v>8</v>
      </c>
      <c r="R1361" s="5" t="inlineStr">
        <is>
          <t>PCS.</t>
        </is>
      </c>
      <c r="S1361" s="292">
        <f>RawDataGenPO[[#This Row],[Total price]]/RawDataGenPO[[#This Row],[Qty'']]</f>
        <v/>
      </c>
      <c r="T1361" s="278" t="n">
        <v>10000</v>
      </c>
      <c r="U1361" s="291" t="n"/>
      <c r="V1361" s="7" t="inlineStr">
        <is>
          <t>V1000259 - JJP SUPPLY CO., LTD</t>
        </is>
      </c>
      <c r="W1361" s="30" t="inlineStr">
        <is>
          <t>Recive bill and GRN already</t>
        </is>
      </c>
      <c r="X1361" s="5" t="inlineStr">
        <is>
          <t>GRN2526-0004536</t>
        </is>
      </c>
      <c r="Y1361" s="3" t="n">
        <v>45941</v>
      </c>
      <c r="AA1361" s="17">
        <f>IF(RawDataGenPO[[#This Row],[Date Gen PO]]="","",RawDataGenPO[[#This Row],[Date recive bill]]-RawDataGenPO[[#This Row],[Date Gen PO]])</f>
        <v/>
      </c>
      <c r="AB1361" s="16">
        <f>IF(RawDataGenPO[[#This Row],[GRN-PO date]]&gt;RawDataGenPO[[#This Row],[Lead time delivery (day)]],"over deliverry","Ontime")</f>
        <v/>
      </c>
      <c r="AC1361" s="22" t="n"/>
    </row>
    <row r="1362" ht="60" customHeight="1">
      <c r="A1362" s="5">
        <f>ROW()-ROW(RawDataGenPO[[#Headers],[No.]])</f>
        <v/>
      </c>
      <c r="B1362" s="7" t="inlineStr">
        <is>
          <t>Expent  cost</t>
        </is>
      </c>
      <c r="C1362" s="275" t="n">
        <v>45882</v>
      </c>
      <c r="F1362" s="301" t="n">
        <v>45882</v>
      </c>
      <c r="G1362" s="5" t="inlineStr">
        <is>
          <t>PR2526-01791</t>
        </is>
      </c>
      <c r="H1362" s="5" t="inlineStr">
        <is>
          <t>PO2526-02550</t>
        </is>
      </c>
      <c r="I1362" s="286" t="n">
        <v>45887</v>
      </c>
      <c r="J1362" s="77" t="n"/>
      <c r="K1362" s="20" t="n">
        <v>60</v>
      </c>
      <c r="L1362" s="5" t="inlineStr">
        <is>
          <t>SFST81000048</t>
        </is>
      </c>
      <c r="M1362" s="7" t="inlineStr">
        <is>
          <t>PD Machine</t>
        </is>
      </c>
      <c r="N1362" s="7" t="inlineStr">
        <is>
          <t>Mini flame Grill  Machine No.1</t>
        </is>
      </c>
      <c r="O1362" s="11" t="n">
        <v>1</v>
      </c>
      <c r="P1362" s="80" t="inlineStr">
        <is>
          <t>GAS SPRING ROD. 14MM., BORE.29 MM.
STROKE (A): 200 MM, FORCE: 500 Newton
EXTENDED LENGTH (B): 558 MM outlet
STAINLESS STEEL</t>
        </is>
      </c>
      <c r="Q1362" s="277" t="n">
        <v>2</v>
      </c>
      <c r="R1362" s="5" t="inlineStr">
        <is>
          <t>PCS.</t>
        </is>
      </c>
      <c r="S1362" s="292">
        <f>RawDataGenPO[[#This Row],[Total price]]/RawDataGenPO[[#This Row],[Qty'']]</f>
        <v/>
      </c>
      <c r="T1362" s="278" t="n">
        <v>76400</v>
      </c>
      <c r="U1362" s="291" t="n"/>
      <c r="V1362" s="7" t="inlineStr">
        <is>
          <t>V1000655 - SRM ENGINEERING 1991 CO., LTD.</t>
        </is>
      </c>
      <c r="W1362" s="30" t="inlineStr">
        <is>
          <t>Recive bill and GRN already</t>
        </is>
      </c>
      <c r="X1362" s="5" t="inlineStr">
        <is>
          <t>GRN2526-0003380</t>
        </is>
      </c>
      <c r="Y1362" s="3" t="n">
        <v>45895</v>
      </c>
      <c r="AA1362" s="17">
        <f>IF(RawDataGenPO[[#This Row],[Date Gen PO]]="","",RawDataGenPO[[#This Row],[Date recive bill]]-RawDataGenPO[[#This Row],[Date Gen PO]])</f>
        <v/>
      </c>
      <c r="AB1362" s="16">
        <f>IF(RawDataGenPO[[#This Row],[GRN-PO date]]&gt;RawDataGenPO[[#This Row],[Lead time delivery (day)]],"over deliverry","Ontime")</f>
        <v/>
      </c>
      <c r="AC1362" s="22" t="n"/>
    </row>
    <row r="1363" ht="105" customHeight="1">
      <c r="A1363" s="5">
        <f>ROW()-ROW(RawDataGenPO[[#Headers],[No.]])</f>
        <v/>
      </c>
      <c r="B1363" s="7" t="inlineStr">
        <is>
          <t>Expent  cost</t>
        </is>
      </c>
      <c r="C1363" s="275" t="n">
        <v>45882</v>
      </c>
      <c r="F1363" s="301" t="n">
        <v>45882</v>
      </c>
      <c r="G1363" s="5" t="inlineStr">
        <is>
          <t>PR2526-01792</t>
        </is>
      </c>
      <c r="H1363" s="5" t="inlineStr">
        <is>
          <t>PO2526-02551</t>
        </is>
      </c>
      <c r="I1363" s="286" t="n">
        <v>45887</v>
      </c>
      <c r="J1363" s="77" t="n"/>
      <c r="K1363" s="20" t="n">
        <v>60</v>
      </c>
      <c r="L1363" s="5" t="inlineStr">
        <is>
          <t>SFST81000048</t>
        </is>
      </c>
      <c r="M1363" s="7" t="inlineStr">
        <is>
          <t>PD Machine</t>
        </is>
      </c>
      <c r="N1363" s="7" t="inlineStr">
        <is>
          <t>Condencer Unit No.29 (Air Blast Freezer2)</t>
        </is>
      </c>
      <c r="O1363" s="11" t="n">
        <v>1</v>
      </c>
      <c r="P1363" s="80" t="inlineStr">
        <is>
          <t>Repair Change compressor No.1 Air Blast No.2
- waterchemicaloutletfromsystem
- removedismantle compressor outletfrom
- work compressor new Spare installmachine
- Replace Oil Compressor
- Test leak and Vacuum
- mwaterchemicalinletsystem Test Running</t>
        </is>
      </c>
      <c r="Q1363" s="277" t="n">
        <v>1</v>
      </c>
      <c r="R1363" s="5" t="inlineStr">
        <is>
          <t>JOB.</t>
        </is>
      </c>
      <c r="S1363" s="292">
        <f>RawDataGenPO[[#This Row],[Total price]]/RawDataGenPO[[#This Row],[Qty'']]</f>
        <v/>
      </c>
      <c r="T1363" s="278" t="n">
        <v>18000</v>
      </c>
      <c r="U1363" s="291" t="n"/>
      <c r="V1363" s="7" t="inlineStr">
        <is>
          <t>V1000790 - WEE SERVICE 2024 CO., LTD.</t>
        </is>
      </c>
      <c r="W1363" s="30" t="inlineStr">
        <is>
          <t>Recive bill and GRN already</t>
        </is>
      </c>
      <c r="X1363" s="5" t="inlineStr">
        <is>
          <t>GRN2526-0003381</t>
        </is>
      </c>
      <c r="Y1363" s="3" t="n">
        <v>45895</v>
      </c>
      <c r="AA1363" s="17">
        <f>IF(RawDataGenPO[[#This Row],[Date Gen PO]]="","",RawDataGenPO[[#This Row],[Date recive bill]]-RawDataGenPO[[#This Row],[Date Gen PO]])</f>
        <v/>
      </c>
      <c r="AB1363" s="16">
        <f>IF(RawDataGenPO[[#This Row],[GRN-PO date]]&gt;RawDataGenPO[[#This Row],[Lead time delivery (day)]],"over deliverry","Ontime")</f>
        <v/>
      </c>
      <c r="AC1363" s="22" t="n"/>
    </row>
    <row r="1364" ht="15" customHeight="1">
      <c r="A1364" s="5">
        <f>ROW()-ROW(RawDataGenPO[[#Headers],[No.]])</f>
        <v/>
      </c>
      <c r="B1364" s="7" t="inlineStr">
        <is>
          <t>Expent  cost</t>
        </is>
      </c>
      <c r="C1364" s="275" t="n">
        <v>45882</v>
      </c>
      <c r="F1364" s="301" t="n">
        <v>45882</v>
      </c>
      <c r="G1364" s="5" t="inlineStr">
        <is>
          <t>PR2526-01792</t>
        </is>
      </c>
      <c r="H1364" s="5" t="inlineStr">
        <is>
          <t>PO2526-02551</t>
        </is>
      </c>
      <c r="I1364" s="286" t="n">
        <v>45887</v>
      </c>
      <c r="J1364" s="77" t="n"/>
      <c r="K1364" s="20" t="n">
        <v>60</v>
      </c>
      <c r="L1364" s="5" t="inlineStr">
        <is>
          <t>SFST81000048</t>
        </is>
      </c>
      <c r="M1364" s="7" t="inlineStr">
        <is>
          <t>PD Machine</t>
        </is>
      </c>
      <c r="N1364" s="7" t="inlineStr">
        <is>
          <t>Condencer Unit No.29 (Air Blast Freezer2)</t>
        </is>
      </c>
      <c r="O1364" s="11" t="n">
        <v>2</v>
      </c>
      <c r="P1364" s="80" t="inlineStr">
        <is>
          <t>5 ton</t>
        </is>
      </c>
      <c r="Q1364" s="277" t="n">
        <v>1</v>
      </c>
      <c r="R1364" s="5" t="inlineStr">
        <is>
          <t>JOB.</t>
        </is>
      </c>
      <c r="S1364" s="292">
        <f>RawDataGenPO[[#This Row],[Total price]]/RawDataGenPO[[#This Row],[Qty'']]</f>
        <v/>
      </c>
      <c r="T1364" s="278" t="n">
        <v>8500</v>
      </c>
      <c r="U1364" s="291" t="n"/>
      <c r="V1364" s="7" t="inlineStr">
        <is>
          <t>V1000790 - WEE SERVICE 2024 CO., LTD.</t>
        </is>
      </c>
      <c r="W1364" s="30" t="inlineStr">
        <is>
          <t>Recive bill and GRN already</t>
        </is>
      </c>
      <c r="X1364" s="5" t="inlineStr">
        <is>
          <t>GRN2526-0003381</t>
        </is>
      </c>
      <c r="Y1364" s="3" t="n">
        <v>45895</v>
      </c>
      <c r="AA1364" s="17">
        <f>IF(RawDataGenPO[[#This Row],[Date Gen PO]]="","",RawDataGenPO[[#This Row],[Date recive bill]]-RawDataGenPO[[#This Row],[Date Gen PO]])</f>
        <v/>
      </c>
      <c r="AB1364" s="16">
        <f>IF(RawDataGenPO[[#This Row],[GRN-PO date]]&gt;RawDataGenPO[[#This Row],[Lead time delivery (day)]],"over deliverry","Ontime")</f>
        <v/>
      </c>
      <c r="AC1364" s="22" t="n"/>
    </row>
    <row r="1365" ht="15" customHeight="1">
      <c r="A1365" s="5">
        <f>ROW()-ROW(RawDataGenPO[[#Headers],[No.]])</f>
        <v/>
      </c>
      <c r="B1365" s="7" t="inlineStr">
        <is>
          <t>Expent  cost</t>
        </is>
      </c>
      <c r="C1365" s="275" t="n">
        <v>45882</v>
      </c>
      <c r="F1365" s="301" t="n">
        <v>45882</v>
      </c>
      <c r="G1365" s="5" t="inlineStr">
        <is>
          <t>PR2526-01792</t>
        </is>
      </c>
      <c r="H1365" s="5" t="inlineStr">
        <is>
          <t>PO2526-02551</t>
        </is>
      </c>
      <c r="I1365" s="286" t="n">
        <v>45887</v>
      </c>
      <c r="J1365" s="77" t="n"/>
      <c r="K1365" s="20" t="n">
        <v>60</v>
      </c>
      <c r="L1365" s="5" t="inlineStr">
        <is>
          <t>SFST81000048</t>
        </is>
      </c>
      <c r="M1365" s="7" t="inlineStr">
        <is>
          <t>PD Machine</t>
        </is>
      </c>
      <c r="N1365" s="7" t="inlineStr">
        <is>
          <t>Condencer Unit No.29 (Air Blast Freezer2)</t>
        </is>
      </c>
      <c r="O1365" s="11" t="n">
        <v>3</v>
      </c>
      <c r="P1365" s="80" t="inlineStr">
        <is>
          <t>Site mobilization and transportation</t>
        </is>
      </c>
      <c r="Q1365" s="277" t="n">
        <v>1</v>
      </c>
      <c r="R1365" s="5" t="inlineStr">
        <is>
          <t>JOB.</t>
        </is>
      </c>
      <c r="S1365" s="292">
        <f>RawDataGenPO[[#This Row],[Total price]]/RawDataGenPO[[#This Row],[Qty'']]</f>
        <v/>
      </c>
      <c r="T1365" s="278" t="n">
        <v>8900</v>
      </c>
      <c r="U1365" s="291" t="n"/>
      <c r="V1365" s="7" t="inlineStr">
        <is>
          <t>V1000790 - WEE SERVICE 2024 CO., LTD.</t>
        </is>
      </c>
      <c r="W1365" s="30" t="inlineStr">
        <is>
          <t>Recive bill and GRN already</t>
        </is>
      </c>
      <c r="X1365" s="5" t="inlineStr">
        <is>
          <t>GRN2526-0003381</t>
        </is>
      </c>
      <c r="Y1365" s="3" t="n">
        <v>45895</v>
      </c>
      <c r="AA1365" s="17">
        <f>IF(RawDataGenPO[[#This Row],[Date Gen PO]]="","",RawDataGenPO[[#This Row],[Date recive bill]]-RawDataGenPO[[#This Row],[Date Gen PO]])</f>
        <v/>
      </c>
      <c r="AB1365" s="16">
        <f>IF(RawDataGenPO[[#This Row],[GRN-PO date]]&gt;RawDataGenPO[[#This Row],[Lead time delivery (day)]],"over deliverry","Ontime")</f>
        <v/>
      </c>
      <c r="AC1365" s="22" t="n"/>
    </row>
    <row r="1366" ht="15" customHeight="1">
      <c r="A1366" s="5">
        <f>ROW()-ROW(RawDataGenPO[[#Headers],[No.]])</f>
        <v/>
      </c>
      <c r="B1366" s="7" t="inlineStr">
        <is>
          <t>Expent  cost</t>
        </is>
      </c>
      <c r="C1366" s="275" t="n">
        <v>45882</v>
      </c>
      <c r="F1366" s="301" t="n">
        <v>45882</v>
      </c>
      <c r="G1366" s="5" t="inlineStr">
        <is>
          <t>PR2526-01793</t>
        </is>
      </c>
      <c r="H1366" s="5" t="inlineStr">
        <is>
          <t>PO2526-02548</t>
        </is>
      </c>
      <c r="I1366" s="286" t="n">
        <v>45887</v>
      </c>
      <c r="J1366" s="77" t="n"/>
      <c r="K1366" s="20" t="n">
        <v>30</v>
      </c>
      <c r="L1366" s="5" t="inlineStr">
        <is>
          <t>SFST81000009</t>
        </is>
      </c>
      <c r="M1366" s="7" t="inlineStr">
        <is>
          <t>Foam &amp; Cleaning solution pump system</t>
        </is>
      </c>
      <c r="N1366" s="7" t="inlineStr">
        <is>
          <t>Water pump for production line cleaning No.2</t>
        </is>
      </c>
      <c r="O1366" s="11" t="n">
        <v>1</v>
      </c>
      <c r="P1366" s="80" t="inlineStr">
        <is>
          <t>Supply cover fan CR10-22 Pump Grundfos 7.5 kw.</t>
        </is>
      </c>
      <c r="Q1366" s="277" t="n">
        <v>1</v>
      </c>
      <c r="R1366" s="5" t="inlineStr">
        <is>
          <t>PCS.</t>
        </is>
      </c>
      <c r="S1366" s="292">
        <f>RawDataGenPO[[#This Row],[Total price]]/RawDataGenPO[[#This Row],[Qty'']]</f>
        <v/>
      </c>
      <c r="T1366" s="278" t="n">
        <v>5000</v>
      </c>
      <c r="U1366" s="291" t="n"/>
      <c r="V1366" s="7" t="inlineStr">
        <is>
          <t>V1000790 - WEE SERVICE 2024 CO., LTD.</t>
        </is>
      </c>
      <c r="W1366" s="30" t="inlineStr">
        <is>
          <t>Recive bill and GRN already</t>
        </is>
      </c>
      <c r="X1366" s="5" t="inlineStr">
        <is>
          <t>GRN2526-0003250</t>
        </is>
      </c>
      <c r="Y1366" s="3" t="n">
        <v>45890</v>
      </c>
      <c r="AA1366" s="17">
        <f>IF(RawDataGenPO[[#This Row],[Date Gen PO]]="","",RawDataGenPO[[#This Row],[Date recive bill]]-RawDataGenPO[[#This Row],[Date Gen PO]])</f>
        <v/>
      </c>
      <c r="AB1366" s="16">
        <f>IF(RawDataGenPO[[#This Row],[GRN-PO date]]&gt;RawDataGenPO[[#This Row],[Lead time delivery (day)]],"over deliverry","Ontime")</f>
        <v/>
      </c>
      <c r="AC1366" s="22" t="n"/>
    </row>
    <row r="1367" ht="15" customHeight="1">
      <c r="A1367" s="5">
        <f>ROW()-ROW(RawDataGenPO[[#Headers],[No.]])</f>
        <v/>
      </c>
      <c r="B1367" s="7" t="inlineStr">
        <is>
          <t>Expent  cost</t>
        </is>
      </c>
      <c r="C1367" s="275" t="n">
        <v>45882</v>
      </c>
      <c r="F1367" s="301" t="n">
        <v>45882</v>
      </c>
      <c r="G1367" s="5" t="inlineStr">
        <is>
          <t>PR2526-01793</t>
        </is>
      </c>
      <c r="H1367" s="5" t="inlineStr">
        <is>
          <t>PO2526-02548</t>
        </is>
      </c>
      <c r="I1367" s="286" t="n">
        <v>45887</v>
      </c>
      <c r="J1367" s="77" t="n"/>
      <c r="K1367" s="20" t="n">
        <v>30</v>
      </c>
      <c r="L1367" s="5" t="inlineStr">
        <is>
          <t>SFST81000009</t>
        </is>
      </c>
      <c r="M1367" s="7" t="inlineStr">
        <is>
          <t>Foam &amp; Cleaning solution pump system</t>
        </is>
      </c>
      <c r="N1367" s="7" t="inlineStr">
        <is>
          <t>Cleaning solution pump No.1</t>
        </is>
      </c>
      <c r="O1367" s="11" t="n">
        <v>2</v>
      </c>
      <c r="P1367" s="80" t="inlineStr">
        <is>
          <t>Supply cover fan CR10-8 Pump Grundfos 3 kw.</t>
        </is>
      </c>
      <c r="Q1367" s="277" t="n">
        <v>1</v>
      </c>
      <c r="R1367" s="5" t="inlineStr">
        <is>
          <t>PCS.</t>
        </is>
      </c>
      <c r="S1367" s="292">
        <f>RawDataGenPO[[#This Row],[Total price]]/RawDataGenPO[[#This Row],[Qty'']]</f>
        <v/>
      </c>
      <c r="T1367" s="278" t="n">
        <v>4000</v>
      </c>
      <c r="U1367" s="291" t="n"/>
      <c r="V1367" s="7" t="inlineStr">
        <is>
          <t>V1000790 - WEE SERVICE 2024 CO., LTD.</t>
        </is>
      </c>
      <c r="W1367" s="30" t="inlineStr">
        <is>
          <t>Recive bill and GRN already</t>
        </is>
      </c>
      <c r="X1367" s="5" t="inlineStr">
        <is>
          <t>GRN2526-0003250</t>
        </is>
      </c>
      <c r="Y1367" s="3" t="n">
        <v>45890</v>
      </c>
      <c r="AA1367" s="17">
        <f>IF(RawDataGenPO[[#This Row],[Date Gen PO]]="","",RawDataGenPO[[#This Row],[Date recive bill]]-RawDataGenPO[[#This Row],[Date Gen PO]])</f>
        <v/>
      </c>
      <c r="AB1367" s="16">
        <f>IF(RawDataGenPO[[#This Row],[GRN-PO date]]&gt;RawDataGenPO[[#This Row],[Lead time delivery (day)]],"over deliverry","Ontime")</f>
        <v/>
      </c>
      <c r="AC1367" s="22" t="n"/>
    </row>
    <row r="1368" ht="90" customHeight="1">
      <c r="A1368" s="5">
        <f>ROW()-ROW(RawDataGenPO[[#Headers],[No.]])</f>
        <v/>
      </c>
      <c r="B1368" s="7" t="inlineStr">
        <is>
          <t>Expent  cost</t>
        </is>
      </c>
      <c r="C1368" s="275" t="n">
        <v>45882</v>
      </c>
      <c r="F1368" s="301" t="n">
        <v>45882</v>
      </c>
      <c r="G1368" s="5" t="inlineStr">
        <is>
          <t>PR2526-01794</t>
        </is>
      </c>
      <c r="H1368" s="5" t="inlineStr">
        <is>
          <t xml:space="preserve">PO2526-02553 </t>
        </is>
      </c>
      <c r="I1368" s="286" t="n">
        <v>45887</v>
      </c>
      <c r="J1368" s="77" t="n"/>
      <c r="K1368" s="20" t="n">
        <v>60</v>
      </c>
      <c r="L1368" s="5" t="inlineStr">
        <is>
          <t>SFST81000064</t>
        </is>
      </c>
      <c r="M1368" s="7" t="inlineStr">
        <is>
          <t>Annual cost</t>
        </is>
      </c>
      <c r="N1368" s="7" t="inlineStr">
        <is>
          <t>Enveronment inspect in factory</t>
        </is>
      </c>
      <c r="O1368" s="11" t="n">
        <v>1</v>
      </c>
      <c r="P1368" s="81" t="inlineStr">
        <is>
          <t>detectmeasuringWwheelminternalwork 2568
- roomm chemical
- internalfloorwork -
- darkW
- minternalairoutletfrom</t>
        </is>
      </c>
      <c r="Q1368" s="277" t="n">
        <v>1</v>
      </c>
      <c r="R1368" s="5" t="inlineStr">
        <is>
          <t>JOB.</t>
        </is>
      </c>
      <c r="S1368" s="292">
        <f>RawDataGenPO[[#This Row],[Total price]]/RawDataGenPO[[#This Row],[Qty'']]</f>
        <v/>
      </c>
      <c r="T1368" s="278" t="n">
        <v>26550</v>
      </c>
      <c r="U1368" s="291" t="n"/>
      <c r="V1368" s="7" t="inlineStr">
        <is>
          <t>V1000172 - . ..Wm and</t>
        </is>
      </c>
      <c r="W1368" s="30" t="inlineStr">
        <is>
          <t>Recive bill and GRN already</t>
        </is>
      </c>
      <c r="X1368" s="5" t="inlineStr">
        <is>
          <t>GRN2526-0004688</t>
        </is>
      </c>
      <c r="Y1368" s="3" t="n">
        <v>45950</v>
      </c>
      <c r="AA1368" s="17">
        <f>IF(RawDataGenPO[[#This Row],[Date Gen PO]]="","",RawDataGenPO[[#This Row],[Date recive bill]]-RawDataGenPO[[#This Row],[Date Gen PO]])</f>
        <v/>
      </c>
      <c r="AB1368" s="16">
        <f>IF(RawDataGenPO[[#This Row],[GRN-PO date]]&gt;RawDataGenPO[[#This Row],[Lead time delivery (day)]],"over deliverry","Ontime")</f>
        <v/>
      </c>
      <c r="AC1368" s="22" t="n"/>
    </row>
    <row r="1369" ht="15" customHeight="1">
      <c r="A1369" s="5">
        <f>ROW()-ROW(RawDataGenPO[[#Headers],[No.]])</f>
        <v/>
      </c>
      <c r="B1369" s="7" t="inlineStr">
        <is>
          <t>Expent  cost</t>
        </is>
      </c>
      <c r="C1369" s="275" t="n">
        <v>45883</v>
      </c>
      <c r="F1369" s="301" t="n">
        <v>45883</v>
      </c>
      <c r="G1369" s="5" t="inlineStr">
        <is>
          <t xml:space="preserve">PR2526-01807 </t>
        </is>
      </c>
      <c r="H1369" s="5" t="inlineStr">
        <is>
          <t>PO2526-02722</t>
        </is>
      </c>
      <c r="I1369" s="286" t="n">
        <v>45890</v>
      </c>
      <c r="J1369" s="77" t="n"/>
      <c r="K1369" s="20" t="n">
        <v>30</v>
      </c>
      <c r="L1369" s="5" t="inlineStr">
        <is>
          <t>SFST34000091</t>
        </is>
      </c>
      <c r="M1369" s="7" t="inlineStr">
        <is>
          <t>Consumable part for MN</t>
        </is>
      </c>
      <c r="N1369" s="7" t="inlineStr">
        <is>
          <t>Electrical jobs</t>
        </is>
      </c>
      <c r="O1369" s="11" t="n">
        <v>1</v>
      </c>
      <c r="P1369" s="80" t="inlineStr">
        <is>
          <t>3M tapeelectrical cable model Temflex Plus size 3/4inch - black</t>
        </is>
      </c>
      <c r="Q1369" s="277" t="n">
        <v>40</v>
      </c>
      <c r="R1369" s="5" t="inlineStr">
        <is>
          <t>PCS.</t>
        </is>
      </c>
      <c r="S1369" s="292">
        <f>RawDataGenPO[[#This Row],[Total price]]/RawDataGenPO[[#This Row],[Qty'']]</f>
        <v/>
      </c>
      <c r="T1369" s="278" t="n">
        <v>600</v>
      </c>
      <c r="U1369" s="291" t="n"/>
      <c r="V1369" s="7" t="inlineStr">
        <is>
          <t>V1000259 - JJP SUPPLY CO., LTD</t>
        </is>
      </c>
      <c r="W1369" s="30" t="inlineStr">
        <is>
          <t>Recive bill and GRN already</t>
        </is>
      </c>
      <c r="AA1369" s="17">
        <f>IF(RawDataGenPO[[#This Row],[Date Gen PO]]="","",RawDataGenPO[[#This Row],[Date recive bill]]-RawDataGenPO[[#This Row],[Date Gen PO]])</f>
        <v/>
      </c>
      <c r="AB1369" s="16">
        <f>IF(RawDataGenPO[[#This Row],[GRN-PO date]]&gt;RawDataGenPO[[#This Row],[Lead time delivery (day)]],"over deliverry","Ontime")</f>
        <v/>
      </c>
      <c r="AC1369" s="22" t="n"/>
    </row>
    <row r="1370" ht="15" customHeight="1">
      <c r="A1370" s="5">
        <f>ROW()-ROW(RawDataGenPO[[#Headers],[No.]])</f>
        <v/>
      </c>
      <c r="B1370" s="7" t="inlineStr">
        <is>
          <t>Expent  cost</t>
        </is>
      </c>
      <c r="C1370" s="275" t="n">
        <v>45883</v>
      </c>
      <c r="F1370" s="301" t="n">
        <v>45883</v>
      </c>
      <c r="G1370" s="5" t="inlineStr">
        <is>
          <t xml:space="preserve">PR2526-01807 </t>
        </is>
      </c>
      <c r="H1370" s="5" t="inlineStr">
        <is>
          <t>PO2526-02722</t>
        </is>
      </c>
      <c r="I1370" s="286" t="n">
        <v>45890</v>
      </c>
      <c r="J1370" s="77" t="n"/>
      <c r="K1370" s="20" t="n">
        <v>30</v>
      </c>
      <c r="L1370" s="5" t="inlineStr">
        <is>
          <t>SFST34000092</t>
        </is>
      </c>
      <c r="M1370" s="7" t="inlineStr">
        <is>
          <t>Consumable part for MN</t>
        </is>
      </c>
      <c r="N1370" s="7" t="inlineStr">
        <is>
          <t>Tool and Equipment</t>
        </is>
      </c>
      <c r="O1370" s="11" t="n">
        <v>2</v>
      </c>
      <c r="P1370" s="80" t="inlineStr">
        <is>
          <t>tapethreadSCG 12mm.x0.1mm.x10m. brand​SCG tapepipe</t>
        </is>
      </c>
      <c r="Q1370" s="277" t="n">
        <v>40</v>
      </c>
      <c r="R1370" s="5" t="inlineStr">
        <is>
          <t>PCS.</t>
        </is>
      </c>
      <c r="S1370" s="292">
        <f>RawDataGenPO[[#This Row],[Total price]]/RawDataGenPO[[#This Row],[Qty'']]</f>
        <v/>
      </c>
      <c r="T1370" s="278" t="n">
        <v>1200</v>
      </c>
      <c r="U1370" s="291" t="n"/>
      <c r="V1370" s="7" t="inlineStr">
        <is>
          <t>V1000259 - JJP SUPPLY CO., LTD</t>
        </is>
      </c>
      <c r="W1370" s="30" t="inlineStr">
        <is>
          <t>Recive bill and GRN already</t>
        </is>
      </c>
      <c r="AA1370" s="17">
        <f>IF(RawDataGenPO[[#This Row],[Date Gen PO]]="","",RawDataGenPO[[#This Row],[Date recive bill]]-RawDataGenPO[[#This Row],[Date Gen PO]])</f>
        <v/>
      </c>
      <c r="AB1370" s="16">
        <f>IF(RawDataGenPO[[#This Row],[GRN-PO date]]&gt;RawDataGenPO[[#This Row],[Lead time delivery (day)]],"over deliverry","Ontime")</f>
        <v/>
      </c>
      <c r="AC1370" s="22" t="n"/>
    </row>
    <row r="1371" ht="15" customHeight="1">
      <c r="A1371" s="5">
        <f>ROW()-ROW(RawDataGenPO[[#Headers],[No.]])</f>
        <v/>
      </c>
      <c r="B1371" s="7" t="inlineStr">
        <is>
          <t>Expent  cost</t>
        </is>
      </c>
      <c r="C1371" s="275" t="n">
        <v>45883</v>
      </c>
      <c r="F1371" s="301" t="n">
        <v>45883</v>
      </c>
      <c r="G1371" s="5" t="inlineStr">
        <is>
          <t>PR2526-01815</t>
        </is>
      </c>
      <c r="H1371" s="5" t="inlineStr">
        <is>
          <t>PO2526-02635</t>
        </is>
      </c>
      <c r="I1371" s="286" t="n">
        <v>45890</v>
      </c>
      <c r="J1371" s="77" t="n"/>
      <c r="K1371" s="20" t="n">
        <v>15</v>
      </c>
      <c r="L1371" s="5" t="inlineStr">
        <is>
          <t>SFST34000174</t>
        </is>
      </c>
      <c r="M1371" s="7" t="inlineStr">
        <is>
          <t>Consumable part for MN</t>
        </is>
      </c>
      <c r="N1371" s="7" t="inlineStr">
        <is>
          <t>Consumable part</t>
        </is>
      </c>
      <c r="O1371" s="11" t="n">
        <v>1</v>
      </c>
      <c r="P1371" s="80" t="inlineStr">
        <is>
          <t>PP melt blown cartridge Filter, 10", 5 Micron</t>
        </is>
      </c>
      <c r="Q1371" s="277" t="n">
        <v>40</v>
      </c>
      <c r="R1371" s="5" t="inlineStr">
        <is>
          <t>PCS.</t>
        </is>
      </c>
      <c r="S1371" s="292">
        <f>RawDataGenPO[[#This Row],[Total price]]/RawDataGenPO[[#This Row],[Qty'']]</f>
        <v/>
      </c>
      <c r="U1371" s="291" t="n"/>
      <c r="V1371" s="7" t="inlineStr">
        <is>
          <t xml:space="preserve"> V1000878 - ROJANAPAT ENGINEERING CO., LTD</t>
        </is>
      </c>
      <c r="W1371" s="30" t="inlineStr">
        <is>
          <t>Recive bill and GRN already</t>
        </is>
      </c>
      <c r="X1371" s="5" t="inlineStr">
        <is>
          <t>GRN2526-0003379</t>
        </is>
      </c>
      <c r="Y1371" s="3" t="n">
        <v>45895</v>
      </c>
      <c r="AA1371" s="17">
        <f>IF(RawDataGenPO[[#This Row],[Date Gen PO]]="","",RawDataGenPO[[#This Row],[Date recive bill]]-RawDataGenPO[[#This Row],[Date Gen PO]])</f>
        <v/>
      </c>
      <c r="AB1371" s="16">
        <f>IF(RawDataGenPO[[#This Row],[GRN-PO date]]&gt;RawDataGenPO[[#This Row],[Lead time delivery (day)]],"over deliverry","Ontime")</f>
        <v/>
      </c>
      <c r="AC1371" s="22" t="n"/>
    </row>
    <row r="1372" ht="15" customHeight="1">
      <c r="A1372" s="5">
        <f>ROW()-ROW(RawDataGenPO[[#Headers],[No.]])</f>
        <v/>
      </c>
      <c r="B1372" s="7" t="inlineStr">
        <is>
          <t>Expent  cost</t>
        </is>
      </c>
      <c r="C1372" s="275" t="n">
        <v>45883</v>
      </c>
      <c r="F1372" s="301" t="n">
        <v>45883</v>
      </c>
      <c r="G1372" s="5" t="inlineStr">
        <is>
          <t>PR2526-01815</t>
        </is>
      </c>
      <c r="H1372" s="5" t="inlineStr">
        <is>
          <t>PO2526-02635</t>
        </is>
      </c>
      <c r="I1372" s="286" t="n">
        <v>45890</v>
      </c>
      <c r="J1372" s="77" t="n"/>
      <c r="K1372" s="20" t="n">
        <v>15</v>
      </c>
      <c r="L1372" s="5" t="inlineStr">
        <is>
          <t>SFST34000175</t>
        </is>
      </c>
      <c r="M1372" s="7" t="inlineStr">
        <is>
          <t>Consumable part for MN</t>
        </is>
      </c>
      <c r="N1372" s="7" t="inlineStr">
        <is>
          <t>Consumable part</t>
        </is>
      </c>
      <c r="O1372" s="11" t="n">
        <v>2</v>
      </c>
      <c r="P1372" s="80" t="inlineStr">
        <is>
          <t>PP melt blown cartridge Filter, 20", 5 Micron</t>
        </is>
      </c>
      <c r="Q1372" s="277" t="n">
        <v>10</v>
      </c>
      <c r="R1372" s="5" t="inlineStr">
        <is>
          <t>PCS.</t>
        </is>
      </c>
      <c r="S1372" s="292">
        <f>RawDataGenPO[[#This Row],[Total price]]/RawDataGenPO[[#This Row],[Qty'']]</f>
        <v/>
      </c>
      <c r="U1372" s="291" t="n"/>
      <c r="V1372" s="7" t="inlineStr">
        <is>
          <t xml:space="preserve"> V1000878 - ROJANAPAT ENGINEERING CO., LTD</t>
        </is>
      </c>
      <c r="W1372" s="30" t="inlineStr">
        <is>
          <t>Recive bill and GRN already</t>
        </is>
      </c>
      <c r="X1372" s="5" t="inlineStr">
        <is>
          <t>GRN2526-0003379</t>
        </is>
      </c>
      <c r="Y1372" s="3" t="n">
        <v>45895</v>
      </c>
      <c r="AA1372" s="17">
        <f>IF(RawDataGenPO[[#This Row],[Date Gen PO]]="","",RawDataGenPO[[#This Row],[Date recive bill]]-RawDataGenPO[[#This Row],[Date Gen PO]])</f>
        <v/>
      </c>
      <c r="AB1372" s="16">
        <f>IF(RawDataGenPO[[#This Row],[GRN-PO date]]&gt;RawDataGenPO[[#This Row],[Lead time delivery (day)]],"over deliverry","Ontime")</f>
        <v/>
      </c>
      <c r="AC1372" s="22" t="n"/>
    </row>
    <row r="1373" ht="15" customHeight="1">
      <c r="A1373" s="5">
        <f>ROW()-ROW(RawDataGenPO[[#Headers],[No.]])</f>
        <v/>
      </c>
      <c r="B1373" s="7" t="inlineStr">
        <is>
          <t>Expent  cost</t>
        </is>
      </c>
      <c r="C1373" s="275" t="n">
        <v>45884</v>
      </c>
      <c r="F1373" s="301" t="n">
        <v>45884</v>
      </c>
      <c r="G1373" s="5" t="inlineStr">
        <is>
          <t>PR2526-01836</t>
        </is>
      </c>
      <c r="H1373" s="5" t="inlineStr">
        <is>
          <t>PO2526-02734</t>
        </is>
      </c>
      <c r="I1373" s="286" t="n">
        <v>45894</v>
      </c>
      <c r="J1373" s="77" t="n"/>
      <c r="K1373" s="20" t="n">
        <v>30</v>
      </c>
      <c r="L1373" s="5" t="inlineStr">
        <is>
          <t>SFST81000048</t>
        </is>
      </c>
      <c r="M1373" s="7" t="inlineStr">
        <is>
          <t>Consumable part for MN</t>
        </is>
      </c>
      <c r="N1373" s="7" t="inlineStr">
        <is>
          <t>Consumable part</t>
        </is>
      </c>
      <c r="O1373" s="11" t="n">
        <v>1</v>
      </c>
      <c r="P1373" s="80" t="inlineStr">
        <is>
          <t>DANFOSS VALVE BODY DF-067B4032 TE5 5/8x7/8"</t>
        </is>
      </c>
      <c r="Q1373" s="277" t="n">
        <v>3</v>
      </c>
      <c r="R1373" s="5" t="inlineStr">
        <is>
          <t>PCS.</t>
        </is>
      </c>
      <c r="S1373" s="292">
        <f>RawDataGenPO[[#This Row],[Total price]]/RawDataGenPO[[#This Row],[Qty'']]</f>
        <v/>
      </c>
      <c r="T1373" s="278" t="n">
        <v>3600</v>
      </c>
      <c r="U1373" s="291" t="n"/>
      <c r="V1373" s="7" t="inlineStr">
        <is>
          <t>V1000762 - PORNNARIN P N SERVICE LIMITED PARTNERSHIP</t>
        </is>
      </c>
      <c r="W1373" s="30" t="inlineStr">
        <is>
          <t>Recive bill and GRN already</t>
        </is>
      </c>
      <c r="X1373" s="5" t="inlineStr">
        <is>
          <t>GRN2526-0003520</t>
        </is>
      </c>
      <c r="Y1373" s="3" t="n">
        <v>45901</v>
      </c>
      <c r="AA1373" s="17">
        <f>IF(RawDataGenPO[[#This Row],[Date Gen PO]]="","",RawDataGenPO[[#This Row],[Date recive bill]]-RawDataGenPO[[#This Row],[Date Gen PO]])</f>
        <v/>
      </c>
      <c r="AB1373" s="16">
        <f>IF(RawDataGenPO[[#This Row],[GRN-PO date]]&gt;RawDataGenPO[[#This Row],[Lead time delivery (day)]],"over deliverry","Ontime")</f>
        <v/>
      </c>
      <c r="AC1373" s="22" t="n"/>
    </row>
    <row r="1374" ht="15" customHeight="1">
      <c r="A1374" s="5">
        <f>ROW()-ROW(RawDataGenPO[[#Headers],[No.]])</f>
        <v/>
      </c>
      <c r="B1374" s="7" t="inlineStr">
        <is>
          <t>Expent  cost</t>
        </is>
      </c>
      <c r="C1374" s="275" t="n">
        <v>45884</v>
      </c>
      <c r="F1374" s="301" t="n">
        <v>45884</v>
      </c>
      <c r="G1374" s="5" t="inlineStr">
        <is>
          <t>PR2526-01836</t>
        </is>
      </c>
      <c r="H1374" s="5" t="inlineStr">
        <is>
          <t>PO2526-02734</t>
        </is>
      </c>
      <c r="I1374" s="286" t="n">
        <v>45894</v>
      </c>
      <c r="J1374" s="77" t="n"/>
      <c r="K1374" s="20" t="n">
        <v>30</v>
      </c>
      <c r="L1374" s="5" t="inlineStr">
        <is>
          <t>SFST81000048</t>
        </is>
      </c>
      <c r="M1374" s="7" t="inlineStr">
        <is>
          <t>Cooling machine for PD line</t>
        </is>
      </c>
      <c r="N1374" s="7" t="inlineStr">
        <is>
          <t>Condencer Unit No.29 (Air Blast Freezer2)</t>
        </is>
      </c>
      <c r="O1374" s="11" t="n">
        <v>2</v>
      </c>
      <c r="P1374" s="80" t="inlineStr">
        <is>
          <t>DANFOSS ORIFICE TE5 No.04</t>
        </is>
      </c>
      <c r="Q1374" s="277" t="n">
        <v>3</v>
      </c>
      <c r="R1374" s="5" t="inlineStr">
        <is>
          <t>PCS.</t>
        </is>
      </c>
      <c r="S1374" s="292">
        <f>RawDataGenPO[[#This Row],[Total price]]/RawDataGenPO[[#This Row],[Qty'']]</f>
        <v/>
      </c>
      <c r="T1374" s="278" t="n">
        <v>4800</v>
      </c>
      <c r="U1374" s="291" t="n"/>
      <c r="V1374" s="7" t="inlineStr">
        <is>
          <t>V1000762 - PORNNARIN P N SERVICE LIMITED PARTNERSHIP</t>
        </is>
      </c>
      <c r="W1374" s="30" t="inlineStr">
        <is>
          <t>Recive bill and GRN already</t>
        </is>
      </c>
      <c r="X1374" s="5" t="inlineStr">
        <is>
          <t>GRN2526-0003520</t>
        </is>
      </c>
      <c r="Y1374" s="3" t="n">
        <v>45901</v>
      </c>
      <c r="AA1374" s="17">
        <f>IF(RawDataGenPO[[#This Row],[Date Gen PO]]="","",RawDataGenPO[[#This Row],[Date recive bill]]-RawDataGenPO[[#This Row],[Date Gen PO]])</f>
        <v/>
      </c>
      <c r="AB1374" s="16">
        <f>IF(RawDataGenPO[[#This Row],[GRN-PO date]]&gt;RawDataGenPO[[#This Row],[Lead time delivery (day)]],"over deliverry","Ontime")</f>
        <v/>
      </c>
      <c r="AC1374" s="22" t="n"/>
    </row>
    <row r="1375" ht="15" customHeight="1">
      <c r="A1375" s="5">
        <f>ROW()-ROW(RawDataGenPO[[#Headers],[No.]])</f>
        <v/>
      </c>
      <c r="B1375" s="7" t="inlineStr">
        <is>
          <t>Expent  cost</t>
        </is>
      </c>
      <c r="C1375" s="275" t="n">
        <v>45884</v>
      </c>
      <c r="F1375" s="301" t="n">
        <v>45884</v>
      </c>
      <c r="G1375" s="5" t="inlineStr">
        <is>
          <t>PR2526-01836</t>
        </is>
      </c>
      <c r="H1375" s="5" t="inlineStr">
        <is>
          <t>PO2526-02734</t>
        </is>
      </c>
      <c r="I1375" s="286" t="n">
        <v>45894</v>
      </c>
      <c r="J1375" s="77" t="n"/>
      <c r="K1375" s="20" t="n">
        <v>30</v>
      </c>
      <c r="L1375" s="5" t="inlineStr">
        <is>
          <t>SFST81000048</t>
        </is>
      </c>
      <c r="M1375" s="7" t="inlineStr">
        <is>
          <t>Cooling machine for PD line</t>
        </is>
      </c>
      <c r="N1375" s="7" t="inlineStr">
        <is>
          <t>Condencer Unit No.29 (Air Blast Freezer2)</t>
        </is>
      </c>
      <c r="O1375" s="11" t="n">
        <v>3</v>
      </c>
      <c r="P1375" s="80" t="inlineStr">
        <is>
          <t>DANFOSS Expansion Valve TE5 R404A/R507</t>
        </is>
      </c>
      <c r="Q1375" s="277" t="n">
        <v>3</v>
      </c>
      <c r="R1375" s="5" t="inlineStr">
        <is>
          <t>PCS.</t>
        </is>
      </c>
      <c r="S1375" s="292">
        <f>RawDataGenPO[[#This Row],[Total price]]/RawDataGenPO[[#This Row],[Qty'']]</f>
        <v/>
      </c>
      <c r="T1375" s="278" t="n">
        <v>9300</v>
      </c>
      <c r="U1375" s="291" t="n"/>
      <c r="V1375" s="7" t="inlineStr">
        <is>
          <t>V1000762 - PORNNARIN P N SERVICE LIMITED PARTNERSHIP</t>
        </is>
      </c>
      <c r="W1375" s="30" t="inlineStr">
        <is>
          <t>Recive bill and GRN already</t>
        </is>
      </c>
      <c r="X1375" s="5" t="inlineStr">
        <is>
          <t>GRN2526-0003520</t>
        </is>
      </c>
      <c r="Y1375" s="3" t="n">
        <v>45901</v>
      </c>
      <c r="AA1375" s="17">
        <f>IF(RawDataGenPO[[#This Row],[Date Gen PO]]="","",RawDataGenPO[[#This Row],[Date recive bill]]-RawDataGenPO[[#This Row],[Date Gen PO]])</f>
        <v/>
      </c>
      <c r="AB1375" s="16">
        <f>IF(RawDataGenPO[[#This Row],[GRN-PO date]]&gt;RawDataGenPO[[#This Row],[Lead time delivery (day)]],"over deliverry","Ontime")</f>
        <v/>
      </c>
      <c r="AC1375" s="22" t="n"/>
    </row>
    <row r="1376" ht="15" customHeight="1">
      <c r="A1376" s="5">
        <f>ROW()-ROW(RawDataGenPO[[#Headers],[No.]])</f>
        <v/>
      </c>
      <c r="B1376" s="7" t="inlineStr">
        <is>
          <t>Expent  cost</t>
        </is>
      </c>
      <c r="C1376" s="275" t="n">
        <v>45884</v>
      </c>
      <c r="F1376" s="301" t="n">
        <v>45884</v>
      </c>
      <c r="G1376" s="5" t="inlineStr">
        <is>
          <t>PR2526-01836</t>
        </is>
      </c>
      <c r="H1376" s="5" t="inlineStr">
        <is>
          <t>PO2526-02734</t>
        </is>
      </c>
      <c r="I1376" s="286" t="n">
        <v>45894</v>
      </c>
      <c r="J1376" s="77" t="n"/>
      <c r="K1376" s="20" t="n">
        <v>30</v>
      </c>
      <c r="L1376" s="5" t="inlineStr">
        <is>
          <t>SFST81000048</t>
        </is>
      </c>
      <c r="M1376" s="7" t="inlineStr">
        <is>
          <t>Cooling machine for PD line</t>
        </is>
      </c>
      <c r="N1376" s="7" t="inlineStr">
        <is>
          <t>Condencer Unit No.29 (Air Blast Freezer2)</t>
        </is>
      </c>
      <c r="O1376" s="11" t="n">
        <v>4</v>
      </c>
      <c r="P1376" s="80" t="inlineStr">
        <is>
          <t>Copper tube Type L 5/8"</t>
        </is>
      </c>
      <c r="Q1376" s="277" t="n">
        <v>1</v>
      </c>
      <c r="R1376" s="5" t="inlineStr">
        <is>
          <t>PCS.</t>
        </is>
      </c>
      <c r="S1376" s="292">
        <f>RawDataGenPO[[#This Row],[Total price]]/RawDataGenPO[[#This Row],[Qty'']]</f>
        <v/>
      </c>
      <c r="T1376" s="278" t="n">
        <v>2000</v>
      </c>
      <c r="U1376" s="291" t="n"/>
      <c r="V1376" s="7" t="inlineStr">
        <is>
          <t>V1000762 - PORNNARIN P N SERVICE LIMITED PARTNERSHIP</t>
        </is>
      </c>
      <c r="W1376" s="30" t="inlineStr">
        <is>
          <t>Recive bill and GRN already</t>
        </is>
      </c>
      <c r="X1376" s="5" t="inlineStr">
        <is>
          <t>GRN2526-0003520</t>
        </is>
      </c>
      <c r="Y1376" s="3" t="n">
        <v>45901</v>
      </c>
      <c r="AA1376" s="17">
        <f>IF(RawDataGenPO[[#This Row],[Date Gen PO]]="","",RawDataGenPO[[#This Row],[Date recive bill]]-RawDataGenPO[[#This Row],[Date Gen PO]])</f>
        <v/>
      </c>
      <c r="AB1376" s="16">
        <f>IF(RawDataGenPO[[#This Row],[GRN-PO date]]&gt;RawDataGenPO[[#This Row],[Lead time delivery (day)]],"over deliverry","Ontime")</f>
        <v/>
      </c>
      <c r="AC1376" s="22" t="n"/>
    </row>
    <row r="1377" ht="15" customHeight="1">
      <c r="A1377" s="5">
        <f>ROW()-ROW(RawDataGenPO[[#Headers],[No.]])</f>
        <v/>
      </c>
      <c r="B1377" s="7" t="inlineStr">
        <is>
          <t>Expent  cost</t>
        </is>
      </c>
      <c r="C1377" s="275" t="n">
        <v>45884</v>
      </c>
      <c r="F1377" s="301" t="n">
        <v>45884</v>
      </c>
      <c r="G1377" s="5" t="inlineStr">
        <is>
          <t>PR2526-01836</t>
        </is>
      </c>
      <c r="H1377" s="5" t="inlineStr">
        <is>
          <t>PO2526-02734</t>
        </is>
      </c>
      <c r="I1377" s="286" t="n">
        <v>45894</v>
      </c>
      <c r="J1377" s="77" t="n"/>
      <c r="K1377" s="20" t="n">
        <v>30</v>
      </c>
      <c r="L1377" s="5" t="inlineStr">
        <is>
          <t>SFST81000048</t>
        </is>
      </c>
      <c r="M1377" s="7" t="inlineStr">
        <is>
          <t>Cooling machine for PD line</t>
        </is>
      </c>
      <c r="N1377" s="7" t="inlineStr">
        <is>
          <t>Condencer Unit No.29 (Air Blast Freezer2)</t>
        </is>
      </c>
      <c r="O1377" s="11" t="n">
        <v>5</v>
      </c>
      <c r="P1377" s="80" t="inlineStr">
        <is>
          <t>Copper tube Type L 7/8"</t>
        </is>
      </c>
      <c r="Q1377" s="277" t="n">
        <v>1</v>
      </c>
      <c r="R1377" s="5" t="inlineStr">
        <is>
          <t>PCS.</t>
        </is>
      </c>
      <c r="S1377" s="292">
        <f>RawDataGenPO[[#This Row],[Total price]]/RawDataGenPO[[#This Row],[Qty'']]</f>
        <v/>
      </c>
      <c r="T1377" s="278" t="n">
        <v>2500</v>
      </c>
      <c r="U1377" s="291" t="n"/>
      <c r="V1377" s="7" t="inlineStr">
        <is>
          <t>V1000762 - PORNNARIN P N SERVICE LIMITED PARTNERSHIP</t>
        </is>
      </c>
      <c r="W1377" s="30" t="inlineStr">
        <is>
          <t>Recive bill and GRN already</t>
        </is>
      </c>
      <c r="X1377" s="5" t="inlineStr">
        <is>
          <t>GRN2526-0003520</t>
        </is>
      </c>
      <c r="Y1377" s="3" t="n">
        <v>45901</v>
      </c>
      <c r="AA1377" s="17">
        <f>IF(RawDataGenPO[[#This Row],[Date Gen PO]]="","",RawDataGenPO[[#This Row],[Date recive bill]]-RawDataGenPO[[#This Row],[Date Gen PO]])</f>
        <v/>
      </c>
      <c r="AB1377" s="16">
        <f>IF(RawDataGenPO[[#This Row],[GRN-PO date]]&gt;RawDataGenPO[[#This Row],[Lead time delivery (day)]],"over deliverry","Ontime")</f>
        <v/>
      </c>
      <c r="AC1377" s="22" t="n"/>
    </row>
    <row r="1378" ht="15" customHeight="1">
      <c r="A1378" s="5">
        <f>ROW()-ROW(RawDataGenPO[[#Headers],[No.]])</f>
        <v/>
      </c>
      <c r="B1378" s="7" t="inlineStr">
        <is>
          <t>Expent  cost</t>
        </is>
      </c>
      <c r="C1378" s="275" t="n">
        <v>45884</v>
      </c>
      <c r="F1378" s="301" t="n">
        <v>45884</v>
      </c>
      <c r="G1378" s="5" t="inlineStr">
        <is>
          <t>PR2526-01836</t>
        </is>
      </c>
      <c r="H1378" s="5" t="inlineStr">
        <is>
          <t>PO2526-02734</t>
        </is>
      </c>
      <c r="I1378" s="286" t="n">
        <v>45894</v>
      </c>
      <c r="J1378" s="77" t="n"/>
      <c r="K1378" s="20" t="n">
        <v>30</v>
      </c>
      <c r="L1378" s="5" t="inlineStr">
        <is>
          <t>SFST81000048</t>
        </is>
      </c>
      <c r="M1378" s="7" t="inlineStr">
        <is>
          <t>Cooling machine for PD line</t>
        </is>
      </c>
      <c r="N1378" s="7" t="inlineStr">
        <is>
          <t>Condencer Unit No.29 (Air Blast Freezer2)</t>
        </is>
      </c>
      <c r="O1378" s="11" t="n">
        <v>6</v>
      </c>
      <c r="P1378" s="80" t="inlineStr">
        <is>
          <t>Labour cost</t>
        </is>
      </c>
      <c r="Q1378" s="277" t="n">
        <v>1</v>
      </c>
      <c r="R1378" s="5" t="inlineStr">
        <is>
          <t>PCS.</t>
        </is>
      </c>
      <c r="S1378" s="292">
        <f>RawDataGenPO[[#This Row],[Total price]]/RawDataGenPO[[#This Row],[Qty'']]</f>
        <v/>
      </c>
      <c r="T1378" s="278" t="n">
        <v>23250</v>
      </c>
      <c r="U1378" s="291" t="n"/>
      <c r="V1378" s="7" t="inlineStr">
        <is>
          <t>V1000762 - PORNNARIN P N SERVICE LIMITED PARTNERSHIP</t>
        </is>
      </c>
      <c r="W1378" s="30" t="inlineStr">
        <is>
          <t>Recive bill and GRN already</t>
        </is>
      </c>
      <c r="X1378" s="5" t="inlineStr">
        <is>
          <t>GRN2526-0003521</t>
        </is>
      </c>
      <c r="Y1378" s="3" t="n">
        <v>45901</v>
      </c>
      <c r="AA1378" s="17">
        <f>IF(RawDataGenPO[[#This Row],[Date Gen PO]]="","",RawDataGenPO[[#This Row],[Date recive bill]]-RawDataGenPO[[#This Row],[Date Gen PO]])</f>
        <v/>
      </c>
      <c r="AB1378" s="16">
        <f>IF(RawDataGenPO[[#This Row],[GRN-PO date]]&gt;RawDataGenPO[[#This Row],[Lead time delivery (day)]],"over deliverry","Ontime")</f>
        <v/>
      </c>
      <c r="AC1378" s="22" t="n"/>
    </row>
    <row r="1379" ht="19.20000076293945" customHeight="1">
      <c r="A1379" s="5">
        <f>ROW()-ROW(RawDataGenPO[[#Headers],[No.]])</f>
        <v/>
      </c>
      <c r="B1379" s="7" t="inlineStr">
        <is>
          <t>Expent  cost</t>
        </is>
      </c>
      <c r="C1379" s="275" t="n">
        <v>45884</v>
      </c>
      <c r="F1379" s="301" t="n">
        <v>45884</v>
      </c>
      <c r="G1379" s="5" t="inlineStr">
        <is>
          <t>PR2526-01837</t>
        </is>
      </c>
      <c r="H1379" s="5" t="inlineStr">
        <is>
          <t>PO2526-02735</t>
        </is>
      </c>
      <c r="I1379" s="286" t="n">
        <v>45894</v>
      </c>
      <c r="J1379" s="56" t="n"/>
      <c r="K1379" s="20" t="n">
        <v>30</v>
      </c>
      <c r="L1379" s="5" t="inlineStr">
        <is>
          <t>SFST34000046</t>
        </is>
      </c>
      <c r="M1379" s="7" t="inlineStr">
        <is>
          <t>Consumable part for MN</t>
        </is>
      </c>
      <c r="N1379" s="73" t="inlineStr">
        <is>
          <t>Electrical jobs</t>
        </is>
      </c>
      <c r="O1379" s="11" t="n">
        <v>1</v>
      </c>
      <c r="P1379" s="80" t="inlineStr">
        <is>
          <t>Philips, TCW099, 2x36w,lamp waterproof dustproof rainproof 36w</t>
        </is>
      </c>
      <c r="Q1379" s="277" t="n">
        <v>8</v>
      </c>
      <c r="R1379" s="5" t="inlineStr">
        <is>
          <t>PCS.</t>
        </is>
      </c>
      <c r="S1379" s="284">
        <f>RawDataGenPO[[#This Row],[Total price]]/RawDataGenPO[[#This Row],[Qty'']]</f>
        <v/>
      </c>
      <c r="T1379" s="278" t="n">
        <v>10480</v>
      </c>
      <c r="U1379" s="291" t="n"/>
      <c r="W1379" s="30" t="inlineStr">
        <is>
          <t>Recive bill and GRN already</t>
        </is>
      </c>
      <c r="X1379" s="5" t="inlineStr">
        <is>
          <t>GRN2526-0003676</t>
        </is>
      </c>
      <c r="Y1379" s="3" t="n">
        <v>45906</v>
      </c>
      <c r="Z1379" s="23" t="n"/>
      <c r="AA1379" s="17">
        <f>IF(RawDataGenPO[[#This Row],[Date Gen PO]]="","",RawDataGenPO[[#This Row],[Date recive bill]]-RawDataGenPO[[#This Row],[Date Gen PO]])</f>
        <v/>
      </c>
      <c r="AB1379" s="16">
        <f>IF(RawDataGenPO[[#This Row],[GRN-PO date]]&gt;RawDataGenPO[[#This Row],[Lead time delivery (day)]],"over deliverry","Ontime")</f>
        <v/>
      </c>
      <c r="AC1379" s="22" t="n"/>
    </row>
    <row r="1380" ht="19.20000076293945" customHeight="1">
      <c r="A1380" s="5">
        <f>ROW()-ROW(RawDataGenPO[[#Headers],[No.]])</f>
        <v/>
      </c>
      <c r="B1380" s="7" t="inlineStr">
        <is>
          <t>Expent  cost</t>
        </is>
      </c>
      <c r="C1380" s="275" t="n">
        <v>45884</v>
      </c>
      <c r="F1380" s="301" t="n">
        <v>45884</v>
      </c>
      <c r="G1380" s="5" t="inlineStr">
        <is>
          <t>PR2526-01837</t>
        </is>
      </c>
      <c r="H1380" s="5" t="inlineStr">
        <is>
          <t>PO2526-02735</t>
        </is>
      </c>
      <c r="I1380" s="286" t="n">
        <v>45894</v>
      </c>
      <c r="J1380" s="77" t="n"/>
      <c r="K1380" s="20" t="n">
        <v>30</v>
      </c>
      <c r="L1380" s="5" t="inlineStr">
        <is>
          <t>SFST34000046</t>
        </is>
      </c>
      <c r="M1380" s="7" t="inlineStr">
        <is>
          <t>Consumable part for MN</t>
        </is>
      </c>
      <c r="N1380" s="73" t="inlineStr">
        <is>
          <t>Electrical jobs</t>
        </is>
      </c>
      <c r="O1380" s="11" t="n">
        <v>2</v>
      </c>
      <c r="P1380" s="80" t="inlineStr">
        <is>
          <t>Philips, TCW099, 2x36w,lamp waterproof dustproof rainproof 36w</t>
        </is>
      </c>
      <c r="Q1380" s="277" t="n">
        <v>42</v>
      </c>
      <c r="R1380" s="5" t="inlineStr">
        <is>
          <t>PCS.</t>
        </is>
      </c>
      <c r="S1380" s="292">
        <f>RawDataGenPO[[#This Row],[Total price]]/RawDataGenPO[[#This Row],[Qty'']]</f>
        <v/>
      </c>
      <c r="T1380" s="278" t="n">
        <v>65500</v>
      </c>
      <c r="U1380" s="291" t="n"/>
      <c r="V1380" s="7" t="inlineStr">
        <is>
          <t>V1000729 - BN SUPPLY 1991 CO., LTD.</t>
        </is>
      </c>
      <c r="W1380" s="30" t="inlineStr">
        <is>
          <t>Recive bill and GRN already</t>
        </is>
      </c>
      <c r="X1380" s="5" t="inlineStr">
        <is>
          <t>GRN2526-0003811</t>
        </is>
      </c>
      <c r="Y1380" s="3" t="n">
        <v>45911</v>
      </c>
      <c r="AA1380" s="17">
        <f>IF(RawDataGenPO[[#This Row],[Date Gen PO]]="","",RawDataGenPO[[#This Row],[Date recive bill]]-RawDataGenPO[[#This Row],[Date Gen PO]])</f>
        <v/>
      </c>
      <c r="AB1380" s="16">
        <f>IF(RawDataGenPO[[#This Row],[GRN-PO date]]&gt;RawDataGenPO[[#This Row],[Lead time delivery (day)]],"over deliverry","Ontime")</f>
        <v/>
      </c>
      <c r="AC1380" s="22" t="n"/>
    </row>
    <row r="1381" ht="15" customHeight="1">
      <c r="A1381" s="5">
        <f>ROW()-ROW(RawDataGenPO[[#Headers],[No.]])</f>
        <v/>
      </c>
      <c r="B1381" s="7" t="inlineStr">
        <is>
          <t>Expent  cost</t>
        </is>
      </c>
      <c r="C1381" s="275" t="n">
        <v>45884</v>
      </c>
      <c r="F1381" s="301" t="n">
        <v>45884</v>
      </c>
      <c r="G1381" s="5" t="inlineStr">
        <is>
          <t>PR2526-01838</t>
        </is>
      </c>
      <c r="H1381" s="5" t="inlineStr">
        <is>
          <t>PO2526-02736</t>
        </is>
      </c>
      <c r="I1381" s="286" t="n">
        <v>45894</v>
      </c>
      <c r="J1381" s="77" t="n"/>
      <c r="K1381" s="20" t="n">
        <v>30</v>
      </c>
      <c r="L1381" s="5" t="inlineStr">
        <is>
          <t>SFST34000171</t>
        </is>
      </c>
      <c r="M1381" s="7" t="inlineStr">
        <is>
          <t>Consumable part for MN</t>
        </is>
      </c>
      <c r="N1381" s="7" t="inlineStr">
        <is>
          <t>Cevil quipment  &amp; Part</t>
        </is>
      </c>
      <c r="O1381" s="11" t="n">
        <v>1</v>
      </c>
      <c r="P1381" s="80" t="inlineStr">
        <is>
          <t>fittingstraight coupling stainless steel pcsmale 1/2 inch (150 mm)</t>
        </is>
      </c>
      <c r="Q1381" s="277" t="n">
        <v>10</v>
      </c>
      <c r="R1381" s="5" t="inlineStr">
        <is>
          <t>PCS.</t>
        </is>
      </c>
      <c r="S1381" s="292">
        <f>RawDataGenPO[[#This Row],[Total price]]/RawDataGenPO[[#This Row],[Qty'']]</f>
        <v/>
      </c>
      <c r="T1381" s="278" t="n">
        <v>650</v>
      </c>
      <c r="U1381" s="291" t="n"/>
      <c r="V1381" s="7" t="inlineStr">
        <is>
          <t>V1000840 - S.Q. &amp; CO CO., LTD</t>
        </is>
      </c>
      <c r="W1381" s="30" t="inlineStr">
        <is>
          <t>Recive bill and GRN already</t>
        </is>
      </c>
      <c r="X1381" s="5" t="inlineStr">
        <is>
          <t>GRN2526-0003516</t>
        </is>
      </c>
      <c r="Y1381" s="3" t="n">
        <v>45901</v>
      </c>
      <c r="AA1381" s="17">
        <f>IF(RawDataGenPO[[#This Row],[Date Gen PO]]="","",RawDataGenPO[[#This Row],[Date recive bill]]-RawDataGenPO[[#This Row],[Date Gen PO]])</f>
        <v/>
      </c>
      <c r="AB1381" s="16">
        <f>IF(RawDataGenPO[[#This Row],[GRN-PO date]]&gt;RawDataGenPO[[#This Row],[Lead time delivery (day)]],"over deliverry","Ontime")</f>
        <v/>
      </c>
      <c r="AC1381" s="22" t="n"/>
    </row>
    <row r="1382" ht="15" customHeight="1">
      <c r="A1382" s="5">
        <f>ROW()-ROW(RawDataGenPO[[#Headers],[No.]])</f>
        <v/>
      </c>
      <c r="B1382" s="7" t="inlineStr">
        <is>
          <t>Expent  cost</t>
        </is>
      </c>
      <c r="C1382" s="275" t="n">
        <v>45884</v>
      </c>
      <c r="F1382" s="301" t="n">
        <v>45884</v>
      </c>
      <c r="G1382" s="5" t="inlineStr">
        <is>
          <t>PR2526-01838</t>
        </is>
      </c>
      <c r="H1382" s="5" t="inlineStr">
        <is>
          <t>PO2526-02736</t>
        </is>
      </c>
      <c r="I1382" s="286" t="n">
        <v>45894</v>
      </c>
      <c r="J1382" s="77" t="n"/>
      <c r="K1382" s="20" t="n">
        <v>30</v>
      </c>
      <c r="L1382" s="5" t="inlineStr">
        <is>
          <t>SFST34000172</t>
        </is>
      </c>
      <c r="M1382" s="7" t="inlineStr">
        <is>
          <t>Consumable part for MN</t>
        </is>
      </c>
      <c r="N1382" s="7" t="inlineStr">
        <is>
          <t>Cevil quipment  &amp; Part</t>
        </is>
      </c>
      <c r="O1382" s="11" t="n">
        <v>2</v>
      </c>
      <c r="P1382" s="80" t="inlineStr">
        <is>
          <t>fittingstraight coupling stainless steel pcsmale 3/4 inch (150 mm)</t>
        </is>
      </c>
      <c r="Q1382" s="277" t="n">
        <v>10</v>
      </c>
      <c r="R1382" s="5" t="inlineStr">
        <is>
          <t>PCS.</t>
        </is>
      </c>
      <c r="S1382" s="292">
        <f>RawDataGenPO[[#This Row],[Total price]]/RawDataGenPO[[#This Row],[Qty'']]</f>
        <v/>
      </c>
      <c r="T1382" s="278" t="n">
        <v>750</v>
      </c>
      <c r="U1382" s="291" t="n"/>
      <c r="V1382" s="7" t="inlineStr">
        <is>
          <t>V1000840 - S.Q. &amp; CO CO., LTD</t>
        </is>
      </c>
      <c r="W1382" s="30" t="inlineStr">
        <is>
          <t>Recive bill and GRN already</t>
        </is>
      </c>
      <c r="X1382" s="5" t="inlineStr">
        <is>
          <t>GRN2526-0003516</t>
        </is>
      </c>
      <c r="Y1382" s="3" t="n">
        <v>45901</v>
      </c>
      <c r="AA1382" s="17">
        <f>IF(RawDataGenPO[[#This Row],[Date Gen PO]]="","",RawDataGenPO[[#This Row],[Date recive bill]]-RawDataGenPO[[#This Row],[Date Gen PO]])</f>
        <v/>
      </c>
      <c r="AB1382" s="16">
        <f>IF(RawDataGenPO[[#This Row],[GRN-PO date]]&gt;RawDataGenPO[[#This Row],[Lead time delivery (day)]],"over deliverry","Ontime")</f>
        <v/>
      </c>
      <c r="AC1382" s="22" t="n"/>
    </row>
    <row r="1383" ht="15" customHeight="1">
      <c r="A1383" s="5">
        <f>ROW()-ROW(RawDataGenPO[[#Headers],[No.]])</f>
        <v/>
      </c>
      <c r="B1383" s="7" t="inlineStr">
        <is>
          <t>Expent  cost</t>
        </is>
      </c>
      <c r="C1383" s="275" t="n">
        <v>45884</v>
      </c>
      <c r="F1383" s="301" t="n">
        <v>45884</v>
      </c>
      <c r="G1383" s="5" t="inlineStr">
        <is>
          <t>PR2526-01838</t>
        </is>
      </c>
      <c r="H1383" s="5" t="inlineStr">
        <is>
          <t>PO2526-02736</t>
        </is>
      </c>
      <c r="I1383" s="286" t="n">
        <v>45894</v>
      </c>
      <c r="J1383" s="77" t="n"/>
      <c r="K1383" s="20" t="n">
        <v>30</v>
      </c>
      <c r="L1383" s="5" t="inlineStr">
        <is>
          <t>SFST81000009</t>
        </is>
      </c>
      <c r="M1383" s="7" t="inlineStr">
        <is>
          <t>Office tool &amp; machine</t>
        </is>
      </c>
      <c r="N1383" s="7" t="inlineStr">
        <is>
          <t>Cevil quipment  &amp; Part</t>
        </is>
      </c>
      <c r="O1383" s="11" t="n">
        <v>3</v>
      </c>
      <c r="P1383" s="80" t="inlineStr">
        <is>
          <t>unionfemale thread stainless steel 304 size 1 inch</t>
        </is>
      </c>
      <c r="Q1383" s="277" t="n">
        <v>20</v>
      </c>
      <c r="R1383" s="5" t="inlineStr">
        <is>
          <t>PCS.</t>
        </is>
      </c>
      <c r="S1383" s="292">
        <f>RawDataGenPO[[#This Row],[Total price]]/RawDataGenPO[[#This Row],[Qty'']]</f>
        <v/>
      </c>
      <c r="T1383" s="278" t="n">
        <v>2400</v>
      </c>
      <c r="U1383" s="291" t="n"/>
      <c r="V1383" s="7" t="inlineStr">
        <is>
          <t>V1000840 - S.Q. &amp; CO CO., LTD</t>
        </is>
      </c>
      <c r="W1383" s="30" t="inlineStr">
        <is>
          <t>Recive bill and GRN already</t>
        </is>
      </c>
      <c r="X1383" s="5" t="inlineStr">
        <is>
          <t>GRN2526-0003671</t>
        </is>
      </c>
      <c r="Y1383" s="3" t="n">
        <v>45906</v>
      </c>
      <c r="AA1383" s="17">
        <f>IF(RawDataGenPO[[#This Row],[Date Gen PO]]="","",RawDataGenPO[[#This Row],[Date recive bill]]-RawDataGenPO[[#This Row],[Date Gen PO]])</f>
        <v/>
      </c>
      <c r="AB1383" s="16">
        <f>IF(RawDataGenPO[[#This Row],[GRN-PO date]]&gt;RawDataGenPO[[#This Row],[Lead time delivery (day)]],"over deliverry","Ontime")</f>
        <v/>
      </c>
      <c r="AC1383" s="22" t="n"/>
    </row>
    <row r="1384" ht="15" customHeight="1">
      <c r="A1384" s="5">
        <f>ROW()-ROW(RawDataGenPO[[#Headers],[No.]])</f>
        <v/>
      </c>
      <c r="B1384" s="7" t="inlineStr">
        <is>
          <t>Expent  cost</t>
        </is>
      </c>
      <c r="C1384" s="275" t="n">
        <v>45884</v>
      </c>
      <c r="F1384" s="301" t="n">
        <v>45884</v>
      </c>
      <c r="G1384" s="5" t="inlineStr">
        <is>
          <t>PR2526-01838</t>
        </is>
      </c>
      <c r="H1384" s="5" t="inlineStr">
        <is>
          <t>PO2526-02736</t>
        </is>
      </c>
      <c r="I1384" s="286" t="n">
        <v>45894</v>
      </c>
      <c r="J1384" s="77" t="n"/>
      <c r="K1384" s="20" t="n">
        <v>30</v>
      </c>
      <c r="L1384" s="5" t="inlineStr">
        <is>
          <t>SFST81000009</t>
        </is>
      </c>
      <c r="M1384" s="7" t="inlineStr">
        <is>
          <t>Office tool &amp; machine</t>
        </is>
      </c>
      <c r="N1384" s="7" t="inlineStr">
        <is>
          <t>Cevil quipment  &amp; Part</t>
        </is>
      </c>
      <c r="O1384" s="11" t="n">
        <v>4</v>
      </c>
      <c r="P1384" s="80" t="inlineStr">
        <is>
          <t>unionfemale thread stainless steel 304 size 1 inch</t>
        </is>
      </c>
      <c r="Q1384" s="277" t="n">
        <v>20</v>
      </c>
      <c r="R1384" s="5" t="inlineStr">
        <is>
          <t>PCS.</t>
        </is>
      </c>
      <c r="S1384" s="292">
        <f>RawDataGenPO[[#This Row],[Total price]]/RawDataGenPO[[#This Row],[Qty'']]</f>
        <v/>
      </c>
      <c r="T1384" s="278" t="n">
        <v>13000</v>
      </c>
      <c r="U1384" s="291" t="n"/>
      <c r="V1384" s="7" t="inlineStr">
        <is>
          <t>V1000840 - S.Q. &amp; CO CO., LTD</t>
        </is>
      </c>
      <c r="W1384" s="30" t="inlineStr">
        <is>
          <t>Recive bill and GRN already</t>
        </is>
      </c>
      <c r="X1384" s="5" t="inlineStr">
        <is>
          <t>GRN2526-0003516</t>
        </is>
      </c>
      <c r="Y1384" s="3" t="n">
        <v>45901</v>
      </c>
      <c r="AA1384" s="17">
        <f>IF(RawDataGenPO[[#This Row],[Date Gen PO]]="","",RawDataGenPO[[#This Row],[Date recive bill]]-RawDataGenPO[[#This Row],[Date Gen PO]])</f>
        <v/>
      </c>
      <c r="AB1384" s="16">
        <f>IF(RawDataGenPO[[#This Row],[GRN-PO date]]&gt;RawDataGenPO[[#This Row],[Lead time delivery (day)]],"over deliverry","Ontime")</f>
        <v/>
      </c>
      <c r="AC1384" s="22" t="n"/>
    </row>
    <row r="1385" ht="15" customHeight="1">
      <c r="A1385" s="5">
        <f>ROW()-ROW(RawDataGenPO[[#Headers],[No.]])</f>
        <v/>
      </c>
      <c r="B1385" s="7" t="inlineStr">
        <is>
          <t>Expent  cost</t>
        </is>
      </c>
      <c r="C1385" s="275" t="n">
        <v>45884</v>
      </c>
      <c r="F1385" s="301" t="n">
        <v>45884</v>
      </c>
      <c r="G1385" s="5" t="inlineStr">
        <is>
          <t>PR2526-01838</t>
        </is>
      </c>
      <c r="H1385" s="5" t="inlineStr">
        <is>
          <t>PO2526-02736</t>
        </is>
      </c>
      <c r="I1385" s="286" t="n">
        <v>45894</v>
      </c>
      <c r="J1385" s="77" t="n"/>
      <c r="K1385" s="20" t="n">
        <v>30</v>
      </c>
      <c r="L1385" s="5" t="inlineStr">
        <is>
          <t>SFST81000009</t>
        </is>
      </c>
      <c r="M1385" s="7" t="inlineStr">
        <is>
          <t>Office tool &amp; machine</t>
        </is>
      </c>
      <c r="N1385" s="7" t="inlineStr">
        <is>
          <t>Cevil quipment  &amp; Part</t>
        </is>
      </c>
      <c r="O1385" s="11" t="n">
        <v>5</v>
      </c>
      <c r="P1385" s="80" t="inlineStr">
        <is>
          <t>unionfemale thread stainless steel 304 size 1/4 inch</t>
        </is>
      </c>
      <c r="Q1385" s="277" t="n">
        <v>10</v>
      </c>
      <c r="R1385" s="5" t="inlineStr">
        <is>
          <t>PCS.</t>
        </is>
      </c>
      <c r="S1385" s="292">
        <f>RawDataGenPO[[#This Row],[Total price]]/RawDataGenPO[[#This Row],[Qty'']]</f>
        <v/>
      </c>
      <c r="T1385" s="278" t="n">
        <v>380</v>
      </c>
      <c r="U1385" s="291" t="n"/>
      <c r="V1385" s="7" t="inlineStr">
        <is>
          <t>V1000840 - S.Q. &amp; CO CO., LTD</t>
        </is>
      </c>
      <c r="W1385" s="30" t="inlineStr">
        <is>
          <t>Recive bill and GRN already</t>
        </is>
      </c>
      <c r="X1385" s="5" t="inlineStr">
        <is>
          <t>GRN2526-0003516</t>
        </is>
      </c>
      <c r="Y1385" s="3" t="n">
        <v>45901</v>
      </c>
      <c r="AA1385" s="17">
        <f>IF(RawDataGenPO[[#This Row],[Date Gen PO]]="","",RawDataGenPO[[#This Row],[Date recive bill]]-RawDataGenPO[[#This Row],[Date Gen PO]])</f>
        <v/>
      </c>
      <c r="AB1385" s="16">
        <f>IF(RawDataGenPO[[#This Row],[GRN-PO date]]&gt;RawDataGenPO[[#This Row],[Lead time delivery (day)]],"over deliverry","Ontime")</f>
        <v/>
      </c>
      <c r="AC1385" s="22" t="n"/>
    </row>
    <row r="1386" ht="15" customHeight="1">
      <c r="A1386" s="5">
        <f>ROW()-ROW(RawDataGenPO[[#Headers],[No.]])</f>
        <v/>
      </c>
      <c r="B1386" s="7" t="inlineStr">
        <is>
          <t>Expent  cost</t>
        </is>
      </c>
      <c r="C1386" s="275" t="n">
        <v>45884</v>
      </c>
      <c r="F1386" s="301" t="n">
        <v>45884</v>
      </c>
      <c r="G1386" s="5" t="inlineStr">
        <is>
          <t>PR2526-01838</t>
        </is>
      </c>
      <c r="H1386" s="5" t="inlineStr">
        <is>
          <t>PO2526-02736</t>
        </is>
      </c>
      <c r="I1386" s="286" t="n">
        <v>45894</v>
      </c>
      <c r="J1386" s="77" t="n"/>
      <c r="K1386" s="20" t="n">
        <v>30</v>
      </c>
      <c r="L1386" s="5" t="inlineStr">
        <is>
          <t>SFST81000009</t>
        </is>
      </c>
      <c r="M1386" s="7" t="inlineStr">
        <is>
          <t>Office tool &amp; machine</t>
        </is>
      </c>
      <c r="N1386" s="7" t="inlineStr">
        <is>
          <t>Cevil quipment  &amp; Part</t>
        </is>
      </c>
      <c r="O1386" s="11" t="n">
        <v>6</v>
      </c>
      <c r="P1386" s="80" t="inlineStr">
        <is>
          <t>unionfemale thread stainless steel 304 size 3/4 inch</t>
        </is>
      </c>
      <c r="Q1386" s="277" t="n">
        <v>20</v>
      </c>
      <c r="R1386" s="5" t="inlineStr">
        <is>
          <t>PCS.</t>
        </is>
      </c>
      <c r="S1386" s="292">
        <f>RawDataGenPO[[#This Row],[Total price]]/RawDataGenPO[[#This Row],[Qty'']]</f>
        <v/>
      </c>
      <c r="T1386" s="278" t="n">
        <v>1960</v>
      </c>
      <c r="U1386" s="291" t="n"/>
      <c r="V1386" s="7" t="inlineStr">
        <is>
          <t>V1000840 - S.Q. &amp; CO CO., LTD</t>
        </is>
      </c>
      <c r="W1386" s="30" t="inlineStr">
        <is>
          <t>Recive bill and GRN already</t>
        </is>
      </c>
      <c r="X1386" s="5" t="inlineStr">
        <is>
          <t>GRN2526-0003516</t>
        </is>
      </c>
      <c r="Y1386" s="3" t="n">
        <v>45901</v>
      </c>
      <c r="AA1386" s="17">
        <f>IF(RawDataGenPO[[#This Row],[Date Gen PO]]="","",RawDataGenPO[[#This Row],[Date recive bill]]-RawDataGenPO[[#This Row],[Date Gen PO]])</f>
        <v/>
      </c>
      <c r="AB1386" s="16">
        <f>IF(RawDataGenPO[[#This Row],[GRN-PO date]]&gt;RawDataGenPO[[#This Row],[Lead time delivery (day)]],"over deliverry","Ontime")</f>
        <v/>
      </c>
      <c r="AC1386" s="22" t="n"/>
    </row>
    <row r="1387" ht="15" customHeight="1">
      <c r="A1387" s="5">
        <f>ROW()-ROW(RawDataGenPO[[#Headers],[No.]])</f>
        <v/>
      </c>
      <c r="B1387" s="7" t="inlineStr">
        <is>
          <t>Expent  cost</t>
        </is>
      </c>
      <c r="C1387" s="275" t="n">
        <v>45884</v>
      </c>
      <c r="F1387" s="301" t="n">
        <v>45884</v>
      </c>
      <c r="G1387" s="5" t="inlineStr">
        <is>
          <t>PR2526-01838</t>
        </is>
      </c>
      <c r="H1387" s="5" t="inlineStr">
        <is>
          <t>PO2526-02736</t>
        </is>
      </c>
      <c r="I1387" s="286" t="n">
        <v>45894</v>
      </c>
      <c r="J1387" s="77" t="n"/>
      <c r="K1387" s="20" t="n">
        <v>30</v>
      </c>
      <c r="L1387" s="5" t="inlineStr">
        <is>
          <t>SFST81000009</t>
        </is>
      </c>
      <c r="M1387" s="7" t="inlineStr">
        <is>
          <t>Office tool &amp; machine</t>
        </is>
      </c>
      <c r="N1387" s="7" t="inlineStr">
        <is>
          <t>Cevil quipment  &amp; Part</t>
        </is>
      </c>
      <c r="O1387" s="11" t="n">
        <v>7</v>
      </c>
      <c r="P1387" s="80" t="inlineStr">
        <is>
          <t>unionfemale thread stainless steel 304 size 3/8 inch</t>
        </is>
      </c>
      <c r="Q1387" s="277" t="n">
        <v>10</v>
      </c>
      <c r="R1387" s="5" t="inlineStr">
        <is>
          <t>PCS.</t>
        </is>
      </c>
      <c r="S1387" s="292">
        <f>RawDataGenPO[[#This Row],[Total price]]/RawDataGenPO[[#This Row],[Qty'']]</f>
        <v/>
      </c>
      <c r="T1387" s="278" t="n">
        <v>530</v>
      </c>
      <c r="U1387" s="291" t="n"/>
      <c r="V1387" s="7" t="inlineStr">
        <is>
          <t>V1000840 - S.Q. &amp; CO CO., LTD</t>
        </is>
      </c>
      <c r="W1387" s="30" t="inlineStr">
        <is>
          <t>Recive bill and GRN already</t>
        </is>
      </c>
      <c r="X1387" s="5" t="inlineStr">
        <is>
          <t>GRN2526-0003516</t>
        </is>
      </c>
      <c r="Y1387" s="3" t="n">
        <v>45901</v>
      </c>
      <c r="AA1387" s="17">
        <f>IF(RawDataGenPO[[#This Row],[Date Gen PO]]="","",RawDataGenPO[[#This Row],[Date recive bill]]-RawDataGenPO[[#This Row],[Date Gen PO]])</f>
        <v/>
      </c>
      <c r="AB1387" s="16">
        <f>IF(RawDataGenPO[[#This Row],[GRN-PO date]]&gt;RawDataGenPO[[#This Row],[Lead time delivery (day)]],"over deliverry","Ontime")</f>
        <v/>
      </c>
      <c r="AC1387" s="22" t="n"/>
    </row>
    <row r="1388" ht="15" customHeight="1">
      <c r="A1388" s="5">
        <f>ROW()-ROW(RawDataGenPO[[#Headers],[No.]])</f>
        <v/>
      </c>
      <c r="B1388" s="7" t="inlineStr">
        <is>
          <t>Expent  cost</t>
        </is>
      </c>
      <c r="C1388" s="275" t="n">
        <v>45884</v>
      </c>
      <c r="F1388" s="301" t="n">
        <v>45884</v>
      </c>
      <c r="G1388" s="5" t="inlineStr">
        <is>
          <t>PR2526-01838</t>
        </is>
      </c>
      <c r="H1388" s="5" t="inlineStr">
        <is>
          <t>PO2526-02736</t>
        </is>
      </c>
      <c r="I1388" s="286" t="n">
        <v>45894</v>
      </c>
      <c r="J1388" s="77" t="n"/>
      <c r="K1388" s="20" t="n">
        <v>30</v>
      </c>
      <c r="L1388" s="5" t="inlineStr">
        <is>
          <t>SFST81000009</t>
        </is>
      </c>
      <c r="M1388" s="7" t="inlineStr">
        <is>
          <t>Office tool &amp; machine</t>
        </is>
      </c>
      <c r="N1388" s="7" t="inlineStr">
        <is>
          <t>Cevil quipment  &amp; Part</t>
        </is>
      </c>
      <c r="O1388" s="11" t="n">
        <v>8</v>
      </c>
      <c r="P1388" s="80" t="inlineStr">
        <is>
          <t>unionfemale thread stainless steel 304 size 1.1/2 inch</t>
        </is>
      </c>
      <c r="Q1388" s="277" t="n">
        <v>10</v>
      </c>
      <c r="R1388" s="5" t="inlineStr">
        <is>
          <t>PCS.</t>
        </is>
      </c>
      <c r="S1388" s="292">
        <f>RawDataGenPO[[#This Row],[Total price]]/RawDataGenPO[[#This Row],[Qty'']]</f>
        <v/>
      </c>
      <c r="T1388" s="278" t="n">
        <v>2280</v>
      </c>
      <c r="U1388" s="291" t="n"/>
      <c r="V1388" s="7" t="inlineStr">
        <is>
          <t>V1000840 - S.Q. &amp; CO CO., LTD</t>
        </is>
      </c>
      <c r="W1388" s="30" t="inlineStr">
        <is>
          <t>Recive bill and GRN already</t>
        </is>
      </c>
      <c r="X1388" s="5" t="inlineStr">
        <is>
          <t>GRN2526-0003516</t>
        </is>
      </c>
      <c r="Y1388" s="3" t="n">
        <v>45901</v>
      </c>
      <c r="AA1388" s="17">
        <f>IF(RawDataGenPO[[#This Row],[Date Gen PO]]="","",RawDataGenPO[[#This Row],[Date recive bill]]-RawDataGenPO[[#This Row],[Date Gen PO]])</f>
        <v/>
      </c>
      <c r="AB1388" s="16">
        <f>IF(RawDataGenPO[[#This Row],[GRN-PO date]]&gt;RawDataGenPO[[#This Row],[Lead time delivery (day)]],"over deliverry","Ontime")</f>
        <v/>
      </c>
      <c r="AC1388" s="22" t="n"/>
    </row>
    <row r="1389" ht="15" customHeight="1">
      <c r="A1389" s="5">
        <f>ROW()-ROW(RawDataGenPO[[#Headers],[No.]])</f>
        <v/>
      </c>
      <c r="B1389" s="7" t="inlineStr">
        <is>
          <t>Expent  cost</t>
        </is>
      </c>
      <c r="C1389" s="275" t="n">
        <v>45884</v>
      </c>
      <c r="F1389" s="301" t="n">
        <v>45884</v>
      </c>
      <c r="G1389" s="5" t="inlineStr">
        <is>
          <t>PR2526-01838</t>
        </is>
      </c>
      <c r="H1389" s="5" t="inlineStr">
        <is>
          <t>PO2526-02736</t>
        </is>
      </c>
      <c r="I1389" s="286" t="n">
        <v>45894</v>
      </c>
      <c r="J1389" s="77" t="n"/>
      <c r="K1389" s="20" t="n">
        <v>30</v>
      </c>
      <c r="L1389" s="5" t="inlineStr">
        <is>
          <t>SFST81000009</t>
        </is>
      </c>
      <c r="M1389" s="7" t="inlineStr">
        <is>
          <t>Office tool &amp; machine</t>
        </is>
      </c>
      <c r="N1389" s="7" t="inlineStr">
        <is>
          <t>Cevil quipment  &amp; Part</t>
        </is>
      </c>
      <c r="O1389" s="11" t="n">
        <v>9</v>
      </c>
      <c r="P1389" s="80" t="inlineStr">
        <is>
          <t>unionfemale thread stainless steel 304 size 1.1/4 inch</t>
        </is>
      </c>
      <c r="Q1389" s="277" t="n">
        <v>10</v>
      </c>
      <c r="R1389" s="5" t="inlineStr">
        <is>
          <t>PCS.</t>
        </is>
      </c>
      <c r="S1389" s="292">
        <f>RawDataGenPO[[#This Row],[Total price]]/RawDataGenPO[[#This Row],[Qty'']]</f>
        <v/>
      </c>
      <c r="T1389" s="278" t="n">
        <v>1800</v>
      </c>
      <c r="U1389" s="291" t="n"/>
      <c r="V1389" s="7" t="inlineStr">
        <is>
          <t>V1000840 - S.Q. &amp; CO CO., LTD</t>
        </is>
      </c>
      <c r="W1389" s="30" t="inlineStr">
        <is>
          <t>Recive bill and GRN already</t>
        </is>
      </c>
      <c r="X1389" s="5" t="inlineStr">
        <is>
          <t>GRN2526-0003516</t>
        </is>
      </c>
      <c r="Y1389" s="3" t="n">
        <v>45901</v>
      </c>
      <c r="AA1389" s="17">
        <f>IF(RawDataGenPO[[#This Row],[Date Gen PO]]="","",RawDataGenPO[[#This Row],[Date recive bill]]-RawDataGenPO[[#This Row],[Date Gen PO]])</f>
        <v/>
      </c>
      <c r="AB1389" s="16">
        <f>IF(RawDataGenPO[[#This Row],[GRN-PO date]]&gt;RawDataGenPO[[#This Row],[Lead time delivery (day)]],"over deliverry","Ontime")</f>
        <v/>
      </c>
      <c r="AC1389" s="22" t="n"/>
    </row>
    <row r="1390" ht="30" customHeight="1">
      <c r="A1390" s="5">
        <f>ROW()-ROW(RawDataGenPO[[#Headers],[No.]])</f>
        <v/>
      </c>
      <c r="B1390" s="7" t="inlineStr">
        <is>
          <t>Expent  cost</t>
        </is>
      </c>
      <c r="C1390" s="275" t="n">
        <v>45884</v>
      </c>
      <c r="F1390" s="301" t="n">
        <v>45884</v>
      </c>
      <c r="G1390" s="5" t="inlineStr">
        <is>
          <t>PR2526-01839</t>
        </is>
      </c>
      <c r="H1390" s="5" t="inlineStr">
        <is>
          <t>PO2526-02737</t>
        </is>
      </c>
      <c r="I1390" s="286" t="n">
        <v>45894</v>
      </c>
      <c r="J1390" s="77" t="n"/>
      <c r="K1390" s="20" t="n">
        <v>30</v>
      </c>
      <c r="L1390" s="5" t="inlineStr">
        <is>
          <t>SFST81000048</t>
        </is>
      </c>
      <c r="M1390" s="7" t="inlineStr">
        <is>
          <t>Cooling machine for PD line</t>
        </is>
      </c>
      <c r="N1390" s="7" t="inlineStr">
        <is>
          <t>Condencer Unit No.9 (COLD5)</t>
        </is>
      </c>
      <c r="O1390" s="11" t="n">
        <v>1</v>
      </c>
      <c r="P1390" s="80" t="inlineStr">
        <is>
          <t>cableroom 230V / 160W / length 4m *Silicone rubber insulation - 70°C to + 200°C</t>
        </is>
      </c>
      <c r="Q1390" s="277" t="n">
        <v>4</v>
      </c>
      <c r="R1390" s="5" t="inlineStr">
        <is>
          <t>PCS.</t>
        </is>
      </c>
      <c r="S1390" s="292">
        <f>RawDataGenPO[[#This Row],[Total price]]/RawDataGenPO[[#This Row],[Qty'']]</f>
        <v/>
      </c>
      <c r="T1390" s="278" t="n">
        <v>3760</v>
      </c>
      <c r="U1390" s="291" t="n"/>
      <c r="V1390" s="7" t="inlineStr">
        <is>
          <t>V1000529 - 168 Supply</t>
        </is>
      </c>
      <c r="W1390" s="30" t="inlineStr">
        <is>
          <t>Recive bill and GRN already</t>
        </is>
      </c>
      <c r="X1390" s="5" t="inlineStr">
        <is>
          <t>GRN2526-0003518</t>
        </is>
      </c>
      <c r="Y1390" s="3" t="n">
        <v>45901</v>
      </c>
      <c r="AA1390" s="17">
        <f>IF(RawDataGenPO[[#This Row],[Date Gen PO]]="","",RawDataGenPO[[#This Row],[Date recive bill]]-RawDataGenPO[[#This Row],[Date Gen PO]])</f>
        <v/>
      </c>
      <c r="AB1390" s="16">
        <f>IF(RawDataGenPO[[#This Row],[GRN-PO date]]&gt;RawDataGenPO[[#This Row],[Lead time delivery (day)]],"over deliverry","Ontime")</f>
        <v/>
      </c>
      <c r="AC1390" s="22" t="n"/>
    </row>
    <row r="1391" ht="15" customHeight="1">
      <c r="A1391" s="5">
        <f>ROW()-ROW(RawDataGenPO[[#Headers],[No.]])</f>
        <v/>
      </c>
      <c r="B1391" s="7" t="inlineStr">
        <is>
          <t>Expent  cost</t>
        </is>
      </c>
      <c r="C1391" s="275" t="n">
        <v>45884</v>
      </c>
      <c r="F1391" s="301" t="n">
        <v>45884</v>
      </c>
      <c r="G1391" s="5" t="inlineStr">
        <is>
          <t>PR2526-01839</t>
        </is>
      </c>
      <c r="H1391" s="5" t="inlineStr">
        <is>
          <t>PO2526-02738</t>
        </is>
      </c>
      <c r="I1391" s="286" t="n">
        <v>45894</v>
      </c>
      <c r="J1391" s="77" t="n"/>
      <c r="K1391" s="20" t="n">
        <v>30</v>
      </c>
      <c r="L1391" s="5" t="inlineStr">
        <is>
          <t>SFST81000048</t>
        </is>
      </c>
      <c r="M1391" s="7" t="inlineStr">
        <is>
          <t>Cooling machine for PD line</t>
        </is>
      </c>
      <c r="N1391" s="7" t="inlineStr">
        <is>
          <t>Condencer Unit No.9 (COLD5)</t>
        </is>
      </c>
      <c r="O1391" s="11" t="n">
        <v>2</v>
      </c>
      <c r="P1391" s="80" t="inlineStr">
        <is>
          <t>fittingreducingmstainless steel 1-1/4" x 1"</t>
        </is>
      </c>
      <c r="Q1391" s="277" t="n">
        <v>4</v>
      </c>
      <c r="R1391" s="5" t="inlineStr">
        <is>
          <t>PCS.</t>
        </is>
      </c>
      <c r="S1391" s="292">
        <f>RawDataGenPO[[#This Row],[Total price]]/RawDataGenPO[[#This Row],[Qty'']]</f>
        <v/>
      </c>
      <c r="T1391" s="278" t="n">
        <v>260</v>
      </c>
      <c r="U1391" s="291" t="n"/>
      <c r="V1391" s="7" t="inlineStr">
        <is>
          <t>V1000840 - S.Q. &amp; CO CO., LTD</t>
        </is>
      </c>
      <c r="W1391" s="30" t="inlineStr">
        <is>
          <t>Recive bill and GRN already</t>
        </is>
      </c>
      <c r="X1391" s="5" t="inlineStr">
        <is>
          <t>GRN2526-0003606</t>
        </is>
      </c>
      <c r="Y1391" s="3" t="n">
        <v>45903</v>
      </c>
      <c r="AA1391" s="17">
        <f>IF(RawDataGenPO[[#This Row],[Date Gen PO]]="","",RawDataGenPO[[#This Row],[Date recive bill]]-RawDataGenPO[[#This Row],[Date Gen PO]])</f>
        <v/>
      </c>
      <c r="AB1391" s="16">
        <f>IF(RawDataGenPO[[#This Row],[GRN-PO date]]&gt;RawDataGenPO[[#This Row],[Lead time delivery (day)]],"over deliverry","Ontime")</f>
        <v/>
      </c>
      <c r="AC1391" s="22" t="n"/>
    </row>
    <row r="1392" ht="15" customHeight="1">
      <c r="A1392" s="5">
        <f>ROW()-ROW(RawDataGenPO[[#Headers],[No.]])</f>
        <v/>
      </c>
      <c r="B1392" s="7" t="inlineStr">
        <is>
          <t>Expent  cost</t>
        </is>
      </c>
      <c r="C1392" s="275" t="n">
        <v>45884</v>
      </c>
      <c r="F1392" s="301" t="n">
        <v>45884</v>
      </c>
      <c r="G1392" s="5" t="inlineStr">
        <is>
          <t>PR2526-01839</t>
        </is>
      </c>
      <c r="H1392" s="5" t="inlineStr">
        <is>
          <t>PO2526-02738</t>
        </is>
      </c>
      <c r="I1392" s="286" t="n">
        <v>45894</v>
      </c>
      <c r="J1392" s="77" t="n"/>
      <c r="K1392" s="20" t="n">
        <v>30</v>
      </c>
      <c r="L1392" s="5" t="inlineStr">
        <is>
          <t>SFST81000048</t>
        </is>
      </c>
      <c r="M1392" s="7" t="inlineStr">
        <is>
          <t>Cooling machine for PD line</t>
        </is>
      </c>
      <c r="N1392" s="7" t="inlineStr">
        <is>
          <t>Condencer Unit No.9 (COLD5)</t>
        </is>
      </c>
      <c r="O1392" s="11" t="n">
        <v>3</v>
      </c>
      <c r="P1392" s="80" t="inlineStr">
        <is>
          <t>reducingroundstainless steel (SS304) female thread2 1-1/4" x 3/4"</t>
        </is>
      </c>
      <c r="Q1392" s="277" t="n">
        <v>4</v>
      </c>
      <c r="R1392" s="5" t="inlineStr">
        <is>
          <t>PCS.</t>
        </is>
      </c>
      <c r="S1392" s="292">
        <f>RawDataGenPO[[#This Row],[Total price]]/RawDataGenPO[[#This Row],[Qty'']]</f>
        <v/>
      </c>
      <c r="T1392" s="278" t="n">
        <v>340</v>
      </c>
      <c r="U1392" s="291" t="n"/>
      <c r="V1392" s="7" t="inlineStr">
        <is>
          <t>V1000840 - S.Q. &amp; CO CO., LTD</t>
        </is>
      </c>
      <c r="W1392" s="30" t="inlineStr">
        <is>
          <t>Recive bill and GRN already</t>
        </is>
      </c>
      <c r="X1392" s="5" t="inlineStr">
        <is>
          <t>GRN2526-0003606</t>
        </is>
      </c>
      <c r="Y1392" s="3" t="n">
        <v>45903</v>
      </c>
      <c r="AA1392" s="17">
        <f>IF(RawDataGenPO[[#This Row],[Date Gen PO]]="","",RawDataGenPO[[#This Row],[Date recive bill]]-RawDataGenPO[[#This Row],[Date Gen PO]])</f>
        <v/>
      </c>
      <c r="AB1392" s="16">
        <f>IF(RawDataGenPO[[#This Row],[GRN-PO date]]&gt;RawDataGenPO[[#This Row],[Lead time delivery (day)]],"over deliverry","Ontime")</f>
        <v/>
      </c>
      <c r="AC1392" s="22" t="n"/>
    </row>
    <row r="1393" ht="15" customHeight="1">
      <c r="A1393" s="5">
        <f>ROW()-ROW(RawDataGenPO[[#Headers],[No.]])</f>
        <v/>
      </c>
      <c r="B1393" s="7" t="inlineStr">
        <is>
          <t>Expent  cost</t>
        </is>
      </c>
      <c r="C1393" s="275" t="n">
        <v>45884</v>
      </c>
      <c r="F1393" s="301" t="n">
        <v>45884</v>
      </c>
      <c r="G1393" s="5" t="inlineStr">
        <is>
          <t>PR2526-01839</t>
        </is>
      </c>
      <c r="H1393" s="5" t="inlineStr">
        <is>
          <t>PO2526-02738</t>
        </is>
      </c>
      <c r="I1393" s="286" t="n">
        <v>45894</v>
      </c>
      <c r="J1393" s="77" t="n"/>
      <c r="K1393" s="20" t="n">
        <v>30</v>
      </c>
      <c r="L1393" s="5" t="inlineStr">
        <is>
          <t>SFST81000048</t>
        </is>
      </c>
      <c r="M1393" s="7" t="inlineStr">
        <is>
          <t>Cooling machine for PD line</t>
        </is>
      </c>
      <c r="N1393" s="7" t="inlineStr">
        <is>
          <t>Condencer Unit No.9 (COLD5)</t>
        </is>
      </c>
      <c r="O1393" s="11" t="n">
        <v>4</v>
      </c>
      <c r="P1393" s="80" t="inlineStr">
        <is>
          <t>cablestainless steel length30cm headunion size 1-1/4"</t>
        </is>
      </c>
      <c r="Q1393" s="277" t="n">
        <v>3</v>
      </c>
      <c r="R1393" s="5" t="inlineStr">
        <is>
          <t>PCS.</t>
        </is>
      </c>
      <c r="S1393" s="292">
        <f>RawDataGenPO[[#This Row],[Total price]]/RawDataGenPO[[#This Row],[Qty'']]</f>
        <v/>
      </c>
      <c r="T1393" s="278" t="n">
        <v>2970</v>
      </c>
      <c r="U1393" s="291" t="n"/>
      <c r="V1393" s="7" t="inlineStr">
        <is>
          <t>V1000840 - S.Q. &amp; CO CO., LTD</t>
        </is>
      </c>
      <c r="W1393" s="30" t="inlineStr">
        <is>
          <t>Recive bill and GRN already</t>
        </is>
      </c>
      <c r="X1393" s="5" t="inlineStr">
        <is>
          <t>GRN2526-0003606</t>
        </is>
      </c>
      <c r="Y1393" s="3" t="n">
        <v>45903</v>
      </c>
      <c r="AA1393" s="17">
        <f>IF(RawDataGenPO[[#This Row],[Date Gen PO]]="","",RawDataGenPO[[#This Row],[Date recive bill]]-RawDataGenPO[[#This Row],[Date Gen PO]])</f>
        <v/>
      </c>
      <c r="AB1393" s="16">
        <f>IF(RawDataGenPO[[#This Row],[GRN-PO date]]&gt;RawDataGenPO[[#This Row],[Lead time delivery (day)]],"over deliverry","Ontime")</f>
        <v/>
      </c>
      <c r="AC1393" s="22" t="n"/>
    </row>
    <row r="1394" ht="30" customHeight="1">
      <c r="A1394" s="5">
        <f>ROW()-ROW(RawDataGenPO[[#Headers],[No.]])</f>
        <v/>
      </c>
      <c r="B1394" s="7" t="inlineStr">
        <is>
          <t>Expent  cost</t>
        </is>
      </c>
      <c r="C1394" s="275" t="n">
        <v>45884</v>
      </c>
      <c r="F1394" s="301" t="n">
        <v>45884</v>
      </c>
      <c r="G1394" s="5" t="inlineStr">
        <is>
          <t>PR2526-01840</t>
        </is>
      </c>
      <c r="H1394" s="5" t="inlineStr">
        <is>
          <t>PO2526-02739</t>
        </is>
      </c>
      <c r="I1394" s="286" t="n">
        <v>45894</v>
      </c>
      <c r="J1394" s="77" t="n"/>
      <c r="K1394" s="20" t="n">
        <v>60</v>
      </c>
      <c r="L1394" s="5" t="inlineStr">
        <is>
          <t>SFST81000048</t>
        </is>
      </c>
      <c r="M1394" s="7" t="inlineStr">
        <is>
          <t>Cooling machine for PD line</t>
        </is>
      </c>
      <c r="N1394" s="7" t="inlineStr">
        <is>
          <t>Cooling  part</t>
        </is>
      </c>
      <c r="O1394" s="11" t="n">
        <v>1</v>
      </c>
      <c r="P1394" s="80" t="inlineStr">
        <is>
          <t>Danfoss Pressure Switch KP5 / 060-117366/8-32bar
Manual Reset / Flare1/4 Contact SPDT</t>
        </is>
      </c>
      <c r="Q1394" s="277" t="n">
        <v>2</v>
      </c>
      <c r="R1394" s="5" t="inlineStr">
        <is>
          <t>PCS.</t>
        </is>
      </c>
      <c r="S1394" s="292">
        <f>RawDataGenPO[[#This Row],[Total price]]/RawDataGenPO[[#This Row],[Qty'']]</f>
        <v/>
      </c>
      <c r="T1394" s="278" t="n">
        <v>1500</v>
      </c>
      <c r="U1394" s="291" t="n"/>
      <c r="V1394" s="7" t="inlineStr">
        <is>
          <t>V1000763 - North Power Co., Ltd.</t>
        </is>
      </c>
      <c r="W1394" s="5" t="inlineStr">
        <is>
          <t>Recive bill and GRN already</t>
        </is>
      </c>
      <c r="X1394" s="5" t="inlineStr">
        <is>
          <t>GRN2526-0003907</t>
        </is>
      </c>
      <c r="Y1394" s="3" t="n">
        <v>45916</v>
      </c>
      <c r="AA1394" s="17">
        <f>IF(RawDataGenPO[[#This Row],[Date Gen PO]]="","",RawDataGenPO[[#This Row],[Date recive bill]]-RawDataGenPO[[#This Row],[Date Gen PO]])</f>
        <v/>
      </c>
      <c r="AB1394" s="16">
        <f>IF(RawDataGenPO[[#This Row],[GRN-PO date]]&gt;RawDataGenPO[[#This Row],[Lead time delivery (day)]],"over deliverry","Ontime")</f>
        <v/>
      </c>
      <c r="AC1394" s="22" t="n"/>
    </row>
    <row r="1395" ht="30" customHeight="1">
      <c r="A1395" s="5">
        <f>ROW()-ROW(RawDataGenPO[[#Headers],[No.]])</f>
        <v/>
      </c>
      <c r="B1395" s="7" t="inlineStr">
        <is>
          <t>Expent  cost</t>
        </is>
      </c>
      <c r="C1395" s="275" t="n">
        <v>45884</v>
      </c>
      <c r="F1395" s="301" t="n">
        <v>45884</v>
      </c>
      <c r="G1395" s="5" t="inlineStr">
        <is>
          <t>PR2526-01840</t>
        </is>
      </c>
      <c r="H1395" s="5" t="inlineStr">
        <is>
          <t>PO2526-02739</t>
        </is>
      </c>
      <c r="I1395" s="286" t="n">
        <v>45894</v>
      </c>
      <c r="J1395" s="77" t="n"/>
      <c r="K1395" s="20" t="n">
        <v>60</v>
      </c>
      <c r="L1395" s="5" t="inlineStr">
        <is>
          <t>SFST81000048</t>
        </is>
      </c>
      <c r="M1395" s="7" t="inlineStr">
        <is>
          <t>Cooling machine for PD line</t>
        </is>
      </c>
      <c r="N1395" s="7" t="inlineStr">
        <is>
          <t>Cooling  part</t>
        </is>
      </c>
      <c r="O1395" s="11" t="n">
        <v>2</v>
      </c>
      <c r="P1395" s="80" t="inlineStr">
        <is>
          <t>Danfoss Pressure Switch KP5 / 060-117366/8-32bar
Manual Reset / Flare1/4 Contact SPDT</t>
        </is>
      </c>
      <c r="Q1395" s="277" t="n">
        <v>2</v>
      </c>
      <c r="R1395" s="5" t="inlineStr">
        <is>
          <t>PCS.</t>
        </is>
      </c>
      <c r="S1395" s="292">
        <f>RawDataGenPO[[#This Row],[Total price]]/RawDataGenPO[[#This Row],[Qty'']]</f>
        <v/>
      </c>
      <c r="T1395" s="278" t="n">
        <v>1500</v>
      </c>
      <c r="U1395" s="291" t="n"/>
      <c r="V1395" s="7" t="inlineStr">
        <is>
          <t>V1000763 - North Power Co., Ltd.</t>
        </is>
      </c>
      <c r="W1395" s="5" t="inlineStr">
        <is>
          <t>Recive bill and GRN already</t>
        </is>
      </c>
      <c r="X1395" s="5" t="inlineStr">
        <is>
          <t>GRN2526-0003907</t>
        </is>
      </c>
      <c r="Y1395" s="3" t="n">
        <v>45916</v>
      </c>
      <c r="AA1395" s="17">
        <f>IF(RawDataGenPO[[#This Row],[Date Gen PO]]="","",RawDataGenPO[[#This Row],[Date recive bill]]-RawDataGenPO[[#This Row],[Date Gen PO]])</f>
        <v/>
      </c>
      <c r="AB1395" s="16">
        <f>IF(RawDataGenPO[[#This Row],[GRN-PO date]]&gt;RawDataGenPO[[#This Row],[Lead time delivery (day)]],"over deliverry","Ontime")</f>
        <v/>
      </c>
      <c r="AC1395" s="22" t="n"/>
    </row>
    <row r="1396" ht="15" customHeight="1">
      <c r="A1396" s="5">
        <f>ROW()-ROW(RawDataGenPO[[#Headers],[No.]])</f>
        <v/>
      </c>
      <c r="B1396" s="7" t="inlineStr">
        <is>
          <t>Expent  cost</t>
        </is>
      </c>
      <c r="C1396" s="275" t="n">
        <v>45884</v>
      </c>
      <c r="F1396" s="301" t="n">
        <v>45884</v>
      </c>
      <c r="G1396" s="5" t="inlineStr">
        <is>
          <t>PR2526-01847</t>
        </is>
      </c>
      <c r="H1396" s="5" t="inlineStr">
        <is>
          <t>PO2526-02740</t>
        </is>
      </c>
      <c r="I1396" s="286" t="n">
        <v>45894</v>
      </c>
      <c r="J1396" s="77" t="n"/>
      <c r="K1396" s="20" t="n">
        <v>30</v>
      </c>
      <c r="L1396" s="5" t="inlineStr">
        <is>
          <t>SFST34000167</t>
        </is>
      </c>
      <c r="M1396" s="7" t="inlineStr">
        <is>
          <t>Consumable part for MN</t>
        </is>
      </c>
      <c r="N1396" s="7" t="inlineStr">
        <is>
          <t>Cooling  part</t>
        </is>
      </c>
      <c r="O1396" s="11" t="n">
        <v>1</v>
      </c>
      <c r="P1396" s="80" t="inlineStr">
        <is>
          <t>fittingstraight couplingbrass size 1.1/8"</t>
        </is>
      </c>
      <c r="Q1396" s="277" t="n">
        <v>8</v>
      </c>
      <c r="R1396" s="5" t="inlineStr">
        <is>
          <t>PCS.</t>
        </is>
      </c>
      <c r="S1396" s="292">
        <f>RawDataGenPO[[#This Row],[Total price]]/RawDataGenPO[[#This Row],[Qty'']]</f>
        <v/>
      </c>
      <c r="T1396" s="278" t="n">
        <v>424</v>
      </c>
      <c r="U1396" s="291" t="n"/>
      <c r="V1396" s="7" t="inlineStr">
        <is>
          <t>V1000259 - JJP SUPPLY CO., LTD</t>
        </is>
      </c>
      <c r="W1396" s="30" t="inlineStr">
        <is>
          <t>Recive bill and GRN already</t>
        </is>
      </c>
      <c r="X1396" s="5" t="inlineStr">
        <is>
          <t>GRN2526-0003696</t>
        </is>
      </c>
      <c r="Y1396" s="3" t="n">
        <v>45908</v>
      </c>
      <c r="AA1396" s="17">
        <f>IF(RawDataGenPO[[#This Row],[Date Gen PO]]="","",RawDataGenPO[[#This Row],[Date recive bill]]-RawDataGenPO[[#This Row],[Date Gen PO]])</f>
        <v/>
      </c>
      <c r="AB1396" s="16">
        <f>IF(RawDataGenPO[[#This Row],[GRN-PO date]]&gt;RawDataGenPO[[#This Row],[Lead time delivery (day)]],"over deliverry","Ontime")</f>
        <v/>
      </c>
      <c r="AC1396" s="22" t="n"/>
    </row>
    <row r="1397" ht="15" customHeight="1">
      <c r="A1397" s="5">
        <f>ROW()-ROW(RawDataGenPO[[#Headers],[No.]])</f>
        <v/>
      </c>
      <c r="B1397" s="7" t="inlineStr">
        <is>
          <t>Expent  cost</t>
        </is>
      </c>
      <c r="C1397" s="275" t="n">
        <v>45884</v>
      </c>
      <c r="F1397" s="301" t="n">
        <v>45884</v>
      </c>
      <c r="G1397" s="5" t="inlineStr">
        <is>
          <t>PR2526-01847</t>
        </is>
      </c>
      <c r="H1397" s="5" t="inlineStr">
        <is>
          <t>PO2526-02740</t>
        </is>
      </c>
      <c r="I1397" s="286" t="n">
        <v>45894</v>
      </c>
      <c r="J1397" s="77" t="n"/>
      <c r="K1397" s="20" t="n">
        <v>30</v>
      </c>
      <c r="L1397" s="5" t="inlineStr">
        <is>
          <t>SFST34000164</t>
        </is>
      </c>
      <c r="M1397" s="7" t="inlineStr">
        <is>
          <t>Consumable part for MN</t>
        </is>
      </c>
      <c r="N1397" s="7" t="inlineStr">
        <is>
          <t>Cooling  part</t>
        </is>
      </c>
      <c r="O1397" s="11" t="n">
        <v>2</v>
      </c>
      <c r="P1397" s="80" t="inlineStr">
        <is>
          <t>elbowbrass 90 degree size 1.1/8"</t>
        </is>
      </c>
      <c r="Q1397" s="277" t="n">
        <v>8</v>
      </c>
      <c r="R1397" s="5" t="inlineStr">
        <is>
          <t>PCS.</t>
        </is>
      </c>
      <c r="S1397" s="292">
        <f>RawDataGenPO[[#This Row],[Total price]]/RawDataGenPO[[#This Row],[Qty'']]</f>
        <v/>
      </c>
      <c r="T1397" s="278" t="n">
        <v>608</v>
      </c>
      <c r="U1397" s="291" t="n"/>
      <c r="V1397" s="7" t="inlineStr">
        <is>
          <t>V1000259 - JJP SUPPLY CO., LTD</t>
        </is>
      </c>
      <c r="W1397" s="30" t="inlineStr">
        <is>
          <t>Recive bill and GRN already</t>
        </is>
      </c>
      <c r="X1397" s="5" t="inlineStr">
        <is>
          <t>GRN2526-0003696</t>
        </is>
      </c>
      <c r="Y1397" s="3" t="n">
        <v>45908</v>
      </c>
      <c r="AA1397" s="17">
        <f>IF(RawDataGenPO[[#This Row],[Date Gen PO]]="","",RawDataGenPO[[#This Row],[Date recive bill]]-RawDataGenPO[[#This Row],[Date Gen PO]])</f>
        <v/>
      </c>
      <c r="AB1397" s="16">
        <f>IF(RawDataGenPO[[#This Row],[GRN-PO date]]&gt;RawDataGenPO[[#This Row],[Lead time delivery (day)]],"over deliverry","Ontime")</f>
        <v/>
      </c>
      <c r="AC1397" s="22" t="n"/>
    </row>
    <row r="1398" ht="15" customHeight="1">
      <c r="A1398" s="5">
        <f>ROW()-ROW(RawDataGenPO[[#Headers],[No.]])</f>
        <v/>
      </c>
      <c r="B1398" s="7" t="inlineStr">
        <is>
          <t>Expent  cost</t>
        </is>
      </c>
      <c r="C1398" s="275" t="n">
        <v>45884</v>
      </c>
      <c r="F1398" s="301" t="n">
        <v>45884</v>
      </c>
      <c r="G1398" s="5" t="inlineStr">
        <is>
          <t>PR2526-01847</t>
        </is>
      </c>
      <c r="H1398" s="5" t="inlineStr">
        <is>
          <t>PO2526-02741</t>
        </is>
      </c>
      <c r="I1398" s="286" t="n">
        <v>45894</v>
      </c>
      <c r="J1398" s="77" t="n"/>
      <c r="K1398" s="20" t="n">
        <v>30</v>
      </c>
      <c r="L1398" s="5" t="inlineStr">
        <is>
          <t>SFST81000048</t>
        </is>
      </c>
      <c r="M1398" s="7" t="inlineStr">
        <is>
          <t>Tool and Equipment  Engineering</t>
        </is>
      </c>
      <c r="N1398" s="7" t="inlineStr">
        <is>
          <t>Machanical part</t>
        </is>
      </c>
      <c r="O1398" s="11" t="n">
        <v>1</v>
      </c>
      <c r="P1398" s="80" t="inlineStr">
        <is>
          <t>Harris 801N2 setinternal for Test leak</t>
        </is>
      </c>
      <c r="Q1398" s="277" t="n">
        <v>1</v>
      </c>
      <c r="R1398" s="5" t="inlineStr">
        <is>
          <t>PCS.</t>
        </is>
      </c>
      <c r="S1398" s="292">
        <f>RawDataGenPO[[#This Row],[Total price]]/RawDataGenPO[[#This Row],[Qty'']]</f>
        <v/>
      </c>
      <c r="T1398" s="278" t="n">
        <v>2890</v>
      </c>
      <c r="U1398" s="291" t="n"/>
      <c r="V1398" s="7" t="inlineStr">
        <is>
          <t>V1000840 - S.Q. &amp; CO CO., LTD</t>
        </is>
      </c>
      <c r="W1398" s="30" t="inlineStr">
        <is>
          <t>Recive bill and GRN already</t>
        </is>
      </c>
      <c r="X1398" s="3" t="inlineStr">
        <is>
          <t>GRN2526-0003515</t>
        </is>
      </c>
      <c r="Y1398" s="3" t="n">
        <v>45901</v>
      </c>
      <c r="AA1398" s="17">
        <f>IF(RawDataGenPO[[#This Row],[Date Gen PO]]="","",RawDataGenPO[[#This Row],[Date recive bill]]-RawDataGenPO[[#This Row],[Date Gen PO]])</f>
        <v/>
      </c>
      <c r="AB1398" s="16">
        <f>IF(RawDataGenPO[[#This Row],[GRN-PO date]]&gt;RawDataGenPO[[#This Row],[Lead time delivery (day)]],"over deliverry","Ontime")</f>
        <v/>
      </c>
      <c r="AC1398" s="22" t="n"/>
    </row>
    <row r="1399" ht="15" customHeight="1">
      <c r="A1399" s="5">
        <f>ROW()-ROW(RawDataGenPO[[#Headers],[No.]])</f>
        <v/>
      </c>
      <c r="B1399" s="7" t="inlineStr">
        <is>
          <t>Expent  cost</t>
        </is>
      </c>
      <c r="C1399" s="275" t="n">
        <v>45884</v>
      </c>
      <c r="F1399" s="301" t="n">
        <v>45884</v>
      </c>
      <c r="G1399" s="5" t="inlineStr">
        <is>
          <t>PR2526-01847</t>
        </is>
      </c>
      <c r="H1399" s="5" t="inlineStr">
        <is>
          <t>PO2526-02742</t>
        </is>
      </c>
      <c r="I1399" s="286" t="n">
        <v>45894</v>
      </c>
      <c r="J1399" s="77" t="n"/>
      <c r="K1399" s="20" t="n">
        <v>30</v>
      </c>
      <c r="L1399" s="5" t="inlineStr">
        <is>
          <t>SFST81000048</t>
        </is>
      </c>
      <c r="M1399" s="7" t="inlineStr">
        <is>
          <t>Cooling machine for PD line</t>
        </is>
      </c>
      <c r="N1399" s="7" t="inlineStr">
        <is>
          <t>Consumable part</t>
        </is>
      </c>
      <c r="O1399" s="11" t="n">
        <v>1</v>
      </c>
      <c r="P1399" s="80" t="inlineStr">
        <is>
          <t>pipebrass Type L size 1-1/8" length 6 m</t>
        </is>
      </c>
      <c r="Q1399" s="277" t="n">
        <v>2</v>
      </c>
      <c r="R1399" s="5" t="inlineStr">
        <is>
          <t>PCS.</t>
        </is>
      </c>
      <c r="S1399" s="292">
        <f>RawDataGenPO[[#This Row],[Total price]]/RawDataGenPO[[#This Row],[Qty'']]</f>
        <v/>
      </c>
      <c r="T1399" s="278" t="n">
        <v>6564</v>
      </c>
      <c r="U1399" s="291" t="n"/>
      <c r="V1399" s="7" t="inlineStr">
        <is>
          <t>V1000271 - 395 Shop Limited Partnership</t>
        </is>
      </c>
      <c r="W1399" s="30" t="inlineStr">
        <is>
          <t>Recive bill and GRN already</t>
        </is>
      </c>
      <c r="X1399" s="5" t="inlineStr">
        <is>
          <t>GRN2526-0003513</t>
        </is>
      </c>
      <c r="Y1399" s="3" t="n">
        <v>45901</v>
      </c>
      <c r="AA1399" s="17">
        <f>IF(RawDataGenPO[[#This Row],[Date Gen PO]]="","",RawDataGenPO[[#This Row],[Date recive bill]]-RawDataGenPO[[#This Row],[Date Gen PO]])</f>
        <v/>
      </c>
      <c r="AB1399" s="16">
        <f>IF(RawDataGenPO[[#This Row],[GRN-PO date]]&gt;RawDataGenPO[[#This Row],[Lead time delivery (day)]],"over deliverry","Ontime")</f>
        <v/>
      </c>
      <c r="AC1399" s="22" t="n"/>
    </row>
    <row r="1400" ht="15" customHeight="1">
      <c r="A1400" s="5">
        <f>ROW()-ROW(RawDataGenPO[[#Headers],[No.]])</f>
        <v/>
      </c>
      <c r="B1400" s="7" t="inlineStr">
        <is>
          <t>Expent  cost</t>
        </is>
      </c>
      <c r="C1400" s="275" t="n">
        <v>45884</v>
      </c>
      <c r="F1400" s="301" t="n">
        <v>45884</v>
      </c>
      <c r="G1400" s="5" t="inlineStr">
        <is>
          <t>PR2526-01847</t>
        </is>
      </c>
      <c r="H1400" s="5" t="inlineStr">
        <is>
          <t>PO2526-02741</t>
        </is>
      </c>
      <c r="I1400" s="286" t="n">
        <v>45894</v>
      </c>
      <c r="J1400" s="77" t="n"/>
      <c r="K1400" s="20" t="n">
        <v>30</v>
      </c>
      <c r="L1400" s="5" t="inlineStr">
        <is>
          <t>SFST81000048</t>
        </is>
      </c>
      <c r="M1400" s="29" t="inlineStr">
        <is>
          <t>Machanical part</t>
        </is>
      </c>
      <c r="N1400" s="7" t="inlineStr">
        <is>
          <t>Consumable part</t>
        </is>
      </c>
      <c r="O1400" s="43" t="n">
        <v>2</v>
      </c>
      <c r="P1400" s="79" t="inlineStr">
        <is>
          <t>fittingbrass size 1-1/8"</t>
        </is>
      </c>
      <c r="Q1400" s="323" t="n">
        <v>2</v>
      </c>
      <c r="R1400" s="5" t="inlineStr">
        <is>
          <t>PCS.</t>
        </is>
      </c>
      <c r="S1400" s="292">
        <f>RawDataGenPO[[#This Row],[Total price]]/RawDataGenPO[[#This Row],[Qty'']]</f>
        <v/>
      </c>
      <c r="T1400" s="324" t="n">
        <v>2600</v>
      </c>
      <c r="U1400" s="325" t="n"/>
      <c r="V1400" s="7" t="inlineStr">
        <is>
          <t>V1000840 - S.Q. &amp; CO CO., LTD</t>
        </is>
      </c>
      <c r="W1400" s="30" t="inlineStr">
        <is>
          <t>Recive bill and GRN already</t>
        </is>
      </c>
      <c r="X1400" s="3" t="inlineStr">
        <is>
          <t>GRN2526-0003515</t>
        </is>
      </c>
      <c r="Y1400" s="3" t="n">
        <v>45901</v>
      </c>
      <c r="Z1400" s="23" t="n"/>
      <c r="AA1400" s="37">
        <f>IF(RawDataGenPO[[#This Row],[Date Gen PO]]="","",RawDataGenPO[[#This Row],[Date recive bill]]-RawDataGenPO[[#This Row],[Date Gen PO]])</f>
        <v/>
      </c>
      <c r="AB1400" s="16">
        <f>IF(RawDataGenPO[[#This Row],[GRN-PO date]]&gt;RawDataGenPO[[#This Row],[Lead time delivery (day)]],"over deliverry","Ontime")</f>
        <v/>
      </c>
      <c r="AC1400" s="35" t="n"/>
    </row>
    <row r="1401" ht="15" customHeight="1">
      <c r="A1401" s="5">
        <f>ROW()-ROW(RawDataGenPO[[#Headers],[No.]])</f>
        <v/>
      </c>
      <c r="B1401" s="7" t="inlineStr">
        <is>
          <t>Expent  cost</t>
        </is>
      </c>
      <c r="C1401" s="355" t="n">
        <v>45884</v>
      </c>
      <c r="F1401" s="301" t="n">
        <v>45884</v>
      </c>
      <c r="G1401" s="5" t="inlineStr">
        <is>
          <t>PR2526-01850</t>
        </is>
      </c>
      <c r="H1401" s="26" t="inlineStr">
        <is>
          <t>PO2526-02743</t>
        </is>
      </c>
      <c r="I1401" s="286" t="n">
        <v>45894</v>
      </c>
      <c r="J1401" s="77" t="n"/>
      <c r="K1401" s="20" t="n">
        <v>30</v>
      </c>
      <c r="L1401" s="26" t="inlineStr">
        <is>
          <t>SFST81000009</t>
        </is>
      </c>
      <c r="M1401" s="29" t="inlineStr">
        <is>
          <t>Water plant</t>
        </is>
      </c>
      <c r="N1401" s="29" t="inlineStr">
        <is>
          <t>Water system jobs</t>
        </is>
      </c>
      <c r="O1401" s="43" t="n">
        <v>1</v>
      </c>
      <c r="P1401" s="42" t="inlineStr">
        <is>
          <t>cablechemicalm materialpipe PE m size 4x6 mmlength 10 m</t>
        </is>
      </c>
      <c r="Q1401" s="323" t="n">
        <v>1</v>
      </c>
      <c r="R1401" s="5" t="inlineStr">
        <is>
          <t>PCS.</t>
        </is>
      </c>
      <c r="S1401" s="292">
        <f>RawDataGenPO[[#This Row],[Total price]]/RawDataGenPO[[#This Row],[Qty'']]</f>
        <v/>
      </c>
      <c r="T1401" s="324" t="n">
        <v>2320</v>
      </c>
      <c r="U1401" s="325" t="n"/>
      <c r="V1401" s="7" t="inlineStr">
        <is>
          <t>V1000259 - JJP SUPPLY CO., LTD</t>
        </is>
      </c>
      <c r="W1401" s="30" t="inlineStr">
        <is>
          <t>Recive bill and GRN already</t>
        </is>
      </c>
      <c r="X1401" s="26" t="inlineStr">
        <is>
          <t>GRN2526-0003697</t>
        </is>
      </c>
      <c r="Y1401" s="23" t="n">
        <v>45908</v>
      </c>
      <c r="Z1401" s="23" t="n"/>
      <c r="AA1401" s="37">
        <f>IF(RawDataGenPO[[#This Row],[Date Gen PO]]="","",RawDataGenPO[[#This Row],[Date recive bill]]-RawDataGenPO[[#This Row],[Date Gen PO]])</f>
        <v/>
      </c>
      <c r="AB1401" s="36">
        <f>IF(RawDataGenPO[[#This Row],[GRN-PO date]]&gt;RawDataGenPO[[#This Row],[Lead time delivery (day)]],"over deliverry","Ontime")</f>
        <v/>
      </c>
      <c r="AC1401" s="35" t="n"/>
    </row>
    <row r="1402" ht="15" customHeight="1">
      <c r="A1402" s="5">
        <f>ROW()-ROW(RawDataGenPO[[#Headers],[No.]])</f>
        <v/>
      </c>
      <c r="B1402" s="7" t="inlineStr">
        <is>
          <t>Expent  cost</t>
        </is>
      </c>
      <c r="C1402" s="355" t="n">
        <v>45884</v>
      </c>
      <c r="F1402" s="301" t="n">
        <v>45884</v>
      </c>
      <c r="G1402" s="5" t="inlineStr">
        <is>
          <t>PR2526-01850</t>
        </is>
      </c>
      <c r="H1402" s="26" t="inlineStr">
        <is>
          <t>PO2526-02744</t>
        </is>
      </c>
      <c r="I1402" s="286" t="n">
        <v>45894</v>
      </c>
      <c r="J1402" s="77" t="n"/>
      <c r="K1402" s="20" t="n">
        <v>30</v>
      </c>
      <c r="L1402" s="26" t="inlineStr">
        <is>
          <t>SFST81000009</t>
        </is>
      </c>
      <c r="M1402" s="29" t="inlineStr">
        <is>
          <t>Water plant</t>
        </is>
      </c>
      <c r="N1402" s="29" t="inlineStr">
        <is>
          <t>Water system jobs</t>
        </is>
      </c>
      <c r="O1402" s="43" t="n">
        <v>2</v>
      </c>
      <c r="P1402" s="42" t="inlineStr">
        <is>
          <t>fittingconnector spare partmm "Prominent" model Super Dose size 1/2"</t>
        </is>
      </c>
      <c r="Q1402" s="323" t="n">
        <v>4</v>
      </c>
      <c r="R1402" s="5" t="inlineStr">
        <is>
          <t>PCS.</t>
        </is>
      </c>
      <c r="S1402" s="292">
        <f>RawDataGenPO[[#This Row],[Total price]]/RawDataGenPO[[#This Row],[Qty'']]</f>
        <v/>
      </c>
      <c r="T1402" s="324" t="n">
        <v>3960</v>
      </c>
      <c r="U1402" s="325" t="n"/>
      <c r="V1402" s="7" t="inlineStr">
        <is>
          <t>V1000259 - JJP SUPPLY CO., LTD</t>
        </is>
      </c>
      <c r="W1402" s="30" t="inlineStr">
        <is>
          <t>Recive bill and GRN already</t>
        </is>
      </c>
      <c r="X1402" s="26" t="inlineStr">
        <is>
          <t>GRN2526-0003519</t>
        </is>
      </c>
      <c r="Y1402" s="23" t="n">
        <v>45901</v>
      </c>
      <c r="Z1402" s="23" t="n"/>
      <c r="AA1402" s="37">
        <f>IF(RawDataGenPO[[#This Row],[Date Gen PO]]="","",RawDataGenPO[[#This Row],[Date recive bill]]-RawDataGenPO[[#This Row],[Date Gen PO]])</f>
        <v/>
      </c>
      <c r="AB1402" s="36">
        <f>IF(RawDataGenPO[[#This Row],[GRN-PO date]]&gt;RawDataGenPO[[#This Row],[Lead time delivery (day)]],"over deliverry","Ontime")</f>
        <v/>
      </c>
      <c r="AC1402" s="35" t="n"/>
    </row>
    <row r="1403" ht="30" customHeight="1">
      <c r="A1403" s="5">
        <f>ROW()-ROW(RawDataGenPO[[#Headers],[No.]])</f>
        <v/>
      </c>
      <c r="B1403" s="7" t="inlineStr">
        <is>
          <t>Expent  cost</t>
        </is>
      </c>
      <c r="C1403" s="275" t="n">
        <v>45884</v>
      </c>
      <c r="F1403" s="301" t="n">
        <v>45884</v>
      </c>
      <c r="G1403" s="5" t="inlineStr">
        <is>
          <t>PR2526-01851</t>
        </is>
      </c>
      <c r="H1403" s="5" t="inlineStr">
        <is>
          <t>PO2526-02745</t>
        </is>
      </c>
      <c r="I1403" s="286" t="n">
        <v>45894</v>
      </c>
      <c r="J1403" s="77" t="n"/>
      <c r="K1403" s="20" t="n">
        <v>30</v>
      </c>
      <c r="L1403" s="5" t="inlineStr">
        <is>
          <t>SFST81000048</t>
        </is>
      </c>
      <c r="M1403" s="7" t="inlineStr">
        <is>
          <t>Tool and Equipment PD M/C</t>
        </is>
      </c>
      <c r="N1403" s="7" t="inlineStr">
        <is>
          <t>Machine Spare part</t>
        </is>
      </c>
      <c r="O1403" s="11" t="n">
        <v>1</v>
      </c>
      <c r="P1403" s="10" t="inlineStr">
        <is>
          <t>cablestainless steel headrearunionstainless steel size 1" length 100 cm. pressure 10 Bar.</t>
        </is>
      </c>
      <c r="Q1403" s="277" t="n">
        <v>4</v>
      </c>
      <c r="R1403" s="5" t="inlineStr">
        <is>
          <t>PCS.</t>
        </is>
      </c>
      <c r="S1403" s="292">
        <f>RawDataGenPO[[#This Row],[Total price]]/RawDataGenPO[[#This Row],[Qty'']]</f>
        <v/>
      </c>
      <c r="T1403" s="278" t="n">
        <v>3920</v>
      </c>
      <c r="U1403" s="291" t="n"/>
      <c r="V1403" s="7" t="inlineStr">
        <is>
          <t>V1000840 - S.Q. &amp; CO CO., LTD</t>
        </is>
      </c>
      <c r="W1403" s="30" t="inlineStr">
        <is>
          <t>Recive bill and GRN already</t>
        </is>
      </c>
      <c r="X1403" s="5" t="inlineStr">
        <is>
          <t>GRN2526-0003514</t>
        </is>
      </c>
      <c r="Y1403" s="3" t="n">
        <v>45901</v>
      </c>
      <c r="Z1403" s="23" t="n"/>
      <c r="AA1403" s="17">
        <f>IF(RawDataGenPO[[#This Row],[Date Gen PO]]="","",RawDataGenPO[[#This Row],[Date recive bill]]-RawDataGenPO[[#This Row],[Date Gen PO]])</f>
        <v/>
      </c>
      <c r="AB1403" s="16">
        <f>IF(RawDataGenPO[[#This Row],[GRN-PO date]]&gt;RawDataGenPO[[#This Row],[Lead time delivery (day)]],"over deliverry","Ontime")</f>
        <v/>
      </c>
      <c r="AC1403" s="22" t="n"/>
    </row>
    <row r="1404" ht="30" customHeight="1">
      <c r="A1404" s="5">
        <f>ROW()-ROW(RawDataGenPO[[#Headers],[No.]])</f>
        <v/>
      </c>
      <c r="B1404" s="7" t="inlineStr">
        <is>
          <t>Expent  cost</t>
        </is>
      </c>
      <c r="C1404" s="275" t="n">
        <v>45884</v>
      </c>
      <c r="F1404" s="301" t="n">
        <v>45884</v>
      </c>
      <c r="G1404" s="5" t="inlineStr">
        <is>
          <t>PR2526-01851</t>
        </is>
      </c>
      <c r="H1404" s="5" t="inlineStr">
        <is>
          <t>PO2526-02745</t>
        </is>
      </c>
      <c r="I1404" s="286" t="n">
        <v>45894</v>
      </c>
      <c r="J1404" s="77" t="n"/>
      <c r="K1404" s="20" t="n">
        <v>30</v>
      </c>
      <c r="L1404" s="5" t="inlineStr">
        <is>
          <t>SFST81000048</t>
        </is>
      </c>
      <c r="M1404" s="7" t="inlineStr">
        <is>
          <t>Tool and Equipment PD M/C</t>
        </is>
      </c>
      <c r="N1404" s="7" t="inlineStr">
        <is>
          <t>Machine Spare part</t>
        </is>
      </c>
      <c r="O1404" s="11" t="n">
        <v>2</v>
      </c>
      <c r="P1404" s="10" t="inlineStr">
        <is>
          <t>cablestainless steel headrearunionstainless steel size 3/4" length 100 cm. pressure 10 Bar.</t>
        </is>
      </c>
      <c r="Q1404" s="277" t="n">
        <v>4</v>
      </c>
      <c r="R1404" s="5" t="inlineStr">
        <is>
          <t>PCS.</t>
        </is>
      </c>
      <c r="S1404" s="292">
        <f>RawDataGenPO[[#This Row],[Total price]]/RawDataGenPO[[#This Row],[Qty'']]</f>
        <v/>
      </c>
      <c r="T1404" s="278" t="n">
        <v>3040</v>
      </c>
      <c r="U1404" s="291" t="n"/>
      <c r="V1404" s="7" t="inlineStr">
        <is>
          <t>V1000840 - S.Q. &amp; CO CO., LTD</t>
        </is>
      </c>
      <c r="W1404" s="30" t="inlineStr">
        <is>
          <t>Recive bill and GRN already</t>
        </is>
      </c>
      <c r="X1404" s="5" t="inlineStr">
        <is>
          <t>GRN2526-0003514</t>
        </is>
      </c>
      <c r="Y1404" s="3" t="n">
        <v>45901</v>
      </c>
      <c r="Z1404" s="23" t="n"/>
      <c r="AA1404" s="17">
        <f>IF(RawDataGenPO[[#This Row],[Date Gen PO]]="","",RawDataGenPO[[#This Row],[Date recive bill]]-RawDataGenPO[[#This Row],[Date Gen PO]])</f>
        <v/>
      </c>
      <c r="AB1404" s="16">
        <f>IF(RawDataGenPO[[#This Row],[GRN-PO date]]&gt;RawDataGenPO[[#This Row],[Lead time delivery (day)]],"over deliverry","Ontime")</f>
        <v/>
      </c>
      <c r="AC1404" s="22" t="n"/>
    </row>
    <row r="1405" ht="30" customHeight="1">
      <c r="A1405" s="5">
        <f>ROW()-ROW(RawDataGenPO[[#Headers],[No.]])</f>
        <v/>
      </c>
      <c r="B1405" s="7" t="inlineStr">
        <is>
          <t>Expent  cost</t>
        </is>
      </c>
      <c r="C1405" s="275" t="n">
        <v>45884</v>
      </c>
      <c r="F1405" s="301" t="n">
        <v>45884</v>
      </c>
      <c r="G1405" s="5" t="inlineStr">
        <is>
          <t>PR2526-01851</t>
        </is>
      </c>
      <c r="H1405" s="5" t="inlineStr">
        <is>
          <t>PO2526-02745</t>
        </is>
      </c>
      <c r="I1405" s="286" t="n">
        <v>45894</v>
      </c>
      <c r="J1405" s="77" t="n"/>
      <c r="K1405" s="20" t="n">
        <v>30</v>
      </c>
      <c r="L1405" s="5" t="inlineStr">
        <is>
          <t>SFST81000048</t>
        </is>
      </c>
      <c r="M1405" s="7" t="inlineStr">
        <is>
          <t>Tool and Equipment PD M/C</t>
        </is>
      </c>
      <c r="N1405" s="7" t="inlineStr">
        <is>
          <t>Machine Spare part</t>
        </is>
      </c>
      <c r="O1405" s="11" t="n">
        <v>3</v>
      </c>
      <c r="P1405" s="10" t="inlineStr">
        <is>
          <t>cablestainless steel headrearunionstainless steel size 1/2" length 100 cm. pressure 10 Bar.</t>
        </is>
      </c>
      <c r="Q1405" s="277" t="n">
        <v>4</v>
      </c>
      <c r="R1405" s="5" t="inlineStr">
        <is>
          <t>PCS.</t>
        </is>
      </c>
      <c r="S1405" s="292">
        <f>RawDataGenPO[[#This Row],[Total price]]/RawDataGenPO[[#This Row],[Qty'']]</f>
        <v/>
      </c>
      <c r="T1405" s="278" t="n">
        <v>2160</v>
      </c>
      <c r="U1405" s="291" t="n"/>
      <c r="V1405" s="7" t="inlineStr">
        <is>
          <t>V1000840 - S.Q. &amp; CO CO., LTD</t>
        </is>
      </c>
      <c r="W1405" s="30" t="inlineStr">
        <is>
          <t>Recive bill and GRN already</t>
        </is>
      </c>
      <c r="X1405" s="5" t="inlineStr">
        <is>
          <t>GRN2526-0003514</t>
        </is>
      </c>
      <c r="Y1405" s="3" t="n">
        <v>45901</v>
      </c>
      <c r="Z1405" s="23" t="n"/>
      <c r="AA1405" s="17">
        <f>IF(RawDataGenPO[[#This Row],[Date Gen PO]]="","",RawDataGenPO[[#This Row],[Date recive bill]]-RawDataGenPO[[#This Row],[Date Gen PO]])</f>
        <v/>
      </c>
      <c r="AB1405" s="16">
        <f>IF(RawDataGenPO[[#This Row],[GRN-PO date]]&gt;RawDataGenPO[[#This Row],[Lead time delivery (day)]],"over deliverry","Ontime")</f>
        <v/>
      </c>
      <c r="AC1405" s="22" t="n"/>
    </row>
    <row r="1406" ht="45" customHeight="1">
      <c r="A1406" s="5">
        <f>ROW()-ROW(RawDataGenPO[[#Headers],[No.]])</f>
        <v/>
      </c>
      <c r="B1406" s="7" t="inlineStr">
        <is>
          <t>Expent  cost</t>
        </is>
      </c>
      <c r="C1406" s="275" t="n">
        <v>45884</v>
      </c>
      <c r="F1406" s="301" t="n">
        <v>45884</v>
      </c>
      <c r="G1406" s="5" t="inlineStr">
        <is>
          <t>PR2526-01878</t>
        </is>
      </c>
      <c r="H1406" s="5" t="inlineStr">
        <is>
          <t>PO2526-02751</t>
        </is>
      </c>
      <c r="I1406" s="286" t="n">
        <v>45894</v>
      </c>
      <c r="J1406" s="56" t="n"/>
      <c r="K1406" s="20" t="n">
        <v>160</v>
      </c>
      <c r="L1406" s="5" t="inlineStr">
        <is>
          <t>SFST81000048</t>
        </is>
      </c>
      <c r="M1406" s="7" t="inlineStr">
        <is>
          <t>Civill jobs (Floor-Wall-Celling-roof)</t>
        </is>
      </c>
      <c r="N1406" s="7" t="inlineStr">
        <is>
          <t>Cevil jobs</t>
        </is>
      </c>
      <c r="O1406" s="11" t="n">
        <v>1</v>
      </c>
      <c r="P1406" s="10" t="inlineStr">
        <is>
          <t>Signing of Agreement: 20%
Fix pipe and support pipe undergroud building No. Project EN25-015 W 1/4</t>
        </is>
      </c>
      <c r="Q1406" s="277" t="n">
        <v>1</v>
      </c>
      <c r="R1406" s="5" t="inlineStr">
        <is>
          <t>JOB.</t>
        </is>
      </c>
      <c r="S1406" s="284">
        <f>RawDataGenPO[[#This Row],[Total price]]/RawDataGenPO[[#This Row],[Qty'']]</f>
        <v/>
      </c>
      <c r="T1406" s="278" t="n">
        <v>244747.92</v>
      </c>
      <c r="U1406" s="291" t="n"/>
      <c r="V1406" s="33" t="inlineStr">
        <is>
          <t xml:space="preserve">V1000771 - Envire Operation Co., Ltd
</t>
        </is>
      </c>
      <c r="W1406" s="30" t="inlineStr">
        <is>
          <t>Recive bill and GRN already</t>
        </is>
      </c>
      <c r="X1406" s="5" t="inlineStr">
        <is>
          <t>GRN2526-0003510</t>
        </is>
      </c>
      <c r="Y1406" s="3" t="n">
        <v>45908</v>
      </c>
      <c r="Z1406" s="23" t="n"/>
      <c r="AA1406" s="17">
        <f>IF(RawDataGenPO[[#This Row],[Date Gen PO]]="","",RawDataGenPO[[#This Row],[Date recive bill]]-RawDataGenPO[[#This Row],[Date Gen PO]])</f>
        <v/>
      </c>
      <c r="AB1406" s="16">
        <f>IF(RawDataGenPO[[#This Row],[GRN-PO date]]&gt;RawDataGenPO[[#This Row],[Lead time delivery (day)]],"over deliverry","Ontime")</f>
        <v/>
      </c>
      <c r="AC1406" s="22" t="n"/>
    </row>
    <row r="1407" ht="105" customHeight="1">
      <c r="A1407" s="5">
        <f>ROW()-ROW(RawDataGenPO[[#Headers],[No.]])</f>
        <v/>
      </c>
      <c r="B1407" s="7" t="inlineStr">
        <is>
          <t>Expent  cost</t>
        </is>
      </c>
      <c r="C1407" s="275" t="n">
        <v>45884</v>
      </c>
      <c r="F1407" s="301" t="n">
        <v>45884</v>
      </c>
      <c r="G1407" s="5" t="inlineStr">
        <is>
          <t>PR2526-01878</t>
        </is>
      </c>
      <c r="H1407" s="5" t="inlineStr">
        <is>
          <t>PO2526-02751</t>
        </is>
      </c>
      <c r="I1407" s="286" t="n">
        <v>45894</v>
      </c>
      <c r="J1407" s="56" t="n"/>
      <c r="K1407" s="20" t="n">
        <v>160</v>
      </c>
      <c r="L1407" s="5" t="inlineStr">
        <is>
          <t>SFST81000048</t>
        </is>
      </c>
      <c r="M1407" s="7" t="inlineStr">
        <is>
          <t>Civill jobs (Floor-Wall-Celling-roof)</t>
        </is>
      </c>
      <c r="N1407" s="7" t="inlineStr">
        <is>
          <t>Cevil jobs</t>
        </is>
      </c>
      <c r="O1407" s="11" t="n">
        <v>2</v>
      </c>
      <c r="P1407" s="10" t="inlineStr">
        <is>
          <t>Upon Equipment/RM: 30%
Fix pipe and support pipe
undergroud building No. Project EN25-015
W 2/4</t>
        </is>
      </c>
      <c r="Q1407" s="277" t="n">
        <v>1</v>
      </c>
      <c r="R1407" s="5" t="inlineStr">
        <is>
          <t>JOB.</t>
        </is>
      </c>
      <c r="S1407" s="284">
        <f>RawDataGenPO[[#This Row],[Total price]]/RawDataGenPO[[#This Row],[Qty'']]</f>
        <v/>
      </c>
      <c r="T1407" s="278" t="n">
        <v>367121.88</v>
      </c>
      <c r="U1407" s="291" t="n"/>
      <c r="V1407" s="33" t="inlineStr">
        <is>
          <t xml:space="preserve">V1000771 - Envire Operation Co., Ltd
</t>
        </is>
      </c>
      <c r="W1407" s="30" t="inlineStr">
        <is>
          <t>Recive bill and GRN already</t>
        </is>
      </c>
      <c r="X1407" s="5" t="inlineStr">
        <is>
          <t>GRN2526-0004089</t>
        </is>
      </c>
      <c r="Y1407" s="3" t="n">
        <v>45923</v>
      </c>
      <c r="Z1407" s="23" t="n"/>
      <c r="AA1407" s="17">
        <f>IF(RawDataGenPO[[#This Row],[Date Gen PO]]="","",RawDataGenPO[[#This Row],[Date recive bill]]-RawDataGenPO[[#This Row],[Date Gen PO]])</f>
        <v/>
      </c>
      <c r="AB1407" s="16">
        <f>IF(RawDataGenPO[[#This Row],[GRN-PO date]]&gt;RawDataGenPO[[#This Row],[Lead time delivery (day)]],"over deliverry","Ontime")</f>
        <v/>
      </c>
      <c r="AC1407" s="22" t="n"/>
    </row>
    <row r="1408" ht="30" customHeight="1">
      <c r="A1408" s="5">
        <f>ROW()-ROW(RawDataGenPO[[#Headers],[No.]])</f>
        <v/>
      </c>
      <c r="B1408" s="7" t="inlineStr">
        <is>
          <t>Expent  cost</t>
        </is>
      </c>
      <c r="C1408" s="275" t="n">
        <v>45887</v>
      </c>
      <c r="F1408" s="301" t="n">
        <v>45887</v>
      </c>
      <c r="G1408" s="5" t="inlineStr">
        <is>
          <t>PR2526-01878</t>
        </is>
      </c>
      <c r="H1408" s="5" t="inlineStr">
        <is>
          <t>PO2526-02751</t>
        </is>
      </c>
      <c r="I1408" s="286" t="n">
        <v>45894</v>
      </c>
      <c r="J1408" s="56" t="n"/>
      <c r="K1408" s="20" t="n">
        <v>160</v>
      </c>
      <c r="L1408" s="5" t="inlineStr">
        <is>
          <t>SFST81000048</t>
        </is>
      </c>
      <c r="M1408" s="7" t="inlineStr">
        <is>
          <t>Civill jobs (Floor-Wall-Celling-roof)</t>
        </is>
      </c>
      <c r="N1408" s="7" t="inlineStr">
        <is>
          <t>Cevil jobs</t>
        </is>
      </c>
      <c r="O1408" s="11" t="n">
        <v>1</v>
      </c>
      <c r="P1408" s="10" t="inlineStr">
        <is>
          <t>Fix pipe and support pipe underground building 80 %</t>
        </is>
      </c>
      <c r="Q1408" s="277" t="n">
        <v>1</v>
      </c>
      <c r="R1408" s="5" t="inlineStr">
        <is>
          <t>JOB.</t>
        </is>
      </c>
      <c r="S1408" s="292">
        <f>RawDataGenPO[[#This Row],[Total price]]/RawDataGenPO[[#This Row],[Qty'']]</f>
        <v/>
      </c>
      <c r="T1408" s="278">
        <f>T1406+T1407</f>
        <v/>
      </c>
      <c r="U1408" s="291" t="n"/>
      <c r="V1408" s="33" t="inlineStr">
        <is>
          <t xml:space="preserve">V1000771 - Envire Operation Co., Ltd
</t>
        </is>
      </c>
      <c r="W1408" s="30" t="inlineStr">
        <is>
          <t xml:space="preserve">Waitting Supplier transportation </t>
        </is>
      </c>
      <c r="Z1408" s="23" t="n"/>
      <c r="AA1408" s="17">
        <f>IF(RawDataGenPO[[#This Row],[Date Gen PO]]="","",RawDataGenPO[[#This Row],[Date recive bill]]-RawDataGenPO[[#This Row],[Date Gen PO]])</f>
        <v/>
      </c>
      <c r="AB1408" s="16">
        <f>IF(RawDataGenPO[[#This Row],[GRN-PO date]]&gt;RawDataGenPO[[#This Row],[Lead time delivery (day)]],"over deliverry","Ontime")</f>
        <v/>
      </c>
      <c r="AC1408" s="22" t="n"/>
    </row>
    <row r="1409" ht="150" customHeight="1">
      <c r="A1409" s="5">
        <f>ROW()-ROW(RawDataGenPO[[#Headers],[No.]])</f>
        <v/>
      </c>
      <c r="B1409" s="7" t="inlineStr">
        <is>
          <t>CAPEX  (Unbudget)</t>
        </is>
      </c>
      <c r="C1409" s="275" t="n">
        <v>45887</v>
      </c>
      <c r="F1409" s="301" t="n">
        <v>45887</v>
      </c>
      <c r="G1409" s="5" t="inlineStr">
        <is>
          <t>PR2526-01885</t>
        </is>
      </c>
      <c r="H1409" s="5" t="inlineStr">
        <is>
          <t>PO2526-02879</t>
        </is>
      </c>
      <c r="I1409" s="286" t="n">
        <v>45901</v>
      </c>
      <c r="J1409" s="56" t="n"/>
      <c r="K1409" s="20" t="n">
        <v>30</v>
      </c>
      <c r="L1409" s="5" t="inlineStr">
        <is>
          <t>SFST82000018</t>
        </is>
      </c>
      <c r="M1409" s="7" t="inlineStr">
        <is>
          <t>Software</t>
        </is>
      </c>
      <c r="N1409" s="7" t="inlineStr">
        <is>
          <t>Software</t>
        </is>
      </c>
      <c r="O1409" s="11" t="n">
        <v>1</v>
      </c>
      <c r="P1409" s="10" t="inlineStr">
        <is>
          <t>GstarCad 2026 Professional Stand Free Upgrade Next
Version
GstarCAD 's Privilege
- Free Upgrade v2027
- Free AppliCAD menu
- Hotline service call 02-744-9669
- Remote online service (TeamViewer or other)
- Free updates patch as the same as the GstarCAD version
- Free Online Training 2 times/license.
- Free attendance of AppliCAD seminars/events.</t>
        </is>
      </c>
      <c r="Q1409" s="277" t="n">
        <v>1</v>
      </c>
      <c r="R1409" s="5" t="inlineStr">
        <is>
          <t>EA.</t>
        </is>
      </c>
      <c r="S1409" s="292">
        <f>RawDataGenPO[[#This Row],[Total price]]/RawDataGenPO[[#This Row],[Qty'']]</f>
        <v/>
      </c>
      <c r="T1409" s="278" t="n">
        <v>26775</v>
      </c>
      <c r="U1409" s="291" t="n"/>
      <c r="V1409" s="7" t="inlineStr">
        <is>
          <t>V1000568 - APPLICAD PUBLIC COMPANY LIMITED</t>
        </is>
      </c>
      <c r="W1409" s="30" t="inlineStr">
        <is>
          <t>Recive bill and GRN already</t>
        </is>
      </c>
      <c r="X1409" s="5" t="inlineStr">
        <is>
          <t>GRN2526-0003908</t>
        </is>
      </c>
      <c r="Y1409" s="3" t="n">
        <v>45916</v>
      </c>
      <c r="Z1409" s="23" t="n"/>
      <c r="AA1409" s="17">
        <f>IF(RawDataGenPO[[#This Row],[Date Gen PO]]="","",RawDataGenPO[[#This Row],[Date recive bill]]-RawDataGenPO[[#This Row],[Date Gen PO]])</f>
        <v/>
      </c>
      <c r="AB1409" s="16">
        <f>IF(RawDataGenPO[[#This Row],[GRN-PO date]]&gt;RawDataGenPO[[#This Row],[Lead time delivery (day)]],"over deliverry","Ontime")</f>
        <v/>
      </c>
      <c r="AC1409" s="22" t="n"/>
    </row>
    <row r="1410" ht="15" customHeight="1">
      <c r="A1410" s="5">
        <f>ROW()-ROW(RawDataGenPO[[#Headers],[No.]])</f>
        <v/>
      </c>
      <c r="B1410" s="7" t="inlineStr">
        <is>
          <t>Expent  cost</t>
        </is>
      </c>
      <c r="C1410" s="301" t="n">
        <v>45887</v>
      </c>
      <c r="F1410" s="301" t="n">
        <v>45887</v>
      </c>
      <c r="G1410" s="5" t="inlineStr">
        <is>
          <t>PR2526-01892</t>
        </is>
      </c>
      <c r="H1410" s="5" t="inlineStr">
        <is>
          <t xml:space="preserve">PO2526-02814 </t>
        </is>
      </c>
      <c r="I1410" s="286" t="n">
        <v>45897</v>
      </c>
      <c r="J1410" s="56" t="n"/>
      <c r="K1410" s="20" t="n">
        <v>30</v>
      </c>
      <c r="L1410" s="5" t="inlineStr">
        <is>
          <t>SFST34000043</t>
        </is>
      </c>
      <c r="M1410" s="7" t="inlineStr">
        <is>
          <t>Consumable part for MN</t>
        </is>
      </c>
      <c r="N1410" s="7" t="inlineStr">
        <is>
          <t>Electrical jobs</t>
        </is>
      </c>
      <c r="O1410" s="11" t="n">
        <v>1</v>
      </c>
      <c r="P1410" s="10" t="inlineStr">
        <is>
          <t>"Philip", TLD36/865, 36W, fluorescent tube</t>
        </is>
      </c>
      <c r="Q1410" s="277" t="n">
        <v>20</v>
      </c>
      <c r="R1410" s="5" t="inlineStr">
        <is>
          <t>PCS.</t>
        </is>
      </c>
      <c r="S1410" s="292">
        <f>RawDataGenPO[[#This Row],[Total price]]/RawDataGenPO[[#This Row],[Qty'']]</f>
        <v/>
      </c>
      <c r="T1410" s="278" t="n">
        <v>1260</v>
      </c>
      <c r="U1410" s="291" t="n"/>
      <c r="V1410" s="7" t="inlineStr">
        <is>
          <t>V1000276 - SN. ELECTRIC AND SUPPLY CO., LTD.</t>
        </is>
      </c>
      <c r="W1410" s="30" t="inlineStr">
        <is>
          <t>Recive bill and GRN already</t>
        </is>
      </c>
      <c r="X1410" s="5" t="inlineStr">
        <is>
          <t>GRN2526-0003615</t>
        </is>
      </c>
      <c r="Y1410" s="3" t="n">
        <v>45904</v>
      </c>
      <c r="Z1410" s="23" t="n"/>
      <c r="AA1410" s="17">
        <f>IF(RawDataGenPO[[#This Row],[Date Gen PO]]="","",RawDataGenPO[[#This Row],[Date recive bill]]-RawDataGenPO[[#This Row],[Date Gen PO]])</f>
        <v/>
      </c>
      <c r="AB1410" s="16">
        <f>IF(RawDataGenPO[[#This Row],[GRN-PO date]]&gt;RawDataGenPO[[#This Row],[Lead time delivery (day)]],"over deliverry","Ontime")</f>
        <v/>
      </c>
      <c r="AC1410" s="22" t="n"/>
    </row>
    <row r="1411" ht="19.20000076293945" customHeight="1">
      <c r="A1411" s="5">
        <f>ROW()-ROW(RawDataGenPO[[#Headers],[No.]])</f>
        <v/>
      </c>
      <c r="B1411" s="7" t="inlineStr">
        <is>
          <t>Expent  cost</t>
        </is>
      </c>
      <c r="C1411" s="301" t="n">
        <v>45887</v>
      </c>
      <c r="F1411" s="301" t="n">
        <v>45887</v>
      </c>
      <c r="G1411" s="5" t="inlineStr">
        <is>
          <t>PR2526-01892</t>
        </is>
      </c>
      <c r="H1411" s="5" t="inlineStr">
        <is>
          <t xml:space="preserve">PO2526-02814 </t>
        </is>
      </c>
      <c r="I1411" s="286" t="n">
        <v>45897</v>
      </c>
      <c r="J1411" s="56" t="n"/>
      <c r="K1411" s="20" t="n">
        <v>30</v>
      </c>
      <c r="L1411" s="5" t="inlineStr">
        <is>
          <t>SFST34000044</t>
        </is>
      </c>
      <c r="M1411" s="7" t="inlineStr">
        <is>
          <t>Consumable part for MN</t>
        </is>
      </c>
      <c r="N1411" s="73" t="inlineStr">
        <is>
          <t>Electrical jobs</t>
        </is>
      </c>
      <c r="O1411" s="11" t="n">
        <v>2</v>
      </c>
      <c r="P1411" s="10" t="inlineStr">
        <is>
          <t>"Philip",T8,20W, 2100lm, ECO SOFT HO LED</t>
        </is>
      </c>
      <c r="Q1411" s="277" t="n">
        <v>50</v>
      </c>
      <c r="R1411" s="5" t="inlineStr">
        <is>
          <t>PCS.</t>
        </is>
      </c>
      <c r="S1411" s="292">
        <f>RawDataGenPO[[#This Row],[Total price]]/RawDataGenPO[[#This Row],[Qty'']]</f>
        <v/>
      </c>
      <c r="T1411" s="278" t="n">
        <v>6700</v>
      </c>
      <c r="U1411" s="291" t="n"/>
      <c r="V1411" s="7" t="inlineStr">
        <is>
          <t>V1000276 - SN. ELECTRIC AND SUPPLY CO., LTD.</t>
        </is>
      </c>
      <c r="W1411" s="30" t="inlineStr">
        <is>
          <t>Recive bill and GRN already</t>
        </is>
      </c>
      <c r="X1411" s="5" t="inlineStr">
        <is>
          <t>GRN2526-0003615</t>
        </is>
      </c>
      <c r="Y1411" s="3" t="n">
        <v>45904</v>
      </c>
      <c r="Z1411" s="23" t="n"/>
      <c r="AA1411" s="17">
        <f>IF(RawDataGenPO[[#This Row],[Date Gen PO]]="","",RawDataGenPO[[#This Row],[Date recive bill]]-RawDataGenPO[[#This Row],[Date Gen PO]])</f>
        <v/>
      </c>
      <c r="AB1411" s="16">
        <f>IF(RawDataGenPO[[#This Row],[GRN-PO date]]&gt;RawDataGenPO[[#This Row],[Lead time delivery (day)]],"over deliverry","Ontime")</f>
        <v/>
      </c>
      <c r="AC1411" s="22" t="n"/>
    </row>
    <row r="1412" ht="19.20000076293945" customHeight="1">
      <c r="A1412" s="5">
        <f>ROW()-ROW(RawDataGenPO[[#Headers],[No.]])</f>
        <v/>
      </c>
      <c r="B1412" s="7" t="inlineStr">
        <is>
          <t>Expent  cost</t>
        </is>
      </c>
      <c r="C1412" s="301" t="n">
        <v>45887</v>
      </c>
      <c r="F1412" s="301" t="n">
        <v>45887</v>
      </c>
      <c r="G1412" s="5" t="inlineStr">
        <is>
          <t>PR2526-01892</t>
        </is>
      </c>
      <c r="H1412" s="5" t="inlineStr">
        <is>
          <t xml:space="preserve">PO2526-02814 </t>
        </is>
      </c>
      <c r="I1412" s="286" t="n">
        <v>45897</v>
      </c>
      <c r="J1412" s="56" t="n"/>
      <c r="K1412" s="20" t="n">
        <v>30</v>
      </c>
      <c r="L1412" s="5" t="inlineStr">
        <is>
          <t>SFST34000187</t>
        </is>
      </c>
      <c r="M1412" s="7" t="inlineStr">
        <is>
          <t>Consumable part for MN</t>
        </is>
      </c>
      <c r="N1412" s="73" t="inlineStr">
        <is>
          <t>Electrical jobs</t>
        </is>
      </c>
      <c r="O1412" s="11" t="n">
        <v>3</v>
      </c>
      <c r="P1412" s="10" t="inlineStr">
        <is>
          <t>LED EVE T8 SIMPLE FIT DE 22 W. DAYLIGHT G13 (1Box/25PC.)</t>
        </is>
      </c>
      <c r="Q1412" s="277" t="n">
        <v>50</v>
      </c>
      <c r="R1412" s="5" t="inlineStr">
        <is>
          <t>PCS.</t>
        </is>
      </c>
      <c r="S1412" s="292">
        <f>RawDataGenPO[[#This Row],[Total price]]/RawDataGenPO[[#This Row],[Qty'']]</f>
        <v/>
      </c>
      <c r="T1412" s="278" t="n">
        <v>5250</v>
      </c>
      <c r="U1412" s="291" t="n"/>
      <c r="V1412" s="7" t="inlineStr">
        <is>
          <t>V1000276 - SN. ELECTRIC AND SUPPLY CO., LTD.</t>
        </is>
      </c>
      <c r="W1412" s="30" t="inlineStr">
        <is>
          <t>Recive bill and GRN already</t>
        </is>
      </c>
      <c r="X1412" s="5" t="inlineStr">
        <is>
          <t>GRN2526-0003615</t>
        </is>
      </c>
      <c r="Y1412" s="3" t="n">
        <v>45904</v>
      </c>
      <c r="Z1412" s="23" t="n"/>
      <c r="AA1412" s="17">
        <f>IF(RawDataGenPO[[#This Row],[Date Gen PO]]="","",RawDataGenPO[[#This Row],[Date recive bill]]-RawDataGenPO[[#This Row],[Date Gen PO]])</f>
        <v/>
      </c>
      <c r="AB1412" s="16">
        <f>IF(RawDataGenPO[[#This Row],[GRN-PO date]]&gt;RawDataGenPO[[#This Row],[Lead time delivery (day)]],"over deliverry","Ontime")</f>
        <v/>
      </c>
      <c r="AC1412" s="22" t="n"/>
    </row>
    <row r="1413" ht="19.20000076293945" customHeight="1">
      <c r="A1413" s="5">
        <f>ROW()-ROW(RawDataGenPO[[#Headers],[No.]])</f>
        <v/>
      </c>
      <c r="B1413" s="7" t="inlineStr">
        <is>
          <t>Expent  cost</t>
        </is>
      </c>
      <c r="C1413" s="301" t="n">
        <v>45887</v>
      </c>
      <c r="F1413" s="301" t="n">
        <v>45887</v>
      </c>
      <c r="G1413" s="5" t="inlineStr">
        <is>
          <t>PR2526-01892</t>
        </is>
      </c>
      <c r="H1413" s="5" t="inlineStr">
        <is>
          <t xml:space="preserve">PO2526-02814 </t>
        </is>
      </c>
      <c r="I1413" s="286" t="n">
        <v>45897</v>
      </c>
      <c r="J1413" s="56" t="n"/>
      <c r="K1413" s="20" t="n">
        <v>30</v>
      </c>
      <c r="L1413" s="5" t="inlineStr">
        <is>
          <t>SFST34000188</t>
        </is>
      </c>
      <c r="M1413" s="7" t="inlineStr">
        <is>
          <t>Consumable part for MN</t>
        </is>
      </c>
      <c r="N1413" s="73" t="inlineStr">
        <is>
          <t>Electrical jobs</t>
        </is>
      </c>
      <c r="O1413" s="11" t="n">
        <v>4</v>
      </c>
      <c r="P1413" s="10" t="inlineStr">
        <is>
          <t>Philip LED Essential Bulb 9 W E27</t>
        </is>
      </c>
      <c r="Q1413" s="277" t="n">
        <v>2</v>
      </c>
      <c r="R1413" s="5" t="inlineStr">
        <is>
          <t>BOX.</t>
        </is>
      </c>
      <c r="S1413" s="292">
        <f>RawDataGenPO[[#This Row],[Total price]]/RawDataGenPO[[#This Row],[Qty'']]</f>
        <v/>
      </c>
      <c r="T1413" s="278" t="n">
        <v>1200</v>
      </c>
      <c r="U1413" s="291" t="n"/>
      <c r="V1413" s="7" t="inlineStr">
        <is>
          <t>V1000276 - SN. ELECTRIC AND SUPPLY CO., LTD.</t>
        </is>
      </c>
      <c r="W1413" s="30" t="inlineStr">
        <is>
          <t>Recive bill and GRN already</t>
        </is>
      </c>
      <c r="X1413" s="5" t="inlineStr">
        <is>
          <t>GRN2526-0003615</t>
        </is>
      </c>
      <c r="Y1413" s="3" t="n">
        <v>45904</v>
      </c>
      <c r="Z1413" s="23" t="n"/>
      <c r="AA1413" s="17">
        <f>IF(RawDataGenPO[[#This Row],[Date Gen PO]]="","",RawDataGenPO[[#This Row],[Date recive bill]]-RawDataGenPO[[#This Row],[Date Gen PO]])</f>
        <v/>
      </c>
      <c r="AB1413" s="16">
        <f>IF(RawDataGenPO[[#This Row],[GRN-PO date]]&gt;RawDataGenPO[[#This Row],[Lead time delivery (day)]],"over deliverry","Ontime")</f>
        <v/>
      </c>
      <c r="AC1413" s="22" t="n"/>
    </row>
    <row r="1414" ht="15" customHeight="1">
      <c r="A1414" s="5">
        <f>ROW()-ROW(RawDataGenPO[[#Headers],[No.]])</f>
        <v/>
      </c>
      <c r="B1414" s="7" t="inlineStr">
        <is>
          <t>Expent  cost</t>
        </is>
      </c>
      <c r="C1414" s="301" t="n">
        <v>45887</v>
      </c>
      <c r="F1414" s="301" t="n">
        <v>45887</v>
      </c>
      <c r="G1414" s="5" t="inlineStr">
        <is>
          <t>PR2526-01905</t>
        </is>
      </c>
      <c r="H1414" s="5" t="inlineStr">
        <is>
          <t>PO2526-02852</t>
        </is>
      </c>
      <c r="I1414" s="286" t="n">
        <v>45901</v>
      </c>
      <c r="J1414" s="56" t="n"/>
      <c r="K1414" s="20" t="n">
        <v>200</v>
      </c>
      <c r="L1414" s="5" t="inlineStr">
        <is>
          <t>SFST34000136</t>
        </is>
      </c>
      <c r="M1414" s="7" t="inlineStr">
        <is>
          <t>Consumable part for MN</t>
        </is>
      </c>
      <c r="N1414" s="7" t="inlineStr">
        <is>
          <t>Cevil quipment  &amp; Part</t>
        </is>
      </c>
      <c r="O1414" s="11" t="n">
        <v>1</v>
      </c>
      <c r="P1414" s="10" t="inlineStr">
        <is>
          <t xml:space="preserve"> argon gas 1.5 Q</t>
        </is>
      </c>
      <c r="Q1414" s="277" t="n">
        <v>3</v>
      </c>
      <c r="R1414" s="5" t="inlineStr">
        <is>
          <t>DRUM.</t>
        </is>
      </c>
      <c r="S1414" s="292">
        <f>RawDataGenPO[[#This Row],[Total price]]/RawDataGenPO[[#This Row],[Qty'']]</f>
        <v/>
      </c>
      <c r="T1414" s="278" t="n">
        <v>1050</v>
      </c>
      <c r="U1414" s="291" t="n"/>
      <c r="V1414" s="10" t="inlineStr">
        <is>
          <t>V1000475 - Klong Karn Kha Trading</t>
        </is>
      </c>
      <c r="W1414" s="30" t="inlineStr">
        <is>
          <t>Recive bill and GRN already</t>
        </is>
      </c>
      <c r="X1414" s="5" t="inlineStr">
        <is>
          <t>GRN2526-0005307</t>
        </is>
      </c>
      <c r="Y1414" s="3" t="n">
        <v>45974</v>
      </c>
      <c r="Z1414" s="23" t="n"/>
      <c r="AA1414" s="17">
        <f>IF(RawDataGenPO[[#This Row],[Date Gen PO]]="","",RawDataGenPO[[#This Row],[Date recive bill]]-RawDataGenPO[[#This Row],[Date Gen PO]])</f>
        <v/>
      </c>
      <c r="AB1414" s="16">
        <f>IF(RawDataGenPO[[#This Row],[GRN-PO date]]&gt;RawDataGenPO[[#This Row],[Lead time delivery (day)]],"over deliverry","Ontime")</f>
        <v/>
      </c>
      <c r="AC1414" s="22" t="n"/>
    </row>
    <row r="1415" ht="15" customHeight="1">
      <c r="A1415" s="5">
        <f>ROW()-ROW(RawDataGenPO[[#Headers],[No.]])</f>
        <v/>
      </c>
      <c r="B1415" s="7" t="inlineStr">
        <is>
          <t>Expent  cost</t>
        </is>
      </c>
      <c r="C1415" s="301" t="n">
        <v>45887</v>
      </c>
      <c r="F1415" s="301" t="n">
        <v>45887</v>
      </c>
      <c r="G1415" s="5" t="inlineStr">
        <is>
          <t>PR2526-01905</t>
        </is>
      </c>
      <c r="H1415" s="5" t="inlineStr">
        <is>
          <t>PO2526-02852</t>
        </is>
      </c>
      <c r="I1415" s="286" t="n">
        <v>45901</v>
      </c>
      <c r="J1415" s="56" t="n"/>
      <c r="K1415" s="20" t="n">
        <v>200</v>
      </c>
      <c r="L1415" s="5" t="inlineStr">
        <is>
          <t>SFST34000136</t>
        </is>
      </c>
      <c r="M1415" s="7" t="inlineStr">
        <is>
          <t>Consumable part for MN</t>
        </is>
      </c>
      <c r="N1415" s="7" t="inlineStr">
        <is>
          <t>Cevil quipment  &amp; Part</t>
        </is>
      </c>
      <c r="O1415" s="11" t="n">
        <v>1</v>
      </c>
      <c r="P1415" s="10" t="inlineStr">
        <is>
          <t xml:space="preserve"> argon gas 1.5 Q</t>
        </is>
      </c>
      <c r="Q1415" s="277" t="n">
        <v>2</v>
      </c>
      <c r="R1415" s="5" t="inlineStr">
        <is>
          <t>DRUM.</t>
        </is>
      </c>
      <c r="S1415" s="284">
        <f>RawDataGenPO[[#This Row],[Total price]]/RawDataGenPO[[#This Row],[Qty'']]</f>
        <v/>
      </c>
      <c r="T1415" s="278" t="n">
        <v>700</v>
      </c>
      <c r="U1415" s="291" t="n"/>
      <c r="V1415" s="10" t="inlineStr">
        <is>
          <t>V1000475 - Klong Karn Kha Trading</t>
        </is>
      </c>
      <c r="W1415" s="30" t="inlineStr">
        <is>
          <t>Recive bill and GRN already</t>
        </is>
      </c>
      <c r="X1415" s="5" t="inlineStr">
        <is>
          <t>GRN2526-0004378</t>
        </is>
      </c>
      <c r="Y1415" s="3" t="n">
        <v>45936</v>
      </c>
      <c r="Z1415" s="23" t="n"/>
      <c r="AA1415" s="17">
        <f>IF(RawDataGenPO[[#This Row],[Date Gen PO]]="","",RawDataGenPO[[#This Row],[Date recive bill]]-RawDataGenPO[[#This Row],[Date Gen PO]])</f>
        <v/>
      </c>
      <c r="AB1415" s="16">
        <f>IF(RawDataGenPO[[#This Row],[GRN-PO date]]&gt;RawDataGenPO[[#This Row],[Lead time delivery (day)]],"over deliverry","Ontime")</f>
        <v/>
      </c>
      <c r="AC1415" s="22" t="n"/>
    </row>
    <row r="1416" ht="15" customHeight="1">
      <c r="A1416" s="5">
        <f>ROW()-ROW(RawDataGenPO[[#Headers],[No.]])</f>
        <v/>
      </c>
      <c r="B1416" s="7" t="inlineStr">
        <is>
          <t>Expent  cost</t>
        </is>
      </c>
      <c r="C1416" s="301" t="n">
        <v>45887</v>
      </c>
      <c r="F1416" s="301" t="n">
        <v>45887</v>
      </c>
      <c r="G1416" s="5" t="inlineStr">
        <is>
          <t>PR2526-01905</t>
        </is>
      </c>
      <c r="H1416" s="5" t="inlineStr">
        <is>
          <t>PO2526-02852</t>
        </is>
      </c>
      <c r="I1416" s="286" t="n">
        <v>45901</v>
      </c>
      <c r="J1416" s="56" t="n"/>
      <c r="K1416" s="20" t="n">
        <v>200</v>
      </c>
      <c r="L1416" s="5" t="inlineStr">
        <is>
          <t>SFST34000136</t>
        </is>
      </c>
      <c r="M1416" s="7" t="inlineStr">
        <is>
          <t>Consumable part for MN</t>
        </is>
      </c>
      <c r="N1416" s="7" t="inlineStr">
        <is>
          <t>Cevil quipment  &amp; Part</t>
        </is>
      </c>
      <c r="O1416" s="11" t="n">
        <v>1</v>
      </c>
      <c r="P1416" s="10" t="inlineStr">
        <is>
          <t xml:space="preserve"> argon gas 1.5 Q</t>
        </is>
      </c>
      <c r="Q1416" s="277" t="n">
        <v>1</v>
      </c>
      <c r="R1416" s="5" t="inlineStr">
        <is>
          <t>DRUM.</t>
        </is>
      </c>
      <c r="S1416" s="284">
        <f>RawDataGenPO[[#This Row],[Total price]]/RawDataGenPO[[#This Row],[Qty'']]</f>
        <v/>
      </c>
      <c r="T1416" s="278" t="n">
        <v>350</v>
      </c>
      <c r="U1416" s="291" t="n"/>
      <c r="V1416" s="10" t="inlineStr">
        <is>
          <t>V1000475 - Klong Karn Kha Trading</t>
        </is>
      </c>
      <c r="W1416" s="30" t="inlineStr">
        <is>
          <t>Recive bill and GRN already</t>
        </is>
      </c>
      <c r="X1416" s="5" t="inlineStr">
        <is>
          <t>GRN2526-0003839</t>
        </is>
      </c>
      <c r="Y1416" s="3" t="n">
        <v>45912</v>
      </c>
      <c r="Z1416" s="23" t="n"/>
      <c r="AA1416" s="17">
        <f>IF(RawDataGenPO[[#This Row],[Date Gen PO]]="","",RawDataGenPO[[#This Row],[Date recive bill]]-RawDataGenPO[[#This Row],[Date Gen PO]])</f>
        <v/>
      </c>
      <c r="AB1416" s="16">
        <f>IF(RawDataGenPO[[#This Row],[GRN-PO date]]&gt;RawDataGenPO[[#This Row],[Lead time delivery (day)]],"over deliverry","Ontime")</f>
        <v/>
      </c>
      <c r="AC1416" s="22" t="n"/>
    </row>
    <row r="1417" ht="15" customHeight="1">
      <c r="A1417" s="5">
        <f>ROW()-ROW(RawDataGenPO[[#Headers],[No.]])</f>
        <v/>
      </c>
      <c r="B1417" s="7" t="inlineStr">
        <is>
          <t>Expent  cost</t>
        </is>
      </c>
      <c r="C1417" s="301" t="n">
        <v>45888</v>
      </c>
      <c r="F1417" s="301" t="n">
        <v>45888</v>
      </c>
      <c r="G1417" s="5" t="inlineStr">
        <is>
          <t>PR2526-01933</t>
        </is>
      </c>
      <c r="H1417" s="5" t="inlineStr">
        <is>
          <t>PO2526-02867</t>
        </is>
      </c>
      <c r="I1417" s="286" t="n">
        <v>45901</v>
      </c>
      <c r="J1417" s="56" t="n"/>
      <c r="K1417" s="20" t="n">
        <v>60</v>
      </c>
      <c r="L1417" s="5" t="inlineStr">
        <is>
          <t>SFST81000048</t>
        </is>
      </c>
      <c r="M1417" s="7" t="inlineStr">
        <is>
          <t>PD Machine</t>
        </is>
      </c>
      <c r="N1417" s="7" t="inlineStr">
        <is>
          <t>Swing Vacuum No.1</t>
        </is>
      </c>
      <c r="O1417" s="11" t="n">
        <v>1</v>
      </c>
      <c r="P1417" s="10" t="inlineStr">
        <is>
          <t>Heater For Swing Vacuum 0.2x10 mm.</t>
        </is>
      </c>
      <c r="Q1417" s="277" t="n">
        <v>10</v>
      </c>
      <c r="R1417" s="5" t="inlineStr">
        <is>
          <t>EA.</t>
        </is>
      </c>
      <c r="S1417" s="292">
        <f>RawDataGenPO[[#This Row],[Total price]]/RawDataGenPO[[#This Row],[Qty'']]</f>
        <v/>
      </c>
      <c r="T1417" s="278" t="n">
        <v>2000</v>
      </c>
      <c r="U1417" s="291" t="n"/>
      <c r="V1417" s="7" t="inlineStr">
        <is>
          <t>V1000746 - AT PACKING COMPANY LIMITED</t>
        </is>
      </c>
      <c r="W1417" s="30" t="inlineStr">
        <is>
          <t>Recive bill and GRN already</t>
        </is>
      </c>
      <c r="X1417" s="5" t="inlineStr">
        <is>
          <t>GRN2526-0004163</t>
        </is>
      </c>
      <c r="Y1417" s="3" t="n">
        <v>45925</v>
      </c>
      <c r="Z1417" s="23" t="n"/>
      <c r="AA1417" s="17">
        <f>IF(RawDataGenPO[[#This Row],[Date Gen PO]]="","",RawDataGenPO[[#This Row],[Date recive bill]]-RawDataGenPO[[#This Row],[Date Gen PO]])</f>
        <v/>
      </c>
      <c r="AB1417" s="16">
        <f>IF(RawDataGenPO[[#This Row],[GRN-PO date]]&gt;RawDataGenPO[[#This Row],[Lead time delivery (day)]],"over deliverry","Ontime")</f>
        <v/>
      </c>
      <c r="AC1417" s="22" t="n"/>
    </row>
    <row r="1418" ht="15" customHeight="1">
      <c r="A1418" s="5">
        <f>ROW()-ROW(RawDataGenPO[[#Headers],[No.]])</f>
        <v/>
      </c>
      <c r="B1418" s="7" t="inlineStr">
        <is>
          <t>Expent  cost</t>
        </is>
      </c>
      <c r="C1418" s="301" t="n">
        <v>45888</v>
      </c>
      <c r="F1418" s="301" t="n">
        <v>45888</v>
      </c>
      <c r="G1418" s="5" t="inlineStr">
        <is>
          <t>PR2526-01933</t>
        </is>
      </c>
      <c r="H1418" s="5" t="inlineStr">
        <is>
          <t>PO2526-02867</t>
        </is>
      </c>
      <c r="I1418" s="286" t="n">
        <v>45901</v>
      </c>
      <c r="J1418" s="56" t="n"/>
      <c r="K1418" s="20" t="n">
        <v>60</v>
      </c>
      <c r="L1418" s="5" t="inlineStr">
        <is>
          <t>SFST81000048</t>
        </is>
      </c>
      <c r="M1418" s="7" t="inlineStr">
        <is>
          <t>PD Machine</t>
        </is>
      </c>
      <c r="N1418" s="7" t="inlineStr">
        <is>
          <t>Swing Vacuum No.1</t>
        </is>
      </c>
      <c r="O1418" s="11" t="n">
        <v>2</v>
      </c>
      <c r="P1418" s="10" t="inlineStr">
        <is>
          <t>Transportation</t>
        </is>
      </c>
      <c r="Q1418" s="277" t="n">
        <v>1</v>
      </c>
      <c r="R1418" s="5" t="inlineStr">
        <is>
          <t>EA.</t>
        </is>
      </c>
      <c r="S1418" s="292">
        <f>RawDataGenPO[[#This Row],[Total price]]/RawDataGenPO[[#This Row],[Qty'']]</f>
        <v/>
      </c>
      <c r="T1418" s="278" t="n">
        <v>45</v>
      </c>
      <c r="U1418" s="291" t="n"/>
      <c r="V1418" s="7" t="inlineStr">
        <is>
          <t>V1000746 - AT PACKING COMPANY LIMITED</t>
        </is>
      </c>
      <c r="W1418" s="30" t="inlineStr">
        <is>
          <t>Recive bill and GRN already</t>
        </is>
      </c>
      <c r="X1418" s="5" t="inlineStr">
        <is>
          <t>GRN2526-0004163</t>
        </is>
      </c>
      <c r="Y1418" s="3" t="n">
        <v>45925</v>
      </c>
      <c r="Z1418" s="23" t="n"/>
      <c r="AA1418" s="17">
        <f>IF(RawDataGenPO[[#This Row],[Date Gen PO]]="","",RawDataGenPO[[#This Row],[Date recive bill]]-RawDataGenPO[[#This Row],[Date Gen PO]])</f>
        <v/>
      </c>
      <c r="AB1418" s="16">
        <f>IF(RawDataGenPO[[#This Row],[GRN-PO date]]&gt;RawDataGenPO[[#This Row],[Lead time delivery (day)]],"over deliverry","Ontime")</f>
        <v/>
      </c>
      <c r="AC1418" s="22" t="n"/>
    </row>
    <row r="1419" ht="45" customHeight="1">
      <c r="A1419" s="5">
        <f>ROW()-ROW(RawDataGenPO[[#Headers],[No.]])</f>
        <v/>
      </c>
      <c r="B1419" s="7" t="inlineStr">
        <is>
          <t>Expent  cost</t>
        </is>
      </c>
      <c r="C1419" s="301" t="n">
        <v>45888</v>
      </c>
      <c r="F1419" s="301" t="n">
        <v>45888</v>
      </c>
      <c r="G1419" s="5" t="inlineStr">
        <is>
          <t>PR2526-01934</t>
        </is>
      </c>
      <c r="H1419" s="5" t="inlineStr">
        <is>
          <t>PO2526-02868</t>
        </is>
      </c>
      <c r="I1419" s="286" t="n">
        <v>45901</v>
      </c>
      <c r="J1419" s="56" t="n"/>
      <c r="K1419" s="20" t="n">
        <v>60</v>
      </c>
      <c r="L1419" s="5" t="inlineStr">
        <is>
          <t>SFST81000048</t>
        </is>
      </c>
      <c r="M1419" s="7" t="inlineStr">
        <is>
          <t>PD Machine</t>
        </is>
      </c>
      <c r="N1419" s="7" t="inlineStr">
        <is>
          <t>Sterilizer oven 1</t>
        </is>
      </c>
      <c r="O1419" s="11" t="n">
        <v>1</v>
      </c>
      <c r="P1419" s="10" t="inlineStr">
        <is>
          <t>Replacement the Sterilizer: High Lisk
- stainless steel SUS 316
size 385 x 565 x 120 mm 5 mm m 3 mm withweld</t>
        </is>
      </c>
      <c r="Q1419" s="277" t="n">
        <v>5</v>
      </c>
      <c r="R1419" s="5" t="inlineStr">
        <is>
          <t>EA.</t>
        </is>
      </c>
      <c r="S1419" s="292">
        <f>RawDataGenPO[[#This Row],[Total price]]/RawDataGenPO[[#This Row],[Qty'']]</f>
        <v/>
      </c>
      <c r="T1419" s="278" t="n">
        <v>4500</v>
      </c>
      <c r="U1419" s="291" t="n"/>
      <c r="V1419" s="7" t="inlineStr">
        <is>
          <t>V1000798 - MGO SERVICE LIMITED PARTNERSHIP</t>
        </is>
      </c>
      <c r="W1419" s="30" t="inlineStr">
        <is>
          <t>Recive bill and GRN already</t>
        </is>
      </c>
      <c r="X1419" s="5" t="inlineStr">
        <is>
          <t>GRN2526-0004746</t>
        </is>
      </c>
      <c r="Y1419" s="3" t="n">
        <v>45951</v>
      </c>
      <c r="Z1419" s="23" t="n"/>
      <c r="AA1419" s="17">
        <f>IF(RawDataGenPO[[#This Row],[Date Gen PO]]="","",RawDataGenPO[[#This Row],[Date recive bill]]-RawDataGenPO[[#This Row],[Date Gen PO]])</f>
        <v/>
      </c>
      <c r="AB1419" s="16">
        <f>IF(RawDataGenPO[[#This Row],[GRN-PO date]]&gt;RawDataGenPO[[#This Row],[Lead time delivery (day)]],"over deliverry","Ontime")</f>
        <v/>
      </c>
      <c r="AC1419" s="22" t="n"/>
    </row>
    <row r="1420" ht="15" customHeight="1">
      <c r="A1420" s="5">
        <f>ROW()-ROW(RawDataGenPO[[#Headers],[No.]])</f>
        <v/>
      </c>
      <c r="B1420" s="7" t="inlineStr">
        <is>
          <t>Expent  cost</t>
        </is>
      </c>
      <c r="C1420" s="301" t="n">
        <v>45888</v>
      </c>
      <c r="F1420" s="301" t="n">
        <v>45888</v>
      </c>
      <c r="G1420" s="5" t="inlineStr">
        <is>
          <t>PR2526-01934</t>
        </is>
      </c>
      <c r="H1420" s="5" t="inlineStr">
        <is>
          <t>PO2526-02868</t>
        </is>
      </c>
      <c r="I1420" s="286" t="n">
        <v>45901</v>
      </c>
      <c r="J1420" s="56" t="n"/>
      <c r="K1420" s="20" t="n">
        <v>60</v>
      </c>
      <c r="L1420" s="5" t="inlineStr">
        <is>
          <t>SFST81000048</t>
        </is>
      </c>
      <c r="M1420" s="7" t="inlineStr">
        <is>
          <t>PD Machine</t>
        </is>
      </c>
      <c r="N1420" s="7" t="inlineStr">
        <is>
          <t>Sterilizer oven 1</t>
        </is>
      </c>
      <c r="O1420" s="11" t="n">
        <v>2</v>
      </c>
      <c r="P1420" s="10" t="inlineStr">
        <is>
          <t>replacescrewstainless steel threadnew</t>
        </is>
      </c>
      <c r="Q1420" s="277" t="n">
        <v>1</v>
      </c>
      <c r="R1420" s="5" t="inlineStr">
        <is>
          <t>EA.</t>
        </is>
      </c>
      <c r="S1420" s="284">
        <f>RawDataGenPO[[#This Row],[Total price]]/RawDataGenPO[[#This Row],[Qty'']]</f>
        <v/>
      </c>
      <c r="T1420" s="278" t="n">
        <v>3000</v>
      </c>
      <c r="U1420" s="291" t="n"/>
      <c r="V1420" s="7" t="inlineStr">
        <is>
          <t>V1000798 - MGO SERVICE LIMITED PARTNERSHIP</t>
        </is>
      </c>
      <c r="W1420" s="30" t="inlineStr">
        <is>
          <t>Recive bill and GRN already</t>
        </is>
      </c>
      <c r="X1420" s="5" t="inlineStr">
        <is>
          <t>GRN2526-0004746</t>
        </is>
      </c>
      <c r="Y1420" s="3" t="n">
        <v>45951</v>
      </c>
      <c r="Z1420" s="23" t="n"/>
      <c r="AA1420" s="17">
        <f>IF(RawDataGenPO[[#This Row],[Date Gen PO]]="","",RawDataGenPO[[#This Row],[Date recive bill]]-RawDataGenPO[[#This Row],[Date Gen PO]])</f>
        <v/>
      </c>
      <c r="AB1420" s="16">
        <f>IF(RawDataGenPO[[#This Row],[GRN-PO date]]&gt;RawDataGenPO[[#This Row],[Lead time delivery (day)]],"over deliverry","Ontime")</f>
        <v/>
      </c>
      <c r="AC1420" s="22" t="n"/>
    </row>
    <row r="1421" ht="15" customHeight="1">
      <c r="A1421" s="5">
        <f>ROW()-ROW(RawDataGenPO[[#Headers],[No.]])</f>
        <v/>
      </c>
      <c r="B1421" s="7" t="inlineStr">
        <is>
          <t>Expent  cost</t>
        </is>
      </c>
      <c r="C1421" s="301" t="n">
        <v>45889</v>
      </c>
      <c r="F1421" s="301" t="n">
        <v>45889</v>
      </c>
      <c r="G1421" s="5" t="inlineStr">
        <is>
          <t>PR2526-01934</t>
        </is>
      </c>
      <c r="H1421" s="5" t="inlineStr">
        <is>
          <t>PO2526-02811</t>
        </is>
      </c>
      <c r="I1421" s="286" t="n">
        <v>45901</v>
      </c>
      <c r="J1421" s="56" t="n"/>
      <c r="K1421" s="20" t="n">
        <v>60</v>
      </c>
      <c r="L1421" s="5" t="inlineStr">
        <is>
          <t>SFST81000048</t>
        </is>
      </c>
      <c r="M1421" s="7" t="inlineStr">
        <is>
          <t>PD Machine</t>
        </is>
      </c>
      <c r="N1421" s="7" t="inlineStr">
        <is>
          <t>Sterilizer oven 1</t>
        </is>
      </c>
      <c r="O1421" s="11" t="n">
        <v>3</v>
      </c>
      <c r="P1421" s="10" t="inlineStr">
        <is>
          <t>replace heat-resistant</t>
        </is>
      </c>
      <c r="Q1421" s="277" t="n">
        <v>1</v>
      </c>
      <c r="R1421" s="5" t="inlineStr">
        <is>
          <t>EA.</t>
        </is>
      </c>
      <c r="S1421" s="284">
        <f>RawDataGenPO[[#This Row],[Total price]]/RawDataGenPO[[#This Row],[Qty'']]</f>
        <v/>
      </c>
      <c r="T1421" s="278" t="n">
        <v>8500</v>
      </c>
      <c r="U1421" s="291" t="n"/>
      <c r="V1421" s="7" t="inlineStr">
        <is>
          <t>V1000798 - MGO SERVICE LIMITED PARTNERSHIP</t>
        </is>
      </c>
      <c r="W1421" s="30" t="inlineStr">
        <is>
          <t>Recive bill and GRN already</t>
        </is>
      </c>
      <c r="X1421" s="5" t="inlineStr">
        <is>
          <t>GRN2526-0004746</t>
        </is>
      </c>
      <c r="Y1421" s="3" t="n">
        <v>45951</v>
      </c>
      <c r="Z1421" s="23" t="n"/>
      <c r="AA1421" s="17">
        <f>IF(RawDataGenPO[[#This Row],[Date Gen PO]]="","",RawDataGenPO[[#This Row],[Date recive bill]]-RawDataGenPO[[#This Row],[Date Gen PO]])</f>
        <v/>
      </c>
      <c r="AB1421" s="16">
        <f>IF(RawDataGenPO[[#This Row],[GRN-PO date]]&gt;RawDataGenPO[[#This Row],[Lead time delivery (day)]],"over deliverry","Ontime")</f>
        <v/>
      </c>
      <c r="AC1421" s="22" t="n"/>
    </row>
    <row r="1422" ht="30" customHeight="1">
      <c r="A1422" s="5">
        <f>ROW()-ROW(RawDataGenPO[[#Headers],[No.]])</f>
        <v/>
      </c>
      <c r="B1422" s="7" t="inlineStr">
        <is>
          <t>Expent  cost</t>
        </is>
      </c>
      <c r="C1422" s="301" t="n">
        <v>45889</v>
      </c>
      <c r="F1422" s="301" t="n">
        <v>45889</v>
      </c>
      <c r="G1422" s="5" t="inlineStr">
        <is>
          <t>PR2526-01961</t>
        </is>
      </c>
      <c r="H1422" s="5" t="inlineStr">
        <is>
          <t>PO2526-02811</t>
        </is>
      </c>
      <c r="I1422" s="286" t="n">
        <v>45897</v>
      </c>
      <c r="J1422" s="56" t="n"/>
      <c r="K1422" s="20" t="n">
        <v>30</v>
      </c>
      <c r="L1422" s="5" t="inlineStr">
        <is>
          <t>SFST34000182</t>
        </is>
      </c>
      <c r="M1422" s="7" t="inlineStr">
        <is>
          <t>Consumable part for MN</t>
        </is>
      </c>
      <c r="N1422" s="7" t="inlineStr">
        <is>
          <t>Machanical part</t>
        </is>
      </c>
      <c r="O1422" s="11" t="n">
        <v>1</v>
      </c>
      <c r="P1422" s="10" t="inlineStr">
        <is>
          <t>CRC #2019 ELECTRICAL PARTS CLEANER 400g
(1box/12)</t>
        </is>
      </c>
      <c r="Q1422" s="277" t="n">
        <v>12</v>
      </c>
      <c r="R1422" s="5" t="inlineStr">
        <is>
          <t>PCS.</t>
        </is>
      </c>
      <c r="S1422" s="284">
        <f>RawDataGenPO[[#This Row],[Total price]]/RawDataGenPO[[#This Row],[Qty'']]</f>
        <v/>
      </c>
      <c r="T1422" s="278" t="n">
        <v>3336.48</v>
      </c>
      <c r="U1422" s="291" t="n"/>
      <c r="V1422" s="7" t="inlineStr">
        <is>
          <t>V1000676 - AMS INTERNATIONAL CO.,LTD.</t>
        </is>
      </c>
      <c r="W1422" s="30" t="inlineStr">
        <is>
          <t>Recive bill and GRN already</t>
        </is>
      </c>
      <c r="X1422" s="5" t="inlineStr">
        <is>
          <t>GRN2526-0004099</t>
        </is>
      </c>
      <c r="Y1422" s="3" t="n">
        <v>45923</v>
      </c>
      <c r="Z1422" s="23" t="n"/>
      <c r="AA1422" s="17">
        <f>IF(RawDataGenPO[[#This Row],[Date Gen PO]]="","",RawDataGenPO[[#This Row],[Date recive bill]]-RawDataGenPO[[#This Row],[Date Gen PO]])</f>
        <v/>
      </c>
      <c r="AB1422" s="16">
        <f>IF(RawDataGenPO[[#This Row],[GRN-PO date]]&gt;RawDataGenPO[[#This Row],[Lead time delivery (day)]],"over deliverry","Ontime")</f>
        <v/>
      </c>
      <c r="AC1422" s="22" t="n"/>
    </row>
    <row r="1423" ht="15" customHeight="1">
      <c r="A1423" s="5">
        <f>ROW()-ROW(RawDataGenPO[[#Headers],[No.]])</f>
        <v/>
      </c>
      <c r="B1423" s="7" t="inlineStr">
        <is>
          <t>Expent  cost</t>
        </is>
      </c>
      <c r="C1423" s="301" t="n">
        <v>45889</v>
      </c>
      <c r="F1423" s="301" t="n">
        <v>45889</v>
      </c>
      <c r="G1423" s="5" t="inlineStr">
        <is>
          <t>PR2526-01962</t>
        </is>
      </c>
      <c r="H1423" s="5" t="inlineStr">
        <is>
          <t>PO2526-02812</t>
        </is>
      </c>
      <c r="I1423" s="286" t="n">
        <v>45897</v>
      </c>
      <c r="J1423" s="56" t="n"/>
      <c r="K1423" s="20" t="n">
        <v>30</v>
      </c>
      <c r="L1423" s="5" t="inlineStr">
        <is>
          <t>SFST81000085</t>
        </is>
      </c>
      <c r="M1423" s="7" t="inlineStr">
        <is>
          <t>Consumable part for MN</t>
        </is>
      </c>
      <c r="N1423" s="7" t="inlineStr">
        <is>
          <t>Machanical part</t>
        </is>
      </c>
      <c r="O1423" s="11" t="n">
        <v>2</v>
      </c>
      <c r="P1423" s="10" t="inlineStr">
        <is>
          <t>transport costW</t>
        </is>
      </c>
      <c r="Q1423" s="277" t="n">
        <v>1</v>
      </c>
      <c r="R1423" s="5" t="inlineStr">
        <is>
          <t>EA.</t>
        </is>
      </c>
      <c r="S1423" s="284">
        <f>RawDataGenPO[[#This Row],[Total price]]/RawDataGenPO[[#This Row],[Qty'']]</f>
        <v/>
      </c>
      <c r="T1423" s="278" t="n">
        <v>99.94</v>
      </c>
      <c r="U1423" s="291" t="n"/>
      <c r="V1423" s="7" t="inlineStr">
        <is>
          <t>V1000676 - AMS INTERNATIONAL CO.,LTD.</t>
        </is>
      </c>
      <c r="W1423" s="30" t="inlineStr">
        <is>
          <t xml:space="preserve">Waitting Supplier transportation </t>
        </is>
      </c>
      <c r="Z1423" s="23" t="n"/>
      <c r="AA1423" s="17">
        <f>IF(RawDataGenPO[[#This Row],[Date Gen PO]]="","",RawDataGenPO[[#This Row],[Date recive bill]]-RawDataGenPO[[#This Row],[Date Gen PO]])</f>
        <v/>
      </c>
      <c r="AB1423" s="16">
        <f>IF(RawDataGenPO[[#This Row],[GRN-PO date]]&gt;RawDataGenPO[[#This Row],[Lead time delivery (day)]],"over deliverry","Ontime")</f>
        <v/>
      </c>
      <c r="AC1423" s="22" t="n"/>
    </row>
    <row r="1424" ht="15" customHeight="1">
      <c r="A1424" s="5">
        <f>ROW()-ROW(RawDataGenPO[[#Headers],[No.]])</f>
        <v/>
      </c>
      <c r="B1424" s="7" t="inlineStr">
        <is>
          <t>Expent  cost</t>
        </is>
      </c>
      <c r="C1424" s="301" t="n">
        <v>45891</v>
      </c>
      <c r="F1424" s="301" t="n">
        <v>45891</v>
      </c>
      <c r="G1424" s="5" t="inlineStr">
        <is>
          <t>PR2526-01962</t>
        </is>
      </c>
      <c r="H1424" s="5" t="inlineStr">
        <is>
          <t>PO2526-02812</t>
        </is>
      </c>
      <c r="I1424" s="286" t="n">
        <v>45898</v>
      </c>
      <c r="J1424" s="56" t="n"/>
      <c r="K1424" s="20" t="n">
        <v>60</v>
      </c>
      <c r="L1424" s="5" t="inlineStr">
        <is>
          <t>SFST34000130</t>
        </is>
      </c>
      <c r="M1424" s="7" t="inlineStr">
        <is>
          <t>Consumable part for MN</t>
        </is>
      </c>
      <c r="N1424" s="7" t="inlineStr">
        <is>
          <t>Machanical part</t>
        </is>
      </c>
      <c r="O1424" s="11" t="n">
        <v>1</v>
      </c>
      <c r="P1424" s="10" t="inlineStr">
        <is>
          <t>setscrew bolt hex stainless steel 304 M M6x25</t>
        </is>
      </c>
      <c r="Q1424" s="277" t="n">
        <v>40</v>
      </c>
      <c r="R1424" s="5" t="inlineStr">
        <is>
          <t>PCS.</t>
        </is>
      </c>
      <c r="S1424" s="284">
        <f>RawDataGenPO[[#This Row],[Total price]]/RawDataGenPO[[#This Row],[Qty'']]</f>
        <v/>
      </c>
      <c r="T1424" s="278" t="n">
        <v>320</v>
      </c>
      <c r="U1424" s="291" t="n"/>
      <c r="V1424" s="7" t="inlineStr">
        <is>
          <t>V1000289 - Kitticharoen Supply Co., Ltd</t>
        </is>
      </c>
      <c r="W1424" s="30" t="inlineStr">
        <is>
          <t>Recive bill and GRN already</t>
        </is>
      </c>
      <c r="X1424" s="5" t="inlineStr">
        <is>
          <t>GRN2526-0003993</t>
        </is>
      </c>
      <c r="Y1424" s="3" t="n">
        <v>45919</v>
      </c>
      <c r="Z1424" s="23" t="n"/>
      <c r="AA1424" s="17">
        <f>IF(RawDataGenPO[[#This Row],[Date Gen PO]]="","",RawDataGenPO[[#This Row],[Date recive bill]]-RawDataGenPO[[#This Row],[Date Gen PO]])</f>
        <v/>
      </c>
      <c r="AB1424" s="16">
        <f>IF(RawDataGenPO[[#This Row],[GRN-PO date]]&gt;RawDataGenPO[[#This Row],[Lead time delivery (day)]],"over deliverry","Ontime")</f>
        <v/>
      </c>
      <c r="AC1424" s="22" t="n"/>
    </row>
    <row r="1425" ht="15" customHeight="1">
      <c r="A1425" s="5">
        <f>ROW()-ROW(RawDataGenPO[[#Headers],[No.]])</f>
        <v/>
      </c>
      <c r="B1425" s="7" t="inlineStr">
        <is>
          <t>Expent  cost</t>
        </is>
      </c>
      <c r="C1425" s="301" t="n">
        <v>45891</v>
      </c>
      <c r="F1425" s="301" t="n">
        <v>45891</v>
      </c>
      <c r="G1425" s="5" t="inlineStr">
        <is>
          <t>PR2526-01962</t>
        </is>
      </c>
      <c r="H1425" s="5" t="inlineStr">
        <is>
          <t>PO2526-02812</t>
        </is>
      </c>
      <c r="I1425" s="286" t="n">
        <v>45898</v>
      </c>
      <c r="J1425" s="56" t="n"/>
      <c r="K1425" s="20" t="n">
        <v>60</v>
      </c>
      <c r="L1425" s="5" t="inlineStr">
        <is>
          <t>SFST34000131</t>
        </is>
      </c>
      <c r="M1425" s="7" t="inlineStr">
        <is>
          <t>Consumable part for MN</t>
        </is>
      </c>
      <c r="N1425" s="7" t="inlineStr">
        <is>
          <t>Machanical part</t>
        </is>
      </c>
      <c r="O1425" s="11" t="n">
        <v>2</v>
      </c>
      <c r="P1425" s="10" t="inlineStr">
        <is>
          <t>setscrew bolt hex stainless steel 304 M M6x35</t>
        </is>
      </c>
      <c r="Q1425" s="277" t="n">
        <v>40</v>
      </c>
      <c r="R1425" s="5" t="inlineStr">
        <is>
          <t>PCS.</t>
        </is>
      </c>
      <c r="S1425" s="284">
        <f>RawDataGenPO[[#This Row],[Total price]]/RawDataGenPO[[#This Row],[Qty'']]</f>
        <v/>
      </c>
      <c r="T1425" s="278" t="n">
        <v>360</v>
      </c>
      <c r="U1425" s="291" t="n"/>
      <c r="V1425" s="7" t="inlineStr">
        <is>
          <t>V1000289 - Kitticharoen Supply Co., Ltd</t>
        </is>
      </c>
      <c r="W1425" s="30" t="inlineStr">
        <is>
          <t>Recive bill and GRN already</t>
        </is>
      </c>
      <c r="X1425" s="5" t="inlineStr">
        <is>
          <t>GRN2526-0003993</t>
        </is>
      </c>
      <c r="Y1425" s="3" t="n">
        <v>45919</v>
      </c>
      <c r="Z1425" s="23" t="n"/>
      <c r="AA1425" s="17">
        <f>IF(RawDataGenPO[[#This Row],[Date Gen PO]]="","",RawDataGenPO[[#This Row],[Date recive bill]]-RawDataGenPO[[#This Row],[Date Gen PO]])</f>
        <v/>
      </c>
      <c r="AB1425" s="16">
        <f>IF(RawDataGenPO[[#This Row],[GRN-PO date]]&gt;RawDataGenPO[[#This Row],[Lead time delivery (day)]],"over deliverry","Ontime")</f>
        <v/>
      </c>
      <c r="AC1425" s="22" t="n"/>
    </row>
    <row r="1426" ht="15" customHeight="1">
      <c r="A1426" s="5">
        <f>ROW()-ROW(RawDataGenPO[[#Headers],[No.]])</f>
        <v/>
      </c>
      <c r="B1426" s="7" t="inlineStr">
        <is>
          <t>Expent  cost</t>
        </is>
      </c>
      <c r="C1426" s="301" t="n">
        <v>45891</v>
      </c>
      <c r="F1426" s="301" t="n">
        <v>45891</v>
      </c>
      <c r="G1426" s="5" t="inlineStr">
        <is>
          <t>PR2526-01962</t>
        </is>
      </c>
      <c r="H1426" s="5" t="inlineStr">
        <is>
          <t>PO2526-02812</t>
        </is>
      </c>
      <c r="I1426" s="286" t="n">
        <v>45898</v>
      </c>
      <c r="J1426" s="56" t="n"/>
      <c r="K1426" s="20" t="n">
        <v>60</v>
      </c>
      <c r="L1426" s="5" t="inlineStr">
        <is>
          <t>SFST34000132</t>
        </is>
      </c>
      <c r="M1426" s="7" t="inlineStr">
        <is>
          <t>Consumable part for MN</t>
        </is>
      </c>
      <c r="N1426" s="7" t="inlineStr">
        <is>
          <t>Machanical part</t>
        </is>
      </c>
      <c r="O1426" s="11" t="n">
        <v>3</v>
      </c>
      <c r="P1426" s="42" t="inlineStr">
        <is>
          <t>setscrew bolt hex stainless steel 304 M M8x25</t>
        </is>
      </c>
      <c r="Q1426" s="323" t="n">
        <v>40</v>
      </c>
      <c r="R1426" s="5" t="inlineStr">
        <is>
          <t>PCS.</t>
        </is>
      </c>
      <c r="S1426" s="292">
        <f>RawDataGenPO[[#This Row],[Total price]]/RawDataGenPO[[#This Row],[Qty'']]</f>
        <v/>
      </c>
      <c r="T1426" s="324" t="n">
        <v>440</v>
      </c>
      <c r="U1426" s="325" t="n"/>
      <c r="V1426" s="7" t="inlineStr">
        <is>
          <t>V1000289 - Kitticharoen Supply Co., Ltd</t>
        </is>
      </c>
      <c r="W1426" s="30" t="inlineStr">
        <is>
          <t>Recive bill and GRN already</t>
        </is>
      </c>
      <c r="X1426" s="5" t="inlineStr">
        <is>
          <t>GRN2526-0003993</t>
        </is>
      </c>
      <c r="Y1426" s="3" t="n">
        <v>45919</v>
      </c>
      <c r="Z1426" s="23" t="n"/>
      <c r="AA1426" s="37">
        <f>IF(RawDataGenPO[[#This Row],[Date Gen PO]]="","",RawDataGenPO[[#This Row],[Date recive bill]]-RawDataGenPO[[#This Row],[Date Gen PO]])</f>
        <v/>
      </c>
      <c r="AB1426" s="36">
        <f>IF(RawDataGenPO[[#This Row],[GRN-PO date]]&gt;RawDataGenPO[[#This Row],[Lead time delivery (day)]],"over deliverry","Ontime")</f>
        <v/>
      </c>
      <c r="AC1426" s="35" t="n"/>
    </row>
    <row r="1427" ht="15" customHeight="1">
      <c r="A1427" s="5">
        <f>ROW()-ROW(RawDataGenPO[[#Headers],[No.]])</f>
        <v/>
      </c>
      <c r="B1427" s="7" t="inlineStr">
        <is>
          <t>Expent  cost</t>
        </is>
      </c>
      <c r="C1427" s="301" t="n">
        <v>45891</v>
      </c>
      <c r="F1427" s="301" t="n">
        <v>45891</v>
      </c>
      <c r="G1427" s="5" t="inlineStr">
        <is>
          <t>PR2526-01962</t>
        </is>
      </c>
      <c r="H1427" s="5" t="inlineStr">
        <is>
          <t>PO2526-02812</t>
        </is>
      </c>
      <c r="I1427" s="286" t="n">
        <v>45898</v>
      </c>
      <c r="J1427" s="56" t="n"/>
      <c r="K1427" s="20" t="n">
        <v>60</v>
      </c>
      <c r="L1427" s="5" t="inlineStr">
        <is>
          <t>SFST34000133</t>
        </is>
      </c>
      <c r="M1427" s="7" t="inlineStr">
        <is>
          <t>Consumable part for MN</t>
        </is>
      </c>
      <c r="N1427" s="7" t="inlineStr">
        <is>
          <t>Machanical part</t>
        </is>
      </c>
      <c r="O1427" s="11" t="n">
        <v>4</v>
      </c>
      <c r="P1427" s="42" t="inlineStr">
        <is>
          <t>setscrew bolt hex stainless steel 304 M M8x35</t>
        </is>
      </c>
      <c r="Q1427" s="323" t="n">
        <v>40</v>
      </c>
      <c r="R1427" s="5" t="inlineStr">
        <is>
          <t>PCS.</t>
        </is>
      </c>
      <c r="S1427" s="292">
        <f>RawDataGenPO[[#This Row],[Total price]]/RawDataGenPO[[#This Row],[Qty'']]</f>
        <v/>
      </c>
      <c r="T1427" s="324" t="n">
        <v>480</v>
      </c>
      <c r="U1427" s="325" t="n"/>
      <c r="V1427" s="7" t="inlineStr">
        <is>
          <t>V1000289 - Kitticharoen Supply Co., Ltd</t>
        </is>
      </c>
      <c r="W1427" s="30" t="inlineStr">
        <is>
          <t>Recive bill and GRN already</t>
        </is>
      </c>
      <c r="X1427" s="5" t="inlineStr">
        <is>
          <t>GRN2526-0003993</t>
        </is>
      </c>
      <c r="Y1427" s="3" t="n">
        <v>45919</v>
      </c>
      <c r="Z1427" s="23" t="n"/>
      <c r="AA1427" s="37">
        <f>IF(RawDataGenPO[[#This Row],[Date Gen PO]]="","",RawDataGenPO[[#This Row],[Date recive bill]]-RawDataGenPO[[#This Row],[Date Gen PO]])</f>
        <v/>
      </c>
      <c r="AB1427" s="36">
        <f>IF(RawDataGenPO[[#This Row],[GRN-PO date]]&gt;RawDataGenPO[[#This Row],[Lead time delivery (day)]],"over deliverry","Ontime")</f>
        <v/>
      </c>
      <c r="AC1427" s="35" t="n"/>
    </row>
    <row r="1428" ht="15" customHeight="1">
      <c r="A1428" s="5">
        <f>ROW()-ROW(RawDataGenPO[[#Headers],[No.]])</f>
        <v/>
      </c>
      <c r="B1428" s="7" t="inlineStr">
        <is>
          <t>Expent  cost</t>
        </is>
      </c>
      <c r="C1428" s="301" t="n">
        <v>45891</v>
      </c>
      <c r="F1428" s="301" t="n">
        <v>45891</v>
      </c>
      <c r="G1428" s="5" t="inlineStr">
        <is>
          <t>PR2526-01963</t>
        </is>
      </c>
      <c r="H1428" s="5" t="inlineStr">
        <is>
          <t>PO2526-02813</t>
        </is>
      </c>
      <c r="I1428" s="286" t="n">
        <v>45901</v>
      </c>
      <c r="J1428" s="56" t="n"/>
      <c r="K1428" s="20" t="n">
        <v>60</v>
      </c>
      <c r="L1428" s="5" t="inlineStr">
        <is>
          <t>SFST34000104</t>
        </is>
      </c>
      <c r="M1428" s="7" t="inlineStr">
        <is>
          <t>Consumable part for MN</t>
        </is>
      </c>
      <c r="N1428" s="7" t="inlineStr">
        <is>
          <t>Machanical part</t>
        </is>
      </c>
      <c r="O1428" s="11" t="n">
        <v>5</v>
      </c>
      <c r="P1428" s="10" t="inlineStr">
        <is>
          <t>U-boltstainless steel SUS304 (Steel U-BOLT) size 1/2" (pcsinternal 22 mm.)</t>
        </is>
      </c>
      <c r="Q1428" s="277" t="n">
        <v>10</v>
      </c>
      <c r="R1428" s="5" t="inlineStr">
        <is>
          <t>PCS.</t>
        </is>
      </c>
      <c r="S1428" s="284">
        <f>RawDataGenPO[[#This Row],[Total price]]/RawDataGenPO[[#This Row],[Qty'']]</f>
        <v/>
      </c>
      <c r="T1428" s="324" t="n">
        <v>200</v>
      </c>
      <c r="U1428" s="291" t="n"/>
      <c r="V1428" s="7" t="inlineStr">
        <is>
          <t>V1000306 - Inter Supply (1992) Co., Ltd.</t>
        </is>
      </c>
      <c r="W1428" s="30" t="inlineStr">
        <is>
          <t>Recive bill and GRN already</t>
        </is>
      </c>
      <c r="X1428" s="5" t="inlineStr">
        <is>
          <t>GRN2526-0003634</t>
        </is>
      </c>
      <c r="Y1428" s="3" t="n">
        <v>45904</v>
      </c>
      <c r="Z1428" s="23" t="n"/>
      <c r="AA1428" s="17">
        <f>IF(RawDataGenPO[[#This Row],[Date Gen PO]]="","",RawDataGenPO[[#This Row],[Date recive bill]]-RawDataGenPO[[#This Row],[Date Gen PO]])</f>
        <v/>
      </c>
      <c r="AB1428" s="16">
        <f>IF(RawDataGenPO[[#This Row],[GRN-PO date]]&gt;RawDataGenPO[[#This Row],[Lead time delivery (day)]],"over deliverry","Ontime")</f>
        <v/>
      </c>
      <c r="AC1428" s="22" t="n"/>
    </row>
    <row r="1429" ht="15" customHeight="1">
      <c r="A1429" s="5">
        <f>ROW()-ROW(RawDataGenPO[[#Headers],[No.]])</f>
        <v/>
      </c>
      <c r="B1429" s="7" t="inlineStr">
        <is>
          <t>Expent  cost</t>
        </is>
      </c>
      <c r="C1429" s="301" t="n">
        <v>45891</v>
      </c>
      <c r="F1429" s="301" t="n">
        <v>45891</v>
      </c>
      <c r="G1429" s="5" t="inlineStr">
        <is>
          <t>PR2526-01963</t>
        </is>
      </c>
      <c r="H1429" s="5" t="inlineStr">
        <is>
          <t>PO2526-02813</t>
        </is>
      </c>
      <c r="I1429" s="286" t="n">
        <v>45901</v>
      </c>
      <c r="J1429" s="56" t="n"/>
      <c r="K1429" s="20" t="n">
        <v>60</v>
      </c>
      <c r="L1429" s="5" t="inlineStr">
        <is>
          <t>SFST34000105</t>
        </is>
      </c>
      <c r="M1429" s="7" t="inlineStr">
        <is>
          <t>Consumable part for MN</t>
        </is>
      </c>
      <c r="N1429" s="7" t="inlineStr">
        <is>
          <t>Machanical part</t>
        </is>
      </c>
      <c r="O1429" s="11" t="n">
        <v>6</v>
      </c>
      <c r="P1429" s="10" t="inlineStr">
        <is>
          <t>U-boltstainless steel SUS304 (Steel U-BOLT) size 3/4" (pcsinternal 28 mm.)</t>
        </is>
      </c>
      <c r="Q1429" s="277" t="n">
        <v>10</v>
      </c>
      <c r="R1429" s="5" t="inlineStr">
        <is>
          <t>PCS.</t>
        </is>
      </c>
      <c r="S1429" s="284">
        <f>RawDataGenPO[[#This Row],[Total price]]/RawDataGenPO[[#This Row],[Qty'']]</f>
        <v/>
      </c>
      <c r="T1429" s="278" t="n">
        <v>200</v>
      </c>
      <c r="U1429" s="291" t="n"/>
      <c r="V1429" s="7" t="inlineStr">
        <is>
          <t>V1000306 - Inter Supply (1992) Co., Ltd.</t>
        </is>
      </c>
      <c r="W1429" s="30" t="inlineStr">
        <is>
          <t>Recive bill and GRN already</t>
        </is>
      </c>
      <c r="X1429" s="5" t="inlineStr">
        <is>
          <t>GRN2526-0003634</t>
        </is>
      </c>
      <c r="Y1429" s="3" t="n">
        <v>45904</v>
      </c>
      <c r="Z1429" s="23" t="n"/>
      <c r="AA1429" s="17">
        <f>IF(RawDataGenPO[[#This Row],[Date Gen PO]]="","",RawDataGenPO[[#This Row],[Date recive bill]]-RawDataGenPO[[#This Row],[Date Gen PO]])</f>
        <v/>
      </c>
      <c r="AB1429" s="16">
        <f>IF(RawDataGenPO[[#This Row],[GRN-PO date]]&gt;RawDataGenPO[[#This Row],[Lead time delivery (day)]],"over deliverry","Ontime")</f>
        <v/>
      </c>
      <c r="AC1429" s="22" t="n"/>
    </row>
    <row r="1430" ht="15" customHeight="1">
      <c r="A1430" s="5">
        <f>ROW()-ROW(RawDataGenPO[[#Headers],[No.]])</f>
        <v/>
      </c>
      <c r="B1430" s="7" t="inlineStr">
        <is>
          <t>Expent  cost</t>
        </is>
      </c>
      <c r="C1430" s="301" t="n">
        <v>45891</v>
      </c>
      <c r="F1430" s="301" t="n">
        <v>45891</v>
      </c>
      <c r="G1430" s="5" t="inlineStr">
        <is>
          <t>PR2526-01963</t>
        </is>
      </c>
      <c r="H1430" s="5" t="inlineStr">
        <is>
          <t>PO2526-02813</t>
        </is>
      </c>
      <c r="I1430" s="286" t="n">
        <v>45901</v>
      </c>
      <c r="J1430" s="56" t="n"/>
      <c r="K1430" s="20" t="n">
        <v>60</v>
      </c>
      <c r="L1430" s="5" t="inlineStr">
        <is>
          <t>SFST34000106</t>
        </is>
      </c>
      <c r="M1430" s="7" t="inlineStr">
        <is>
          <t>Consumable part for MN</t>
        </is>
      </c>
      <c r="N1430" s="7" t="inlineStr">
        <is>
          <t>Machanical part</t>
        </is>
      </c>
      <c r="O1430" s="11" t="n">
        <v>7</v>
      </c>
      <c r="P1430" s="10" t="inlineStr">
        <is>
          <t>U-boltstainless steel SUS304 (Steel U-BOLT) size 1" (pcsinternal 34 mm.)</t>
        </is>
      </c>
      <c r="Q1430" s="277" t="n">
        <v>10</v>
      </c>
      <c r="R1430" s="5" t="inlineStr">
        <is>
          <t>PCS.</t>
        </is>
      </c>
      <c r="S1430" s="284">
        <f>RawDataGenPO[[#This Row],[Total price]]/RawDataGenPO[[#This Row],[Qty'']]</f>
        <v/>
      </c>
      <c r="T1430" s="278" t="n">
        <v>250</v>
      </c>
      <c r="U1430" s="291" t="n"/>
      <c r="V1430" s="7" t="inlineStr">
        <is>
          <t>V1000306 - Inter Supply (1992) Co., Ltd.</t>
        </is>
      </c>
      <c r="W1430" s="30" t="inlineStr">
        <is>
          <t>Recive bill and GRN already</t>
        </is>
      </c>
      <c r="X1430" s="5" t="inlineStr">
        <is>
          <t>GRN2526-0003634</t>
        </is>
      </c>
      <c r="Y1430" s="3" t="n">
        <v>45904</v>
      </c>
      <c r="Z1430" s="23" t="n"/>
      <c r="AA1430" s="17">
        <f>IF(RawDataGenPO[[#This Row],[Date Gen PO]]="","",RawDataGenPO[[#This Row],[Date recive bill]]-RawDataGenPO[[#This Row],[Date Gen PO]])</f>
        <v/>
      </c>
      <c r="AB1430" s="16">
        <f>IF(RawDataGenPO[[#This Row],[GRN-PO date]]&gt;RawDataGenPO[[#This Row],[Lead time delivery (day)]],"over deliverry","Ontime")</f>
        <v/>
      </c>
      <c r="AC1430" s="22" t="n"/>
    </row>
    <row r="1431" ht="15" customHeight="1">
      <c r="A1431" s="5">
        <f>ROW()-ROW(RawDataGenPO[[#Headers],[No.]])</f>
        <v/>
      </c>
      <c r="B1431" s="7" t="inlineStr">
        <is>
          <t>Expent  cost</t>
        </is>
      </c>
      <c r="C1431" s="301" t="n">
        <v>45891</v>
      </c>
      <c r="F1431" s="301" t="n">
        <v>45891</v>
      </c>
      <c r="G1431" s="5" t="inlineStr">
        <is>
          <t>PR2526-01963</t>
        </is>
      </c>
      <c r="H1431" s="5" t="inlineStr">
        <is>
          <t>PO2526-02813</t>
        </is>
      </c>
      <c r="I1431" s="286" t="n">
        <v>45901</v>
      </c>
      <c r="J1431" s="56" t="n"/>
      <c r="K1431" s="20" t="n">
        <v>60</v>
      </c>
      <c r="L1431" s="5" t="inlineStr">
        <is>
          <t>SFST34000107</t>
        </is>
      </c>
      <c r="M1431" s="7" t="inlineStr">
        <is>
          <t>Consumable part for MN</t>
        </is>
      </c>
      <c r="N1431" s="7" t="inlineStr">
        <is>
          <t>Machanical part</t>
        </is>
      </c>
      <c r="O1431" s="11" t="n">
        <v>8</v>
      </c>
      <c r="P1431" s="10" t="inlineStr">
        <is>
          <t>U-boltstainless steel SUS304 (Steel U-BOLT) size 1.1/4" (pcsinternal 43 mm</t>
        </is>
      </c>
      <c r="Q1431" s="277" t="n">
        <v>10</v>
      </c>
      <c r="R1431" s="5" t="inlineStr">
        <is>
          <t>PCS.</t>
        </is>
      </c>
      <c r="S1431" s="284">
        <f>RawDataGenPO[[#This Row],[Total price]]/RawDataGenPO[[#This Row],[Qty'']]</f>
        <v/>
      </c>
      <c r="T1431" s="278" t="n">
        <v>350</v>
      </c>
      <c r="U1431" s="291" t="n"/>
      <c r="V1431" s="7" t="inlineStr">
        <is>
          <t>V1000306 - Inter Supply (1992) Co., Ltd.</t>
        </is>
      </c>
      <c r="W1431" s="30" t="inlineStr">
        <is>
          <t>Recive bill and GRN already</t>
        </is>
      </c>
      <c r="X1431" s="5" t="inlineStr">
        <is>
          <t>GRN2526-0003634</t>
        </is>
      </c>
      <c r="Y1431" s="3" t="n">
        <v>45904</v>
      </c>
      <c r="Z1431" s="23" t="n"/>
      <c r="AA1431" s="17">
        <f>IF(RawDataGenPO[[#This Row],[Date Gen PO]]="","",RawDataGenPO[[#This Row],[Date recive bill]]-RawDataGenPO[[#This Row],[Date Gen PO]])</f>
        <v/>
      </c>
      <c r="AB1431" s="16">
        <f>IF(RawDataGenPO[[#This Row],[GRN-PO date]]&gt;RawDataGenPO[[#This Row],[Lead time delivery (day)]],"over deliverry","Ontime")</f>
        <v/>
      </c>
      <c r="AC1431" s="22" t="n"/>
    </row>
    <row r="1432" ht="15" customHeight="1">
      <c r="A1432" s="5">
        <f>ROW()-ROW(RawDataGenPO[[#Headers],[No.]])</f>
        <v/>
      </c>
      <c r="B1432" s="7" t="inlineStr">
        <is>
          <t>Expent  cost</t>
        </is>
      </c>
      <c r="C1432" s="301" t="n">
        <v>45891</v>
      </c>
      <c r="F1432" s="301" t="n">
        <v>45891</v>
      </c>
      <c r="G1432" s="5" t="inlineStr">
        <is>
          <t>PR2526-01963</t>
        </is>
      </c>
      <c r="H1432" s="5" t="inlineStr">
        <is>
          <t>PO2526-02813</t>
        </is>
      </c>
      <c r="I1432" s="286" t="n">
        <v>45901</v>
      </c>
      <c r="J1432" s="56" t="n"/>
      <c r="K1432" s="20" t="n">
        <v>60</v>
      </c>
      <c r="L1432" s="5" t="inlineStr">
        <is>
          <t>SFST34000108</t>
        </is>
      </c>
      <c r="M1432" s="7" t="inlineStr">
        <is>
          <t>Consumable part for MN</t>
        </is>
      </c>
      <c r="N1432" s="7" t="inlineStr">
        <is>
          <t>Machanical part</t>
        </is>
      </c>
      <c r="O1432" s="11" t="n">
        <v>9</v>
      </c>
      <c r="P1432" s="10" t="inlineStr">
        <is>
          <t>U-boltstainless steel SUS304 (Steel U-BOLT) size 1.1/2" (pcsinternal 52 mm</t>
        </is>
      </c>
      <c r="Q1432" s="277" t="n">
        <v>10</v>
      </c>
      <c r="R1432" s="5" t="inlineStr">
        <is>
          <t>PCS.</t>
        </is>
      </c>
      <c r="S1432" s="284">
        <f>RawDataGenPO[[#This Row],[Total price]]/RawDataGenPO[[#This Row],[Qty'']]</f>
        <v/>
      </c>
      <c r="T1432" s="278" t="n">
        <v>360</v>
      </c>
      <c r="U1432" s="291" t="n"/>
      <c r="V1432" s="7" t="inlineStr">
        <is>
          <t>V1000306 - Inter Supply (1992) Co., Ltd.</t>
        </is>
      </c>
      <c r="W1432" s="30" t="inlineStr">
        <is>
          <t>Recive bill and GRN already</t>
        </is>
      </c>
      <c r="X1432" s="5" t="inlineStr">
        <is>
          <t>GRN2526-0003634</t>
        </is>
      </c>
      <c r="Y1432" s="3" t="n">
        <v>45904</v>
      </c>
      <c r="Z1432" s="23" t="n"/>
      <c r="AA1432" s="17">
        <f>IF(RawDataGenPO[[#This Row],[Date Gen PO]]="","",RawDataGenPO[[#This Row],[Date recive bill]]-RawDataGenPO[[#This Row],[Date Gen PO]])</f>
        <v/>
      </c>
      <c r="AB1432" s="16">
        <f>IF(RawDataGenPO[[#This Row],[GRN-PO date]]&gt;RawDataGenPO[[#This Row],[Lead time delivery (day)]],"over deliverry","Ontime")</f>
        <v/>
      </c>
      <c r="AC1432" s="22" t="n"/>
    </row>
    <row r="1433" ht="15" customHeight="1">
      <c r="A1433" s="5">
        <f>ROW()-ROW(RawDataGenPO[[#Headers],[No.]])</f>
        <v/>
      </c>
      <c r="B1433" s="7" t="inlineStr">
        <is>
          <t>Expent  cost</t>
        </is>
      </c>
      <c r="C1433" s="301" t="n">
        <v>45891</v>
      </c>
      <c r="F1433" s="301" t="n">
        <v>45891</v>
      </c>
      <c r="G1433" s="5" t="inlineStr">
        <is>
          <t>PR2526-01963</t>
        </is>
      </c>
      <c r="H1433" s="5" t="inlineStr">
        <is>
          <t>PO2526-02813</t>
        </is>
      </c>
      <c r="I1433" s="286" t="n">
        <v>45901</v>
      </c>
      <c r="J1433" s="56" t="n"/>
      <c r="K1433" s="20" t="n">
        <v>60</v>
      </c>
      <c r="L1433" s="5" t="inlineStr">
        <is>
          <t>SFST34000109</t>
        </is>
      </c>
      <c r="M1433" s="7" t="inlineStr">
        <is>
          <t>Consumable part for MN</t>
        </is>
      </c>
      <c r="N1433" s="7" t="inlineStr">
        <is>
          <t>Machanical part</t>
        </is>
      </c>
      <c r="O1433" s="11" t="n">
        <v>10</v>
      </c>
      <c r="P1433" s="10" t="inlineStr">
        <is>
          <t>U-boltstainless steel SUS304 (Steel U-BOLT) size 2" (pcsinternal 62 mm.)</t>
        </is>
      </c>
      <c r="Q1433" s="277" t="n">
        <v>10</v>
      </c>
      <c r="R1433" s="5" t="inlineStr">
        <is>
          <t>PCS.</t>
        </is>
      </c>
      <c r="S1433" s="284">
        <f>RawDataGenPO[[#This Row],[Total price]]/RawDataGenPO[[#This Row],[Qty'']]</f>
        <v/>
      </c>
      <c r="T1433" s="278" t="n">
        <v>440</v>
      </c>
      <c r="U1433" s="291" t="n"/>
      <c r="V1433" s="7" t="inlineStr">
        <is>
          <t>V1000306 - Inter Supply (1992) Co., Ltd.</t>
        </is>
      </c>
      <c r="W1433" s="30" t="inlineStr">
        <is>
          <t>Recive bill and GRN already</t>
        </is>
      </c>
      <c r="X1433" s="5" t="inlineStr">
        <is>
          <t>GRN2526-0003634</t>
        </is>
      </c>
      <c r="Y1433" s="3" t="n">
        <v>45904</v>
      </c>
      <c r="Z1433" s="23" t="n"/>
      <c r="AA1433" s="17">
        <f>IF(RawDataGenPO[[#This Row],[Date Gen PO]]="","",RawDataGenPO[[#This Row],[Date recive bill]]-RawDataGenPO[[#This Row],[Date Gen PO]])</f>
        <v/>
      </c>
      <c r="AB1433" s="16">
        <f>IF(RawDataGenPO[[#This Row],[GRN-PO date]]&gt;RawDataGenPO[[#This Row],[Lead time delivery (day)]],"over deliverry","Ontime")</f>
        <v/>
      </c>
      <c r="AC1433" s="22" t="n"/>
    </row>
    <row r="1434" ht="15" customHeight="1">
      <c r="A1434" s="5">
        <f>ROW()-ROW(RawDataGenPO[[#Headers],[No.]])</f>
        <v/>
      </c>
      <c r="B1434" s="7" t="inlineStr">
        <is>
          <t>Expent  cost</t>
        </is>
      </c>
      <c r="C1434" s="301" t="n">
        <v>45891</v>
      </c>
      <c r="F1434" s="301" t="n">
        <v>45891</v>
      </c>
      <c r="G1434" s="5" t="inlineStr">
        <is>
          <t>PR2526-01963</t>
        </is>
      </c>
      <c r="H1434" s="5" t="inlineStr">
        <is>
          <t>PO2526-02813</t>
        </is>
      </c>
      <c r="I1434" s="286" t="n">
        <v>45901</v>
      </c>
      <c r="J1434" s="56" t="n"/>
      <c r="K1434" s="20" t="n">
        <v>60</v>
      </c>
      <c r="L1434" s="5" t="inlineStr">
        <is>
          <t>SFST34000110</t>
        </is>
      </c>
      <c r="M1434" s="7" t="inlineStr">
        <is>
          <t>Consumable part for MN</t>
        </is>
      </c>
      <c r="N1434" s="7" t="inlineStr">
        <is>
          <t>Machanical part</t>
        </is>
      </c>
      <c r="O1434" s="11" t="n">
        <v>11</v>
      </c>
      <c r="P1434" s="10" t="inlineStr">
        <is>
          <t>U-boltstainless steel SUS304 (Steel U-BOLT) size 2.1/2" (pcsinternal 80 mm</t>
        </is>
      </c>
      <c r="Q1434" s="277" t="n">
        <v>10</v>
      </c>
      <c r="R1434" s="5" t="inlineStr">
        <is>
          <t>PCS.</t>
        </is>
      </c>
      <c r="S1434" s="284">
        <f>RawDataGenPO[[#This Row],[Total price]]/RawDataGenPO[[#This Row],[Qty'']]</f>
        <v/>
      </c>
      <c r="T1434" s="278" t="n">
        <v>550</v>
      </c>
      <c r="U1434" s="291" t="n"/>
      <c r="V1434" s="7" t="inlineStr">
        <is>
          <t>V1000306 - Inter Supply (1992) Co., Ltd.</t>
        </is>
      </c>
      <c r="W1434" s="30" t="inlineStr">
        <is>
          <t>Recive bill and GRN already</t>
        </is>
      </c>
      <c r="X1434" s="5" t="inlineStr">
        <is>
          <t>GRN2526-0003634</t>
        </is>
      </c>
      <c r="Y1434" s="3" t="n">
        <v>45904</v>
      </c>
      <c r="Z1434" s="23" t="n"/>
      <c r="AA1434" s="17">
        <f>IF(RawDataGenPO[[#This Row],[Date Gen PO]]="","",RawDataGenPO[[#This Row],[Date recive bill]]-RawDataGenPO[[#This Row],[Date Gen PO]])</f>
        <v/>
      </c>
      <c r="AB1434" s="16">
        <f>IF(RawDataGenPO[[#This Row],[GRN-PO date]]&gt;RawDataGenPO[[#This Row],[Lead time delivery (day)]],"over deliverry","Ontime")</f>
        <v/>
      </c>
      <c r="AC1434" s="22" t="n"/>
    </row>
    <row r="1435" ht="15" customHeight="1">
      <c r="A1435" s="5">
        <f>ROW()-ROW(RawDataGenPO[[#Headers],[No.]])</f>
        <v/>
      </c>
      <c r="B1435" s="7" t="inlineStr">
        <is>
          <t>Expent  cost</t>
        </is>
      </c>
      <c r="C1435" s="301" t="n">
        <v>45895</v>
      </c>
      <c r="F1435" s="301" t="n">
        <v>45895</v>
      </c>
      <c r="G1435" s="5" t="inlineStr">
        <is>
          <t>PR2526-02008</t>
        </is>
      </c>
      <c r="H1435" s="5" t="inlineStr">
        <is>
          <t>PO2526-02818</t>
        </is>
      </c>
      <c r="I1435" s="286" t="n">
        <v>45901</v>
      </c>
      <c r="J1435" s="56" t="n"/>
      <c r="K1435" s="20" t="n">
        <v>30</v>
      </c>
      <c r="L1435" s="5" t="inlineStr">
        <is>
          <t>SFST11000256</t>
        </is>
      </c>
      <c r="M1435" s="7" t="inlineStr">
        <is>
          <t xml:space="preserve">Waste water </t>
        </is>
      </c>
      <c r="N1435" s="7" t="inlineStr">
        <is>
          <t>Waste water system Jobs</t>
        </is>
      </c>
      <c r="O1435" s="11" t="n">
        <v>1</v>
      </c>
      <c r="P1435" s="10" t="inlineStr">
        <is>
          <t>Bio Solution 1 lit</t>
        </is>
      </c>
      <c r="Q1435" s="277" t="n">
        <v>4</v>
      </c>
      <c r="R1435" s="5" t="inlineStr">
        <is>
          <t>BOT.</t>
        </is>
      </c>
      <c r="S1435" s="284">
        <f>RawDataGenPO[[#This Row],[Total price]]/RawDataGenPO[[#This Row],[Qty'']]</f>
        <v/>
      </c>
      <c r="T1435" s="278" t="n">
        <v>3200</v>
      </c>
      <c r="U1435" s="291" t="n"/>
      <c r="V1435" s="7" t="inlineStr">
        <is>
          <t>V1000206 - TECHMAN (THAILAND) CO.,LTD.</t>
        </is>
      </c>
      <c r="W1435" s="30" t="inlineStr">
        <is>
          <t>Recive bill and GRN already</t>
        </is>
      </c>
      <c r="X1435" s="5" t="inlineStr">
        <is>
          <t>GRN2526-0003670</t>
        </is>
      </c>
      <c r="Y1435" s="3" t="n">
        <v>45906</v>
      </c>
      <c r="Z1435" s="23" t="n"/>
      <c r="AA1435" s="17">
        <f>IF(RawDataGenPO[[#This Row],[Date Gen PO]]="","",RawDataGenPO[[#This Row],[Date recive bill]]-RawDataGenPO[[#This Row],[Date Gen PO]])</f>
        <v/>
      </c>
      <c r="AB1435" s="16">
        <f>IF(RawDataGenPO[[#This Row],[GRN-PO date]]&gt;RawDataGenPO[[#This Row],[Lead time delivery (day)]],"over deliverry","Ontime")</f>
        <v/>
      </c>
      <c r="AC1435" s="22" t="n"/>
    </row>
    <row r="1436" ht="210" customHeight="1">
      <c r="A1436" s="5">
        <f>ROW()-ROW(RawDataGenPO[[#Headers],[No.]])</f>
        <v/>
      </c>
      <c r="B1436" s="7" t="inlineStr">
        <is>
          <t>Expent  cost</t>
        </is>
      </c>
      <c r="C1436" s="301" t="n">
        <v>45896</v>
      </c>
      <c r="F1436" s="301" t="n">
        <v>45896</v>
      </c>
      <c r="G1436" s="5" t="inlineStr">
        <is>
          <t>PR2526-02028</t>
        </is>
      </c>
      <c r="H1436" s="5" t="inlineStr">
        <is>
          <t>PO2526-02815</t>
        </is>
      </c>
      <c r="I1436" s="286" t="n">
        <v>45897</v>
      </c>
      <c r="J1436" s="56" t="n"/>
      <c r="K1436" s="20" t="n">
        <v>30</v>
      </c>
      <c r="L1436" s="5" t="inlineStr">
        <is>
          <t>SFST81000048</t>
        </is>
      </c>
      <c r="M1436" s="7" t="inlineStr">
        <is>
          <t>Utility Jobs  (Boiler-Air compress-Transformer-LPG)</t>
        </is>
      </c>
      <c r="N1436" s="7" t="inlineStr">
        <is>
          <t>Exhaust No.3</t>
        </is>
      </c>
      <c r="O1436" s="11" t="n">
        <v>1</v>
      </c>
      <c r="P1436" s="10" t="inlineStr">
        <is>
          <t>INSTALLATION DUCT GALVANIZED STEEL SHEET 
- FITTING &amp; ACCESSORIES
- HANGER &amp; SUPPORT
INSTALLATION DUCT INSULATION: ADHESIVE &amp; ACCESSORIES
INSTALLATION AIR GRILLE
- SUPPLY AIR GRILLE
- EXHAUST AIR GRILLE
INSTALLATION VOLUME DAMPER
SAFETY, PROTECTION WORK AND CLEANING
LABOUR COST AND CONSUMABLE MATERIAL
SITE EXPENSES &amp; TRANSPORTATION
OVERHEAD &amp; PROFIT
Working 31/8/25 - 3/9/2025</t>
        </is>
      </c>
      <c r="Q1436" s="277" t="n">
        <v>1</v>
      </c>
      <c r="R1436" s="5" t="inlineStr">
        <is>
          <t>Job.</t>
        </is>
      </c>
      <c r="S1436" s="284">
        <f>RawDataGenPO[[#This Row],[Total price]]/RawDataGenPO[[#This Row],[Qty'']]</f>
        <v/>
      </c>
      <c r="T1436" s="278" t="n">
        <v>320000</v>
      </c>
      <c r="U1436" s="291" t="n"/>
      <c r="V1436" s="33" t="inlineStr">
        <is>
          <t xml:space="preserve">V1000882 - DUCT ASIA ENGINEERING CO., LTD.
</t>
        </is>
      </c>
      <c r="W1436" s="30" t="inlineStr">
        <is>
          <t>Recive bill and GRN already</t>
        </is>
      </c>
      <c r="X1436" s="5" t="inlineStr">
        <is>
          <t>GRN2526-0003524</t>
        </is>
      </c>
      <c r="Y1436" s="3" t="n">
        <v>45902</v>
      </c>
      <c r="Z1436" s="23" t="n"/>
      <c r="AA1436" s="17">
        <f>IF(RawDataGenPO[[#This Row],[Date Gen PO]]="","",RawDataGenPO[[#This Row],[Date recive bill]]-RawDataGenPO[[#This Row],[Date Gen PO]])</f>
        <v/>
      </c>
      <c r="AB1436" s="16">
        <f>IF(RawDataGenPO[[#This Row],[GRN-PO date]]&gt;RawDataGenPO[[#This Row],[Lead time delivery (day)]],"over deliverry","Ontime")</f>
        <v/>
      </c>
      <c r="AC1436" s="22" t="n"/>
    </row>
    <row r="1437" ht="30" customHeight="1">
      <c r="A1437" s="5">
        <f>ROW()-ROW(RawDataGenPO[[#Headers],[No.]])</f>
        <v/>
      </c>
      <c r="B1437" s="7" t="inlineStr">
        <is>
          <t>Expent  cost</t>
        </is>
      </c>
      <c r="C1437" s="301" t="n">
        <v>45896</v>
      </c>
      <c r="F1437" s="301" t="n">
        <v>45896</v>
      </c>
      <c r="G1437" s="5" t="inlineStr">
        <is>
          <t>PR2526-02029</t>
        </is>
      </c>
      <c r="H1437" s="5" t="inlineStr">
        <is>
          <t>PO2526-03104</t>
        </is>
      </c>
      <c r="I1437" s="286" t="n">
        <v>45910</v>
      </c>
      <c r="J1437" s="56" t="n"/>
      <c r="K1437" s="20" t="n">
        <v>60</v>
      </c>
      <c r="L1437" s="5" t="inlineStr">
        <is>
          <t>SFST81000048</t>
        </is>
      </c>
      <c r="M1437" s="7" t="inlineStr">
        <is>
          <t>Cooling machine for PD line</t>
        </is>
      </c>
      <c r="N1437" s="7" t="inlineStr">
        <is>
          <t>Condencer Unit No.9 (COLD5)</t>
        </is>
      </c>
      <c r="O1437" s="11" t="n">
        <v>1</v>
      </c>
      <c r="P1437" s="10" t="inlineStr">
        <is>
          <t>Cold 5 Swing 3 : equipmentreplacerod #adjustnew (Accessories)</t>
        </is>
      </c>
      <c r="Q1437" s="277" t="n">
        <v>1</v>
      </c>
      <c r="R1437" s="5" t="inlineStr">
        <is>
          <t>Set</t>
        </is>
      </c>
      <c r="S1437" s="284">
        <f>RawDataGenPO[[#This Row],[Total price]]/RawDataGenPO[[#This Row],[Qty'']]</f>
        <v/>
      </c>
      <c r="T1437" s="278" t="n">
        <v>31000</v>
      </c>
      <c r="U1437" s="291" t="n"/>
      <c r="V1437" s="7" t="inlineStr">
        <is>
          <t>V1000890 - MUNKONG STEEL PUBLIC COMPANY LIMITED</t>
        </is>
      </c>
      <c r="W1437" s="30" t="inlineStr">
        <is>
          <t>Recive bill and GRN already</t>
        </is>
      </c>
      <c r="X1437" s="5" t="inlineStr">
        <is>
          <t>GRN2526-0005158</t>
        </is>
      </c>
      <c r="Y1437" s="3" t="n">
        <v>45968</v>
      </c>
      <c r="Z1437" s="23" t="n"/>
      <c r="AA1437" s="17">
        <f>IF(RawDataGenPO[[#This Row],[Date Gen PO]]="","",RawDataGenPO[[#This Row],[Date recive bill]]-RawDataGenPO[[#This Row],[Date Gen PO]])</f>
        <v/>
      </c>
      <c r="AB1437" s="16">
        <f>IF(RawDataGenPO[[#This Row],[GRN-PO date]]&gt;RawDataGenPO[[#This Row],[Lead time delivery (day)]],"over deliverry","Ontime")</f>
        <v/>
      </c>
      <c r="AC1437" s="22" t="n"/>
    </row>
    <row r="1438" ht="30" customHeight="1">
      <c r="A1438" s="5">
        <f>ROW()-ROW(RawDataGenPO[[#Headers],[No.]])</f>
        <v/>
      </c>
      <c r="B1438" s="7" t="inlineStr">
        <is>
          <t>Expent  cost</t>
        </is>
      </c>
      <c r="C1438" s="301" t="n">
        <v>45896</v>
      </c>
      <c r="F1438" s="301" t="n">
        <v>45896</v>
      </c>
      <c r="G1438" s="5" t="inlineStr">
        <is>
          <t>PR2526-02029</t>
        </is>
      </c>
      <c r="H1438" s="5" t="inlineStr">
        <is>
          <t>PO2526-03104</t>
        </is>
      </c>
      <c r="I1438" s="286" t="n">
        <v>45910</v>
      </c>
      <c r="J1438" s="56" t="n"/>
      <c r="K1438" s="20" t="n">
        <v>60</v>
      </c>
      <c r="L1438" s="5" t="inlineStr">
        <is>
          <t>SFST81000048</t>
        </is>
      </c>
      <c r="M1438" s="7" t="inlineStr">
        <is>
          <t>Cooling machine for PD line</t>
        </is>
      </c>
      <c r="N1438" s="7" t="inlineStr">
        <is>
          <t>Condencer Unit No.9 (COLD5)</t>
        </is>
      </c>
      <c r="O1438" s="11" t="n">
        <v>2</v>
      </c>
      <c r="P1438" s="10" t="inlineStr">
        <is>
          <t>Cold 7 1 : equipmentreplacecable,chemicalpanels,pcssidefront #adjustnew</t>
        </is>
      </c>
      <c r="Q1438" s="277" t="n">
        <v>1</v>
      </c>
      <c r="R1438" s="5" t="inlineStr">
        <is>
          <t>Set</t>
        </is>
      </c>
      <c r="S1438" s="284">
        <f>RawDataGenPO[[#This Row],[Total price]]/RawDataGenPO[[#This Row],[Qty'']]</f>
        <v/>
      </c>
      <c r="T1438" s="278" t="n">
        <v>23500</v>
      </c>
      <c r="U1438" s="291" t="n"/>
      <c r="V1438" s="7" t="inlineStr">
        <is>
          <t>V1000890 - MUNKONG STEEL PUBLIC COMPANY LIMITED</t>
        </is>
      </c>
      <c r="W1438" s="30" t="inlineStr">
        <is>
          <t>Recive bill and GRN already</t>
        </is>
      </c>
      <c r="X1438" s="5" t="inlineStr">
        <is>
          <t>GRN2526-0005158</t>
        </is>
      </c>
      <c r="Y1438" s="3" t="n">
        <v>45968</v>
      </c>
      <c r="Z1438" s="23" t="n"/>
      <c r="AA1438" s="17">
        <f>IF(RawDataGenPO[[#This Row],[Date Gen PO]]="","",RawDataGenPO[[#This Row],[Date recive bill]]-RawDataGenPO[[#This Row],[Date Gen PO]])</f>
        <v/>
      </c>
      <c r="AB1438" s="16">
        <f>IF(RawDataGenPO[[#This Row],[GRN-PO date]]&gt;RawDataGenPO[[#This Row],[Lead time delivery (day)]],"over deliverry","Ontime")</f>
        <v/>
      </c>
      <c r="AC1438" s="22" t="n"/>
    </row>
    <row r="1439" ht="150" customHeight="1">
      <c r="A1439" s="5">
        <f>ROW()-ROW(RawDataGenPO[[#Headers],[No.]])</f>
        <v/>
      </c>
      <c r="B1439" s="7" t="inlineStr">
        <is>
          <t>Expent  cost</t>
        </is>
      </c>
      <c r="C1439" s="301" t="n">
        <v>45896</v>
      </c>
      <c r="F1439" s="301" t="n">
        <v>45896</v>
      </c>
      <c r="G1439" s="5" t="inlineStr">
        <is>
          <t>PR2526-02030</t>
        </is>
      </c>
      <c r="H1439" s="5" t="inlineStr">
        <is>
          <t xml:space="preserve">PO2526-02829 </t>
        </is>
      </c>
      <c r="I1439" s="286" t="n">
        <v>45897</v>
      </c>
      <c r="J1439" s="56" t="n"/>
      <c r="K1439" s="20" t="n">
        <v>30</v>
      </c>
      <c r="L1439" s="5" t="inlineStr">
        <is>
          <t>SFST81000078</t>
        </is>
      </c>
      <c r="M1439" s="7" t="inlineStr">
        <is>
          <t>Civill jobs (Floor-Wall-Celling-roof)</t>
        </is>
      </c>
      <c r="N1439" s="7" t="inlineStr">
        <is>
          <t>Cooling system jobs</t>
        </is>
      </c>
      <c r="O1439" s="11" t="n">
        <v>3</v>
      </c>
      <c r="P1439" s="10" t="inlineStr">
        <is>
          <t>Ribbed PVC Strip 200 x 2 mm (1.50 x 2.09) withmstainless steelfittingW 1 Unit
Ribbed PVC Strip 200 x 2 mm (1.53 x 2.09) withmstainless steelfittingW 1 Unit
Ribbed PVC Strip 200 x 2 mm (1.64 x 2.08) withmstainless steelfittingW 1 Unit
install</t>
        </is>
      </c>
      <c r="Q1439" s="277" t="n">
        <v>1</v>
      </c>
      <c r="R1439" s="5" t="inlineStr">
        <is>
          <t>Job.</t>
        </is>
      </c>
      <c r="S1439" s="284">
        <f>RawDataGenPO[[#This Row],[Total price]]/RawDataGenPO[[#This Row],[Qty'']]</f>
        <v/>
      </c>
      <c r="T1439" s="278" t="n">
        <v>20000</v>
      </c>
      <c r="U1439" s="291" t="n"/>
      <c r="V1439" s="7" t="inlineStr">
        <is>
          <t>V1000886 - KRUNGTHEP KUANGYEN SALES AND SERVICE COMPANY LIMITED</t>
        </is>
      </c>
      <c r="W1439" s="30" t="inlineStr">
        <is>
          <t>Recive bill and GRN already</t>
        </is>
      </c>
      <c r="Z1439" s="23" t="n"/>
      <c r="AA1439" s="17">
        <f>IF(RawDataGenPO[[#This Row],[Date Gen PO]]="","",RawDataGenPO[[#This Row],[Date recive bill]]-RawDataGenPO[[#This Row],[Date Gen PO]])</f>
        <v/>
      </c>
      <c r="AB1439" s="16">
        <f>IF(RawDataGenPO[[#This Row],[GRN-PO date]]&gt;RawDataGenPO[[#This Row],[Lead time delivery (day)]],"over deliverry","Ontime")</f>
        <v/>
      </c>
      <c r="AC1439" s="22" t="n"/>
    </row>
    <row r="1440" ht="15" customHeight="1">
      <c r="A1440" s="5">
        <f>ROW()-ROW(RawDataGenPO[[#Headers],[No.]])</f>
        <v/>
      </c>
      <c r="B1440" s="7" t="inlineStr">
        <is>
          <t>Expent  cost</t>
        </is>
      </c>
      <c r="C1440" s="301" t="n">
        <v>45896</v>
      </c>
      <c r="F1440" s="301" t="n">
        <v>45896</v>
      </c>
      <c r="G1440" s="5" t="inlineStr">
        <is>
          <t>PR2526-02031</t>
        </is>
      </c>
      <c r="H1440" s="5" t="inlineStr">
        <is>
          <t>PO2526-02869</t>
        </is>
      </c>
      <c r="I1440" s="286" t="n">
        <v>45901</v>
      </c>
      <c r="J1440" s="56" t="n"/>
      <c r="K1440" s="20" t="n">
        <v>60</v>
      </c>
      <c r="L1440" s="5" t="inlineStr">
        <is>
          <t>SFST81000048</t>
        </is>
      </c>
      <c r="M1440" s="7" t="inlineStr">
        <is>
          <t>Cooling machine for PD line</t>
        </is>
      </c>
      <c r="N1440" s="7" t="inlineStr">
        <is>
          <t>Cooling  part</t>
        </is>
      </c>
      <c r="O1440" s="11" t="n">
        <v>1</v>
      </c>
      <c r="P1440" s="10" t="inlineStr">
        <is>
          <t>REFCO Low Pressure Gauge 1/4 MR-205-DS-Multi-16bar</t>
        </is>
      </c>
      <c r="Q1440" s="277" t="n">
        <v>10</v>
      </c>
      <c r="R1440" s="5" t="inlineStr">
        <is>
          <t>PCS.</t>
        </is>
      </c>
      <c r="S1440" s="284">
        <f>RawDataGenPO[[#This Row],[Total price]]/RawDataGenPO[[#This Row],[Qty'']]</f>
        <v/>
      </c>
      <c r="T1440" s="278" t="n">
        <v>8500</v>
      </c>
      <c r="U1440" s="291" t="n"/>
      <c r="V1440" s="7" t="inlineStr">
        <is>
          <t>V1000109 - Coolconnection Co., Ltd</t>
        </is>
      </c>
      <c r="W1440" s="30" t="inlineStr">
        <is>
          <t>Recive bill and GRN already</t>
        </is>
      </c>
      <c r="X1440" s="5" t="inlineStr">
        <is>
          <t>GRN2526-0003674</t>
        </is>
      </c>
      <c r="Y1440" s="3" t="n">
        <v>45906</v>
      </c>
      <c r="Z1440" s="23" t="n"/>
      <c r="AA1440" s="17">
        <f>IF(RawDataGenPO[[#This Row],[Date Gen PO]]="","",RawDataGenPO[[#This Row],[Date recive bill]]-RawDataGenPO[[#This Row],[Date Gen PO]])</f>
        <v/>
      </c>
      <c r="AB1440" s="16">
        <f>IF(RawDataGenPO[[#This Row],[GRN-PO date]]&gt;RawDataGenPO[[#This Row],[Lead time delivery (day)]],"over deliverry","Ontime")</f>
        <v/>
      </c>
      <c r="AC1440" s="22" t="n"/>
    </row>
    <row r="1441" ht="15" customHeight="1">
      <c r="A1441" s="5">
        <f>ROW()-ROW(RawDataGenPO[[#Headers],[No.]])</f>
        <v/>
      </c>
      <c r="B1441" s="7" t="inlineStr">
        <is>
          <t>Expent  cost</t>
        </is>
      </c>
      <c r="C1441" s="301" t="n">
        <v>45896</v>
      </c>
      <c r="F1441" s="301" t="n">
        <v>45896</v>
      </c>
      <c r="G1441" s="5" t="inlineStr">
        <is>
          <t>PR2526-02031</t>
        </is>
      </c>
      <c r="H1441" s="5" t="inlineStr">
        <is>
          <t>PO2526-02869</t>
        </is>
      </c>
      <c r="I1441" s="286" t="n">
        <v>45901</v>
      </c>
      <c r="J1441" s="56" t="n"/>
      <c r="K1441" s="20" t="n">
        <v>60</v>
      </c>
      <c r="L1441" s="5" t="inlineStr">
        <is>
          <t>SFST81000048</t>
        </is>
      </c>
      <c r="M1441" s="7" t="inlineStr">
        <is>
          <t>Cooling machine for PD line</t>
        </is>
      </c>
      <c r="N1441" s="7" t="inlineStr">
        <is>
          <t>Cooling  part</t>
        </is>
      </c>
      <c r="O1441" s="11" t="n">
        <v>2</v>
      </c>
      <c r="P1441" s="10" t="inlineStr">
        <is>
          <t>"REFCO" High Pressure Gauge 1/4 MR-305-DS-Multi-35bar</t>
        </is>
      </c>
      <c r="Q1441" s="277" t="n">
        <v>20</v>
      </c>
      <c r="R1441" s="5" t="inlineStr">
        <is>
          <t>PCS.</t>
        </is>
      </c>
      <c r="S1441" s="284">
        <f>RawDataGenPO[[#This Row],[Total price]]/RawDataGenPO[[#This Row],[Qty'']]</f>
        <v/>
      </c>
      <c r="T1441" s="278" t="n">
        <v>17000</v>
      </c>
      <c r="U1441" s="291" t="n"/>
      <c r="V1441" s="7" t="inlineStr">
        <is>
          <t>V1000109 - Coolconnection Co., Ltd</t>
        </is>
      </c>
      <c r="W1441" s="30" t="inlineStr">
        <is>
          <t>Recive bill and GRN already</t>
        </is>
      </c>
      <c r="X1441" s="5" t="inlineStr">
        <is>
          <t>GRN2526-0003674</t>
        </is>
      </c>
      <c r="Y1441" s="3" t="n">
        <v>45906</v>
      </c>
      <c r="Z1441" s="23" t="n"/>
      <c r="AA1441" s="17">
        <f>IF(RawDataGenPO[[#This Row],[Date Gen PO]]="","",RawDataGenPO[[#This Row],[Date recive bill]]-RawDataGenPO[[#This Row],[Date Gen PO]])</f>
        <v/>
      </c>
      <c r="AB1441" s="16">
        <f>IF(RawDataGenPO[[#This Row],[GRN-PO date]]&gt;RawDataGenPO[[#This Row],[Lead time delivery (day)]],"over deliverry","Ontime")</f>
        <v/>
      </c>
      <c r="AC1441" s="22" t="n"/>
    </row>
    <row r="1442" ht="15" customHeight="1">
      <c r="A1442" s="5">
        <f>ROW()-ROW(RawDataGenPO[[#Headers],[No.]])</f>
        <v/>
      </c>
      <c r="B1442" s="7" t="inlineStr">
        <is>
          <t>Expent  cost</t>
        </is>
      </c>
      <c r="C1442" s="301" t="n">
        <v>45896</v>
      </c>
      <c r="F1442" s="301" t="n">
        <v>45896</v>
      </c>
      <c r="G1442" s="5" t="inlineStr">
        <is>
          <t>PR2526-02032</t>
        </is>
      </c>
      <c r="H1442" s="5" t="inlineStr">
        <is>
          <t>PO2526-02873</t>
        </is>
      </c>
      <c r="I1442" s="286" t="n">
        <v>45901</v>
      </c>
      <c r="J1442" s="56" t="n"/>
      <c r="K1442" s="20" t="n">
        <v>30</v>
      </c>
      <c r="L1442" s="5" t="inlineStr">
        <is>
          <t>SFST81000009</t>
        </is>
      </c>
      <c r="M1442" s="7" t="inlineStr">
        <is>
          <t>Cooling machine for PD line</t>
        </is>
      </c>
      <c r="N1442" s="7" t="inlineStr">
        <is>
          <t>Cooling  part</t>
        </is>
      </c>
      <c r="O1442" s="11" t="n">
        <v>1</v>
      </c>
      <c r="P1442" s="10" t="inlineStr">
        <is>
          <t>Spare fan blade: 18" For Model W18-GW MITSUBISHI</t>
        </is>
      </c>
      <c r="Q1442" s="277" t="n">
        <v>2</v>
      </c>
      <c r="R1442" s="5" t="inlineStr">
        <is>
          <t>PCS.</t>
        </is>
      </c>
      <c r="S1442" s="284">
        <f>RawDataGenPO[[#This Row],[Total price]]/RawDataGenPO[[#This Row],[Qty'']]</f>
        <v/>
      </c>
      <c r="T1442" s="278" t="n">
        <v>578</v>
      </c>
      <c r="U1442" s="291" t="n"/>
      <c r="V1442" s="7" t="inlineStr">
        <is>
          <t>V1000259 - JJP SUPPLY CO., LTD</t>
        </is>
      </c>
      <c r="W1442" s="30" t="inlineStr">
        <is>
          <t>Recive bill and GRN already</t>
        </is>
      </c>
      <c r="X1442" s="5" t="inlineStr">
        <is>
          <t>GRN2526-0004107</t>
        </is>
      </c>
      <c r="Y1442" s="3" t="n">
        <v>45923</v>
      </c>
      <c r="Z1442" s="23" t="n"/>
      <c r="AA1442" s="17">
        <f>IF(RawDataGenPO[[#This Row],[Date Gen PO]]="","",RawDataGenPO[[#This Row],[Date recive bill]]-RawDataGenPO[[#This Row],[Date Gen PO]])</f>
        <v/>
      </c>
      <c r="AB1442" s="16">
        <f>IF(RawDataGenPO[[#This Row],[GRN-PO date]]&gt;RawDataGenPO[[#This Row],[Lead time delivery (day)]],"over deliverry","Ontime")</f>
        <v/>
      </c>
      <c r="AC1442" s="22" t="n"/>
    </row>
    <row r="1443" ht="15" customHeight="1">
      <c r="A1443" s="5">
        <f>ROW()-ROW(RawDataGenPO[[#Headers],[No.]])</f>
        <v/>
      </c>
      <c r="B1443" s="7" t="inlineStr">
        <is>
          <t>Expent  cost</t>
        </is>
      </c>
      <c r="C1443" s="301" t="n">
        <v>45896</v>
      </c>
      <c r="F1443" s="301" t="n">
        <v>45896</v>
      </c>
      <c r="G1443" s="5" t="inlineStr">
        <is>
          <t>PR2526-02033</t>
        </is>
      </c>
      <c r="H1443" s="5" t="inlineStr">
        <is>
          <t>PO2526-02872</t>
        </is>
      </c>
      <c r="I1443" s="286" t="n">
        <v>45901</v>
      </c>
      <c r="J1443" s="56" t="n"/>
      <c r="K1443" s="20" t="n">
        <v>60</v>
      </c>
      <c r="L1443" s="5" t="inlineStr">
        <is>
          <t>SFST81000048</t>
        </is>
      </c>
      <c r="M1443" s="7" t="inlineStr">
        <is>
          <t>Cooling machine for PD line</t>
        </is>
      </c>
      <c r="N1443" s="7" t="inlineStr">
        <is>
          <t>Cooling  part</t>
        </is>
      </c>
      <c r="O1443" s="11" t="n">
        <v>2</v>
      </c>
      <c r="P1443" s="10" t="inlineStr">
        <is>
          <t>Filter Insert with O-Ring HS74</t>
        </is>
      </c>
      <c r="Q1443" s="277" t="n">
        <v>2</v>
      </c>
      <c r="R1443" s="5" t="inlineStr">
        <is>
          <t>PCS.</t>
        </is>
      </c>
      <c r="S1443" s="284">
        <f>RawDataGenPO[[#This Row],[Total price]]/RawDataGenPO[[#This Row],[Qty'']]</f>
        <v/>
      </c>
      <c r="T1443" s="278" t="n">
        <v>6000</v>
      </c>
      <c r="U1443" s="291" t="n"/>
      <c r="V1443" s="7" t="inlineStr">
        <is>
          <t>V1000109 - Coolconnection Co., Ltd</t>
        </is>
      </c>
      <c r="W1443" s="30" t="inlineStr">
        <is>
          <t>Recive bill and GRN already</t>
        </is>
      </c>
      <c r="X1443" s="5" t="inlineStr">
        <is>
          <t>GRN2526-0003673</t>
        </is>
      </c>
      <c r="Y1443" s="3" t="n">
        <v>45906</v>
      </c>
      <c r="Z1443" s="23" t="n"/>
      <c r="AA1443" s="17">
        <f>IF(RawDataGenPO[[#This Row],[Date Gen PO]]="","",RawDataGenPO[[#This Row],[Date recive bill]]-RawDataGenPO[[#This Row],[Date Gen PO]])</f>
        <v/>
      </c>
      <c r="AB1443" s="16">
        <f>IF(RawDataGenPO[[#This Row],[GRN-PO date]]&gt;RawDataGenPO[[#This Row],[Lead time delivery (day)]],"over deliverry","Ontime")</f>
        <v/>
      </c>
      <c r="AC1443" s="22" t="n"/>
    </row>
    <row r="1444" ht="15" customHeight="1">
      <c r="A1444" s="5">
        <f>ROW()-ROW(RawDataGenPO[[#Headers],[No.]])</f>
        <v/>
      </c>
      <c r="B1444" s="7" t="inlineStr">
        <is>
          <t>Expent  cost</t>
        </is>
      </c>
      <c r="C1444" s="301" t="n">
        <v>45896</v>
      </c>
      <c r="F1444" s="301" t="n">
        <v>45896</v>
      </c>
      <c r="G1444" s="5" t="inlineStr">
        <is>
          <t>PR2526-02034</t>
        </is>
      </c>
      <c r="H1444" s="5" t="inlineStr">
        <is>
          <t xml:space="preserve">PO2526-02874 </t>
        </is>
      </c>
      <c r="I1444" s="286" t="n">
        <v>45901</v>
      </c>
      <c r="J1444" s="56" t="n"/>
      <c r="K1444" s="20" t="n">
        <v>30</v>
      </c>
      <c r="L1444" s="5" t="inlineStr">
        <is>
          <t>SFST81000048</t>
        </is>
      </c>
      <c r="M1444" s="7" t="inlineStr">
        <is>
          <t>PD Machine</t>
        </is>
      </c>
      <c r="N1444" s="7" t="inlineStr">
        <is>
          <t>Steambox No.1</t>
        </is>
      </c>
      <c r="O1444" s="11" t="n">
        <v>1</v>
      </c>
      <c r="P1444" s="10" t="inlineStr">
        <is>
          <t>Proximity Sensor "OMRON" E2E-X5MB1D12</t>
        </is>
      </c>
      <c r="Q1444" s="277" t="n">
        <v>6</v>
      </c>
      <c r="R1444" s="5" t="inlineStr">
        <is>
          <t>PCS.</t>
        </is>
      </c>
      <c r="S1444" s="284">
        <f>RawDataGenPO[[#This Row],[Total price]]/RawDataGenPO[[#This Row],[Qty'']]</f>
        <v/>
      </c>
      <c r="T1444" s="278" t="n">
        <v>6600</v>
      </c>
      <c r="U1444" s="291" t="n"/>
      <c r="V1444" s="7" t="inlineStr">
        <is>
          <t xml:space="preserve"> V1000276 - SN. ELECTRIC AND SUPPLY CO., LTD.</t>
        </is>
      </c>
      <c r="W1444" s="30" t="inlineStr">
        <is>
          <t>Recive bill and GRN already</t>
        </is>
      </c>
      <c r="X1444" s="5" t="inlineStr">
        <is>
          <t>GRN2526-0003614</t>
        </is>
      </c>
      <c r="Y1444" s="3" t="n">
        <v>45903</v>
      </c>
      <c r="Z1444" s="23" t="n"/>
      <c r="AA1444" s="17">
        <f>IF(RawDataGenPO[[#This Row],[Date Gen PO]]="","",RawDataGenPO[[#This Row],[Date recive bill]]-RawDataGenPO[[#This Row],[Date Gen PO]])</f>
        <v/>
      </c>
      <c r="AB1444" s="16">
        <f>IF(RawDataGenPO[[#This Row],[GRN-PO date]]&gt;RawDataGenPO[[#This Row],[Lead time delivery (day)]],"over deliverry","Ontime")</f>
        <v/>
      </c>
      <c r="AC1444" s="22" t="n"/>
    </row>
    <row r="1445" ht="45" customHeight="1">
      <c r="A1445" s="5">
        <f>ROW()-ROW(RawDataGenPO[[#Headers],[No.]])</f>
        <v/>
      </c>
      <c r="B1445" s="7" t="inlineStr">
        <is>
          <t>Expent  cost</t>
        </is>
      </c>
      <c r="C1445" s="301" t="n">
        <v>45896</v>
      </c>
      <c r="F1445" s="301" t="n">
        <v>45896</v>
      </c>
      <c r="G1445" s="5" t="inlineStr">
        <is>
          <t>PR2526-02035</t>
        </is>
      </c>
      <c r="H1445" s="5" t="inlineStr">
        <is>
          <t>PO2526-02875</t>
        </is>
      </c>
      <c r="I1445" s="286" t="n">
        <v>45901</v>
      </c>
      <c r="J1445" s="56" t="n"/>
      <c r="K1445" s="20" t="n">
        <v>120</v>
      </c>
      <c r="L1445" s="5" t="inlineStr">
        <is>
          <t>SFST81000064</t>
        </is>
      </c>
      <c r="M1445" s="7" t="inlineStr">
        <is>
          <t>Utility Jobs  (Boiler-Air compress-Transformer-LPG)</t>
        </is>
      </c>
      <c r="N1445" s="7" t="inlineStr">
        <is>
          <t>LPG Tank No.1</t>
        </is>
      </c>
      <c r="O1445" s="11" t="n">
        <v>1</v>
      </c>
      <c r="P1445" s="10" t="inlineStr">
        <is>
          <t>Service chargeconnector LPG
- mW size 4.3ton 3
- equipmenttype andcable</t>
        </is>
      </c>
      <c r="Q1445" s="277" t="n">
        <v>1</v>
      </c>
      <c r="R1445" s="5" t="inlineStr">
        <is>
          <t>Job.</t>
        </is>
      </c>
      <c r="S1445" s="284">
        <f>RawDataGenPO[[#This Row],[Total price]]/RawDataGenPO[[#This Row],[Qty'']]</f>
        <v/>
      </c>
      <c r="T1445" s="278" t="n">
        <v>10000</v>
      </c>
      <c r="U1445" s="291" t="n"/>
      <c r="V1445" s="7" t="inlineStr">
        <is>
          <t>V1000145 - Company WWm Ltd.</t>
        </is>
      </c>
      <c r="W1445" s="30" t="inlineStr">
        <is>
          <t>Recive bill and GRN already</t>
        </is>
      </c>
      <c r="X1445" s="5" t="inlineStr">
        <is>
          <t>GRN2526-0006460</t>
        </is>
      </c>
      <c r="Y1445" s="3" t="n">
        <v>46014</v>
      </c>
      <c r="Z1445" s="23" t="n"/>
      <c r="AA1445" s="17">
        <f>IF(RawDataGenPO[[#This Row],[Date Gen PO]]="","",RawDataGenPO[[#This Row],[Date recive bill]]-RawDataGenPO[[#This Row],[Date Gen PO]])</f>
        <v/>
      </c>
      <c r="AB1445" s="16">
        <f>IF(RawDataGenPO[[#This Row],[GRN-PO date]]&gt;RawDataGenPO[[#This Row],[Lead time delivery (day)]],"over deliverry","Ontime")</f>
        <v/>
      </c>
      <c r="AC1445" s="22" t="n"/>
    </row>
    <row r="1446" ht="15" customHeight="1">
      <c r="A1446" s="5">
        <f>ROW()-ROW(RawDataGenPO[[#Headers],[No.]])</f>
        <v/>
      </c>
      <c r="B1446" s="7" t="inlineStr">
        <is>
          <t>Expent  cost</t>
        </is>
      </c>
      <c r="C1446" s="301" t="n">
        <v>45896</v>
      </c>
      <c r="F1446" s="301" t="n">
        <v>45896</v>
      </c>
      <c r="G1446" s="5" t="inlineStr">
        <is>
          <t>PR2526-02035</t>
        </is>
      </c>
      <c r="H1446" s="5" t="inlineStr">
        <is>
          <t>PO2526-02875</t>
        </is>
      </c>
      <c r="I1446" s="286" t="n">
        <v>45901</v>
      </c>
      <c r="J1446" s="56" t="n"/>
      <c r="K1446" s="20" t="n">
        <v>60</v>
      </c>
      <c r="L1446" s="5" t="inlineStr">
        <is>
          <t>SFST81000064</t>
        </is>
      </c>
      <c r="M1446" s="7" t="inlineStr">
        <is>
          <t>Annual cost</t>
        </is>
      </c>
      <c r="N1446" s="7" t="inlineStr">
        <is>
          <t>Inspect cost</t>
        </is>
      </c>
      <c r="O1446" s="11" t="n">
        <v>2</v>
      </c>
      <c r="P1446" s="10" t="inlineStr">
        <is>
          <t>Service chargeworkfrontworkmeasuring</t>
        </is>
      </c>
      <c r="Q1446" s="277" t="n">
        <v>1</v>
      </c>
      <c r="R1446" s="5" t="inlineStr">
        <is>
          <t>Job.</t>
        </is>
      </c>
      <c r="S1446" s="284">
        <f>RawDataGenPO[[#This Row],[Total price]]/RawDataGenPO[[#This Row],[Qty'']]</f>
        <v/>
      </c>
      <c r="T1446" s="278" t="n">
        <v>5000</v>
      </c>
      <c r="U1446" s="291" t="n"/>
      <c r="V1446" s="7" t="inlineStr">
        <is>
          <t>V1000145 - Company WWm Ltd.</t>
        </is>
      </c>
      <c r="W1446" s="30" t="inlineStr">
        <is>
          <t>Recive bill and GRN already</t>
        </is>
      </c>
      <c r="X1446" s="5" t="inlineStr">
        <is>
          <t>GRN2526-0006460</t>
        </is>
      </c>
      <c r="Y1446" s="3" t="n">
        <v>46014</v>
      </c>
      <c r="Z1446" s="23" t="n"/>
      <c r="AA1446" s="17">
        <f>IF(RawDataGenPO[[#This Row],[Date Gen PO]]="","",RawDataGenPO[[#This Row],[Date recive bill]]-RawDataGenPO[[#This Row],[Date Gen PO]])</f>
        <v/>
      </c>
      <c r="AB1446" s="16">
        <f>IF(RawDataGenPO[[#This Row],[GRN-PO date]]&gt;RawDataGenPO[[#This Row],[Lead time delivery (day)]],"over deliverry","Ontime")</f>
        <v/>
      </c>
      <c r="AC1446" s="22" t="n"/>
    </row>
    <row r="1447" ht="15" customHeight="1">
      <c r="A1447" s="5">
        <f>ROW()-ROW(RawDataGenPO[[#Headers],[No.]])</f>
        <v/>
      </c>
      <c r="B1447" s="7" t="inlineStr">
        <is>
          <t>Expent  cost</t>
        </is>
      </c>
      <c r="C1447" s="301" t="n">
        <v>45896</v>
      </c>
      <c r="F1447" s="301" t="n">
        <v>45896</v>
      </c>
      <c r="G1447" s="5" t="inlineStr">
        <is>
          <t>PR2526-02035</t>
        </is>
      </c>
      <c r="H1447" s="5" t="inlineStr">
        <is>
          <t>PO2526-02875</t>
        </is>
      </c>
      <c r="I1447" s="286" t="n">
        <v>45901</v>
      </c>
      <c r="J1447" s="56" t="n"/>
      <c r="K1447" s="20" t="n">
        <v>60</v>
      </c>
      <c r="L1447" s="5" t="inlineStr">
        <is>
          <t>SFST81000064</t>
        </is>
      </c>
      <c r="M1447" s="7" t="inlineStr">
        <is>
          <t>Annual cost</t>
        </is>
      </c>
      <c r="N1447" s="7" t="inlineStr">
        <is>
          <t>Inspect cost</t>
        </is>
      </c>
      <c r="O1447" s="11" t="n">
        <v>3</v>
      </c>
      <c r="P1447" s="10" t="inlineStr">
        <is>
          <t>Service chargeworkwithpiece</t>
        </is>
      </c>
      <c r="Q1447" s="277" t="n">
        <v>1</v>
      </c>
      <c r="R1447" s="5" t="inlineStr">
        <is>
          <t>Job.</t>
        </is>
      </c>
      <c r="S1447" s="284">
        <f>RawDataGenPO[[#This Row],[Total price]]/RawDataGenPO[[#This Row],[Qty'']]</f>
        <v/>
      </c>
      <c r="T1447" s="278" t="n">
        <v>10000</v>
      </c>
      <c r="U1447" s="291" t="n"/>
      <c r="V1447" s="7" t="inlineStr">
        <is>
          <t>V1000145 - Company WWm Ltd.</t>
        </is>
      </c>
      <c r="W1447" s="30" t="inlineStr">
        <is>
          <t>Recive bill and GRN already</t>
        </is>
      </c>
      <c r="X1447" s="5" t="inlineStr">
        <is>
          <t>GRN2526-0007265</t>
        </is>
      </c>
      <c r="Y1447" s="3" t="n">
        <v>46043</v>
      </c>
      <c r="Z1447" s="23" t="n"/>
      <c r="AA1447" s="17">
        <f>IF(RawDataGenPO[[#This Row],[Date Gen PO]]="","",RawDataGenPO[[#This Row],[Date recive bill]]-RawDataGenPO[[#This Row],[Date Gen PO]])</f>
        <v/>
      </c>
      <c r="AB1447" s="16">
        <f>IF(RawDataGenPO[[#This Row],[GRN-PO date]]&gt;RawDataGenPO[[#This Row],[Lead time delivery (day)]],"over deliverry","Ontime")</f>
        <v/>
      </c>
      <c r="AC1447" s="22" t="n"/>
    </row>
    <row r="1448" ht="15" customHeight="1">
      <c r="A1448" s="5">
        <f>ROW()-ROW(RawDataGenPO[[#Headers],[No.]])</f>
        <v/>
      </c>
      <c r="B1448" s="7" t="inlineStr">
        <is>
          <t>Expent  cost</t>
        </is>
      </c>
      <c r="C1448" s="301" t="n">
        <v>45896</v>
      </c>
      <c r="F1448" s="301" t="n">
        <v>45896</v>
      </c>
      <c r="G1448" s="5" t="inlineStr">
        <is>
          <t>PR2526-02036</t>
        </is>
      </c>
      <c r="H1448" s="5" t="inlineStr">
        <is>
          <t>PO2526-02876</t>
        </is>
      </c>
      <c r="I1448" s="286" t="n">
        <v>45901</v>
      </c>
      <c r="J1448" s="56" t="n"/>
      <c r="K1448" s="20" t="n">
        <v>60</v>
      </c>
      <c r="L1448" s="5" t="inlineStr">
        <is>
          <t>SFST81000050</t>
        </is>
      </c>
      <c r="M1448" s="7" t="inlineStr">
        <is>
          <t>Safety equipment</t>
        </is>
      </c>
      <c r="N1448" s="7" t="inlineStr">
        <is>
          <t>Safety equipment</t>
        </is>
      </c>
      <c r="O1448" s="11" t="n">
        <v>1</v>
      </c>
      <c r="P1448" s="10" t="inlineStr">
        <is>
          <t>Wm size 50x180 cm. 1 inch 2</t>
        </is>
      </c>
      <c r="Q1448" s="277" t="n">
        <v>2</v>
      </c>
      <c r="R1448" s="5" t="inlineStr">
        <is>
          <t>PCS.</t>
        </is>
      </c>
      <c r="S1448" s="284">
        <f>RawDataGenPO[[#This Row],[Total price]]/RawDataGenPO[[#This Row],[Qty'']]</f>
        <v/>
      </c>
      <c r="T1448" s="278" t="n">
        <v>2400</v>
      </c>
      <c r="U1448" s="291" t="n"/>
      <c r="V1448" s="7" t="inlineStr">
        <is>
          <t>V1000556 - Team Safety Sales Co., Ltd.</t>
        </is>
      </c>
      <c r="W1448" s="30" t="inlineStr">
        <is>
          <t>Recive bill and GRN already</t>
        </is>
      </c>
      <c r="X1448" s="5" t="inlineStr">
        <is>
          <t>GRN2526-0004259</t>
        </is>
      </c>
      <c r="Y1448" s="3" t="n">
        <v>45932</v>
      </c>
      <c r="Z1448" s="23" t="n"/>
      <c r="AA1448" s="17">
        <f>IF(RawDataGenPO[[#This Row],[Date Gen PO]]="","",RawDataGenPO[[#This Row],[Date recive bill]]-RawDataGenPO[[#This Row],[Date Gen PO]])</f>
        <v/>
      </c>
      <c r="AB1448" s="16">
        <f>IF(RawDataGenPO[[#This Row],[GRN-PO date]]&gt;RawDataGenPO[[#This Row],[Lead time delivery (day)]],"over deliverry","Ontime")</f>
        <v/>
      </c>
      <c r="AC1448" s="22" t="n"/>
    </row>
    <row r="1449" ht="15" customHeight="1">
      <c r="A1449" s="5">
        <f>ROW()-ROW(RawDataGenPO[[#Headers],[No.]])</f>
        <v/>
      </c>
      <c r="B1449" s="7" t="inlineStr">
        <is>
          <t>Expent  cost</t>
        </is>
      </c>
      <c r="C1449" s="301" t="n">
        <v>45896</v>
      </c>
      <c r="F1449" s="301" t="n">
        <v>45896</v>
      </c>
      <c r="G1449" s="5" t="inlineStr">
        <is>
          <t>PR2526-02036</t>
        </is>
      </c>
      <c r="H1449" s="5" t="inlineStr">
        <is>
          <t>PO2526-02876</t>
        </is>
      </c>
      <c r="I1449" s="286" t="n">
        <v>45901</v>
      </c>
      <c r="J1449" s="56" t="n"/>
      <c r="K1449" s="20" t="n">
        <v>60</v>
      </c>
      <c r="L1449" s="5" t="inlineStr">
        <is>
          <t>SFST81000050</t>
        </is>
      </c>
      <c r="M1449" s="7" t="inlineStr">
        <is>
          <t>Safety equipment</t>
        </is>
      </c>
      <c r="N1449" s="7" t="inlineStr">
        <is>
          <t>Safety equipment</t>
        </is>
      </c>
      <c r="O1449" s="11" t="n">
        <v>2</v>
      </c>
      <c r="P1449" s="10" t="inlineStr">
        <is>
          <t>Delivery charge</t>
        </is>
      </c>
      <c r="Q1449" s="277" t="n">
        <v>1</v>
      </c>
      <c r="R1449" s="5" t="inlineStr">
        <is>
          <t>Job.</t>
        </is>
      </c>
      <c r="S1449" s="284">
        <f>RawDataGenPO[[#This Row],[Total price]]/RawDataGenPO[[#This Row],[Qty'']]</f>
        <v/>
      </c>
      <c r="T1449" s="278" t="n">
        <v>200</v>
      </c>
      <c r="U1449" s="291" t="n"/>
      <c r="V1449" s="7" t="inlineStr">
        <is>
          <t>V1000556 - Team Safety Sales Co., Ltd.</t>
        </is>
      </c>
      <c r="W1449" s="30" t="inlineStr">
        <is>
          <t>Recive bill and GRN already</t>
        </is>
      </c>
      <c r="X1449" s="5" t="inlineStr">
        <is>
          <t>GRN2526-0004259</t>
        </is>
      </c>
      <c r="Y1449" s="3" t="n">
        <v>45932</v>
      </c>
      <c r="Z1449" s="23" t="n"/>
      <c r="AA1449" s="17">
        <f>IF(RawDataGenPO[[#This Row],[Date Gen PO]]="","",RawDataGenPO[[#This Row],[Date recive bill]]-RawDataGenPO[[#This Row],[Date Gen PO]])</f>
        <v/>
      </c>
      <c r="AB1449" s="16">
        <f>IF(RawDataGenPO[[#This Row],[GRN-PO date]]&gt;RawDataGenPO[[#This Row],[Lead time delivery (day)]],"over deliverry","Ontime")</f>
        <v/>
      </c>
      <c r="AC1449" s="22" t="n"/>
    </row>
    <row r="1450" ht="30" customHeight="1">
      <c r="A1450" s="5">
        <f>ROW()-ROW(RawDataGenPO[[#Headers],[No.]])</f>
        <v/>
      </c>
      <c r="B1450" s="7" t="inlineStr">
        <is>
          <t>Expent  cost</t>
        </is>
      </c>
      <c r="C1450" s="301" t="n">
        <v>45896</v>
      </c>
      <c r="F1450" s="301" t="n">
        <v>45896</v>
      </c>
      <c r="G1450" s="5" t="inlineStr">
        <is>
          <t>PR2526-02037</t>
        </is>
      </c>
      <c r="H1450" s="5" t="inlineStr">
        <is>
          <t>PO2526-02877</t>
        </is>
      </c>
      <c r="I1450" s="286" t="n">
        <v>45901</v>
      </c>
      <c r="J1450" s="56" t="n"/>
      <c r="K1450" s="20" t="n">
        <v>60</v>
      </c>
      <c r="L1450" s="5" t="inlineStr">
        <is>
          <t>SFST81000050</t>
        </is>
      </c>
      <c r="M1450" s="7" t="inlineStr">
        <is>
          <t>Safety equipment</t>
        </is>
      </c>
      <c r="N1450" s="7" t="inlineStr">
        <is>
          <t>Safety equipment</t>
        </is>
      </c>
      <c r="O1450" s="11" t="n">
        <v>1</v>
      </c>
      <c r="P1450" s="10" t="inlineStr">
        <is>
          <t>gloves LANON Heat Resistant Silicone Gloves S600
- Size: M = 1pair / L = 1pair</t>
        </is>
      </c>
      <c r="Q1450" s="277" t="n">
        <v>2</v>
      </c>
      <c r="R1450" s="5" t="inlineStr">
        <is>
          <t>PCS.</t>
        </is>
      </c>
      <c r="S1450" s="284">
        <f>RawDataGenPO[[#This Row],[Total price]]/RawDataGenPO[[#This Row],[Qty'']]</f>
        <v/>
      </c>
      <c r="T1450" s="278" t="n">
        <v>2700</v>
      </c>
      <c r="U1450" s="291" t="n"/>
      <c r="V1450" s="7" t="inlineStr">
        <is>
          <t>V1000069 - GLOVETEX CO.,LTD.</t>
        </is>
      </c>
      <c r="W1450" s="30" t="inlineStr">
        <is>
          <t>Recive bill and GRN already</t>
        </is>
      </c>
      <c r="X1450" s="5" t="inlineStr">
        <is>
          <t>GRN2526-0004091</t>
        </is>
      </c>
      <c r="Y1450" s="3" t="n">
        <v>45923</v>
      </c>
      <c r="Z1450" s="23" t="n"/>
      <c r="AA1450" s="17">
        <f>IF(RawDataGenPO[[#This Row],[Date Gen PO]]="","",RawDataGenPO[[#This Row],[Date recive bill]]-RawDataGenPO[[#This Row],[Date Gen PO]])</f>
        <v/>
      </c>
      <c r="AB1450" s="16">
        <f>IF(RawDataGenPO[[#This Row],[GRN-PO date]]&gt;RawDataGenPO[[#This Row],[Lead time delivery (day)]],"over deliverry","Ontime")</f>
        <v/>
      </c>
      <c r="AC1450" s="22" t="n"/>
    </row>
    <row r="1451" ht="15" customHeight="1">
      <c r="A1451" s="5">
        <f>ROW()-ROW(RawDataGenPO[[#Headers],[No.]])</f>
        <v/>
      </c>
      <c r="B1451" s="7" t="inlineStr">
        <is>
          <t>Expent  cost</t>
        </is>
      </c>
      <c r="C1451" s="301" t="n">
        <v>45896</v>
      </c>
      <c r="F1451" s="301" t="n">
        <v>45896</v>
      </c>
      <c r="G1451" s="5" t="inlineStr">
        <is>
          <t>PR2526-02038</t>
        </is>
      </c>
      <c r="H1451" s="5" t="inlineStr">
        <is>
          <t>PO2526-02878</t>
        </is>
      </c>
      <c r="I1451" s="286" t="n">
        <v>45901</v>
      </c>
      <c r="J1451" s="56" t="n"/>
      <c r="K1451" s="20" t="n">
        <v>30</v>
      </c>
      <c r="L1451" s="5" t="inlineStr">
        <is>
          <t>SFST81000048</t>
        </is>
      </c>
      <c r="M1451" s="7" t="inlineStr">
        <is>
          <t>Safety equipment</t>
        </is>
      </c>
      <c r="N1451" s="7" t="inlineStr">
        <is>
          <t>Consumable part</t>
        </is>
      </c>
      <c r="O1451" s="11" t="n">
        <v>1</v>
      </c>
      <c r="P1451" s="10" t="inlineStr">
        <is>
          <t>BATTERY GS model N100 (12V 100Ah)</t>
        </is>
      </c>
      <c r="Q1451" s="277" t="n">
        <v>2</v>
      </c>
      <c r="R1451" s="5" t="inlineStr">
        <is>
          <t>PCS.</t>
        </is>
      </c>
      <c r="S1451" s="284">
        <f>RawDataGenPO[[#This Row],[Total price]]/RawDataGenPO[[#This Row],[Qty'']]</f>
        <v/>
      </c>
      <c r="T1451" s="278" t="n">
        <v>7560</v>
      </c>
      <c r="U1451" s="291" t="n"/>
      <c r="V1451" s="7" t="inlineStr">
        <is>
          <t xml:space="preserve"> V1000259 - JJP SUPPLY CO., LTD</t>
        </is>
      </c>
      <c r="W1451" s="30" t="inlineStr">
        <is>
          <t>Recive bill and GRN already</t>
        </is>
      </c>
      <c r="X1451" s="5" t="inlineStr">
        <is>
          <t>GRN2526-0004109</t>
        </is>
      </c>
      <c r="Y1451" s="3" t="n">
        <v>45923</v>
      </c>
      <c r="Z1451" s="23" t="n"/>
      <c r="AA1451" s="17">
        <f>IF(RawDataGenPO[[#This Row],[Date Gen PO]]="","",RawDataGenPO[[#This Row],[Date recive bill]]-RawDataGenPO[[#This Row],[Date Gen PO]])</f>
        <v/>
      </c>
      <c r="AB1451" s="16">
        <f>IF(RawDataGenPO[[#This Row],[GRN-PO date]]&gt;RawDataGenPO[[#This Row],[Lead time delivery (day)]],"over deliverry","Ontime")</f>
        <v/>
      </c>
      <c r="AC1451" s="22" t="n"/>
    </row>
    <row r="1452" ht="15" customHeight="1">
      <c r="A1452" s="5">
        <f>ROW()-ROW(RawDataGenPO[[#Headers],[No.]])</f>
        <v/>
      </c>
      <c r="B1452" s="7" t="inlineStr">
        <is>
          <t>CAPEX  (Budget)</t>
        </is>
      </c>
      <c r="C1452" s="301" t="n">
        <v>45904</v>
      </c>
      <c r="F1452" s="276" t="n">
        <v>45904</v>
      </c>
      <c r="G1452" s="5" t="inlineStr">
        <is>
          <t>PR2526-02171</t>
        </is>
      </c>
      <c r="H1452" s="5" t="inlineStr">
        <is>
          <t>PO2526-03209</t>
        </is>
      </c>
      <c r="I1452" s="286" t="n">
        <v>45916</v>
      </c>
      <c r="J1452" s="56" t="n"/>
      <c r="K1452" s="20" t="n">
        <v>60</v>
      </c>
      <c r="L1452" s="5" t="inlineStr">
        <is>
          <t>SFST82000007</t>
        </is>
      </c>
      <c r="M1452" s="7" t="inlineStr">
        <is>
          <t>Safety equipment</t>
        </is>
      </c>
      <c r="N1452" s="7" t="inlineStr">
        <is>
          <t>Fire alarm jobs</t>
        </is>
      </c>
      <c r="O1452" s="11" t="n">
        <v>1</v>
      </c>
      <c r="P1452" s="10" t="inlineStr">
        <is>
          <t>Alarm control unit CAREL Coldwatch 220vac 50 Hz CCW SCHGR</t>
        </is>
      </c>
      <c r="Q1452" s="277" t="n">
        <v>1</v>
      </c>
      <c r="R1452" s="5" t="inlineStr">
        <is>
          <t>PCS.</t>
        </is>
      </c>
      <c r="S1452" s="284">
        <f>RawDataGenPO[[#This Row],[Total price]]/RawDataGenPO[[#This Row],[Qty'']]</f>
        <v/>
      </c>
      <c r="T1452" s="278" t="n">
        <v>18500</v>
      </c>
      <c r="U1452" s="291" t="n"/>
      <c r="V1452" s="7" t="inlineStr">
        <is>
          <t xml:space="preserve"> V1000743 - Waratep Nongpue</t>
        </is>
      </c>
      <c r="W1452" s="30" t="inlineStr">
        <is>
          <t>Recive bill and GRN already</t>
        </is>
      </c>
      <c r="X1452" s="5" t="inlineStr">
        <is>
          <t>GRN2526-0004826</t>
        </is>
      </c>
      <c r="Y1452" s="3" t="n">
        <v>45954</v>
      </c>
      <c r="Z1452" s="23" t="n"/>
      <c r="AA1452" s="17">
        <f>IF(RawDataGenPO[[#This Row],[Date Gen PO]]="","",RawDataGenPO[[#This Row],[Date recive bill]]-RawDataGenPO[[#This Row],[Date Gen PO]])</f>
        <v/>
      </c>
      <c r="AB1452" s="16">
        <f>IF(RawDataGenPO[[#This Row],[GRN-PO date]]&gt;RawDataGenPO[[#This Row],[Lead time delivery (day)]],"over deliverry","Ontime")</f>
        <v/>
      </c>
      <c r="AC1452" s="22" t="n"/>
    </row>
    <row r="1453" ht="15" customHeight="1">
      <c r="A1453" s="5">
        <f>ROW()-ROW(RawDataGenPO[[#Headers],[No.]])</f>
        <v/>
      </c>
      <c r="B1453" s="7" t="inlineStr">
        <is>
          <t>CAPEX  (Budget)</t>
        </is>
      </c>
      <c r="C1453" s="301" t="n">
        <v>45904</v>
      </c>
      <c r="F1453" s="276" t="n">
        <v>45904</v>
      </c>
      <c r="G1453" s="5" t="inlineStr">
        <is>
          <t>PR2526-02171</t>
        </is>
      </c>
      <c r="H1453" s="5" t="inlineStr">
        <is>
          <t>PO2526-03209</t>
        </is>
      </c>
      <c r="I1453" s="286" t="n">
        <v>45916</v>
      </c>
      <c r="J1453" s="56" t="n"/>
      <c r="K1453" s="20" t="n">
        <v>60</v>
      </c>
      <c r="L1453" s="5" t="inlineStr">
        <is>
          <t>SFST82000007</t>
        </is>
      </c>
      <c r="M1453" s="7" t="inlineStr">
        <is>
          <t>Safety equipment</t>
        </is>
      </c>
      <c r="N1453" s="7" t="inlineStr">
        <is>
          <t>Fire alarm jobs</t>
        </is>
      </c>
      <c r="O1453" s="11" t="n">
        <v>2</v>
      </c>
      <c r="P1453" s="10" t="inlineStr">
        <is>
          <t>Alarm control unit CAREL Coldwatch 220vac 50 Hz CCW SCHGR</t>
        </is>
      </c>
      <c r="Q1453" s="277" t="n">
        <v>1</v>
      </c>
      <c r="R1453" s="5" t="inlineStr">
        <is>
          <t>PCS.</t>
        </is>
      </c>
      <c r="S1453" s="284">
        <f>RawDataGenPO[[#This Row],[Total price]]/RawDataGenPO[[#This Row],[Qty'']]</f>
        <v/>
      </c>
      <c r="T1453" s="278" t="n">
        <v>18500</v>
      </c>
      <c r="U1453" s="291" t="n"/>
      <c r="V1453" s="7" t="inlineStr">
        <is>
          <t xml:space="preserve"> V1000743 - Waratep Nongpue</t>
        </is>
      </c>
      <c r="W1453" s="30" t="inlineStr">
        <is>
          <t>Recive bill and GRN already</t>
        </is>
      </c>
      <c r="X1453" s="5" t="inlineStr">
        <is>
          <t>GRN2526-0004826</t>
        </is>
      </c>
      <c r="Y1453" s="3" t="n">
        <v>45954</v>
      </c>
      <c r="Z1453" s="23" t="n"/>
      <c r="AA1453" s="17">
        <f>IF(RawDataGenPO[[#This Row],[Date Gen PO]]="","",RawDataGenPO[[#This Row],[Date recive bill]]-RawDataGenPO[[#This Row],[Date Gen PO]])</f>
        <v/>
      </c>
      <c r="AB1453" s="16">
        <f>IF(RawDataGenPO[[#This Row],[GRN-PO date]]&gt;RawDataGenPO[[#This Row],[Lead time delivery (day)]],"over deliverry","Ontime")</f>
        <v/>
      </c>
      <c r="AC1453" s="22" t="n"/>
    </row>
    <row r="1454" ht="15" customHeight="1">
      <c r="A1454" s="5">
        <f>ROW()-ROW(RawDataGenPO[[#Headers],[No.]])</f>
        <v/>
      </c>
      <c r="B1454" s="7" t="inlineStr">
        <is>
          <t>CAPEX  (Budget)</t>
        </is>
      </c>
      <c r="C1454" s="301" t="n">
        <v>45904</v>
      </c>
      <c r="F1454" s="276" t="n">
        <v>45904</v>
      </c>
      <c r="G1454" s="5" t="inlineStr">
        <is>
          <t>PR2526-02171</t>
        </is>
      </c>
      <c r="H1454" s="5" t="inlineStr">
        <is>
          <t>PO2526-03209</t>
        </is>
      </c>
      <c r="I1454" s="286" t="n">
        <v>45916</v>
      </c>
      <c r="J1454" s="56" t="n"/>
      <c r="K1454" s="20" t="n">
        <v>60</v>
      </c>
      <c r="L1454" s="5" t="inlineStr">
        <is>
          <t>SFST82000007</t>
        </is>
      </c>
      <c r="M1454" s="7" t="inlineStr">
        <is>
          <t>Safety equipment</t>
        </is>
      </c>
      <c r="N1454" s="7" t="inlineStr">
        <is>
          <t>Fire alarm jobs</t>
        </is>
      </c>
      <c r="O1454" s="11" t="n">
        <v>3</v>
      </c>
      <c r="P1454" s="10" t="inlineStr">
        <is>
          <t>Alarm control unit CAREL Coldwatch 220vac 50 Hz CCW SCHGR</t>
        </is>
      </c>
      <c r="Q1454" s="277" t="n">
        <v>1</v>
      </c>
      <c r="R1454" s="5" t="inlineStr">
        <is>
          <t>PCS.</t>
        </is>
      </c>
      <c r="S1454" s="284">
        <f>RawDataGenPO[[#This Row],[Total price]]/RawDataGenPO[[#This Row],[Qty'']]</f>
        <v/>
      </c>
      <c r="T1454" s="278" t="n">
        <v>18500</v>
      </c>
      <c r="U1454" s="291" t="n"/>
      <c r="V1454" s="7" t="inlineStr">
        <is>
          <t xml:space="preserve"> V1000743 - Waratep Nongpue</t>
        </is>
      </c>
      <c r="W1454" s="30" t="inlineStr">
        <is>
          <t>Recive bill and GRN already</t>
        </is>
      </c>
      <c r="X1454" s="5" t="inlineStr">
        <is>
          <t>GRN2526-0004826</t>
        </is>
      </c>
      <c r="Y1454" s="3" t="n">
        <v>45954</v>
      </c>
      <c r="Z1454" s="23" t="n"/>
      <c r="AA1454" s="17">
        <f>IF(RawDataGenPO[[#This Row],[Date Gen PO]]="","",RawDataGenPO[[#This Row],[Date recive bill]]-RawDataGenPO[[#This Row],[Date Gen PO]])</f>
        <v/>
      </c>
      <c r="AB1454" s="16">
        <f>IF(RawDataGenPO[[#This Row],[GRN-PO date]]&gt;RawDataGenPO[[#This Row],[Lead time delivery (day)]],"over deliverry","Ontime")</f>
        <v/>
      </c>
      <c r="AC1454" s="22" t="n"/>
    </row>
    <row r="1455" ht="15" customHeight="1">
      <c r="A1455" s="5">
        <f>ROW()-ROW(RawDataGenPO[[#Headers],[No.]])</f>
        <v/>
      </c>
      <c r="B1455" s="7" t="inlineStr">
        <is>
          <t>CAPEX  (Budget)</t>
        </is>
      </c>
      <c r="C1455" s="301" t="n">
        <v>45904</v>
      </c>
      <c r="F1455" s="276" t="n">
        <v>45904</v>
      </c>
      <c r="G1455" s="5" t="inlineStr">
        <is>
          <t>PR2526-02171</t>
        </is>
      </c>
      <c r="H1455" s="5" t="inlineStr">
        <is>
          <t>PO2526-03209</t>
        </is>
      </c>
      <c r="I1455" s="286" t="n">
        <v>45916</v>
      </c>
      <c r="J1455" s="56" t="n"/>
      <c r="K1455" s="20" t="n">
        <v>60</v>
      </c>
      <c r="L1455" s="5" t="inlineStr">
        <is>
          <t>SFST82000007</t>
        </is>
      </c>
      <c r="M1455" s="7" t="inlineStr">
        <is>
          <t>Safety equipment</t>
        </is>
      </c>
      <c r="N1455" s="7" t="inlineStr">
        <is>
          <t>Fire alarm jobs</t>
        </is>
      </c>
      <c r="O1455" s="11" t="n">
        <v>4</v>
      </c>
      <c r="P1455" s="10" t="inlineStr">
        <is>
          <t>Alarm control unit CAREL Coldwatch 220vac 50 Hz CCW SCHGR</t>
        </is>
      </c>
      <c r="Q1455" s="277" t="n">
        <v>1</v>
      </c>
      <c r="R1455" s="5" t="inlineStr">
        <is>
          <t>PCS.</t>
        </is>
      </c>
      <c r="S1455" s="284">
        <f>RawDataGenPO[[#This Row],[Total price]]/RawDataGenPO[[#This Row],[Qty'']]</f>
        <v/>
      </c>
      <c r="T1455" s="278" t="n">
        <v>18500</v>
      </c>
      <c r="U1455" s="291" t="n"/>
      <c r="V1455" s="7" t="inlineStr">
        <is>
          <t xml:space="preserve"> V1000743 - Waratep Nongpue</t>
        </is>
      </c>
      <c r="W1455" s="30" t="inlineStr">
        <is>
          <t>Recive bill and GRN already</t>
        </is>
      </c>
      <c r="X1455" s="5" t="inlineStr">
        <is>
          <t>GRN2526-0004826</t>
        </is>
      </c>
      <c r="Y1455" s="3" t="n">
        <v>45954</v>
      </c>
      <c r="Z1455" s="23" t="n"/>
      <c r="AA1455" s="17">
        <f>IF(RawDataGenPO[[#This Row],[Date Gen PO]]="","",RawDataGenPO[[#This Row],[Date recive bill]]-RawDataGenPO[[#This Row],[Date Gen PO]])</f>
        <v/>
      </c>
      <c r="AB1455" s="16">
        <f>IF(RawDataGenPO[[#This Row],[GRN-PO date]]&gt;RawDataGenPO[[#This Row],[Lead time delivery (day)]],"over deliverry","Ontime")</f>
        <v/>
      </c>
      <c r="AC1455" s="22" t="n"/>
    </row>
    <row r="1456" ht="15" customHeight="1">
      <c r="A1456" s="5">
        <f>ROW()-ROW(RawDataGenPO[[#Headers],[No.]])</f>
        <v/>
      </c>
      <c r="B1456" s="7" t="inlineStr">
        <is>
          <t>CAPEX  (Budget)</t>
        </is>
      </c>
      <c r="C1456" s="301" t="n">
        <v>45904</v>
      </c>
      <c r="F1456" s="276" t="n">
        <v>45904</v>
      </c>
      <c r="G1456" s="5" t="inlineStr">
        <is>
          <t>PR2526-02171</t>
        </is>
      </c>
      <c r="H1456" s="5" t="inlineStr">
        <is>
          <t>PO2526-03209</t>
        </is>
      </c>
      <c r="I1456" s="286" t="n">
        <v>45916</v>
      </c>
      <c r="J1456" s="56" t="n"/>
      <c r="K1456" s="20" t="n">
        <v>60</v>
      </c>
      <c r="L1456" s="5" t="inlineStr">
        <is>
          <t>SFST82000007</t>
        </is>
      </c>
      <c r="M1456" s="7" t="inlineStr">
        <is>
          <t>Safety equipment</t>
        </is>
      </c>
      <c r="N1456" s="7" t="inlineStr">
        <is>
          <t>Fire alarm jobs</t>
        </is>
      </c>
      <c r="O1456" s="11" t="n">
        <v>5</v>
      </c>
      <c r="P1456" s="75" t="inlineStr">
        <is>
          <t>Switch Pucher button Cold BBTCHR Contac NO</t>
        </is>
      </c>
      <c r="Q1456" s="277" t="n">
        <v>1</v>
      </c>
      <c r="R1456" s="5" t="inlineStr">
        <is>
          <t>PCS.</t>
        </is>
      </c>
      <c r="S1456" s="284">
        <f>RawDataGenPO[[#This Row],[Total price]]/RawDataGenPO[[#This Row],[Qty'']]</f>
        <v/>
      </c>
      <c r="T1456" s="278" t="n">
        <v>3100</v>
      </c>
      <c r="U1456" s="291" t="n"/>
      <c r="V1456" s="7" t="inlineStr">
        <is>
          <t xml:space="preserve"> V1000743 - Waratep Nongpue</t>
        </is>
      </c>
      <c r="W1456" s="30" t="inlineStr">
        <is>
          <t>Recive bill and GRN already</t>
        </is>
      </c>
      <c r="X1456" s="5" t="inlineStr">
        <is>
          <t>GRN2526-0004826</t>
        </is>
      </c>
      <c r="Y1456" s="3" t="n">
        <v>45954</v>
      </c>
      <c r="Z1456" s="23" t="n"/>
      <c r="AA1456" s="17">
        <f>IF(RawDataGenPO[[#This Row],[Date Gen PO]]="","",RawDataGenPO[[#This Row],[Date recive bill]]-RawDataGenPO[[#This Row],[Date Gen PO]])</f>
        <v/>
      </c>
      <c r="AB1456" s="16">
        <f>IF(RawDataGenPO[[#This Row],[GRN-PO date]]&gt;RawDataGenPO[[#This Row],[Lead time delivery (day)]],"over deliverry","Ontime")</f>
        <v/>
      </c>
      <c r="AC1456" s="22" t="n"/>
    </row>
    <row r="1457" ht="15" customHeight="1">
      <c r="A1457" s="5">
        <f>ROW()-ROW(RawDataGenPO[[#Headers],[No.]])</f>
        <v/>
      </c>
      <c r="B1457" s="7" t="inlineStr">
        <is>
          <t>CAPEX  (Budget)</t>
        </is>
      </c>
      <c r="C1457" s="301" t="n">
        <v>45904</v>
      </c>
      <c r="F1457" s="276" t="n">
        <v>45904</v>
      </c>
      <c r="G1457" s="5" t="inlineStr">
        <is>
          <t>PR2526-02171</t>
        </is>
      </c>
      <c r="H1457" s="5" t="inlineStr">
        <is>
          <t>PO2526-03209</t>
        </is>
      </c>
      <c r="I1457" s="286" t="n">
        <v>45916</v>
      </c>
      <c r="J1457" s="56" t="n"/>
      <c r="K1457" s="20" t="n">
        <v>60</v>
      </c>
      <c r="L1457" s="5" t="inlineStr">
        <is>
          <t>SFST82000007</t>
        </is>
      </c>
      <c r="M1457" s="7" t="inlineStr">
        <is>
          <t>Safety equipment</t>
        </is>
      </c>
      <c r="N1457" s="7" t="inlineStr">
        <is>
          <t>Fire alarm jobs</t>
        </is>
      </c>
      <c r="O1457" s="11" t="n">
        <v>6</v>
      </c>
      <c r="P1457" s="74" t="inlineStr">
        <is>
          <t>Switch Pucher button Cold BBTCHR Contac NO</t>
        </is>
      </c>
      <c r="Q1457" s="277" t="n">
        <v>1</v>
      </c>
      <c r="R1457" s="5" t="inlineStr">
        <is>
          <t>PCS.</t>
        </is>
      </c>
      <c r="S1457" s="284">
        <f>RawDataGenPO[[#This Row],[Total price]]/RawDataGenPO[[#This Row],[Qty'']]</f>
        <v/>
      </c>
      <c r="T1457" s="278" t="n">
        <v>3100</v>
      </c>
      <c r="U1457" s="291" t="n"/>
      <c r="V1457" s="7" t="inlineStr">
        <is>
          <t xml:space="preserve"> V1000743 - Waratep Nongpue</t>
        </is>
      </c>
      <c r="W1457" s="30" t="inlineStr">
        <is>
          <t>Recive bill and GRN already</t>
        </is>
      </c>
      <c r="X1457" s="5" t="inlineStr">
        <is>
          <t>GRN2526-0004826</t>
        </is>
      </c>
      <c r="Y1457" s="3" t="n">
        <v>45954</v>
      </c>
      <c r="Z1457" s="23" t="n"/>
      <c r="AA1457" s="17">
        <f>IF(RawDataGenPO[[#This Row],[Date Gen PO]]="","",RawDataGenPO[[#This Row],[Date recive bill]]-RawDataGenPO[[#This Row],[Date Gen PO]])</f>
        <v/>
      </c>
      <c r="AB1457" s="16">
        <f>IF(RawDataGenPO[[#This Row],[GRN-PO date]]&gt;RawDataGenPO[[#This Row],[Lead time delivery (day)]],"over deliverry","Ontime")</f>
        <v/>
      </c>
      <c r="AC1457" s="22" t="n"/>
    </row>
    <row r="1458" ht="15" customHeight="1">
      <c r="A1458" s="5">
        <f>ROW()-ROW(RawDataGenPO[[#Headers],[No.]])</f>
        <v/>
      </c>
      <c r="B1458" s="7" t="inlineStr">
        <is>
          <t>CAPEX  (Budget)</t>
        </is>
      </c>
      <c r="C1458" s="301" t="n">
        <v>45904</v>
      </c>
      <c r="F1458" s="276" t="n">
        <v>45904</v>
      </c>
      <c r="G1458" s="5" t="inlineStr">
        <is>
          <t>PR2526-02171</t>
        </is>
      </c>
      <c r="H1458" s="5" t="inlineStr">
        <is>
          <t>PO2526-03209</t>
        </is>
      </c>
      <c r="I1458" s="286" t="n">
        <v>45916</v>
      </c>
      <c r="J1458" s="56" t="n"/>
      <c r="K1458" s="20" t="n">
        <v>60</v>
      </c>
      <c r="L1458" s="5" t="inlineStr">
        <is>
          <t>SFST82000007</t>
        </is>
      </c>
      <c r="M1458" s="7" t="inlineStr">
        <is>
          <t>Safety equipment</t>
        </is>
      </c>
      <c r="N1458" s="7" t="inlineStr">
        <is>
          <t>Fire alarm jobs</t>
        </is>
      </c>
      <c r="O1458" s="11" t="n">
        <v>8</v>
      </c>
      <c r="P1458" s="74" t="inlineStr">
        <is>
          <t>Switch Pucher button Cold BBTCHR Contac NO</t>
        </is>
      </c>
      <c r="Q1458" s="277" t="n">
        <v>1</v>
      </c>
      <c r="R1458" s="5" t="inlineStr">
        <is>
          <t>PCS.</t>
        </is>
      </c>
      <c r="S1458" s="284">
        <f>RawDataGenPO[[#This Row],[Total price]]/RawDataGenPO[[#This Row],[Qty'']]</f>
        <v/>
      </c>
      <c r="T1458" s="278" t="n">
        <v>3100</v>
      </c>
      <c r="U1458" s="291" t="n"/>
      <c r="V1458" s="7" t="inlineStr">
        <is>
          <t xml:space="preserve"> V1000743 - Waratep Nongpue</t>
        </is>
      </c>
      <c r="W1458" s="30" t="inlineStr">
        <is>
          <t>Recive bill and GRN already</t>
        </is>
      </c>
      <c r="X1458" s="5" t="inlineStr">
        <is>
          <t>GRN2526-0004826</t>
        </is>
      </c>
      <c r="Y1458" s="3" t="n">
        <v>45954</v>
      </c>
      <c r="Z1458" s="23" t="n"/>
      <c r="AA1458" s="17">
        <f>IF(RawDataGenPO[[#This Row],[Date Gen PO]]="","",RawDataGenPO[[#This Row],[Date recive bill]]-RawDataGenPO[[#This Row],[Date Gen PO]])</f>
        <v/>
      </c>
      <c r="AB1458" s="16">
        <f>IF(RawDataGenPO[[#This Row],[GRN-PO date]]&gt;RawDataGenPO[[#This Row],[Lead time delivery (day)]],"over deliverry","Ontime")</f>
        <v/>
      </c>
      <c r="AC1458" s="22" t="n"/>
    </row>
    <row r="1459" ht="15" customHeight="1">
      <c r="A1459" s="5">
        <f>ROW()-ROW(RawDataGenPO[[#Headers],[No.]])</f>
        <v/>
      </c>
      <c r="B1459" s="7" t="inlineStr">
        <is>
          <t>CAPEX  (Budget)</t>
        </is>
      </c>
      <c r="C1459" s="301" t="n">
        <v>45904</v>
      </c>
      <c r="F1459" s="276" t="n">
        <v>45904</v>
      </c>
      <c r="G1459" s="5" t="inlineStr">
        <is>
          <t>PR2526-02171</t>
        </is>
      </c>
      <c r="H1459" s="5" t="inlineStr">
        <is>
          <t>PO2526-03209</t>
        </is>
      </c>
      <c r="I1459" s="286" t="n">
        <v>45916</v>
      </c>
      <c r="J1459" s="56" t="n"/>
      <c r="K1459" s="20" t="n">
        <v>60</v>
      </c>
      <c r="L1459" s="5" t="inlineStr">
        <is>
          <t>SFST82000007</t>
        </is>
      </c>
      <c r="M1459" s="7" t="inlineStr">
        <is>
          <t>Safety equipment</t>
        </is>
      </c>
      <c r="N1459" s="7" t="inlineStr">
        <is>
          <t>Fire alarm jobs</t>
        </is>
      </c>
      <c r="O1459" s="11" t="n">
        <v>9</v>
      </c>
      <c r="P1459" s="74" t="inlineStr">
        <is>
          <t>Switch Pucher button Cold BBTCHR Contac NO</t>
        </is>
      </c>
      <c r="Q1459" s="277" t="n">
        <v>1</v>
      </c>
      <c r="R1459" s="5" t="inlineStr">
        <is>
          <t>PCS.</t>
        </is>
      </c>
      <c r="S1459" s="284">
        <f>RawDataGenPO[[#This Row],[Total price]]/RawDataGenPO[[#This Row],[Qty'']]</f>
        <v/>
      </c>
      <c r="T1459" s="278" t="n">
        <v>3100</v>
      </c>
      <c r="U1459" s="291" t="n"/>
      <c r="V1459" s="7" t="inlineStr">
        <is>
          <t xml:space="preserve"> V1000743 - Waratep Nongpue</t>
        </is>
      </c>
      <c r="W1459" s="30" t="inlineStr">
        <is>
          <t>Recive bill and GRN already</t>
        </is>
      </c>
      <c r="X1459" s="5" t="inlineStr">
        <is>
          <t>GRN2526-0004826</t>
        </is>
      </c>
      <c r="Y1459" s="3" t="n">
        <v>45954</v>
      </c>
      <c r="Z1459" s="23" t="n"/>
      <c r="AA1459" s="17">
        <f>IF(RawDataGenPO[[#This Row],[Date Gen PO]]="","",RawDataGenPO[[#This Row],[Date recive bill]]-RawDataGenPO[[#This Row],[Date Gen PO]])</f>
        <v/>
      </c>
      <c r="AB1459" s="16">
        <f>IF(RawDataGenPO[[#This Row],[GRN-PO date]]&gt;RawDataGenPO[[#This Row],[Lead time delivery (day)]],"over deliverry","Ontime")</f>
        <v/>
      </c>
      <c r="AC1459" s="22" t="n"/>
    </row>
    <row r="1460" ht="15" customHeight="1">
      <c r="A1460" s="5">
        <f>ROW()-ROW(RawDataGenPO[[#Headers],[No.]])</f>
        <v/>
      </c>
      <c r="B1460" s="7" t="inlineStr">
        <is>
          <t>CAPEX  (Budget)</t>
        </is>
      </c>
      <c r="C1460" s="276" t="n">
        <v>45904</v>
      </c>
      <c r="F1460" s="276" t="n">
        <v>45904</v>
      </c>
      <c r="G1460" s="5" t="inlineStr">
        <is>
          <t>PR2526-02171</t>
        </is>
      </c>
      <c r="H1460" s="5" t="inlineStr">
        <is>
          <t>PO2526-03209</t>
        </is>
      </c>
      <c r="I1460" s="286" t="n">
        <v>45916</v>
      </c>
      <c r="J1460" s="56" t="n"/>
      <c r="K1460" s="20" t="n">
        <v>60</v>
      </c>
      <c r="L1460" s="5" t="inlineStr">
        <is>
          <t>SFST82000007</t>
        </is>
      </c>
      <c r="M1460" s="7" t="inlineStr">
        <is>
          <t>Safety equipment</t>
        </is>
      </c>
      <c r="N1460" s="7" t="inlineStr">
        <is>
          <t>Fire alarm jobs</t>
        </is>
      </c>
      <c r="O1460" s="11" t="n">
        <v>10</v>
      </c>
      <c r="P1460" s="74" t="inlineStr">
        <is>
          <t>Switch Pucher button Cold BBTCHR Contac NO</t>
        </is>
      </c>
      <c r="Q1460" s="277" t="n">
        <v>1</v>
      </c>
      <c r="R1460" s="5" t="inlineStr">
        <is>
          <t>PCS.</t>
        </is>
      </c>
      <c r="S1460" s="284">
        <f>RawDataGenPO[[#This Row],[Total price]]/RawDataGenPO[[#This Row],[Qty'']]</f>
        <v/>
      </c>
      <c r="T1460" s="278" t="n">
        <v>3100</v>
      </c>
      <c r="U1460" s="291" t="n"/>
      <c r="V1460" s="7" t="inlineStr">
        <is>
          <t xml:space="preserve"> V1000743 - Waratep Nongpue</t>
        </is>
      </c>
      <c r="W1460" s="30" t="inlineStr">
        <is>
          <t>Recive bill and GRN already</t>
        </is>
      </c>
      <c r="X1460" s="5" t="inlineStr">
        <is>
          <t>GRN2526-0004826</t>
        </is>
      </c>
      <c r="Y1460" s="3" t="n">
        <v>45954</v>
      </c>
      <c r="Z1460" s="23" t="n"/>
      <c r="AA1460" s="17">
        <f>IF(RawDataGenPO[[#This Row],[Date Gen PO]]="","",RawDataGenPO[[#This Row],[Date recive bill]]-RawDataGenPO[[#This Row],[Date Gen PO]])</f>
        <v/>
      </c>
      <c r="AB1460" s="16">
        <f>IF(RawDataGenPO[[#This Row],[GRN-PO date]]&gt;RawDataGenPO[[#This Row],[Lead time delivery (day)]],"over deliverry","Ontime")</f>
        <v/>
      </c>
      <c r="AC1460" s="22" t="n"/>
    </row>
    <row r="1461" ht="15" customHeight="1">
      <c r="A1461" s="5">
        <f>ROW()-ROW(RawDataGenPO[[#Headers],[No.]])</f>
        <v/>
      </c>
      <c r="B1461" s="7" t="inlineStr">
        <is>
          <t>CAPEX  (Budget)</t>
        </is>
      </c>
      <c r="C1461" s="276" t="n">
        <v>45904</v>
      </c>
      <c r="F1461" s="276" t="n">
        <v>45904</v>
      </c>
      <c r="G1461" s="5" t="inlineStr">
        <is>
          <t>PR2526-02171</t>
        </is>
      </c>
      <c r="H1461" s="5" t="inlineStr">
        <is>
          <t>PO2526-03209</t>
        </is>
      </c>
      <c r="I1461" s="286" t="n">
        <v>45916</v>
      </c>
      <c r="J1461" s="56" t="n"/>
      <c r="K1461" s="20" t="n">
        <v>60</v>
      </c>
      <c r="L1461" s="5" t="inlineStr">
        <is>
          <t>SFST82000007</t>
        </is>
      </c>
      <c r="M1461" s="7" t="inlineStr">
        <is>
          <t>Safety equipment</t>
        </is>
      </c>
      <c r="N1461" s="7" t="inlineStr">
        <is>
          <t>Fire alarm jobs</t>
        </is>
      </c>
      <c r="O1461" s="11" t="n">
        <v>11</v>
      </c>
      <c r="P1461" s="74" t="inlineStr">
        <is>
          <t>Switch Pucher button Cold BBTCHR Contac NO</t>
        </is>
      </c>
      <c r="Q1461" s="277" t="n">
        <v>1</v>
      </c>
      <c r="R1461" s="5" t="inlineStr">
        <is>
          <t>PCS.</t>
        </is>
      </c>
      <c r="S1461" s="284">
        <f>RawDataGenPO[[#This Row],[Total price]]/RawDataGenPO[[#This Row],[Qty'']]</f>
        <v/>
      </c>
      <c r="T1461" s="278" t="n">
        <v>3100</v>
      </c>
      <c r="U1461" s="291" t="n"/>
      <c r="V1461" s="7" t="inlineStr">
        <is>
          <t xml:space="preserve"> V1000743 - Waratep Nongpue</t>
        </is>
      </c>
      <c r="W1461" s="30" t="inlineStr">
        <is>
          <t>Recive bill and GRN already</t>
        </is>
      </c>
      <c r="X1461" s="5" t="inlineStr">
        <is>
          <t>GRN2526-0004826</t>
        </is>
      </c>
      <c r="Y1461" s="3" t="n">
        <v>45954</v>
      </c>
      <c r="Z1461" s="23" t="n"/>
      <c r="AA1461" s="17">
        <f>IF(RawDataGenPO[[#This Row],[Date Gen PO]]="","",RawDataGenPO[[#This Row],[Date recive bill]]-RawDataGenPO[[#This Row],[Date Gen PO]])</f>
        <v/>
      </c>
      <c r="AB1461" s="16">
        <f>IF(RawDataGenPO[[#This Row],[GRN-PO date]]&gt;RawDataGenPO[[#This Row],[Lead time delivery (day)]],"over deliverry","Ontime")</f>
        <v/>
      </c>
      <c r="AC1461" s="22" t="n"/>
    </row>
    <row r="1462" ht="15" customHeight="1">
      <c r="A1462" s="5">
        <f>ROW()-ROW(RawDataGenPO[[#Headers],[No.]])</f>
        <v/>
      </c>
      <c r="B1462" s="7" t="inlineStr">
        <is>
          <t>CAPEX  (Budget)</t>
        </is>
      </c>
      <c r="C1462" s="276" t="n">
        <v>45904</v>
      </c>
      <c r="F1462" s="276" t="n">
        <v>45904</v>
      </c>
      <c r="G1462" s="5" t="inlineStr">
        <is>
          <t>PR2526-02171</t>
        </is>
      </c>
      <c r="H1462" s="5" t="inlineStr">
        <is>
          <t>PO2526-03209</t>
        </is>
      </c>
      <c r="I1462" s="286" t="n">
        <v>45916</v>
      </c>
      <c r="J1462" s="56" t="n"/>
      <c r="K1462" s="20" t="n">
        <v>60</v>
      </c>
      <c r="L1462" s="5" t="inlineStr">
        <is>
          <t>SFST82000007</t>
        </is>
      </c>
      <c r="M1462" s="7" t="inlineStr">
        <is>
          <t>Safety equipment</t>
        </is>
      </c>
      <c r="N1462" s="7" t="inlineStr">
        <is>
          <t>Fire alarm jobs</t>
        </is>
      </c>
      <c r="O1462" s="11" t="n">
        <v>12</v>
      </c>
      <c r="P1462" s="74" t="inlineStr">
        <is>
          <t>Switch Pucher button Cold BBTCHR Contac NO</t>
        </is>
      </c>
      <c r="Q1462" s="277" t="n">
        <v>1</v>
      </c>
      <c r="R1462" s="5" t="inlineStr">
        <is>
          <t>PCS.</t>
        </is>
      </c>
      <c r="S1462" s="284">
        <f>RawDataGenPO[[#This Row],[Total price]]/RawDataGenPO[[#This Row],[Qty'']]</f>
        <v/>
      </c>
      <c r="T1462" s="278" t="n">
        <v>3100</v>
      </c>
      <c r="U1462" s="291" t="n"/>
      <c r="V1462" s="7" t="inlineStr">
        <is>
          <t xml:space="preserve"> V1000743 - Waratep Nongpue</t>
        </is>
      </c>
      <c r="W1462" s="30" t="inlineStr">
        <is>
          <t>Recive bill and GRN already</t>
        </is>
      </c>
      <c r="X1462" s="5" t="inlineStr">
        <is>
          <t>GRN2526-0004826</t>
        </is>
      </c>
      <c r="Y1462" s="3" t="n">
        <v>45954</v>
      </c>
      <c r="Z1462" s="23" t="n"/>
      <c r="AA1462" s="17">
        <f>IF(RawDataGenPO[[#This Row],[Date Gen PO]]="","",RawDataGenPO[[#This Row],[Date recive bill]]-RawDataGenPO[[#This Row],[Date Gen PO]])</f>
        <v/>
      </c>
      <c r="AB1462" s="16">
        <f>IF(RawDataGenPO[[#This Row],[GRN-PO date]]&gt;RawDataGenPO[[#This Row],[Lead time delivery (day)]],"over deliverry","Ontime")</f>
        <v/>
      </c>
      <c r="AC1462" s="22" t="n"/>
    </row>
    <row r="1463" ht="30" customHeight="1">
      <c r="A1463" s="5">
        <f>ROW()-ROW(RawDataGenPO[[#Headers],[No.]])</f>
        <v/>
      </c>
      <c r="B1463" s="7" t="inlineStr">
        <is>
          <t>Expent  cost</t>
        </is>
      </c>
      <c r="C1463" s="276" t="n">
        <v>45904</v>
      </c>
      <c r="F1463" s="276" t="n">
        <v>45904</v>
      </c>
      <c r="G1463" s="5" t="inlineStr">
        <is>
          <t>PR2526-02172</t>
        </is>
      </c>
      <c r="H1463" s="5" t="inlineStr">
        <is>
          <t xml:space="preserve">PO2526-03090 </t>
        </is>
      </c>
      <c r="I1463" s="286" t="n">
        <v>45909</v>
      </c>
      <c r="J1463" s="56" t="n"/>
      <c r="K1463" s="20" t="n">
        <v>60</v>
      </c>
      <c r="L1463" s="5" t="inlineStr">
        <is>
          <t>SFST81000087</t>
        </is>
      </c>
      <c r="M1463" s="7" t="inlineStr">
        <is>
          <t>Trainning</t>
        </is>
      </c>
      <c r="N1463" s="7" t="inlineStr">
        <is>
          <t>Trainning</t>
        </is>
      </c>
      <c r="O1463" s="11" t="n">
        <v>1</v>
      </c>
      <c r="P1463" s="10" t="inlineStr">
        <is>
          <t>Instructor fee for basic fire-fighting training with certificate (1 day)
- basic fire-fighting training equipment fee</t>
        </is>
      </c>
      <c r="Q1463" s="277" t="n">
        <v>1</v>
      </c>
      <c r="R1463" s="5" t="inlineStr">
        <is>
          <t>Job.</t>
        </is>
      </c>
      <c r="S1463" s="284">
        <f>RawDataGenPO[[#This Row],[Total price]]/RawDataGenPO[[#This Row],[Qty'']]</f>
        <v/>
      </c>
      <c r="T1463" s="278" t="n">
        <v>8000</v>
      </c>
      <c r="U1463" s="291" t="n"/>
      <c r="V1463" s="7" t="inlineStr">
        <is>
          <t>V1000689 - KHLONGSA FIRE CO., LTD.</t>
        </is>
      </c>
      <c r="W1463" s="30" t="inlineStr">
        <is>
          <t>Recive bill and GRN already</t>
        </is>
      </c>
      <c r="X1463" s="5" t="inlineStr">
        <is>
          <t>GRN2526-0005611</t>
        </is>
      </c>
      <c r="Y1463" s="3" t="n">
        <v>45986</v>
      </c>
      <c r="Z1463" s="23" t="n"/>
      <c r="AA1463" s="17">
        <f>IF(RawDataGenPO[[#This Row],[Date Gen PO]]="","",RawDataGenPO[[#This Row],[Date recive bill]]-RawDataGenPO[[#This Row],[Date Gen PO]])</f>
        <v/>
      </c>
      <c r="AB1463" s="16">
        <f>IF(RawDataGenPO[[#This Row],[GRN-PO date]]&gt;RawDataGenPO[[#This Row],[Lead time delivery (day)]],"over deliverry","Ontime")</f>
        <v/>
      </c>
      <c r="AC1463" s="22" t="n"/>
    </row>
    <row r="1464" ht="15" customHeight="1">
      <c r="A1464" s="5">
        <f>ROW()-ROW(RawDataGenPO[[#Headers],[No.]])</f>
        <v/>
      </c>
      <c r="B1464" s="7" t="inlineStr">
        <is>
          <t>Expent  cost</t>
        </is>
      </c>
      <c r="C1464" s="276" t="n">
        <v>45904</v>
      </c>
      <c r="F1464" s="276" t="n">
        <v>45904</v>
      </c>
      <c r="G1464" s="5" t="inlineStr">
        <is>
          <t>PR2526-02172</t>
        </is>
      </c>
      <c r="H1464" s="5" t="inlineStr">
        <is>
          <t xml:space="preserve">PO2526-03090 </t>
        </is>
      </c>
      <c r="I1464" s="286" t="n">
        <v>45909</v>
      </c>
      <c r="J1464" s="56" t="n"/>
      <c r="K1464" s="20" t="n">
        <v>60</v>
      </c>
      <c r="L1464" s="5" t="inlineStr">
        <is>
          <t>SFST81000087</t>
        </is>
      </c>
      <c r="M1464" s="7" t="inlineStr">
        <is>
          <t>Trainning</t>
        </is>
      </c>
      <c r="N1464" s="7" t="inlineStr">
        <is>
          <t>Trainning</t>
        </is>
      </c>
      <c r="O1464" s="11" t="n">
        <v>2</v>
      </c>
      <c r="P1464" s="10" t="inlineStr">
        <is>
          <t>Instructor fee for fire evacuation drill (morning shift, night shift)</t>
        </is>
      </c>
      <c r="Q1464" s="277" t="n">
        <v>2</v>
      </c>
      <c r="R1464" s="5" t="inlineStr">
        <is>
          <t>Job.</t>
        </is>
      </c>
      <c r="S1464" s="284">
        <f>RawDataGenPO[[#This Row],[Total price]]/RawDataGenPO[[#This Row],[Qty'']]</f>
        <v/>
      </c>
      <c r="T1464" s="278" t="n">
        <v>3000</v>
      </c>
      <c r="U1464" s="291" t="n"/>
      <c r="V1464" s="7" t="inlineStr">
        <is>
          <t>V1000689 - KHLONGSA FIRE CO., LTD.</t>
        </is>
      </c>
      <c r="W1464" s="30" t="inlineStr">
        <is>
          <t>Recive bill and GRN already</t>
        </is>
      </c>
      <c r="X1464" s="5" t="inlineStr">
        <is>
          <t>GRN2526-0005611</t>
        </is>
      </c>
      <c r="Y1464" s="3" t="n">
        <v>45986</v>
      </c>
      <c r="Z1464" s="23" t="n"/>
      <c r="AA1464" s="17">
        <f>IF(RawDataGenPO[[#This Row],[Date Gen PO]]="","",RawDataGenPO[[#This Row],[Date recive bill]]-RawDataGenPO[[#This Row],[Date Gen PO]])</f>
        <v/>
      </c>
      <c r="AB1464" s="16">
        <f>IF(RawDataGenPO[[#This Row],[GRN-PO date]]&gt;RawDataGenPO[[#This Row],[Lead time delivery (day)]],"over deliverry","Ontime")</f>
        <v/>
      </c>
      <c r="AC1464" s="22" t="n"/>
    </row>
    <row r="1465" ht="15" customHeight="1">
      <c r="A1465" s="5">
        <f>ROW()-ROW(RawDataGenPO[[#Headers],[No.]])</f>
        <v/>
      </c>
      <c r="B1465" s="7" t="inlineStr">
        <is>
          <t>Expent  cost</t>
        </is>
      </c>
      <c r="C1465" s="276" t="n">
        <v>45904</v>
      </c>
      <c r="F1465" s="276" t="n">
        <v>45904</v>
      </c>
      <c r="G1465" s="5" t="inlineStr">
        <is>
          <t>PR2526-02172</t>
        </is>
      </c>
      <c r="H1465" s="5" t="inlineStr">
        <is>
          <t xml:space="preserve">PO2526-03090 </t>
        </is>
      </c>
      <c r="I1465" s="286" t="n">
        <v>45909</v>
      </c>
      <c r="J1465" s="56" t="n"/>
      <c r="K1465" s="20" t="n">
        <v>60</v>
      </c>
      <c r="L1465" s="5" t="inlineStr">
        <is>
          <t>SFST81000087</t>
        </is>
      </c>
      <c r="M1465" s="7" t="inlineStr">
        <is>
          <t>Trainning</t>
        </is>
      </c>
      <c r="N1465" s="7" t="inlineStr">
        <is>
          <t>Trainning</t>
        </is>
      </c>
      <c r="O1465" s="11" t="n">
        <v>3</v>
      </c>
      <c r="P1465" s="10" t="inlineStr">
        <is>
          <t>Fire truck</t>
        </is>
      </c>
      <c r="Q1465" s="277" t="n">
        <v>1</v>
      </c>
      <c r="R1465" s="5" t="inlineStr">
        <is>
          <t>Job.</t>
        </is>
      </c>
      <c r="S1465" s="284">
        <f>RawDataGenPO[[#This Row],[Total price]]/RawDataGenPO[[#This Row],[Qty'']]</f>
        <v/>
      </c>
      <c r="T1465" s="278" t="n">
        <v>4000</v>
      </c>
      <c r="U1465" s="291" t="n"/>
      <c r="V1465" s="7" t="inlineStr">
        <is>
          <t>V1000689 - KHLONGSA FIRE CO., LTD.</t>
        </is>
      </c>
      <c r="W1465" s="30" t="inlineStr">
        <is>
          <t>Recive bill and GRN already</t>
        </is>
      </c>
      <c r="X1465" s="5" t="inlineStr">
        <is>
          <t>GRN2526-0005611</t>
        </is>
      </c>
      <c r="Y1465" s="3" t="n">
        <v>45986</v>
      </c>
      <c r="Z1465" s="23" t="n"/>
      <c r="AA1465" s="17">
        <f>IF(RawDataGenPO[[#This Row],[Date Gen PO]]="","",RawDataGenPO[[#This Row],[Date recive bill]]-RawDataGenPO[[#This Row],[Date Gen PO]])</f>
        <v/>
      </c>
      <c r="AB1465" s="16">
        <f>IF(RawDataGenPO[[#This Row],[GRN-PO date]]&gt;RawDataGenPO[[#This Row],[Lead time delivery (day)]],"over deliverry","Ontime")</f>
        <v/>
      </c>
      <c r="AC1465" s="22" t="n"/>
    </row>
    <row r="1466" ht="15" customHeight="1">
      <c r="A1466" s="5">
        <f>ROW()-ROW(RawDataGenPO[[#Headers],[No.]])</f>
        <v/>
      </c>
      <c r="B1466" s="7" t="inlineStr">
        <is>
          <t>Expent  cost</t>
        </is>
      </c>
      <c r="C1466" s="276" t="n">
        <v>45904</v>
      </c>
      <c r="F1466" s="276" t="n">
        <v>45904</v>
      </c>
      <c r="G1466" s="5" t="inlineStr">
        <is>
          <t>PR2526-02172</t>
        </is>
      </c>
      <c r="H1466" s="5" t="inlineStr">
        <is>
          <t xml:space="preserve">PO2526-03090 </t>
        </is>
      </c>
      <c r="I1466" s="286" t="n">
        <v>45909</v>
      </c>
      <c r="J1466" s="56" t="n"/>
      <c r="K1466" s="20" t="n">
        <v>60</v>
      </c>
      <c r="L1466" s="5" t="inlineStr">
        <is>
          <t>SFST81000087</t>
        </is>
      </c>
      <c r="M1466" s="7" t="inlineStr">
        <is>
          <t>Trainning</t>
        </is>
      </c>
      <c r="N1466" s="7" t="inlineStr">
        <is>
          <t>Trainning</t>
        </is>
      </c>
      <c r="O1466" s="11" t="n">
        <v>4</v>
      </c>
      <c r="P1466" s="10" t="inlineStr">
        <is>
          <t>Rescue ambulance</t>
        </is>
      </c>
      <c r="Q1466" s="277" t="n">
        <v>1</v>
      </c>
      <c r="R1466" s="5" t="inlineStr">
        <is>
          <t>Job.</t>
        </is>
      </c>
      <c r="S1466" s="284">
        <f>RawDataGenPO[[#This Row],[Total price]]/RawDataGenPO[[#This Row],[Qty'']]</f>
        <v/>
      </c>
      <c r="T1466" s="278" t="n">
        <v>4000</v>
      </c>
      <c r="U1466" s="291" t="n"/>
      <c r="V1466" s="7" t="inlineStr">
        <is>
          <t>V1000689 - KHLONGSA FIRE CO., LTD.</t>
        </is>
      </c>
      <c r="W1466" s="30" t="inlineStr">
        <is>
          <t>Recive bill and GRN already</t>
        </is>
      </c>
      <c r="X1466" s="5" t="inlineStr">
        <is>
          <t>GRN2526-0005611</t>
        </is>
      </c>
      <c r="Y1466" s="3" t="n">
        <v>45986</v>
      </c>
      <c r="Z1466" s="23" t="n"/>
      <c r="AA1466" s="17">
        <f>IF(RawDataGenPO[[#This Row],[Date Gen PO]]="","",RawDataGenPO[[#This Row],[Date recive bill]]-RawDataGenPO[[#This Row],[Date Gen PO]])</f>
        <v/>
      </c>
      <c r="AB1466" s="16">
        <f>IF(RawDataGenPO[[#This Row],[GRN-PO date]]&gt;RawDataGenPO[[#This Row],[Lead time delivery (day)]],"over deliverry","Ontime")</f>
        <v/>
      </c>
      <c r="AC1466" s="22" t="n"/>
    </row>
    <row r="1467" ht="19.20000076293945" customHeight="1">
      <c r="A1467" s="5">
        <f>ROW()-ROW(RawDataGenPO[[#Headers],[No.]])</f>
        <v/>
      </c>
      <c r="B1467" s="7" t="inlineStr">
        <is>
          <t>Expent  cost</t>
        </is>
      </c>
      <c r="C1467" s="276" t="n">
        <v>45904</v>
      </c>
      <c r="F1467" s="276" t="n">
        <v>45904</v>
      </c>
      <c r="G1467" s="5" t="inlineStr">
        <is>
          <t>PR2526-02173</t>
        </is>
      </c>
      <c r="H1467" s="5" t="inlineStr">
        <is>
          <t>PO2526-03082</t>
        </is>
      </c>
      <c r="I1467" s="286" t="n">
        <v>45909</v>
      </c>
      <c r="J1467" s="56" t="n"/>
      <c r="K1467" s="20" t="n">
        <v>30</v>
      </c>
      <c r="L1467" s="5" t="inlineStr">
        <is>
          <t>SFST34000044</t>
        </is>
      </c>
      <c r="M1467" s="7" t="inlineStr">
        <is>
          <t>Consumable part for MN</t>
        </is>
      </c>
      <c r="N1467" s="73" t="inlineStr">
        <is>
          <t>Electrical jobs</t>
        </is>
      </c>
      <c r="O1467" s="11" t="n">
        <v>1</v>
      </c>
      <c r="P1467" s="10" t="inlineStr">
        <is>
          <t>"Philip",T8,20W, 2100lm, ECO SOFT HO LED</t>
        </is>
      </c>
      <c r="Q1467" s="277" t="n">
        <v>50</v>
      </c>
      <c r="R1467" s="5" t="inlineStr">
        <is>
          <t>PCS.</t>
        </is>
      </c>
      <c r="S1467" s="284">
        <f>RawDataGenPO[[#This Row],[Total price]]/RawDataGenPO[[#This Row],[Qty'']]</f>
        <v/>
      </c>
      <c r="T1467" s="278" t="n">
        <v>6700</v>
      </c>
      <c r="U1467" s="291" t="n"/>
      <c r="V1467" s="7" t="inlineStr">
        <is>
          <t>V1000276 - SN. ELECTRIC AND SUPPLY CO., LTD.</t>
        </is>
      </c>
      <c r="W1467" s="30" t="inlineStr">
        <is>
          <t>Recive bill and GRN already</t>
        </is>
      </c>
      <c r="X1467" s="5" t="inlineStr">
        <is>
          <t>GRN2526-0004090</t>
        </is>
      </c>
      <c r="Y1467" s="3" t="n">
        <v>45923</v>
      </c>
      <c r="Z1467" s="23" t="n"/>
      <c r="AA1467" s="17">
        <f>IF(RawDataGenPO[[#This Row],[Date Gen PO]]="","",RawDataGenPO[[#This Row],[Date recive bill]]-RawDataGenPO[[#This Row],[Date Gen PO]])</f>
        <v/>
      </c>
      <c r="AB1467" s="16">
        <f>IF(RawDataGenPO[[#This Row],[GRN-PO date]]&gt;RawDataGenPO[[#This Row],[Lead time delivery (day)]],"over deliverry","Ontime")</f>
        <v/>
      </c>
      <c r="AC1467" s="22" t="n"/>
    </row>
    <row r="1468" ht="19.20000076293945" customHeight="1">
      <c r="A1468" s="5">
        <f>ROW()-ROW(RawDataGenPO[[#Headers],[No.]])</f>
        <v/>
      </c>
      <c r="B1468" s="7" t="inlineStr">
        <is>
          <t>Expent  cost</t>
        </is>
      </c>
      <c r="C1468" s="276" t="n">
        <v>45904</v>
      </c>
      <c r="F1468" s="276" t="n">
        <v>45904</v>
      </c>
      <c r="G1468" s="5" t="inlineStr">
        <is>
          <t>PR2526-02174</t>
        </is>
      </c>
      <c r="H1468" s="5" t="inlineStr">
        <is>
          <t>PO2526-03082</t>
        </is>
      </c>
      <c r="I1468" s="286" t="n">
        <v>45909</v>
      </c>
      <c r="J1468" s="56" t="n"/>
      <c r="K1468" s="20" t="n">
        <v>30</v>
      </c>
      <c r="L1468" s="5" t="inlineStr">
        <is>
          <t>SFST34000034</t>
        </is>
      </c>
      <c r="M1468" s="7" t="inlineStr">
        <is>
          <t>Consumable part for MN</t>
        </is>
      </c>
      <c r="N1468" s="73" t="inlineStr">
        <is>
          <t>Electrical jobs</t>
        </is>
      </c>
      <c r="O1468" s="11" t="n">
        <v>2</v>
      </c>
      <c r="P1468" s="10" t="inlineStr">
        <is>
          <t>"SIMEMENS",3UA50 40-1A,Overload Relays</t>
        </is>
      </c>
      <c r="Q1468" s="277" t="n">
        <v>2</v>
      </c>
      <c r="R1468" s="5" t="inlineStr">
        <is>
          <t>PCS.</t>
        </is>
      </c>
      <c r="S1468" s="284">
        <f>RawDataGenPO[[#This Row],[Total price]]/RawDataGenPO[[#This Row],[Qty'']]</f>
        <v/>
      </c>
      <c r="T1468" s="278" t="n">
        <v>1020</v>
      </c>
      <c r="U1468" s="291" t="n"/>
      <c r="V1468" s="7" t="inlineStr">
        <is>
          <t>V1000276 - SN. ELECTRIC AND SUPPLY CO., LTD.</t>
        </is>
      </c>
      <c r="W1468" s="30" t="inlineStr">
        <is>
          <t>Recive bill and GRN already</t>
        </is>
      </c>
      <c r="X1468" s="5" t="inlineStr">
        <is>
          <t>GRN2526-0004090</t>
        </is>
      </c>
      <c r="Y1468" s="3" t="n">
        <v>45923</v>
      </c>
      <c r="Z1468" s="23" t="n"/>
      <c r="AA1468" s="17">
        <f>IF(RawDataGenPO[[#This Row],[Date Gen PO]]="","",RawDataGenPO[[#This Row],[Date recive bill]]-RawDataGenPO[[#This Row],[Date Gen PO]])</f>
        <v/>
      </c>
      <c r="AB1468" s="16">
        <f>IF(RawDataGenPO[[#This Row],[GRN-PO date]]&gt;RawDataGenPO[[#This Row],[Lead time delivery (day)]],"over deliverry","Ontime")</f>
        <v/>
      </c>
      <c r="AC1468" s="22" t="n"/>
    </row>
    <row r="1469" ht="19.20000076293945" customHeight="1">
      <c r="A1469" s="5">
        <f>ROW()-ROW(RawDataGenPO[[#Headers],[No.]])</f>
        <v/>
      </c>
      <c r="B1469" s="7" t="inlineStr">
        <is>
          <t>Expent  cost</t>
        </is>
      </c>
      <c r="C1469" s="276" t="n">
        <v>45904</v>
      </c>
      <c r="F1469" s="276" t="n">
        <v>45904</v>
      </c>
      <c r="G1469" s="5" t="inlineStr">
        <is>
          <t>PR2526-02174</t>
        </is>
      </c>
      <c r="H1469" s="5" t="inlineStr">
        <is>
          <t>PO2526-03082</t>
        </is>
      </c>
      <c r="I1469" s="286" t="n">
        <v>45909</v>
      </c>
      <c r="J1469" s="56" t="n"/>
      <c r="K1469" s="20" t="n">
        <v>30</v>
      </c>
      <c r="L1469" s="5" t="inlineStr">
        <is>
          <t>SFST34000035</t>
        </is>
      </c>
      <c r="M1469" s="7" t="inlineStr">
        <is>
          <t>Consumable part for MN</t>
        </is>
      </c>
      <c r="N1469" s="73" t="inlineStr">
        <is>
          <t>Electrical jobs</t>
        </is>
      </c>
      <c r="O1469" s="11" t="n">
        <v>3</v>
      </c>
      <c r="P1469" s="10" t="inlineStr">
        <is>
          <t>SIMENS,3UA52 40-2C, Wreducing</t>
        </is>
      </c>
      <c r="Q1469" s="277" t="n">
        <v>6</v>
      </c>
      <c r="R1469" s="5" t="inlineStr">
        <is>
          <t>PCS.</t>
        </is>
      </c>
      <c r="S1469" s="284">
        <f>RawDataGenPO[[#This Row],[Total price]]/RawDataGenPO[[#This Row],[Qty'']]</f>
        <v/>
      </c>
      <c r="T1469" s="278" t="n">
        <v>3660</v>
      </c>
      <c r="U1469" s="291" t="n"/>
      <c r="V1469" s="7" t="inlineStr">
        <is>
          <t>V1000276 - SN. ELECTRIC AND SUPPLY CO., LTD.</t>
        </is>
      </c>
      <c r="W1469" s="30" t="inlineStr">
        <is>
          <t>Recive bill and GRN already</t>
        </is>
      </c>
      <c r="X1469" s="5" t="inlineStr">
        <is>
          <t>GRN2526-0004090</t>
        </is>
      </c>
      <c r="Y1469" s="3" t="n">
        <v>45923</v>
      </c>
      <c r="Z1469" s="23" t="n"/>
      <c r="AA1469" s="17">
        <f>IF(RawDataGenPO[[#This Row],[Date Gen PO]]="","",RawDataGenPO[[#This Row],[Date recive bill]]-RawDataGenPO[[#This Row],[Date Gen PO]])</f>
        <v/>
      </c>
      <c r="AB1469" s="16">
        <f>IF(RawDataGenPO[[#This Row],[GRN-PO date]]&gt;RawDataGenPO[[#This Row],[Lead time delivery (day)]],"over deliverry","Ontime")</f>
        <v/>
      </c>
      <c r="AC1469" s="22" t="n"/>
    </row>
    <row r="1470" ht="60" customHeight="1">
      <c r="A1470" s="5">
        <f>ROW()-ROW(RawDataGenPO[[#Headers],[No.]])</f>
        <v/>
      </c>
      <c r="B1470" s="7" t="inlineStr">
        <is>
          <t>Expent  cost</t>
        </is>
      </c>
      <c r="C1470" s="276" t="n">
        <v>45906</v>
      </c>
      <c r="F1470" s="276" t="n">
        <v>45906</v>
      </c>
      <c r="G1470" s="5" t="inlineStr">
        <is>
          <t>PR2526-02203</t>
        </is>
      </c>
      <c r="H1470" s="5" t="inlineStr">
        <is>
          <t>PO2526-03103</t>
        </is>
      </c>
      <c r="I1470" s="286" t="n">
        <v>45909</v>
      </c>
      <c r="J1470" s="56" t="n"/>
      <c r="K1470" s="20" t="n">
        <v>30</v>
      </c>
      <c r="L1470" s="5" t="inlineStr">
        <is>
          <t>SFST81000048</t>
        </is>
      </c>
      <c r="M1470" s="7" t="inlineStr">
        <is>
          <t>Utility Jobs  (Boiler-Air compress-Transformer-LPG)</t>
        </is>
      </c>
      <c r="N1470" s="7" t="inlineStr">
        <is>
          <t>Air Compressor No.2</t>
        </is>
      </c>
      <c r="O1470" s="11" t="n">
        <v>1</v>
      </c>
      <c r="P1470" s="10" t="inlineStr">
        <is>
          <t>Service chargeinletreplace Spare Part
- replacePressure Gauge (outlet)
- replace(hand2)
- replacebelt</t>
        </is>
      </c>
      <c r="Q1470" s="277" t="n">
        <v>1</v>
      </c>
      <c r="R1470" s="5" t="inlineStr">
        <is>
          <t>Job.</t>
        </is>
      </c>
      <c r="S1470" s="284">
        <f>RawDataGenPO[[#This Row],[Total price]]/RawDataGenPO[[#This Row],[Qty'']]</f>
        <v/>
      </c>
      <c r="T1470" s="278" t="n">
        <v>2500</v>
      </c>
      <c r="U1470" s="291" t="n"/>
      <c r="V1470" s="7" t="inlineStr">
        <is>
          <t>V1000477 - Company YAWATA air compressor Ltd.</t>
        </is>
      </c>
      <c r="W1470" s="30" t="inlineStr">
        <is>
          <t>Recive bill and GRN already</t>
        </is>
      </c>
      <c r="X1470" s="5" t="inlineStr">
        <is>
          <t>GRN2526-0003810</t>
        </is>
      </c>
      <c r="Y1470" s="3" t="n">
        <v>45911</v>
      </c>
      <c r="Z1470" s="23" t="n"/>
      <c r="AA1470" s="17">
        <f>IF(RawDataGenPO[[#This Row],[Date Gen PO]]="","",RawDataGenPO[[#This Row],[Date recive bill]]-RawDataGenPO[[#This Row],[Date Gen PO]])</f>
        <v/>
      </c>
      <c r="AB1470" s="16">
        <f>IF(RawDataGenPO[[#This Row],[GRN-PO date]]&gt;RawDataGenPO[[#This Row],[Lead time delivery (day)]],"over deliverry","Ontime")</f>
        <v/>
      </c>
      <c r="AC1470" s="22" t="n"/>
    </row>
    <row r="1471" ht="15" customHeight="1">
      <c r="A1471" s="5">
        <f>ROW()-ROW(RawDataGenPO[[#Headers],[No.]])</f>
        <v/>
      </c>
      <c r="B1471" s="7" t="inlineStr">
        <is>
          <t>Expent  cost</t>
        </is>
      </c>
      <c r="C1471" s="276" t="n">
        <v>45908</v>
      </c>
      <c r="F1471" s="276" t="n">
        <v>45908</v>
      </c>
      <c r="G1471" s="26" t="inlineStr">
        <is>
          <t>PR2526-02219</t>
        </is>
      </c>
      <c r="H1471" s="26" t="inlineStr">
        <is>
          <t>PO2526-03237</t>
        </is>
      </c>
      <c r="I1471" s="365" t="n">
        <v>45920</v>
      </c>
      <c r="J1471" s="56" t="n"/>
      <c r="K1471" s="20" t="n">
        <v>60</v>
      </c>
      <c r="L1471" s="5" t="inlineStr">
        <is>
          <t>SFST81000048</t>
        </is>
      </c>
      <c r="M1471" s="29" t="inlineStr">
        <is>
          <t>Cooling machine for PD line</t>
        </is>
      </c>
      <c r="N1471" s="29" t="inlineStr">
        <is>
          <t>Intake No.1</t>
        </is>
      </c>
      <c r="O1471" s="43" t="n">
        <v>1</v>
      </c>
      <c r="P1471" s="42" t="inlineStr">
        <is>
          <t>Air conditioner inspection checklist TRANE Odyssey</t>
        </is>
      </c>
      <c r="Q1471" s="277" t="n">
        <v>1</v>
      </c>
      <c r="R1471" s="5" t="inlineStr">
        <is>
          <t>Job.</t>
        </is>
      </c>
      <c r="S1471" s="292">
        <f>RawDataGenPO[[#This Row],[Total price]]/RawDataGenPO[[#This Row],[Qty'']]</f>
        <v/>
      </c>
      <c r="T1471" s="324" t="n">
        <v>3000</v>
      </c>
      <c r="U1471" s="325" t="n"/>
      <c r="V1471" s="29" t="inlineStr">
        <is>
          <t>V1000864 - RATCHANEE ENGINEERING CO., LTD.</t>
        </is>
      </c>
      <c r="W1471" s="30" t="inlineStr">
        <is>
          <t>Recive bill and GRN already</t>
        </is>
      </c>
      <c r="X1471" s="26" t="inlineStr">
        <is>
          <t>GRN2526-0005162</t>
        </is>
      </c>
      <c r="Y1471" s="23" t="n">
        <v>45968</v>
      </c>
      <c r="Z1471" s="23" t="n"/>
      <c r="AA1471" s="37">
        <f>IF(RawDataGenPO[[#This Row],[Date Gen PO]]="","",RawDataGenPO[[#This Row],[Date recive bill]]-RawDataGenPO[[#This Row],[Date Gen PO]])</f>
        <v/>
      </c>
      <c r="AB1471" s="36">
        <f>IF(RawDataGenPO[[#This Row],[GRN-PO date]]&gt;RawDataGenPO[[#This Row],[Lead time delivery (day)]],"over deliverry","Ontime")</f>
        <v/>
      </c>
      <c r="AC1471" s="35" t="n"/>
    </row>
    <row r="1472" ht="15" customHeight="1">
      <c r="A1472" s="5">
        <f>ROW()-ROW(RawDataGenPO[[#Headers],[No.]])</f>
        <v/>
      </c>
      <c r="B1472" s="7" t="inlineStr">
        <is>
          <t>Expent  cost</t>
        </is>
      </c>
      <c r="C1472" s="276" t="n">
        <v>45908</v>
      </c>
      <c r="F1472" s="276" t="n">
        <v>45908</v>
      </c>
      <c r="G1472" s="26" t="inlineStr">
        <is>
          <t>PR2526-02223</t>
        </is>
      </c>
      <c r="H1472" s="26" t="inlineStr">
        <is>
          <t>PO2526-03236</t>
        </is>
      </c>
      <c r="I1472" s="365" t="n">
        <v>45920</v>
      </c>
      <c r="J1472" s="56" t="n"/>
      <c r="K1472" s="20" t="n">
        <v>60</v>
      </c>
      <c r="L1472" s="5" t="inlineStr">
        <is>
          <t>SFST81000048</t>
        </is>
      </c>
      <c r="M1472" s="7" t="inlineStr">
        <is>
          <t>PD Machine</t>
        </is>
      </c>
      <c r="N1472" s="7" t="inlineStr">
        <is>
          <t>Vegetable Dicing Machine  Robot coupe CL-50 No.1</t>
        </is>
      </c>
      <c r="O1472" s="43" t="n">
        <v>1</v>
      </c>
      <c r="P1472" s="42" t="inlineStr">
        <is>
          <t>"ROBOT COUPE" MOTOR H50 (CL50) PART NO 3114S</t>
        </is>
      </c>
      <c r="Q1472" s="323" t="n">
        <v>1</v>
      </c>
      <c r="R1472" s="5" t="inlineStr">
        <is>
          <t>EA.</t>
        </is>
      </c>
      <c r="S1472" s="292">
        <f>RawDataGenPO[[#This Row],[Total price]]/RawDataGenPO[[#This Row],[Qty'']]</f>
        <v/>
      </c>
      <c r="T1472" s="324" t="n">
        <v>12500</v>
      </c>
      <c r="U1472" s="325" t="n"/>
      <c r="V1472" s="29" t="inlineStr">
        <is>
          <t>V1000285 - BANGKOK SEVENFIVE CO., LTD</t>
        </is>
      </c>
      <c r="W1472" s="30" t="inlineStr">
        <is>
          <t>Recive bill and GRN already</t>
        </is>
      </c>
      <c r="X1472" s="26" t="inlineStr">
        <is>
          <t>GRN2526-0004594</t>
        </is>
      </c>
      <c r="Y1472" s="23" t="n">
        <v>45945</v>
      </c>
      <c r="Z1472" s="23" t="n"/>
      <c r="AA1472" s="37">
        <f>IF(RawDataGenPO[[#This Row],[Date Gen PO]]="","",RawDataGenPO[[#This Row],[Date recive bill]]-RawDataGenPO[[#This Row],[Date Gen PO]])</f>
        <v/>
      </c>
      <c r="AB1472" s="36">
        <f>IF(RawDataGenPO[[#This Row],[GRN-PO date]]&gt;RawDataGenPO[[#This Row],[Lead time delivery (day)]],"over deliverry","Ontime")</f>
        <v/>
      </c>
      <c r="AC1472" s="35" t="n"/>
    </row>
    <row r="1473" ht="15" customHeight="1">
      <c r="A1473" s="5">
        <f>ROW()-ROW(RawDataGenPO[[#Headers],[No.]])</f>
        <v/>
      </c>
      <c r="B1473" s="7" t="inlineStr">
        <is>
          <t>Expent  cost</t>
        </is>
      </c>
      <c r="C1473" s="276" t="n">
        <v>45908</v>
      </c>
      <c r="F1473" s="276" t="n">
        <v>45908</v>
      </c>
      <c r="G1473" s="26" t="inlineStr">
        <is>
          <t>PR2526-02223</t>
        </is>
      </c>
      <c r="H1473" s="26" t="inlineStr">
        <is>
          <t>PO2526-03236</t>
        </is>
      </c>
      <c r="I1473" s="365" t="n">
        <v>45920</v>
      </c>
      <c r="J1473" s="56" t="n"/>
      <c r="K1473" s="20" t="n">
        <v>60</v>
      </c>
      <c r="L1473" s="5" t="inlineStr">
        <is>
          <t>SFST81000048</t>
        </is>
      </c>
      <c r="M1473" s="7" t="inlineStr">
        <is>
          <t>PD Machine</t>
        </is>
      </c>
      <c r="N1473" s="7" t="inlineStr">
        <is>
          <t>Vegetable Dicing Machine  Robot coupe CL-50 No.1</t>
        </is>
      </c>
      <c r="O1473" s="43" t="n">
        <v>2</v>
      </c>
      <c r="P1473" s="42" t="inlineStr">
        <is>
          <t>transport cost</t>
        </is>
      </c>
      <c r="Q1473" s="323" t="n">
        <v>1</v>
      </c>
      <c r="R1473" s="26" t="inlineStr">
        <is>
          <t>JOB.</t>
        </is>
      </c>
      <c r="S1473" s="292">
        <f>RawDataGenPO[[#This Row],[Total price]]/RawDataGenPO[[#This Row],[Qty'']]</f>
        <v/>
      </c>
      <c r="T1473" s="324" t="n">
        <v>200</v>
      </c>
      <c r="U1473" s="325" t="n"/>
      <c r="V1473" s="29" t="inlineStr">
        <is>
          <t>V1000285 - BANGKOK SEVENFIVE CO., LTD</t>
        </is>
      </c>
      <c r="W1473" s="30" t="inlineStr">
        <is>
          <t>Recive bill and GRN already</t>
        </is>
      </c>
      <c r="X1473" s="26" t="inlineStr">
        <is>
          <t>GRN2526-0004594</t>
        </is>
      </c>
      <c r="Y1473" s="23" t="n">
        <v>45945</v>
      </c>
      <c r="Z1473" s="23" t="n"/>
      <c r="AA1473" s="37">
        <f>IF(RawDataGenPO[[#This Row],[Date Gen PO]]="","",RawDataGenPO[[#This Row],[Date recive bill]]-RawDataGenPO[[#This Row],[Date Gen PO]])</f>
        <v/>
      </c>
      <c r="AB1473" s="36">
        <f>IF(RawDataGenPO[[#This Row],[GRN-PO date]]&gt;RawDataGenPO[[#This Row],[Lead time delivery (day)]],"over deliverry","Ontime")</f>
        <v/>
      </c>
      <c r="AC1473" s="35" t="n"/>
    </row>
    <row r="1474" ht="15" customHeight="1">
      <c r="A1474" s="5">
        <f>ROW()-ROW(RawDataGenPO[[#Headers],[No.]])</f>
        <v/>
      </c>
      <c r="B1474" s="7" t="inlineStr">
        <is>
          <t>Expent  cost</t>
        </is>
      </c>
      <c r="C1474" s="275" t="n">
        <v>45909</v>
      </c>
      <c r="F1474" s="276" t="n">
        <v>45909</v>
      </c>
      <c r="G1474" s="26" t="inlineStr">
        <is>
          <t>PR2526-02226</t>
        </is>
      </c>
      <c r="H1474" s="26" t="inlineStr">
        <is>
          <t>PO2526-03202</t>
        </is>
      </c>
      <c r="I1474" s="365" t="n">
        <v>45915</v>
      </c>
      <c r="J1474" s="56" t="n"/>
      <c r="K1474" s="44" t="n">
        <v>30</v>
      </c>
      <c r="L1474" s="5" t="inlineStr">
        <is>
          <t>SFST34000120</t>
        </is>
      </c>
      <c r="M1474" s="7" t="inlineStr">
        <is>
          <t>Consumable part for MN</t>
        </is>
      </c>
      <c r="N1474" s="7" t="inlineStr">
        <is>
          <t>Consumable part</t>
        </is>
      </c>
      <c r="O1474" s="43" t="n">
        <v>1</v>
      </c>
      <c r="P1474" s="42" t="inlineStr">
        <is>
          <t>paint roller brush size 4 inch shaftlength</t>
        </is>
      </c>
      <c r="Q1474" s="323" t="n">
        <v>40</v>
      </c>
      <c r="R1474" s="5" t="inlineStr">
        <is>
          <t>PCS.</t>
        </is>
      </c>
      <c r="S1474" s="292">
        <f>RawDataGenPO[[#This Row],[Total price]]/RawDataGenPO[[#This Row],[Qty'']]</f>
        <v/>
      </c>
      <c r="T1474" s="324" t="n"/>
      <c r="U1474" s="325" t="n"/>
      <c r="V1474" s="29" t="inlineStr">
        <is>
          <t xml:space="preserve"> V1000306 - Inter Supply (1992) Co., Ltd.</t>
        </is>
      </c>
      <c r="W1474" s="30" t="inlineStr">
        <is>
          <t>Recive bill and GRN already</t>
        </is>
      </c>
      <c r="X1474" s="26" t="inlineStr">
        <is>
          <t>GRN2526-0003936</t>
        </is>
      </c>
      <c r="Y1474" s="23" t="n">
        <v>45917</v>
      </c>
      <c r="Z1474" s="23" t="n"/>
      <c r="AA1474" s="37">
        <f>IF(RawDataGenPO[[#This Row],[Date Gen PO]]="","",RawDataGenPO[[#This Row],[Date recive bill]]-RawDataGenPO[[#This Row],[Date Gen PO]])</f>
        <v/>
      </c>
      <c r="AB1474" s="36">
        <f>IF(RawDataGenPO[[#This Row],[GRN-PO date]]&gt;RawDataGenPO[[#This Row],[Lead time delivery (day)]],"over deliverry","Ontime")</f>
        <v/>
      </c>
      <c r="AC1474" s="35" t="n"/>
    </row>
    <row r="1475" ht="15" customHeight="1">
      <c r="A1475" s="5">
        <f>ROW()-ROW(RawDataGenPO[[#Headers],[No.]])</f>
        <v/>
      </c>
      <c r="B1475" s="7" t="inlineStr">
        <is>
          <t>Expent  cost</t>
        </is>
      </c>
      <c r="C1475" s="275" t="n">
        <v>45909</v>
      </c>
      <c r="F1475" s="276" t="n">
        <v>45909</v>
      </c>
      <c r="G1475" s="26" t="inlineStr">
        <is>
          <t>PR2526-02226</t>
        </is>
      </c>
      <c r="H1475" s="26" t="inlineStr">
        <is>
          <t>PO2526-03202</t>
        </is>
      </c>
      <c r="I1475" s="365" t="n">
        <v>45915</v>
      </c>
      <c r="J1475" s="56" t="n"/>
      <c r="K1475" s="20" t="n">
        <v>30</v>
      </c>
      <c r="L1475" s="5" t="inlineStr">
        <is>
          <t>SFST34000118</t>
        </is>
      </c>
      <c r="M1475" s="7" t="inlineStr">
        <is>
          <t>Consumable part for MN</t>
        </is>
      </c>
      <c r="N1475" s="7" t="inlineStr">
        <is>
          <t>Consumable part</t>
        </is>
      </c>
      <c r="O1475" s="11" t="n">
        <v>2</v>
      </c>
      <c r="P1475" s="10" t="inlineStr">
        <is>
          <t>paint brushsize 2 inch</t>
        </is>
      </c>
      <c r="Q1475" s="277" t="n">
        <v>12</v>
      </c>
      <c r="R1475" s="5" t="inlineStr">
        <is>
          <t>PCS.</t>
        </is>
      </c>
      <c r="S1475" s="284">
        <f>RawDataGenPO[[#This Row],[Total price]]/RawDataGenPO[[#This Row],[Qty'']]</f>
        <v/>
      </c>
      <c r="U1475" s="291" t="n"/>
      <c r="V1475" s="29" t="inlineStr">
        <is>
          <t xml:space="preserve"> V1000306 - Inter Supply (1992) Co., Ltd.</t>
        </is>
      </c>
      <c r="W1475" s="30" t="inlineStr">
        <is>
          <t>Recive bill and GRN already</t>
        </is>
      </c>
      <c r="X1475" s="26" t="inlineStr">
        <is>
          <t>GRN2526-0003936</t>
        </is>
      </c>
      <c r="Y1475" s="23" t="n">
        <v>45917</v>
      </c>
      <c r="Z1475" s="23" t="n"/>
      <c r="AA1475" s="17">
        <f>IF(RawDataGenPO[[#This Row],[Date Gen PO]]="","",RawDataGenPO[[#This Row],[Date recive bill]]-RawDataGenPO[[#This Row],[Date Gen PO]])</f>
        <v/>
      </c>
      <c r="AB1475" s="16">
        <f>IF(RawDataGenPO[[#This Row],[GRN-PO date]]&gt;RawDataGenPO[[#This Row],[Lead time delivery (day)]],"over deliverry","Ontime")</f>
        <v/>
      </c>
      <c r="AC1475" s="22" t="n"/>
    </row>
    <row r="1476" ht="15" customHeight="1">
      <c r="A1476" s="5">
        <f>ROW()-ROW(RawDataGenPO[[#Headers],[No.]])</f>
        <v/>
      </c>
      <c r="B1476" s="7" t="inlineStr">
        <is>
          <t>Expent  cost</t>
        </is>
      </c>
      <c r="C1476" s="275" t="n">
        <v>45909</v>
      </c>
      <c r="F1476" s="276" t="n">
        <v>45909</v>
      </c>
      <c r="G1476" s="26" t="inlineStr">
        <is>
          <t>PR2526-02226</t>
        </is>
      </c>
      <c r="H1476" s="26" t="inlineStr">
        <is>
          <t>PO2526-03202</t>
        </is>
      </c>
      <c r="I1476" s="365" t="n">
        <v>45915</v>
      </c>
      <c r="J1476" s="56" t="n"/>
      <c r="K1476" s="20" t="n">
        <v>30</v>
      </c>
      <c r="L1476" s="5" t="inlineStr">
        <is>
          <t>SFST34000119</t>
        </is>
      </c>
      <c r="M1476" s="7" t="inlineStr">
        <is>
          <t>Consumable part for MN</t>
        </is>
      </c>
      <c r="N1476" s="7" t="inlineStr">
        <is>
          <t>Consumable part</t>
        </is>
      </c>
      <c r="O1476" s="11" t="n">
        <v>3</v>
      </c>
      <c r="P1476" s="10" t="inlineStr">
        <is>
          <t>paint brushsize 1 inch</t>
        </is>
      </c>
      <c r="Q1476" s="277" t="n">
        <v>12</v>
      </c>
      <c r="R1476" s="5" t="inlineStr">
        <is>
          <t>PCS.</t>
        </is>
      </c>
      <c r="S1476" s="284">
        <f>RawDataGenPO[[#This Row],[Total price]]/RawDataGenPO[[#This Row],[Qty'']]</f>
        <v/>
      </c>
      <c r="U1476" s="291" t="n"/>
      <c r="V1476" s="29" t="inlineStr">
        <is>
          <t xml:space="preserve"> V1000306 - Inter Supply (1992) Co., Ltd.</t>
        </is>
      </c>
      <c r="W1476" s="30" t="inlineStr">
        <is>
          <t>Recive bill and GRN already</t>
        </is>
      </c>
      <c r="X1476" s="26" t="inlineStr">
        <is>
          <t>GRN2526-0003936</t>
        </is>
      </c>
      <c r="Y1476" s="23" t="n">
        <v>45917</v>
      </c>
      <c r="Z1476" s="23" t="n"/>
      <c r="AA1476" s="17">
        <f>IF(RawDataGenPO[[#This Row],[Date Gen PO]]="","",RawDataGenPO[[#This Row],[Date recive bill]]-RawDataGenPO[[#This Row],[Date Gen PO]])</f>
        <v/>
      </c>
      <c r="AB1476" s="16">
        <f>IF(RawDataGenPO[[#This Row],[GRN-PO date]]&gt;RawDataGenPO[[#This Row],[Lead time delivery (day)]],"over deliverry","Ontime")</f>
        <v/>
      </c>
      <c r="AC1476" s="22" t="n"/>
    </row>
    <row r="1477" ht="30" customHeight="1">
      <c r="A1477" s="5">
        <f>ROW()-ROW(RawDataGenPO[[#Headers],[No.]])</f>
        <v/>
      </c>
      <c r="B1477" s="7" t="inlineStr">
        <is>
          <t>Expent  cost</t>
        </is>
      </c>
      <c r="C1477" s="275" t="n">
        <v>45909</v>
      </c>
      <c r="F1477" s="276" t="n">
        <v>45909</v>
      </c>
      <c r="G1477" s="26" t="inlineStr">
        <is>
          <t>PR2526-02227</t>
        </is>
      </c>
      <c r="H1477" s="5" t="inlineStr">
        <is>
          <t xml:space="preserve">PO2526-03234 </t>
        </is>
      </c>
      <c r="I1477" s="365" t="n">
        <v>45920</v>
      </c>
      <c r="J1477" s="56" t="n"/>
      <c r="K1477" s="20" t="n">
        <v>100</v>
      </c>
      <c r="L1477" s="5" t="inlineStr">
        <is>
          <t>SFST81000048</t>
        </is>
      </c>
      <c r="M1477" s="7" t="inlineStr">
        <is>
          <t>Foam &amp; Cleaning solution pump system</t>
        </is>
      </c>
      <c r="N1477" s="7" t="inlineStr">
        <is>
          <t>Foam Pump No.1</t>
        </is>
      </c>
      <c r="O1477" s="11" t="n">
        <v>1</v>
      </c>
      <c r="P1477" s="10" t="inlineStr">
        <is>
          <t>workrepairsystemwaterchemicalmachineinternal Control unit 1
- inspectionrepairsystemlight blue</t>
        </is>
      </c>
      <c r="Q1477" s="277" t="n">
        <v>1</v>
      </c>
      <c r="R1477" s="5" t="inlineStr">
        <is>
          <t>PCS.</t>
        </is>
      </c>
      <c r="S1477" s="284">
        <f>RawDataGenPO[[#This Row],[Total price]]/RawDataGenPO[[#This Row],[Qty'']]</f>
        <v/>
      </c>
      <c r="T1477" s="278" t="n">
        <v>7000</v>
      </c>
      <c r="U1477" s="291" t="n"/>
      <c r="V1477" s="7" t="inlineStr">
        <is>
          <t>V1000743 - Waratep Nongpue</t>
        </is>
      </c>
      <c r="W1477" s="30" t="inlineStr">
        <is>
          <t>Recive bill and GRN already</t>
        </is>
      </c>
      <c r="X1477" s="72" t="inlineStr">
        <is>
          <t>GRN2526-0004264,GRN2526-0004838</t>
        </is>
      </c>
      <c r="Y1477" s="3" t="n">
        <v>45954</v>
      </c>
      <c r="Z1477" s="23" t="n"/>
      <c r="AA1477" s="17">
        <f>IF(RawDataGenPO[[#This Row],[Date Gen PO]]="","",RawDataGenPO[[#This Row],[Date recive bill]]-RawDataGenPO[[#This Row],[Date Gen PO]])</f>
        <v/>
      </c>
      <c r="AB1477" s="16">
        <f>IF(RawDataGenPO[[#This Row],[GRN-PO date]]&gt;RawDataGenPO[[#This Row],[Lead time delivery (day)]],"over deliverry","Ontime")</f>
        <v/>
      </c>
      <c r="AC1477" s="22" t="n"/>
    </row>
    <row r="1478" ht="22.79999923706055" customHeight="1">
      <c r="A1478" s="5">
        <f>ROW()-ROW(RawDataGenPO[[#Headers],[No.]])</f>
        <v/>
      </c>
      <c r="B1478" s="7" t="inlineStr">
        <is>
          <t>Expent  cost</t>
        </is>
      </c>
      <c r="C1478" s="275" t="n">
        <v>45909</v>
      </c>
      <c r="F1478" s="276" t="n">
        <v>45909</v>
      </c>
      <c r="G1478" s="18" t="inlineStr">
        <is>
          <t>PR2526-02227</t>
        </is>
      </c>
      <c r="H1478" s="5" t="inlineStr">
        <is>
          <t xml:space="preserve">PO2526-03234 </t>
        </is>
      </c>
      <c r="I1478" s="365" t="n">
        <v>45920</v>
      </c>
      <c r="J1478" s="56" t="n"/>
      <c r="K1478" s="20" t="n">
        <v>100</v>
      </c>
      <c r="L1478" s="5" t="inlineStr">
        <is>
          <t>SFST81000048</t>
        </is>
      </c>
      <c r="M1478" s="7" t="inlineStr">
        <is>
          <t>Foam &amp; Cleaning solution pump system</t>
        </is>
      </c>
      <c r="N1478" s="7" t="inlineStr">
        <is>
          <t>Foam Pump No.1</t>
        </is>
      </c>
      <c r="O1478" s="11" t="n">
        <v>2</v>
      </c>
      <c r="P1478" s="10" t="inlineStr">
        <is>
          <t>valvestainless steel 304 1" inch</t>
        </is>
      </c>
      <c r="Q1478" s="277" t="n">
        <v>2</v>
      </c>
      <c r="R1478" s="5" t="inlineStr">
        <is>
          <t>PCS.</t>
        </is>
      </c>
      <c r="S1478" s="284">
        <f>RawDataGenPO[[#This Row],[Total price]]/RawDataGenPO[[#This Row],[Qty'']]</f>
        <v/>
      </c>
      <c r="T1478" s="278" t="n">
        <v>1700</v>
      </c>
      <c r="U1478" s="291" t="n"/>
      <c r="V1478" s="7" t="inlineStr">
        <is>
          <t>V1000743 - Waratep Nongpue</t>
        </is>
      </c>
      <c r="W1478" s="30" t="inlineStr">
        <is>
          <t>Recive bill and GRN already</t>
        </is>
      </c>
      <c r="X1478" s="72" t="inlineStr">
        <is>
          <t>GRN2526-0004264,GRN2526-0004838</t>
        </is>
      </c>
      <c r="Y1478" s="3" t="n">
        <v>45954</v>
      </c>
      <c r="Z1478" s="23" t="n"/>
      <c r="AA1478" s="17">
        <f>IF(RawDataGenPO[[#This Row],[Date Gen PO]]="","",RawDataGenPO[[#This Row],[Date recive bill]]-RawDataGenPO[[#This Row],[Date Gen PO]])</f>
        <v/>
      </c>
      <c r="AB1478" s="16">
        <f>IF(RawDataGenPO[[#This Row],[GRN-PO date]]&gt;RawDataGenPO[[#This Row],[Lead time delivery (day)]],"over deliverry","Ontime")</f>
        <v/>
      </c>
      <c r="AC1478" s="22" t="n"/>
    </row>
    <row r="1479" ht="22.79999923706055" customHeight="1">
      <c r="A1479" s="5">
        <f>ROW()-ROW(RawDataGenPO[[#Headers],[No.]])</f>
        <v/>
      </c>
      <c r="B1479" s="7" t="inlineStr">
        <is>
          <t>Expent  cost</t>
        </is>
      </c>
      <c r="C1479" s="275" t="n">
        <v>45909</v>
      </c>
      <c r="F1479" s="276" t="n">
        <v>45909</v>
      </c>
      <c r="G1479" s="18" t="inlineStr">
        <is>
          <t>PR2526-02227</t>
        </is>
      </c>
      <c r="H1479" s="5" t="inlineStr">
        <is>
          <t xml:space="preserve">PO2526-03234 </t>
        </is>
      </c>
      <c r="I1479" s="365" t="n">
        <v>45920</v>
      </c>
      <c r="J1479" s="56" t="n"/>
      <c r="K1479" s="20" t="n">
        <v>100</v>
      </c>
      <c r="L1479" s="5" t="inlineStr">
        <is>
          <t>SFST81000048</t>
        </is>
      </c>
      <c r="M1479" s="7" t="inlineStr">
        <is>
          <t>Foam &amp; Cleaning solution pump system</t>
        </is>
      </c>
      <c r="N1479" s="7" t="inlineStr">
        <is>
          <t>Foam Pump No.1</t>
        </is>
      </c>
      <c r="O1479" s="11" t="n">
        <v>3</v>
      </c>
      <c r="P1479" s="10" t="inlineStr">
        <is>
          <t>Fitting fittingconnectorm size 8 mm</t>
        </is>
      </c>
      <c r="Q1479" s="277" t="n">
        <v>1</v>
      </c>
      <c r="R1479" s="5" t="inlineStr">
        <is>
          <t>PCS.</t>
        </is>
      </c>
      <c r="S1479" s="284">
        <f>RawDataGenPO[[#This Row],[Total price]]/RawDataGenPO[[#This Row],[Qty'']]</f>
        <v/>
      </c>
      <c r="T1479" s="278" t="n">
        <v>1500</v>
      </c>
      <c r="U1479" s="291" t="n"/>
      <c r="V1479" s="7" t="inlineStr">
        <is>
          <t>V1000743 - Waratep Nongpue</t>
        </is>
      </c>
      <c r="W1479" s="30" t="inlineStr">
        <is>
          <t>Recive bill and GRN already</t>
        </is>
      </c>
      <c r="X1479" s="72" t="inlineStr">
        <is>
          <t>GRN2526-0004264,GRN2526-0004838</t>
        </is>
      </c>
      <c r="Y1479" s="3" t="n">
        <v>45954</v>
      </c>
      <c r="Z1479" s="23" t="n"/>
      <c r="AA1479" s="17">
        <f>IF(RawDataGenPO[[#This Row],[Date Gen PO]]="","",RawDataGenPO[[#This Row],[Date recive bill]]-RawDataGenPO[[#This Row],[Date Gen PO]])</f>
        <v/>
      </c>
      <c r="AB1479" s="16">
        <f>IF(RawDataGenPO[[#This Row],[GRN-PO date]]&gt;RawDataGenPO[[#This Row],[Lead time delivery (day)]],"over deliverry","Ontime")</f>
        <v/>
      </c>
      <c r="AC1479" s="22" t="n"/>
    </row>
    <row r="1480" ht="22.79999923706055" customHeight="1">
      <c r="A1480" s="5">
        <f>ROW()-ROW(RawDataGenPO[[#Headers],[No.]])</f>
        <v/>
      </c>
      <c r="B1480" s="7" t="inlineStr">
        <is>
          <t>Expent  cost</t>
        </is>
      </c>
      <c r="C1480" s="275" t="n">
        <v>45909</v>
      </c>
      <c r="F1480" s="276" t="n">
        <v>45909</v>
      </c>
      <c r="G1480" s="18" t="inlineStr">
        <is>
          <t>PR2526-02227</t>
        </is>
      </c>
      <c r="H1480" s="5" t="inlineStr">
        <is>
          <t xml:space="preserve">PO2526-03234 </t>
        </is>
      </c>
      <c r="I1480" s="365" t="n">
        <v>45920</v>
      </c>
      <c r="J1480" s="56" t="n"/>
      <c r="K1480" s="20" t="n">
        <v>100</v>
      </c>
      <c r="L1480" s="5" t="inlineStr">
        <is>
          <t>SFST81000048</t>
        </is>
      </c>
      <c r="M1480" s="7" t="inlineStr">
        <is>
          <t>Foam &amp; Cleaning solution pump system</t>
        </is>
      </c>
      <c r="N1480" s="7" t="inlineStr">
        <is>
          <t>Foam Pump No.1</t>
        </is>
      </c>
      <c r="O1480" s="11" t="n">
        <v>4</v>
      </c>
      <c r="P1480" s="10" t="inlineStr">
        <is>
          <t>Solenoid valve valvebrassyellow 1" inch</t>
        </is>
      </c>
      <c r="Q1480" s="277" t="n">
        <v>1</v>
      </c>
      <c r="R1480" s="5" t="inlineStr">
        <is>
          <t>PCS.</t>
        </is>
      </c>
      <c r="S1480" s="284">
        <f>RawDataGenPO[[#This Row],[Total price]]/RawDataGenPO[[#This Row],[Qty'']]</f>
        <v/>
      </c>
      <c r="T1480" s="278" t="n">
        <v>1490</v>
      </c>
      <c r="U1480" s="291" t="n"/>
      <c r="V1480" s="7" t="inlineStr">
        <is>
          <t>V1000743 - Waratep Nongpue</t>
        </is>
      </c>
      <c r="W1480" s="30" t="inlineStr">
        <is>
          <t>Recive bill and GRN already</t>
        </is>
      </c>
      <c r="X1480" s="72" t="inlineStr">
        <is>
          <t>GRN2526-0004264,GRN2526-0004838</t>
        </is>
      </c>
      <c r="Y1480" s="3" t="n">
        <v>45954</v>
      </c>
      <c r="Z1480" s="23" t="n"/>
      <c r="AA1480" s="17">
        <f>IF(RawDataGenPO[[#This Row],[Date Gen PO]]="","",RawDataGenPO[[#This Row],[Date recive bill]]-RawDataGenPO[[#This Row],[Date Gen PO]])</f>
        <v/>
      </c>
      <c r="AB1480" s="16">
        <f>IF(RawDataGenPO[[#This Row],[GRN-PO date]]&gt;RawDataGenPO[[#This Row],[Lead time delivery (day)]],"over deliverry","Ontime")</f>
        <v/>
      </c>
      <c r="AC1480" s="22" t="n"/>
    </row>
    <row r="1481" ht="22.79999923706055" customHeight="1">
      <c r="A1481" s="5">
        <f>ROW()-ROW(RawDataGenPO[[#Headers],[No.]])</f>
        <v/>
      </c>
      <c r="B1481" s="7" t="inlineStr">
        <is>
          <t>Expent  cost</t>
        </is>
      </c>
      <c r="C1481" s="275" t="n">
        <v>45909</v>
      </c>
      <c r="F1481" s="276" t="n">
        <v>45909</v>
      </c>
      <c r="G1481" s="18" t="inlineStr">
        <is>
          <t>PR2526-02227</t>
        </is>
      </c>
      <c r="H1481" s="5" t="inlineStr">
        <is>
          <t xml:space="preserve">PO2526-03234 </t>
        </is>
      </c>
      <c r="I1481" s="365" t="n">
        <v>45920</v>
      </c>
      <c r="J1481" s="56" t="n"/>
      <c r="K1481" s="20" t="n">
        <v>100</v>
      </c>
      <c r="L1481" s="5" t="inlineStr">
        <is>
          <t>SFST81000048</t>
        </is>
      </c>
      <c r="M1481" s="7" t="inlineStr">
        <is>
          <t>Foam &amp; Cleaning solution pump system</t>
        </is>
      </c>
      <c r="N1481" s="7" t="inlineStr">
        <is>
          <t>Foam Pump No.1</t>
        </is>
      </c>
      <c r="O1481" s="11" t="n">
        <v>5</v>
      </c>
      <c r="P1481" s="10" t="inlineStr">
        <is>
          <t>Air solenoid solenoidm 1/4</t>
        </is>
      </c>
      <c r="Q1481" s="277" t="n">
        <v>1</v>
      </c>
      <c r="R1481" s="5" t="inlineStr">
        <is>
          <t>PCS.</t>
        </is>
      </c>
      <c r="S1481" s="284">
        <f>RawDataGenPO[[#This Row],[Total price]]/RawDataGenPO[[#This Row],[Qty'']]</f>
        <v/>
      </c>
      <c r="T1481" s="278" t="n">
        <v>1650</v>
      </c>
      <c r="U1481" s="291" t="n"/>
      <c r="V1481" s="7" t="inlineStr">
        <is>
          <t>V1000743 - Waratep Nongpue</t>
        </is>
      </c>
      <c r="W1481" s="30" t="inlineStr">
        <is>
          <t>Recive bill and GRN already</t>
        </is>
      </c>
      <c r="X1481" s="72" t="inlineStr">
        <is>
          <t>GRN2526-0004264,GRN2526-0004838</t>
        </is>
      </c>
      <c r="Y1481" s="3" t="n">
        <v>45954</v>
      </c>
      <c r="Z1481" s="23" t="n"/>
      <c r="AA1481" s="17">
        <f>IF(RawDataGenPO[[#This Row],[Date Gen PO]]="","",RawDataGenPO[[#This Row],[Date recive bill]]-RawDataGenPO[[#This Row],[Date Gen PO]])</f>
        <v/>
      </c>
      <c r="AB1481" s="16">
        <f>IF(RawDataGenPO[[#This Row],[GRN-PO date]]&gt;RawDataGenPO[[#This Row],[Lead time delivery (day)]],"over deliverry","Ontime")</f>
        <v/>
      </c>
      <c r="AC1481" s="22" t="n"/>
    </row>
    <row r="1482" ht="22.79999923706055" customHeight="1">
      <c r="A1482" s="5">
        <f>ROW()-ROW(RawDataGenPO[[#Headers],[No.]])</f>
        <v/>
      </c>
      <c r="B1482" s="7" t="inlineStr">
        <is>
          <t>Expent  cost</t>
        </is>
      </c>
      <c r="C1482" s="275" t="n">
        <v>45909</v>
      </c>
      <c r="F1482" s="276" t="n">
        <v>45909</v>
      </c>
      <c r="G1482" s="18" t="inlineStr">
        <is>
          <t>PR2526-02227</t>
        </is>
      </c>
      <c r="H1482" s="5" t="inlineStr">
        <is>
          <t xml:space="preserve">PO2526-03234 </t>
        </is>
      </c>
      <c r="I1482" s="365" t="n">
        <v>45920</v>
      </c>
      <c r="J1482" s="56" t="n"/>
      <c r="K1482" s="20" t="n">
        <v>100</v>
      </c>
      <c r="L1482" s="5" t="inlineStr">
        <is>
          <t>SFST81000048</t>
        </is>
      </c>
      <c r="M1482" s="7" t="inlineStr">
        <is>
          <t>Foam &amp; Cleaning solution pump system</t>
        </is>
      </c>
      <c r="N1482" s="7" t="inlineStr">
        <is>
          <t>Foam Pump No.1</t>
        </is>
      </c>
      <c r="O1482" s="11" t="n">
        <v>6</v>
      </c>
      <c r="P1482" s="10" t="inlineStr">
        <is>
          <t>Tank PE 500 Ltr. K=395 mm. waterchemicalwhite</t>
        </is>
      </c>
      <c r="Q1482" s="277" t="n">
        <v>1</v>
      </c>
      <c r="R1482" s="5" t="inlineStr">
        <is>
          <t>PCS.</t>
        </is>
      </c>
      <c r="S1482" s="284">
        <f>RawDataGenPO[[#This Row],[Total price]]/RawDataGenPO[[#This Row],[Qty'']]</f>
        <v/>
      </c>
      <c r="T1482" s="278" t="n">
        <v>16500</v>
      </c>
      <c r="U1482" s="291" t="n"/>
      <c r="V1482" s="7" t="inlineStr">
        <is>
          <t>V1000743 - Waratep Nongpue</t>
        </is>
      </c>
      <c r="W1482" s="30" t="inlineStr">
        <is>
          <t>Recive bill and GRN already</t>
        </is>
      </c>
      <c r="X1482" s="72" t="inlineStr">
        <is>
          <t>GRN2526-0004264,GRN2526-0004838</t>
        </is>
      </c>
      <c r="Y1482" s="3" t="n">
        <v>45954</v>
      </c>
      <c r="Z1482" s="23" t="n"/>
      <c r="AA1482" s="17">
        <f>IF(RawDataGenPO[[#This Row],[Date Gen PO]]="","",RawDataGenPO[[#This Row],[Date recive bill]]-RawDataGenPO[[#This Row],[Date Gen PO]])</f>
        <v/>
      </c>
      <c r="AB1482" s="16">
        <f>IF(RawDataGenPO[[#This Row],[GRN-PO date]]&gt;RawDataGenPO[[#This Row],[Lead time delivery (day)]],"over deliverry","Ontime")</f>
        <v/>
      </c>
      <c r="AC1482" s="22" t="n"/>
    </row>
    <row r="1483" ht="22.79999923706055" customHeight="1">
      <c r="A1483" s="5">
        <f>ROW()-ROW(RawDataGenPO[[#Headers],[No.]])</f>
        <v/>
      </c>
      <c r="B1483" s="7" t="inlineStr">
        <is>
          <t>Expent  cost</t>
        </is>
      </c>
      <c r="C1483" s="275" t="n">
        <v>45909</v>
      </c>
      <c r="F1483" s="276" t="n">
        <v>45909</v>
      </c>
      <c r="G1483" s="18" t="inlineStr">
        <is>
          <t>PR2526-02227</t>
        </is>
      </c>
      <c r="H1483" s="5" t="inlineStr">
        <is>
          <t xml:space="preserve">PO2526-03234 </t>
        </is>
      </c>
      <c r="I1483" s="365" t="n">
        <v>45920</v>
      </c>
      <c r="J1483" s="56" t="n"/>
      <c r="K1483" s="20" t="n">
        <v>100</v>
      </c>
      <c r="L1483" s="5" t="inlineStr">
        <is>
          <t>SFST81000048</t>
        </is>
      </c>
      <c r="M1483" s="7" t="inlineStr">
        <is>
          <t>Foam &amp; Cleaning solution pump system</t>
        </is>
      </c>
      <c r="N1483" s="7" t="inlineStr">
        <is>
          <t>Foam Pump No.1</t>
        </is>
      </c>
      <c r="O1483" s="11" t="n">
        <v>7</v>
      </c>
      <c r="P1483" s="10" t="inlineStr">
        <is>
          <t>Air Regulator Wadjustmandwaterwithpcs</t>
        </is>
      </c>
      <c r="Q1483" s="277" t="n">
        <v>1</v>
      </c>
      <c r="R1483" s="5" t="inlineStr">
        <is>
          <t>PCS.</t>
        </is>
      </c>
      <c r="S1483" s="284">
        <f>RawDataGenPO[[#This Row],[Total price]]/RawDataGenPO[[#This Row],[Qty'']]</f>
        <v/>
      </c>
      <c r="T1483" s="278" t="n">
        <v>6800</v>
      </c>
      <c r="U1483" s="291" t="n"/>
      <c r="V1483" s="7" t="inlineStr">
        <is>
          <t>V1000743 - Waratep Nongpue</t>
        </is>
      </c>
      <c r="W1483" s="30" t="inlineStr">
        <is>
          <t>Recive bill and GRN already</t>
        </is>
      </c>
      <c r="X1483" s="72" t="inlineStr">
        <is>
          <t>GRN2526-0004264,GRN2526-0004838</t>
        </is>
      </c>
      <c r="Y1483" s="3" t="n">
        <v>45954</v>
      </c>
      <c r="Z1483" s="23" t="n"/>
      <c r="AA1483" s="17">
        <f>IF(RawDataGenPO[[#This Row],[Date Gen PO]]="","",RawDataGenPO[[#This Row],[Date recive bill]]-RawDataGenPO[[#This Row],[Date Gen PO]])</f>
        <v/>
      </c>
      <c r="AB1483" s="16">
        <f>IF(RawDataGenPO[[#This Row],[GRN-PO date]]&gt;RawDataGenPO[[#This Row],[Lead time delivery (day)]],"over deliverry","Ontime")</f>
        <v/>
      </c>
      <c r="AC1483" s="22" t="n"/>
    </row>
    <row r="1484" ht="22.79999923706055" customHeight="1">
      <c r="A1484" s="5">
        <f>ROW()-ROW(RawDataGenPO[[#Headers],[No.]])</f>
        <v/>
      </c>
      <c r="B1484" s="7" t="inlineStr">
        <is>
          <t>Expent  cost</t>
        </is>
      </c>
      <c r="C1484" s="275" t="n">
        <v>45909</v>
      </c>
      <c r="F1484" s="276" t="n">
        <v>45909</v>
      </c>
      <c r="G1484" s="18" t="inlineStr">
        <is>
          <t>PR2526-02227</t>
        </is>
      </c>
      <c r="H1484" s="5" t="inlineStr">
        <is>
          <t xml:space="preserve">PO2526-03234 </t>
        </is>
      </c>
      <c r="I1484" s="365" t="n">
        <v>45920</v>
      </c>
      <c r="J1484" s="56" t="n"/>
      <c r="K1484" s="20" t="n">
        <v>100</v>
      </c>
      <c r="L1484" s="5" t="inlineStr">
        <is>
          <t>SFST81000048</t>
        </is>
      </c>
      <c r="M1484" s="7" t="inlineStr">
        <is>
          <t>Foam &amp; Cleaning solution pump system</t>
        </is>
      </c>
      <c r="N1484" s="7" t="inlineStr">
        <is>
          <t>Foam Pump No.1</t>
        </is>
      </c>
      <c r="O1484" s="11" t="n">
        <v>8</v>
      </c>
      <c r="P1484" s="10" t="inlineStr">
        <is>
          <t>pipewaterchemicalconnectorinlet Tank</t>
        </is>
      </c>
      <c r="Q1484" s="277" t="n">
        <v>1</v>
      </c>
      <c r="R1484" s="5" t="inlineStr">
        <is>
          <t>PCS.</t>
        </is>
      </c>
      <c r="S1484" s="284">
        <f>RawDataGenPO[[#This Row],[Total price]]/RawDataGenPO[[#This Row],[Qty'']]</f>
        <v/>
      </c>
      <c r="T1484" s="278" t="n">
        <v>1450</v>
      </c>
      <c r="U1484" s="291" t="n"/>
      <c r="V1484" s="7" t="inlineStr">
        <is>
          <t>V1000743 - Waratep Nongpue</t>
        </is>
      </c>
      <c r="W1484" s="30" t="inlineStr">
        <is>
          <t>Recive bill and GRN already</t>
        </is>
      </c>
      <c r="X1484" s="72" t="inlineStr">
        <is>
          <t>GRN2526-0004264,GRN2526-0004838</t>
        </is>
      </c>
      <c r="Y1484" s="3" t="n">
        <v>45954</v>
      </c>
      <c r="Z1484" s="23" t="n"/>
      <c r="AA1484" s="17">
        <f>IF(RawDataGenPO[[#This Row],[Date Gen PO]]="","",RawDataGenPO[[#This Row],[Date recive bill]]-RawDataGenPO[[#This Row],[Date Gen PO]])</f>
        <v/>
      </c>
      <c r="AB1484" s="16">
        <f>IF(RawDataGenPO[[#This Row],[GRN-PO date]]&gt;RawDataGenPO[[#This Row],[Lead time delivery (day)]],"over deliverry","Ontime")</f>
        <v/>
      </c>
      <c r="AC1484" s="22" t="n"/>
    </row>
    <row r="1485" ht="22.79999923706055" customHeight="1">
      <c r="A1485" s="5">
        <f>ROW()-ROW(RawDataGenPO[[#Headers],[No.]])</f>
        <v/>
      </c>
      <c r="B1485" s="7" t="inlineStr">
        <is>
          <t>Expent  cost</t>
        </is>
      </c>
      <c r="C1485" s="275" t="n">
        <v>45909</v>
      </c>
      <c r="F1485" s="276" t="n">
        <v>45909</v>
      </c>
      <c r="G1485" s="18" t="inlineStr">
        <is>
          <t>PR2526-02227</t>
        </is>
      </c>
      <c r="H1485" s="5" t="inlineStr">
        <is>
          <t xml:space="preserve">PO2526-03234 </t>
        </is>
      </c>
      <c r="I1485" s="365" t="n">
        <v>45920</v>
      </c>
      <c r="J1485" s="56" t="n"/>
      <c r="K1485" s="20" t="n">
        <v>100</v>
      </c>
      <c r="L1485" s="5" t="inlineStr">
        <is>
          <t>SFST81000048</t>
        </is>
      </c>
      <c r="M1485" s="7" t="inlineStr">
        <is>
          <t>Foam &amp; Cleaning solution pump system</t>
        </is>
      </c>
      <c r="N1485" s="7" t="inlineStr">
        <is>
          <t>Foam Pump No.1</t>
        </is>
      </c>
      <c r="O1485" s="11" t="n">
        <v>9</v>
      </c>
      <c r="P1485" s="10" t="inlineStr">
        <is>
          <t>Sensor measuringsystemwaterchemical Low</t>
        </is>
      </c>
      <c r="Q1485" s="277" t="n">
        <v>1</v>
      </c>
      <c r="R1485" s="5" t="inlineStr">
        <is>
          <t>PCS.</t>
        </is>
      </c>
      <c r="S1485" s="284">
        <f>RawDataGenPO[[#This Row],[Total price]]/RawDataGenPO[[#This Row],[Qty'']]</f>
        <v/>
      </c>
      <c r="T1485" s="278" t="n">
        <v>2450</v>
      </c>
      <c r="U1485" s="291" t="n"/>
      <c r="V1485" s="7" t="inlineStr">
        <is>
          <t>V1000743 - Waratep Nongpue</t>
        </is>
      </c>
      <c r="W1485" s="30" t="inlineStr">
        <is>
          <t>Recive bill and GRN already</t>
        </is>
      </c>
      <c r="X1485" s="72" t="inlineStr">
        <is>
          <t>GRN2526-0004264,GRN2526-0004838</t>
        </is>
      </c>
      <c r="Y1485" s="3" t="n">
        <v>45954</v>
      </c>
      <c r="Z1485" s="23" t="n"/>
      <c r="AA1485" s="17">
        <f>IF(RawDataGenPO[[#This Row],[Date Gen PO]]="","",RawDataGenPO[[#This Row],[Date recive bill]]-RawDataGenPO[[#This Row],[Date Gen PO]])</f>
        <v/>
      </c>
      <c r="AB1485" s="16">
        <f>IF(RawDataGenPO[[#This Row],[GRN-PO date]]&gt;RawDataGenPO[[#This Row],[Lead time delivery (day)]],"over deliverry","Ontime")</f>
        <v/>
      </c>
      <c r="AC1485" s="22" t="n"/>
    </row>
    <row r="1486" ht="22.79999923706055" customHeight="1">
      <c r="A1486" s="5">
        <f>ROW()-ROW(RawDataGenPO[[#Headers],[No.]])</f>
        <v/>
      </c>
      <c r="B1486" s="7" t="inlineStr">
        <is>
          <t>Expent  cost</t>
        </is>
      </c>
      <c r="C1486" s="275" t="n">
        <v>45909</v>
      </c>
      <c r="F1486" s="276" t="n">
        <v>45909</v>
      </c>
      <c r="G1486" s="18" t="inlineStr">
        <is>
          <t>PR2526-02227</t>
        </is>
      </c>
      <c r="H1486" s="5" t="inlineStr">
        <is>
          <t xml:space="preserve">PO2526-03234 </t>
        </is>
      </c>
      <c r="I1486" s="365" t="n">
        <v>45920</v>
      </c>
      <c r="J1486" s="56" t="n"/>
      <c r="K1486" s="20" t="n">
        <v>100</v>
      </c>
      <c r="L1486" s="5" t="inlineStr">
        <is>
          <t>SFST81000048</t>
        </is>
      </c>
      <c r="M1486" s="7" t="inlineStr">
        <is>
          <t>Foam &amp; Cleaning solution pump system</t>
        </is>
      </c>
      <c r="N1486" s="7" t="inlineStr">
        <is>
          <t>Foam Pump No.1</t>
        </is>
      </c>
      <c r="O1486" s="11" t="n">
        <v>10</v>
      </c>
      <c r="P1486" s="10" t="inlineStr">
        <is>
          <t>Sensor measuringsystemwaterchemical Hight</t>
        </is>
      </c>
      <c r="Q1486" s="277" t="n">
        <v>1</v>
      </c>
      <c r="R1486" s="5" t="inlineStr">
        <is>
          <t>PCS.</t>
        </is>
      </c>
      <c r="S1486" s="284">
        <f>RawDataGenPO[[#This Row],[Total price]]/RawDataGenPO[[#This Row],[Qty'']]</f>
        <v/>
      </c>
      <c r="T1486" s="278" t="n">
        <v>2450</v>
      </c>
      <c r="U1486" s="291" t="n"/>
      <c r="V1486" s="7" t="inlineStr">
        <is>
          <t>V1000743 - Waratep Nongpue</t>
        </is>
      </c>
      <c r="W1486" s="30" t="inlineStr">
        <is>
          <t>Recive bill and GRN already</t>
        </is>
      </c>
      <c r="X1486" s="72" t="inlineStr">
        <is>
          <t>GRN2526-0004264,GRN2526-0004838</t>
        </is>
      </c>
      <c r="Y1486" s="3" t="n">
        <v>45954</v>
      </c>
      <c r="Z1486" s="23" t="n"/>
      <c r="AA1486" s="17">
        <f>IF(RawDataGenPO[[#This Row],[Date Gen PO]]="","",RawDataGenPO[[#This Row],[Date recive bill]]-RawDataGenPO[[#This Row],[Date Gen PO]])</f>
        <v/>
      </c>
      <c r="AB1486" s="16">
        <f>IF(RawDataGenPO[[#This Row],[GRN-PO date]]&gt;RawDataGenPO[[#This Row],[Lead time delivery (day)]],"over deliverry","Ontime")</f>
        <v/>
      </c>
      <c r="AC1486" s="22" t="n"/>
    </row>
    <row r="1487" ht="22.79999923706055" customHeight="1">
      <c r="A1487" s="5">
        <f>ROW()-ROW(RawDataGenPO[[#Headers],[No.]])</f>
        <v/>
      </c>
      <c r="B1487" s="7" t="inlineStr">
        <is>
          <t>Expent  cost</t>
        </is>
      </c>
      <c r="C1487" s="275" t="n">
        <v>45909</v>
      </c>
      <c r="F1487" s="276" t="n">
        <v>45909</v>
      </c>
      <c r="G1487" s="18" t="inlineStr">
        <is>
          <t>PR2526-02227</t>
        </is>
      </c>
      <c r="H1487" s="5" t="inlineStr">
        <is>
          <t xml:space="preserve">PO2526-03234 </t>
        </is>
      </c>
      <c r="I1487" s="365" t="n">
        <v>45920</v>
      </c>
      <c r="J1487" s="56" t="n"/>
      <c r="K1487" s="20" t="n">
        <v>100</v>
      </c>
      <c r="L1487" s="5" t="inlineStr">
        <is>
          <t>SFST81000048</t>
        </is>
      </c>
      <c r="M1487" s="7" t="inlineStr">
        <is>
          <t>Foam &amp; Cleaning solution pump system</t>
        </is>
      </c>
      <c r="N1487" s="7" t="inlineStr">
        <is>
          <t>Foam Pump No.1</t>
        </is>
      </c>
      <c r="O1487" s="11" t="n">
        <v>11</v>
      </c>
      <c r="P1487" s="10" t="inlineStr">
        <is>
          <t>4x4 " inch</t>
        </is>
      </c>
      <c r="Q1487" s="277" t="n">
        <v>6</v>
      </c>
      <c r="R1487" s="5" t="inlineStr">
        <is>
          <t>PCS.</t>
        </is>
      </c>
      <c r="S1487" s="284">
        <f>RawDataGenPO[[#This Row],[Total price]]/RawDataGenPO[[#This Row],[Qty'']]</f>
        <v/>
      </c>
      <c r="T1487" s="278" t="n">
        <v>5340</v>
      </c>
      <c r="U1487" s="291" t="n"/>
      <c r="V1487" s="7" t="inlineStr">
        <is>
          <t>V1000743 - Waratep Nongpue</t>
        </is>
      </c>
      <c r="W1487" s="30" t="inlineStr">
        <is>
          <t>Recive bill and GRN already</t>
        </is>
      </c>
      <c r="X1487" s="72" t="inlineStr">
        <is>
          <t>GRN2526-0004264,GRN2526-0004838</t>
        </is>
      </c>
      <c r="Y1487" s="3" t="n">
        <v>45954</v>
      </c>
      <c r="Z1487" s="23" t="n"/>
      <c r="AA1487" s="17">
        <f>IF(RawDataGenPO[[#This Row],[Date Gen PO]]="","",RawDataGenPO[[#This Row],[Date recive bill]]-RawDataGenPO[[#This Row],[Date Gen PO]])</f>
        <v/>
      </c>
      <c r="AB1487" s="16">
        <f>IF(RawDataGenPO[[#This Row],[GRN-PO date]]&gt;RawDataGenPO[[#This Row],[Lead time delivery (day)]],"over deliverry","Ontime")</f>
        <v/>
      </c>
      <c r="AC1487" s="22" t="n"/>
    </row>
    <row r="1488" ht="22.79999923706055" customHeight="1">
      <c r="A1488" s="5">
        <f>ROW()-ROW(RawDataGenPO[[#Headers],[No.]])</f>
        <v/>
      </c>
      <c r="B1488" s="7" t="inlineStr">
        <is>
          <t>Expent  cost</t>
        </is>
      </c>
      <c r="C1488" s="275" t="n">
        <v>45909</v>
      </c>
      <c r="F1488" s="276" t="n">
        <v>45909</v>
      </c>
      <c r="G1488" s="18" t="inlineStr">
        <is>
          <t>PR2526-02227</t>
        </is>
      </c>
      <c r="H1488" s="5" t="inlineStr">
        <is>
          <t xml:space="preserve">PO2526-03234 </t>
        </is>
      </c>
      <c r="I1488" s="365" t="n">
        <v>45920</v>
      </c>
      <c r="J1488" s="56" t="n"/>
      <c r="K1488" s="20" t="n">
        <v>100</v>
      </c>
      <c r="L1488" s="5" t="inlineStr">
        <is>
          <t>SFST81000048</t>
        </is>
      </c>
      <c r="M1488" s="7" t="inlineStr">
        <is>
          <t>Foam &amp; Cleaning solution pump system</t>
        </is>
      </c>
      <c r="N1488" s="7" t="inlineStr">
        <is>
          <t>Foam Pump No.1</t>
        </is>
      </c>
      <c r="O1488" s="11" t="n">
        <v>12</v>
      </c>
      <c r="P1488" s="10" t="inlineStr">
        <is>
          <t>valve 24vdc</t>
        </is>
      </c>
      <c r="Q1488" s="277" t="n">
        <v>2</v>
      </c>
      <c r="R1488" s="5" t="inlineStr">
        <is>
          <t>PCS.</t>
        </is>
      </c>
      <c r="S1488" s="284">
        <f>RawDataGenPO[[#This Row],[Total price]]/RawDataGenPO[[#This Row],[Qty'']]</f>
        <v/>
      </c>
      <c r="T1488" s="278" t="n">
        <v>3200</v>
      </c>
      <c r="U1488" s="291" t="n"/>
      <c r="V1488" s="7" t="inlineStr">
        <is>
          <t>V1000743 - Waratep Nongpue</t>
        </is>
      </c>
      <c r="W1488" s="30" t="inlineStr">
        <is>
          <t>Recive bill and GRN already</t>
        </is>
      </c>
      <c r="X1488" s="72" t="inlineStr">
        <is>
          <t>GRN2526-0004264,GRN2526-0004838</t>
        </is>
      </c>
      <c r="Y1488" s="3" t="n">
        <v>45954</v>
      </c>
      <c r="Z1488" s="23" t="n"/>
      <c r="AA1488" s="17">
        <f>IF(RawDataGenPO[[#This Row],[Date Gen PO]]="","",RawDataGenPO[[#This Row],[Date recive bill]]-RawDataGenPO[[#This Row],[Date Gen PO]])</f>
        <v/>
      </c>
      <c r="AB1488" s="16">
        <f>IF(RawDataGenPO[[#This Row],[GRN-PO date]]&gt;RawDataGenPO[[#This Row],[Lead time delivery (day)]],"over deliverry","Ontime")</f>
        <v/>
      </c>
      <c r="AC1488" s="22" t="n"/>
    </row>
    <row r="1489" ht="22.79999923706055" customHeight="1">
      <c r="A1489" s="5">
        <f>ROW()-ROW(RawDataGenPO[[#Headers],[No.]])</f>
        <v/>
      </c>
      <c r="B1489" s="7" t="inlineStr">
        <is>
          <t>Expent  cost</t>
        </is>
      </c>
      <c r="C1489" s="275" t="n">
        <v>45909</v>
      </c>
      <c r="F1489" s="276" t="n">
        <v>45909</v>
      </c>
      <c r="G1489" s="18" t="inlineStr">
        <is>
          <t>PR2526-02227</t>
        </is>
      </c>
      <c r="H1489" s="5" t="inlineStr">
        <is>
          <t xml:space="preserve">PO2526-03234 </t>
        </is>
      </c>
      <c r="I1489" s="365" t="n">
        <v>45920</v>
      </c>
      <c r="J1489" s="56" t="n"/>
      <c r="K1489" s="20" t="n">
        <v>100</v>
      </c>
      <c r="L1489" s="5" t="inlineStr">
        <is>
          <t>SFST81000048</t>
        </is>
      </c>
      <c r="M1489" s="7" t="inlineStr">
        <is>
          <t>Foam &amp; Cleaning solution pump system</t>
        </is>
      </c>
      <c r="N1489" s="7" t="inlineStr">
        <is>
          <t>Foam Pump No.1</t>
        </is>
      </c>
      <c r="O1489" s="11" t="n">
        <v>13</v>
      </c>
      <c r="P1489" s="10" t="inlineStr">
        <is>
          <t>Pressuer gauge Sumo</t>
        </is>
      </c>
      <c r="Q1489" s="277" t="n">
        <v>2</v>
      </c>
      <c r="R1489" s="5" t="inlineStr">
        <is>
          <t>PCS.</t>
        </is>
      </c>
      <c r="S1489" s="284">
        <f>RawDataGenPO[[#This Row],[Total price]]/RawDataGenPO[[#This Row],[Qty'']]</f>
        <v/>
      </c>
      <c r="T1489" s="278" t="n">
        <v>6400</v>
      </c>
      <c r="U1489" s="291" t="n"/>
      <c r="V1489" s="7" t="inlineStr">
        <is>
          <t>V1000743 - Waratep Nongpue</t>
        </is>
      </c>
      <c r="W1489" s="30" t="inlineStr">
        <is>
          <t>Recive bill and GRN already</t>
        </is>
      </c>
      <c r="X1489" s="72" t="inlineStr">
        <is>
          <t>GRN2526-0004264,GRN2526-0004838</t>
        </is>
      </c>
      <c r="Y1489" s="3" t="n">
        <v>45954</v>
      </c>
      <c r="Z1489" s="23" t="n"/>
      <c r="AA1489" s="17">
        <f>IF(RawDataGenPO[[#This Row],[Date Gen PO]]="","",RawDataGenPO[[#This Row],[Date recive bill]]-RawDataGenPO[[#This Row],[Date Gen PO]])</f>
        <v/>
      </c>
      <c r="AB1489" s="16">
        <f>IF(RawDataGenPO[[#This Row],[GRN-PO date]]&gt;RawDataGenPO[[#This Row],[Lead time delivery (day)]],"over deliverry","Ontime")</f>
        <v/>
      </c>
      <c r="AC1489" s="22" t="n"/>
    </row>
    <row r="1490" ht="22.79999923706055" customHeight="1">
      <c r="A1490" s="5">
        <f>ROW()-ROW(RawDataGenPO[[#Headers],[No.]])</f>
        <v/>
      </c>
      <c r="B1490" s="7" t="inlineStr">
        <is>
          <t>Expent  cost</t>
        </is>
      </c>
      <c r="C1490" s="275" t="n">
        <v>45909</v>
      </c>
      <c r="F1490" s="276" t="n">
        <v>45909</v>
      </c>
      <c r="G1490" s="18" t="inlineStr">
        <is>
          <t>PR2526-02227</t>
        </is>
      </c>
      <c r="H1490" s="5" t="inlineStr">
        <is>
          <t xml:space="preserve">PO2526-03234 </t>
        </is>
      </c>
      <c r="I1490" s="365" t="n">
        <v>45920</v>
      </c>
      <c r="J1490" s="56" t="n"/>
      <c r="K1490" s="20" t="n">
        <v>100</v>
      </c>
      <c r="L1490" s="5" t="inlineStr">
        <is>
          <t>SFST81000048</t>
        </is>
      </c>
      <c r="M1490" s="7" t="inlineStr">
        <is>
          <t>Foam &amp; Cleaning solution pump system</t>
        </is>
      </c>
      <c r="N1490" s="7" t="inlineStr">
        <is>
          <t>Foam Pump No.1</t>
        </is>
      </c>
      <c r="O1490" s="11" t="n">
        <v>14</v>
      </c>
      <c r="P1490" s="10" t="inlineStr">
        <is>
          <t>valvestainless steel 304 1" inch kit pipe</t>
        </is>
      </c>
      <c r="Q1490" s="277" t="n">
        <v>1</v>
      </c>
      <c r="R1490" s="5" t="inlineStr">
        <is>
          <t>PCS.</t>
        </is>
      </c>
      <c r="S1490" s="284">
        <f>RawDataGenPO[[#This Row],[Total price]]/RawDataGenPO[[#This Row],[Qty'']]</f>
        <v/>
      </c>
      <c r="T1490" s="278" t="n">
        <v>4000</v>
      </c>
      <c r="U1490" s="291" t="n"/>
      <c r="V1490" s="7" t="inlineStr">
        <is>
          <t>V1000743 - Waratep Nongpue</t>
        </is>
      </c>
      <c r="W1490" s="30" t="inlineStr">
        <is>
          <t>Recive bill and GRN already</t>
        </is>
      </c>
      <c r="X1490" s="72" t="inlineStr">
        <is>
          <t>GRN2526-0004264,GRN2526-0004838</t>
        </is>
      </c>
      <c r="Y1490" s="3" t="n">
        <v>45954</v>
      </c>
      <c r="Z1490" s="23" t="n"/>
      <c r="AA1490" s="17">
        <f>IF(RawDataGenPO[[#This Row],[Date Gen PO]]="","",RawDataGenPO[[#This Row],[Date recive bill]]-RawDataGenPO[[#This Row],[Date Gen PO]])</f>
        <v/>
      </c>
      <c r="AB1490" s="16">
        <f>IF(RawDataGenPO[[#This Row],[GRN-PO date]]&gt;RawDataGenPO[[#This Row],[Lead time delivery (day)]],"over deliverry","Ontime")</f>
        <v/>
      </c>
      <c r="AC1490" s="22" t="n"/>
    </row>
    <row r="1491" ht="22.79999923706055" customHeight="1">
      <c r="A1491" s="5">
        <f>ROW()-ROW(RawDataGenPO[[#Headers],[No.]])</f>
        <v/>
      </c>
      <c r="B1491" s="7" t="inlineStr">
        <is>
          <t>Expent  cost</t>
        </is>
      </c>
      <c r="C1491" s="275" t="n">
        <v>45909</v>
      </c>
      <c r="F1491" s="276" t="n">
        <v>45909</v>
      </c>
      <c r="G1491" s="18" t="inlineStr">
        <is>
          <t>PR2526-02227</t>
        </is>
      </c>
      <c r="H1491" s="5" t="inlineStr">
        <is>
          <t xml:space="preserve">PO2526-03234 </t>
        </is>
      </c>
      <c r="I1491" s="365" t="n">
        <v>45920</v>
      </c>
      <c r="J1491" s="56" t="n"/>
      <c r="K1491" s="20" t="n">
        <v>100</v>
      </c>
      <c r="L1491" s="5" t="inlineStr">
        <is>
          <t>SFST81000048</t>
        </is>
      </c>
      <c r="M1491" s="7" t="inlineStr">
        <is>
          <t>Foam &amp; Cleaning solution pump system</t>
        </is>
      </c>
      <c r="N1491" s="7" t="inlineStr">
        <is>
          <t>Foam Pump No.1</t>
        </is>
      </c>
      <c r="O1491" s="11" t="n">
        <v>15</v>
      </c>
      <c r="P1491" s="10" t="inlineStr">
        <is>
          <t>Alarm System Low chemical.</t>
        </is>
      </c>
      <c r="Q1491" s="277" t="n">
        <v>1</v>
      </c>
      <c r="R1491" s="5" t="inlineStr">
        <is>
          <t>PCS.</t>
        </is>
      </c>
      <c r="S1491" s="284">
        <f>RawDataGenPO[[#This Row],[Total price]]/RawDataGenPO[[#This Row],[Qty'']]</f>
        <v/>
      </c>
      <c r="T1491" s="278" t="n">
        <v>12000</v>
      </c>
      <c r="U1491" s="291" t="n"/>
      <c r="V1491" s="7" t="inlineStr">
        <is>
          <t>V1000743 - Waratep Nongpue</t>
        </is>
      </c>
      <c r="W1491" s="30" t="inlineStr">
        <is>
          <t>Recive bill and GRN already</t>
        </is>
      </c>
      <c r="X1491" s="72" t="inlineStr">
        <is>
          <t>GRN2526-0004264,GRN2526-0004838</t>
        </is>
      </c>
      <c r="Y1491" s="3" t="n">
        <v>45954</v>
      </c>
      <c r="Z1491" s="23" t="n"/>
      <c r="AA1491" s="17">
        <f>IF(RawDataGenPO[[#This Row],[Date Gen PO]]="","",RawDataGenPO[[#This Row],[Date recive bill]]-RawDataGenPO[[#This Row],[Date Gen PO]])</f>
        <v/>
      </c>
      <c r="AB1491" s="16">
        <f>IF(RawDataGenPO[[#This Row],[GRN-PO date]]&gt;RawDataGenPO[[#This Row],[Lead time delivery (day)]],"over deliverry","Ontime")</f>
        <v/>
      </c>
      <c r="AC1491" s="22" t="n"/>
    </row>
    <row r="1492" ht="30" customHeight="1">
      <c r="A1492" s="5">
        <f>ROW()-ROW(RawDataGenPO[[#Headers],[No.]])</f>
        <v/>
      </c>
      <c r="B1492" s="7" t="inlineStr">
        <is>
          <t>Expent  cost</t>
        </is>
      </c>
      <c r="C1492" s="275" t="n">
        <v>45909</v>
      </c>
      <c r="F1492" s="276" t="n">
        <v>45909</v>
      </c>
      <c r="G1492" s="18" t="inlineStr">
        <is>
          <t>PR2526-02227</t>
        </is>
      </c>
      <c r="H1492" s="5" t="inlineStr">
        <is>
          <t xml:space="preserve">PO2526-03234 </t>
        </is>
      </c>
      <c r="I1492" s="365" t="n">
        <v>45920</v>
      </c>
      <c r="J1492" s="56" t="n"/>
      <c r="K1492" s="20" t="n">
        <v>100</v>
      </c>
      <c r="L1492" s="5" t="inlineStr">
        <is>
          <t>SFST81000048</t>
        </is>
      </c>
      <c r="M1492" s="7" t="inlineStr">
        <is>
          <t>Foam &amp; Cleaning solution pump system</t>
        </is>
      </c>
      <c r="N1492" s="7" t="inlineStr">
        <is>
          <t>Cleaning solution pump No.1</t>
        </is>
      </c>
      <c r="O1492" s="11" t="n">
        <v>16</v>
      </c>
      <c r="P1492" s="10" t="inlineStr">
        <is>
          <t>workrepairsystemwaterchemicalinternal Control unit 2
Wrepairsystemlight blue</t>
        </is>
      </c>
      <c r="Q1492" s="277" t="n">
        <v>1</v>
      </c>
      <c r="R1492" s="5" t="inlineStr">
        <is>
          <t>PCS.</t>
        </is>
      </c>
      <c r="S1492" s="284">
        <f>RawDataGenPO[[#This Row],[Total price]]/RawDataGenPO[[#This Row],[Qty'']]</f>
        <v/>
      </c>
      <c r="T1492" s="278" t="n">
        <v>7000</v>
      </c>
      <c r="U1492" s="291" t="n"/>
      <c r="V1492" s="7" t="inlineStr">
        <is>
          <t>V1000743 - Waratep Nongpue</t>
        </is>
      </c>
      <c r="W1492" s="30" t="inlineStr">
        <is>
          <t>Recive bill and GRN already</t>
        </is>
      </c>
      <c r="X1492" s="72" t="inlineStr">
        <is>
          <t>GRN2526-0004264,GRN2526-0004838</t>
        </is>
      </c>
      <c r="Y1492" s="3" t="n">
        <v>45954</v>
      </c>
      <c r="Z1492" s="23" t="n"/>
      <c r="AA1492" s="17">
        <f>IF(RawDataGenPO[[#This Row],[Date Gen PO]]="","",RawDataGenPO[[#This Row],[Date recive bill]]-RawDataGenPO[[#This Row],[Date Gen PO]])</f>
        <v/>
      </c>
      <c r="AB1492" s="16">
        <f>IF(RawDataGenPO[[#This Row],[GRN-PO date]]&gt;RawDataGenPO[[#This Row],[Lead time delivery (day)]],"over deliverry","Ontime")</f>
        <v/>
      </c>
      <c r="AC1492" s="22" t="n"/>
    </row>
    <row r="1493" ht="22.79999923706055" customHeight="1">
      <c r="A1493" s="5">
        <f>ROW()-ROW(RawDataGenPO[[#Headers],[No.]])</f>
        <v/>
      </c>
      <c r="B1493" s="7" t="inlineStr">
        <is>
          <t>Expent  cost</t>
        </is>
      </c>
      <c r="C1493" s="275" t="n">
        <v>45909</v>
      </c>
      <c r="F1493" s="276" t="n">
        <v>45909</v>
      </c>
      <c r="G1493" s="18" t="inlineStr">
        <is>
          <t>PR2526-02227</t>
        </is>
      </c>
      <c r="H1493" s="5" t="inlineStr">
        <is>
          <t xml:space="preserve">PO2526-03234 </t>
        </is>
      </c>
      <c r="I1493" s="365" t="n">
        <v>45920</v>
      </c>
      <c r="J1493" s="56" t="n"/>
      <c r="K1493" s="20" t="n">
        <v>100</v>
      </c>
      <c r="L1493" s="5" t="inlineStr">
        <is>
          <t>SFST81000048</t>
        </is>
      </c>
      <c r="M1493" s="7" t="inlineStr">
        <is>
          <t>Foam &amp; Cleaning solution pump system</t>
        </is>
      </c>
      <c r="N1493" s="7" t="inlineStr">
        <is>
          <t>Cleaning solution pump No.1</t>
        </is>
      </c>
      <c r="O1493" s="11" t="n">
        <v>17</v>
      </c>
      <c r="P1493" s="10" t="inlineStr">
        <is>
          <t>valvestainless steel 304 1" inch</t>
        </is>
      </c>
      <c r="Q1493" s="277" t="n">
        <v>2</v>
      </c>
      <c r="R1493" s="5" t="inlineStr">
        <is>
          <t>PCS.</t>
        </is>
      </c>
      <c r="S1493" s="284">
        <f>RawDataGenPO[[#This Row],[Total price]]/RawDataGenPO[[#This Row],[Qty'']]</f>
        <v/>
      </c>
      <c r="T1493" s="278" t="n">
        <v>1700</v>
      </c>
      <c r="U1493" s="291" t="n"/>
      <c r="V1493" s="7" t="inlineStr">
        <is>
          <t>V1000743 - Waratep Nongpue</t>
        </is>
      </c>
      <c r="W1493" s="30" t="inlineStr">
        <is>
          <t>Recive bill and GRN already</t>
        </is>
      </c>
      <c r="X1493" s="72" t="inlineStr">
        <is>
          <t>GRN2526-0004264,GRN2526-0004838</t>
        </is>
      </c>
      <c r="Y1493" s="3" t="n">
        <v>45954</v>
      </c>
      <c r="Z1493" s="23" t="n"/>
      <c r="AA1493" s="17">
        <f>IF(RawDataGenPO[[#This Row],[Date Gen PO]]="","",RawDataGenPO[[#This Row],[Date recive bill]]-RawDataGenPO[[#This Row],[Date Gen PO]])</f>
        <v/>
      </c>
      <c r="AB1493" s="16">
        <f>IF(RawDataGenPO[[#This Row],[GRN-PO date]]&gt;RawDataGenPO[[#This Row],[Lead time delivery (day)]],"over deliverry","Ontime")</f>
        <v/>
      </c>
      <c r="AC1493" s="22" t="n"/>
    </row>
    <row r="1494" ht="22.79999923706055" customHeight="1">
      <c r="A1494" s="5">
        <f>ROW()-ROW(RawDataGenPO[[#Headers],[No.]])</f>
        <v/>
      </c>
      <c r="B1494" s="7" t="inlineStr">
        <is>
          <t>Expent  cost</t>
        </is>
      </c>
      <c r="C1494" s="275" t="n">
        <v>45909</v>
      </c>
      <c r="F1494" s="276" t="n">
        <v>45909</v>
      </c>
      <c r="G1494" s="18" t="inlineStr">
        <is>
          <t>PR2526-02227</t>
        </is>
      </c>
      <c r="H1494" s="5" t="inlineStr">
        <is>
          <t xml:space="preserve">PO2526-03234 </t>
        </is>
      </c>
      <c r="I1494" s="365" t="n">
        <v>45920</v>
      </c>
      <c r="J1494" s="56" t="n"/>
      <c r="K1494" s="20" t="n">
        <v>100</v>
      </c>
      <c r="L1494" s="5" t="inlineStr">
        <is>
          <t>SFST81000048</t>
        </is>
      </c>
      <c r="M1494" s="7" t="inlineStr">
        <is>
          <t>Foam &amp; Cleaning solution pump system</t>
        </is>
      </c>
      <c r="N1494" s="7" t="inlineStr">
        <is>
          <t>Cleaning solution pump No.1</t>
        </is>
      </c>
      <c r="O1494" s="11" t="n">
        <v>18</v>
      </c>
      <c r="P1494" s="10" t="inlineStr">
        <is>
          <t>Fitting fittingconnectorm size 8 mm</t>
        </is>
      </c>
      <c r="Q1494" s="277" t="n">
        <v>1</v>
      </c>
      <c r="R1494" s="5" t="inlineStr">
        <is>
          <t>PCS.</t>
        </is>
      </c>
      <c r="S1494" s="284">
        <f>RawDataGenPO[[#This Row],[Total price]]/RawDataGenPO[[#This Row],[Qty'']]</f>
        <v/>
      </c>
      <c r="T1494" s="278" t="n">
        <v>1500</v>
      </c>
      <c r="U1494" s="291" t="n"/>
      <c r="V1494" s="7" t="inlineStr">
        <is>
          <t>V1000743 - Waratep Nongpue</t>
        </is>
      </c>
      <c r="W1494" s="30" t="inlineStr">
        <is>
          <t>Recive bill and GRN already</t>
        </is>
      </c>
      <c r="X1494" s="72" t="inlineStr">
        <is>
          <t>GRN2526-0004264,GRN2526-0004838</t>
        </is>
      </c>
      <c r="Y1494" s="3" t="n">
        <v>45954</v>
      </c>
      <c r="Z1494" s="23" t="n"/>
      <c r="AA1494" s="17">
        <f>IF(RawDataGenPO[[#This Row],[Date Gen PO]]="","",RawDataGenPO[[#This Row],[Date recive bill]]-RawDataGenPO[[#This Row],[Date Gen PO]])</f>
        <v/>
      </c>
      <c r="AB1494" s="16">
        <f>IF(RawDataGenPO[[#This Row],[GRN-PO date]]&gt;RawDataGenPO[[#This Row],[Lead time delivery (day)]],"over deliverry","Ontime")</f>
        <v/>
      </c>
      <c r="AC1494" s="22" t="n"/>
    </row>
    <row r="1495" ht="22.79999923706055" customHeight="1">
      <c r="A1495" s="5">
        <f>ROW()-ROW(RawDataGenPO[[#Headers],[No.]])</f>
        <v/>
      </c>
      <c r="B1495" s="7" t="inlineStr">
        <is>
          <t>Expent  cost</t>
        </is>
      </c>
      <c r="C1495" s="275" t="n">
        <v>45909</v>
      </c>
      <c r="F1495" s="276" t="n">
        <v>45909</v>
      </c>
      <c r="G1495" s="18" t="inlineStr">
        <is>
          <t>PR2526-02227</t>
        </is>
      </c>
      <c r="H1495" s="5" t="inlineStr">
        <is>
          <t xml:space="preserve">PO2526-03234 </t>
        </is>
      </c>
      <c r="I1495" s="365" t="n">
        <v>45920</v>
      </c>
      <c r="J1495" s="56" t="n"/>
      <c r="K1495" s="20" t="n">
        <v>100</v>
      </c>
      <c r="L1495" s="5" t="inlineStr">
        <is>
          <t>SFST81000048</t>
        </is>
      </c>
      <c r="M1495" s="7" t="inlineStr">
        <is>
          <t>Foam &amp; Cleaning solution pump system</t>
        </is>
      </c>
      <c r="N1495" s="7" t="inlineStr">
        <is>
          <t>Cleaning solution pump No.1</t>
        </is>
      </c>
      <c r="O1495" s="11" t="n">
        <v>19</v>
      </c>
      <c r="P1495" s="10" t="inlineStr">
        <is>
          <t>Solenoid valve valvebrassyellow 1" inch</t>
        </is>
      </c>
      <c r="Q1495" s="277" t="n">
        <v>1</v>
      </c>
      <c r="R1495" s="5" t="inlineStr">
        <is>
          <t>PCS.</t>
        </is>
      </c>
      <c r="S1495" s="284">
        <f>RawDataGenPO[[#This Row],[Total price]]/RawDataGenPO[[#This Row],[Qty'']]</f>
        <v/>
      </c>
      <c r="T1495" s="278" t="n">
        <v>1490</v>
      </c>
      <c r="U1495" s="291" t="n"/>
      <c r="V1495" s="7" t="inlineStr">
        <is>
          <t>V1000743 - Waratep Nongpue</t>
        </is>
      </c>
      <c r="W1495" s="30" t="inlineStr">
        <is>
          <t>Recive bill and GRN already</t>
        </is>
      </c>
      <c r="X1495" s="72" t="inlineStr">
        <is>
          <t>GRN2526-0004264,GRN2526-0004838</t>
        </is>
      </c>
      <c r="Y1495" s="3" t="n">
        <v>45954</v>
      </c>
      <c r="Z1495" s="23" t="n"/>
      <c r="AA1495" s="17">
        <f>IF(RawDataGenPO[[#This Row],[Date Gen PO]]="","",RawDataGenPO[[#This Row],[Date recive bill]]-RawDataGenPO[[#This Row],[Date Gen PO]])</f>
        <v/>
      </c>
      <c r="AB1495" s="16">
        <f>IF(RawDataGenPO[[#This Row],[GRN-PO date]]&gt;RawDataGenPO[[#This Row],[Lead time delivery (day)]],"over deliverry","Ontime")</f>
        <v/>
      </c>
      <c r="AC1495" s="22" t="n"/>
    </row>
    <row r="1496" ht="22.79999923706055" customHeight="1">
      <c r="A1496" s="5">
        <f>ROW()-ROW(RawDataGenPO[[#Headers],[No.]])</f>
        <v/>
      </c>
      <c r="B1496" s="7" t="inlineStr">
        <is>
          <t>Expent  cost</t>
        </is>
      </c>
      <c r="C1496" s="275" t="n">
        <v>45909</v>
      </c>
      <c r="F1496" s="276" t="n">
        <v>45909</v>
      </c>
      <c r="G1496" s="18" t="inlineStr">
        <is>
          <t>PR2526-02227</t>
        </is>
      </c>
      <c r="H1496" s="5" t="inlineStr">
        <is>
          <t xml:space="preserve">PO2526-03234 </t>
        </is>
      </c>
      <c r="I1496" s="365" t="n">
        <v>45920</v>
      </c>
      <c r="J1496" s="56" t="n"/>
      <c r="K1496" s="20" t="n">
        <v>100</v>
      </c>
      <c r="L1496" s="5" t="inlineStr">
        <is>
          <t>SFST81000048</t>
        </is>
      </c>
      <c r="M1496" s="7" t="inlineStr">
        <is>
          <t>Foam &amp; Cleaning solution pump system</t>
        </is>
      </c>
      <c r="N1496" s="7" t="inlineStr">
        <is>
          <t>Cleaning solution pump No.1</t>
        </is>
      </c>
      <c r="O1496" s="11" t="n">
        <v>20</v>
      </c>
      <c r="P1496" s="10" t="inlineStr">
        <is>
          <t>Air solenoid solenoidm 1/4</t>
        </is>
      </c>
      <c r="Q1496" s="277" t="n">
        <v>1</v>
      </c>
      <c r="R1496" s="5" t="inlineStr">
        <is>
          <t>PCS.</t>
        </is>
      </c>
      <c r="S1496" s="284">
        <f>RawDataGenPO[[#This Row],[Total price]]/RawDataGenPO[[#This Row],[Qty'']]</f>
        <v/>
      </c>
      <c r="T1496" s="278" t="n">
        <v>1650</v>
      </c>
      <c r="U1496" s="291" t="n"/>
      <c r="V1496" s="7" t="inlineStr">
        <is>
          <t>V1000743 - Waratep Nongpue</t>
        </is>
      </c>
      <c r="W1496" s="30" t="inlineStr">
        <is>
          <t>Recive bill and GRN already</t>
        </is>
      </c>
      <c r="X1496" s="72" t="inlineStr">
        <is>
          <t>GRN2526-0004264,GRN2526-0004838</t>
        </is>
      </c>
      <c r="Y1496" s="3" t="n">
        <v>45954</v>
      </c>
      <c r="Z1496" s="23" t="n"/>
      <c r="AA1496" s="17">
        <f>IF(RawDataGenPO[[#This Row],[Date Gen PO]]="","",RawDataGenPO[[#This Row],[Date recive bill]]-RawDataGenPO[[#This Row],[Date Gen PO]])</f>
        <v/>
      </c>
      <c r="AB1496" s="16">
        <f>IF(RawDataGenPO[[#This Row],[GRN-PO date]]&gt;RawDataGenPO[[#This Row],[Lead time delivery (day)]],"over deliverry","Ontime")</f>
        <v/>
      </c>
      <c r="AC1496" s="22" t="n"/>
    </row>
    <row r="1497" ht="22.79999923706055" customHeight="1">
      <c r="A1497" s="5">
        <f>ROW()-ROW(RawDataGenPO[[#Headers],[No.]])</f>
        <v/>
      </c>
      <c r="B1497" s="7" t="inlineStr">
        <is>
          <t>Expent  cost</t>
        </is>
      </c>
      <c r="C1497" s="275" t="n">
        <v>45909</v>
      </c>
      <c r="F1497" s="276" t="n">
        <v>45909</v>
      </c>
      <c r="G1497" s="18" t="inlineStr">
        <is>
          <t>PR2526-02227</t>
        </is>
      </c>
      <c r="H1497" s="5" t="inlineStr">
        <is>
          <t xml:space="preserve">PO2526-03234 </t>
        </is>
      </c>
      <c r="I1497" s="365" t="n">
        <v>45920</v>
      </c>
      <c r="J1497" s="56" t="n"/>
      <c r="K1497" s="20" t="n">
        <v>100</v>
      </c>
      <c r="L1497" s="5" t="inlineStr">
        <is>
          <t>SFST81000048</t>
        </is>
      </c>
      <c r="M1497" s="7" t="inlineStr">
        <is>
          <t>Foam &amp; Cleaning solution pump system</t>
        </is>
      </c>
      <c r="N1497" s="7" t="inlineStr">
        <is>
          <t>Cleaning solution pump No.1</t>
        </is>
      </c>
      <c r="O1497" s="11" t="n">
        <v>21</v>
      </c>
      <c r="P1497" s="10" t="inlineStr">
        <is>
          <t>Tank PE 500 Ltr. K=395 mm. waterchemicalwhite</t>
        </is>
      </c>
      <c r="Q1497" s="277" t="n">
        <v>1</v>
      </c>
      <c r="R1497" s="5" t="inlineStr">
        <is>
          <t>PCS.</t>
        </is>
      </c>
      <c r="S1497" s="284">
        <f>RawDataGenPO[[#This Row],[Total price]]/RawDataGenPO[[#This Row],[Qty'']]</f>
        <v/>
      </c>
      <c r="T1497" s="278" t="n">
        <v>16500</v>
      </c>
      <c r="U1497" s="291" t="n"/>
      <c r="V1497" s="7" t="inlineStr">
        <is>
          <t>V1000743 - Waratep Nongpue</t>
        </is>
      </c>
      <c r="W1497" s="30" t="inlineStr">
        <is>
          <t>Recive bill and GRN already</t>
        </is>
      </c>
      <c r="X1497" s="72" t="inlineStr">
        <is>
          <t>GRN2526-0004264,GRN2526-0004838</t>
        </is>
      </c>
      <c r="Y1497" s="3" t="n">
        <v>45954</v>
      </c>
      <c r="Z1497" s="23" t="n"/>
      <c r="AA1497" s="17">
        <f>IF(RawDataGenPO[[#This Row],[Date Gen PO]]="","",RawDataGenPO[[#This Row],[Date recive bill]]-RawDataGenPO[[#This Row],[Date Gen PO]])</f>
        <v/>
      </c>
      <c r="AB1497" s="16">
        <f>IF(RawDataGenPO[[#This Row],[GRN-PO date]]&gt;RawDataGenPO[[#This Row],[Lead time delivery (day)]],"over deliverry","Ontime")</f>
        <v/>
      </c>
      <c r="AC1497" s="22" t="n"/>
    </row>
    <row r="1498" ht="22.79999923706055" customHeight="1">
      <c r="A1498" s="5">
        <f>ROW()-ROW(RawDataGenPO[[#Headers],[No.]])</f>
        <v/>
      </c>
      <c r="B1498" s="7" t="inlineStr">
        <is>
          <t>Expent  cost</t>
        </is>
      </c>
      <c r="C1498" s="275" t="n">
        <v>45909</v>
      </c>
      <c r="F1498" s="276" t="n">
        <v>45909</v>
      </c>
      <c r="G1498" s="18" t="inlineStr">
        <is>
          <t>PR2526-02227</t>
        </is>
      </c>
      <c r="H1498" s="5" t="inlineStr">
        <is>
          <t xml:space="preserve">PO2526-03234 </t>
        </is>
      </c>
      <c r="I1498" s="365" t="n">
        <v>45920</v>
      </c>
      <c r="J1498" s="56" t="n"/>
      <c r="K1498" s="20" t="n">
        <v>100</v>
      </c>
      <c r="L1498" s="5" t="inlineStr">
        <is>
          <t>SFST81000048</t>
        </is>
      </c>
      <c r="M1498" s="7" t="inlineStr">
        <is>
          <t>Foam &amp; Cleaning solution pump system</t>
        </is>
      </c>
      <c r="N1498" s="7" t="inlineStr">
        <is>
          <t>Cleaning solution pump No.1</t>
        </is>
      </c>
      <c r="O1498" s="11" t="n">
        <v>22</v>
      </c>
      <c r="P1498" s="10" t="inlineStr">
        <is>
          <t>Air Regulator Wadjustmandwaterwithpcs</t>
        </is>
      </c>
      <c r="Q1498" s="277" t="n">
        <v>1</v>
      </c>
      <c r="R1498" s="5" t="inlineStr">
        <is>
          <t>PCS.</t>
        </is>
      </c>
      <c r="S1498" s="284">
        <f>RawDataGenPO[[#This Row],[Total price]]/RawDataGenPO[[#This Row],[Qty'']]</f>
        <v/>
      </c>
      <c r="T1498" s="278" t="n">
        <v>6800</v>
      </c>
      <c r="U1498" s="291" t="n"/>
      <c r="V1498" s="7" t="inlineStr">
        <is>
          <t>V1000743 - Waratep Nongpue</t>
        </is>
      </c>
      <c r="W1498" s="30" t="inlineStr">
        <is>
          <t>Recive bill and GRN already</t>
        </is>
      </c>
      <c r="X1498" s="72" t="inlineStr">
        <is>
          <t>GRN2526-0004264,GRN2526-0004838</t>
        </is>
      </c>
      <c r="Y1498" s="3" t="n">
        <v>45954</v>
      </c>
      <c r="Z1498" s="23" t="n"/>
      <c r="AA1498" s="17">
        <f>IF(RawDataGenPO[[#This Row],[Date Gen PO]]="","",RawDataGenPO[[#This Row],[Date recive bill]]-RawDataGenPO[[#This Row],[Date Gen PO]])</f>
        <v/>
      </c>
      <c r="AB1498" s="16">
        <f>IF(RawDataGenPO[[#This Row],[GRN-PO date]]&gt;RawDataGenPO[[#This Row],[Lead time delivery (day)]],"over deliverry","Ontime")</f>
        <v/>
      </c>
      <c r="AC1498" s="22" t="n"/>
    </row>
    <row r="1499" ht="22.79999923706055" customHeight="1">
      <c r="A1499" s="5">
        <f>ROW()-ROW(RawDataGenPO[[#Headers],[No.]])</f>
        <v/>
      </c>
      <c r="B1499" s="7" t="inlineStr">
        <is>
          <t>Expent  cost</t>
        </is>
      </c>
      <c r="C1499" s="275" t="n">
        <v>45909</v>
      </c>
      <c r="F1499" s="276" t="n">
        <v>45909</v>
      </c>
      <c r="G1499" s="18" t="inlineStr">
        <is>
          <t>PR2526-02227</t>
        </is>
      </c>
      <c r="H1499" s="5" t="inlineStr">
        <is>
          <t xml:space="preserve">PO2526-03234 </t>
        </is>
      </c>
      <c r="I1499" s="365" t="n">
        <v>45920</v>
      </c>
      <c r="J1499" s="56" t="n"/>
      <c r="K1499" s="20" t="n">
        <v>100</v>
      </c>
      <c r="L1499" s="5" t="inlineStr">
        <is>
          <t>SFST81000048</t>
        </is>
      </c>
      <c r="M1499" s="7" t="inlineStr">
        <is>
          <t>Foam &amp; Cleaning solution pump system</t>
        </is>
      </c>
      <c r="N1499" s="7" t="inlineStr">
        <is>
          <t>Cleaning solution pump No.1</t>
        </is>
      </c>
      <c r="O1499" s="11" t="n">
        <v>23</v>
      </c>
      <c r="P1499" s="10" t="inlineStr">
        <is>
          <t>pipewaterchemicalconnectorinlet Tank</t>
        </is>
      </c>
      <c r="Q1499" s="277" t="n">
        <v>1</v>
      </c>
      <c r="R1499" s="5" t="inlineStr">
        <is>
          <t>PCS.</t>
        </is>
      </c>
      <c r="S1499" s="284">
        <f>RawDataGenPO[[#This Row],[Total price]]/RawDataGenPO[[#This Row],[Qty'']]</f>
        <v/>
      </c>
      <c r="T1499" s="278" t="n">
        <v>1450</v>
      </c>
      <c r="U1499" s="291" t="n"/>
      <c r="V1499" s="7" t="inlineStr">
        <is>
          <t>V1000743 - Waratep Nongpue</t>
        </is>
      </c>
      <c r="W1499" s="30" t="inlineStr">
        <is>
          <t>Recive bill and GRN already</t>
        </is>
      </c>
      <c r="X1499" s="72" t="inlineStr">
        <is>
          <t>GRN2526-0004264,GRN2526-0004838</t>
        </is>
      </c>
      <c r="Y1499" s="3" t="n">
        <v>45954</v>
      </c>
      <c r="Z1499" s="23" t="n"/>
      <c r="AA1499" s="17">
        <f>IF(RawDataGenPO[[#This Row],[Date Gen PO]]="","",RawDataGenPO[[#This Row],[Date recive bill]]-RawDataGenPO[[#This Row],[Date Gen PO]])</f>
        <v/>
      </c>
      <c r="AB1499" s="16">
        <f>IF(RawDataGenPO[[#This Row],[GRN-PO date]]&gt;RawDataGenPO[[#This Row],[Lead time delivery (day)]],"over deliverry","Ontime")</f>
        <v/>
      </c>
      <c r="AC1499" s="22" t="n"/>
    </row>
    <row r="1500" ht="22.79999923706055" customHeight="1">
      <c r="A1500" s="5">
        <f>ROW()-ROW(RawDataGenPO[[#Headers],[No.]])</f>
        <v/>
      </c>
      <c r="B1500" s="7" t="inlineStr">
        <is>
          <t>Expent  cost</t>
        </is>
      </c>
      <c r="C1500" s="275" t="n">
        <v>45909</v>
      </c>
      <c r="F1500" s="276" t="n">
        <v>45909</v>
      </c>
      <c r="G1500" s="18" t="inlineStr">
        <is>
          <t>PR2526-02227</t>
        </is>
      </c>
      <c r="H1500" s="5" t="inlineStr">
        <is>
          <t xml:space="preserve">PO2526-03234 </t>
        </is>
      </c>
      <c r="I1500" s="365" t="n">
        <v>45920</v>
      </c>
      <c r="J1500" s="56" t="n"/>
      <c r="K1500" s="20" t="n">
        <v>100</v>
      </c>
      <c r="L1500" s="5" t="inlineStr">
        <is>
          <t>SFST81000048</t>
        </is>
      </c>
      <c r="M1500" s="7" t="inlineStr">
        <is>
          <t>Foam &amp; Cleaning solution pump system</t>
        </is>
      </c>
      <c r="N1500" s="7" t="inlineStr">
        <is>
          <t>Cleaning solution pump No.1</t>
        </is>
      </c>
      <c r="O1500" s="11" t="n">
        <v>24</v>
      </c>
      <c r="P1500" s="10" t="inlineStr">
        <is>
          <t>Sensor measuringsystemwaterchemical Low</t>
        </is>
      </c>
      <c r="Q1500" s="277" t="n">
        <v>1</v>
      </c>
      <c r="R1500" s="5" t="inlineStr">
        <is>
          <t>PCS.</t>
        </is>
      </c>
      <c r="S1500" s="284">
        <f>RawDataGenPO[[#This Row],[Total price]]/RawDataGenPO[[#This Row],[Qty'']]</f>
        <v/>
      </c>
      <c r="T1500" s="278" t="n">
        <v>2450</v>
      </c>
      <c r="U1500" s="291" t="n"/>
      <c r="V1500" s="7" t="inlineStr">
        <is>
          <t>V1000743 - Waratep Nongpue</t>
        </is>
      </c>
      <c r="W1500" s="30" t="inlineStr">
        <is>
          <t>Recive bill and GRN already</t>
        </is>
      </c>
      <c r="X1500" s="72" t="inlineStr">
        <is>
          <t>GRN2526-0004264,GRN2526-0004838</t>
        </is>
      </c>
      <c r="Y1500" s="3" t="n">
        <v>45954</v>
      </c>
      <c r="Z1500" s="23" t="n"/>
      <c r="AA1500" s="17">
        <f>IF(RawDataGenPO[[#This Row],[Date Gen PO]]="","",RawDataGenPO[[#This Row],[Date recive bill]]-RawDataGenPO[[#This Row],[Date Gen PO]])</f>
        <v/>
      </c>
      <c r="AB1500" s="16">
        <f>IF(RawDataGenPO[[#This Row],[GRN-PO date]]&gt;RawDataGenPO[[#This Row],[Lead time delivery (day)]],"over deliverry","Ontime")</f>
        <v/>
      </c>
      <c r="AC1500" s="22" t="n"/>
    </row>
    <row r="1501" ht="22.79999923706055" customHeight="1">
      <c r="A1501" s="5">
        <f>ROW()-ROW(RawDataGenPO[[#Headers],[No.]])</f>
        <v/>
      </c>
      <c r="B1501" s="7" t="inlineStr">
        <is>
          <t>Expent  cost</t>
        </is>
      </c>
      <c r="C1501" s="275" t="n">
        <v>45909</v>
      </c>
      <c r="F1501" s="276" t="n">
        <v>45909</v>
      </c>
      <c r="G1501" s="18" t="inlineStr">
        <is>
          <t>PR2526-02227</t>
        </is>
      </c>
      <c r="H1501" s="5" t="inlineStr">
        <is>
          <t xml:space="preserve">PO2526-03234 </t>
        </is>
      </c>
      <c r="I1501" s="365" t="n">
        <v>45920</v>
      </c>
      <c r="J1501" s="56" t="n"/>
      <c r="K1501" s="20" t="n">
        <v>100</v>
      </c>
      <c r="L1501" s="5" t="inlineStr">
        <is>
          <t>SFST81000048</t>
        </is>
      </c>
      <c r="M1501" s="7" t="inlineStr">
        <is>
          <t>Foam &amp; Cleaning solution pump system</t>
        </is>
      </c>
      <c r="N1501" s="7" t="inlineStr">
        <is>
          <t>Cleaning solution pump No.1</t>
        </is>
      </c>
      <c r="O1501" s="11" t="n">
        <v>25</v>
      </c>
      <c r="P1501" s="10" t="inlineStr">
        <is>
          <t>Sensor measuringsystemwaterchemical Hight</t>
        </is>
      </c>
      <c r="Q1501" s="277" t="n">
        <v>1</v>
      </c>
      <c r="R1501" s="5" t="inlineStr">
        <is>
          <t>PCS.</t>
        </is>
      </c>
      <c r="S1501" s="284">
        <f>RawDataGenPO[[#This Row],[Total price]]/RawDataGenPO[[#This Row],[Qty'']]</f>
        <v/>
      </c>
      <c r="T1501" s="278" t="n">
        <v>2450</v>
      </c>
      <c r="U1501" s="291" t="n"/>
      <c r="V1501" s="7" t="inlineStr">
        <is>
          <t>V1000743 - Waratep Nongpue</t>
        </is>
      </c>
      <c r="W1501" s="30" t="inlineStr">
        <is>
          <t>Recive bill and GRN already</t>
        </is>
      </c>
      <c r="X1501" s="72" t="inlineStr">
        <is>
          <t>GRN2526-0004264,GRN2526-0004838</t>
        </is>
      </c>
      <c r="Y1501" s="3" t="n">
        <v>45954</v>
      </c>
      <c r="Z1501" s="23" t="n"/>
      <c r="AA1501" s="17">
        <f>IF(RawDataGenPO[[#This Row],[Date Gen PO]]="","",RawDataGenPO[[#This Row],[Date recive bill]]-RawDataGenPO[[#This Row],[Date Gen PO]])</f>
        <v/>
      </c>
      <c r="AB1501" s="16">
        <f>IF(RawDataGenPO[[#This Row],[GRN-PO date]]&gt;RawDataGenPO[[#This Row],[Lead time delivery (day)]],"over deliverry","Ontime")</f>
        <v/>
      </c>
      <c r="AC1501" s="22" t="n"/>
    </row>
    <row r="1502" ht="22.79999923706055" customHeight="1">
      <c r="A1502" s="5">
        <f>ROW()-ROW(RawDataGenPO[[#Headers],[No.]])</f>
        <v/>
      </c>
      <c r="B1502" s="7" t="inlineStr">
        <is>
          <t>Expent  cost</t>
        </is>
      </c>
      <c r="C1502" s="275" t="n">
        <v>45909</v>
      </c>
      <c r="F1502" s="276" t="n">
        <v>45909</v>
      </c>
      <c r="G1502" s="18" t="inlineStr">
        <is>
          <t>PR2526-02227</t>
        </is>
      </c>
      <c r="H1502" s="5" t="inlineStr">
        <is>
          <t xml:space="preserve">PO2526-03234 </t>
        </is>
      </c>
      <c r="I1502" s="365" t="n">
        <v>45920</v>
      </c>
      <c r="J1502" s="56" t="n"/>
      <c r="K1502" s="20" t="n">
        <v>100</v>
      </c>
      <c r="L1502" s="5" t="inlineStr">
        <is>
          <t>SFST81000048</t>
        </is>
      </c>
      <c r="M1502" s="7" t="inlineStr">
        <is>
          <t>Foam &amp; Cleaning solution pump system</t>
        </is>
      </c>
      <c r="N1502" s="7" t="inlineStr">
        <is>
          <t>Cleaning solution pump No.1</t>
        </is>
      </c>
      <c r="O1502" s="11" t="n">
        <v>26</v>
      </c>
      <c r="P1502" s="10" t="inlineStr">
        <is>
          <t>valve 24vdc</t>
        </is>
      </c>
      <c r="Q1502" s="277" t="n">
        <v>2</v>
      </c>
      <c r="R1502" s="5" t="inlineStr">
        <is>
          <t>PCS.</t>
        </is>
      </c>
      <c r="S1502" s="284">
        <f>RawDataGenPO[[#This Row],[Total price]]/RawDataGenPO[[#This Row],[Qty'']]</f>
        <v/>
      </c>
      <c r="T1502" s="278" t="n">
        <v>3200</v>
      </c>
      <c r="U1502" s="291" t="n"/>
      <c r="V1502" s="7" t="inlineStr">
        <is>
          <t>V1000743 - Waratep Nongpue</t>
        </is>
      </c>
      <c r="W1502" s="30" t="inlineStr">
        <is>
          <t>Recive bill and GRN already</t>
        </is>
      </c>
      <c r="X1502" s="72" t="inlineStr">
        <is>
          <t>GRN2526-0004264,GRN2526-0004838</t>
        </is>
      </c>
      <c r="Y1502" s="3" t="n">
        <v>45954</v>
      </c>
      <c r="Z1502" s="23" t="n"/>
      <c r="AA1502" s="17">
        <f>IF(RawDataGenPO[[#This Row],[Date Gen PO]]="","",RawDataGenPO[[#This Row],[Date recive bill]]-RawDataGenPO[[#This Row],[Date Gen PO]])</f>
        <v/>
      </c>
      <c r="AB1502" s="16">
        <f>IF(RawDataGenPO[[#This Row],[GRN-PO date]]&gt;RawDataGenPO[[#This Row],[Lead time delivery (day)]],"over deliverry","Ontime")</f>
        <v/>
      </c>
      <c r="AC1502" s="22" t="n"/>
    </row>
    <row r="1503" ht="22.79999923706055" customHeight="1">
      <c r="A1503" s="5">
        <f>ROW()-ROW(RawDataGenPO[[#Headers],[No.]])</f>
        <v/>
      </c>
      <c r="B1503" s="7" t="inlineStr">
        <is>
          <t>Expent  cost</t>
        </is>
      </c>
      <c r="C1503" s="275" t="n">
        <v>45909</v>
      </c>
      <c r="F1503" s="276" t="n">
        <v>45909</v>
      </c>
      <c r="G1503" s="18" t="inlineStr">
        <is>
          <t>PR2526-02227</t>
        </is>
      </c>
      <c r="H1503" s="5" t="inlineStr">
        <is>
          <t xml:space="preserve">PO2526-03234 </t>
        </is>
      </c>
      <c r="I1503" s="365" t="n">
        <v>45920</v>
      </c>
      <c r="J1503" s="56" t="n"/>
      <c r="K1503" s="20" t="n">
        <v>100</v>
      </c>
      <c r="L1503" s="5" t="inlineStr">
        <is>
          <t>SFST81000048</t>
        </is>
      </c>
      <c r="M1503" s="7" t="inlineStr">
        <is>
          <t>Foam &amp; Cleaning solution pump system</t>
        </is>
      </c>
      <c r="N1503" s="7" t="inlineStr">
        <is>
          <t>Cleaning solution pump No.1</t>
        </is>
      </c>
      <c r="O1503" s="11" t="n">
        <v>27</v>
      </c>
      <c r="P1503" s="10" t="inlineStr">
        <is>
          <t>Pressuer gauge Sumo</t>
        </is>
      </c>
      <c r="Q1503" s="277" t="n">
        <v>2</v>
      </c>
      <c r="R1503" s="5" t="inlineStr">
        <is>
          <t>PCS.</t>
        </is>
      </c>
      <c r="S1503" s="284">
        <f>RawDataGenPO[[#This Row],[Total price]]/RawDataGenPO[[#This Row],[Qty'']]</f>
        <v/>
      </c>
      <c r="T1503" s="278" t="n">
        <v>6400</v>
      </c>
      <c r="U1503" s="291" t="n"/>
      <c r="V1503" s="7" t="inlineStr">
        <is>
          <t>V1000743 - Waratep Nongpue</t>
        </is>
      </c>
      <c r="W1503" s="30" t="inlineStr">
        <is>
          <t>Recive bill and GRN already</t>
        </is>
      </c>
      <c r="X1503" s="72" t="inlineStr">
        <is>
          <t>GRN2526-0004264,GRN2526-0004838</t>
        </is>
      </c>
      <c r="Y1503" s="3" t="n">
        <v>45954</v>
      </c>
      <c r="Z1503" s="23" t="n"/>
      <c r="AA1503" s="17">
        <f>IF(RawDataGenPO[[#This Row],[Date Gen PO]]="","",RawDataGenPO[[#This Row],[Date recive bill]]-RawDataGenPO[[#This Row],[Date Gen PO]])</f>
        <v/>
      </c>
      <c r="AB1503" s="16">
        <f>IF(RawDataGenPO[[#This Row],[GRN-PO date]]&gt;RawDataGenPO[[#This Row],[Lead time delivery (day)]],"over deliverry","Ontime")</f>
        <v/>
      </c>
      <c r="AC1503" s="22" t="n"/>
    </row>
    <row r="1504" ht="22.79999923706055" customHeight="1">
      <c r="A1504" s="5">
        <f>ROW()-ROW(RawDataGenPO[[#Headers],[No.]])</f>
        <v/>
      </c>
      <c r="B1504" s="7" t="inlineStr">
        <is>
          <t>Expent  cost</t>
        </is>
      </c>
      <c r="C1504" s="275" t="n">
        <v>45909</v>
      </c>
      <c r="F1504" s="276" t="n">
        <v>45909</v>
      </c>
      <c r="G1504" s="18" t="inlineStr">
        <is>
          <t>PR2526-02227</t>
        </is>
      </c>
      <c r="H1504" s="5" t="inlineStr">
        <is>
          <t xml:space="preserve">PO2526-03234 </t>
        </is>
      </c>
      <c r="I1504" s="365" t="n">
        <v>45920</v>
      </c>
      <c r="J1504" s="56" t="n"/>
      <c r="K1504" s="20" t="n">
        <v>100</v>
      </c>
      <c r="L1504" s="5" t="inlineStr">
        <is>
          <t>SFST81000048</t>
        </is>
      </c>
      <c r="M1504" s="7" t="inlineStr">
        <is>
          <t>Foam &amp; Cleaning solution pump system</t>
        </is>
      </c>
      <c r="N1504" s="7" t="inlineStr">
        <is>
          <t>Cleaning solution pump No.1</t>
        </is>
      </c>
      <c r="O1504" s="11" t="n">
        <v>28</v>
      </c>
      <c r="P1504" s="10" t="inlineStr">
        <is>
          <t>valvestainless steel 304 1" inch kit pipe</t>
        </is>
      </c>
      <c r="Q1504" s="277" t="n">
        <v>1</v>
      </c>
      <c r="R1504" s="5" t="inlineStr">
        <is>
          <t>PCS.</t>
        </is>
      </c>
      <c r="S1504" s="284">
        <f>RawDataGenPO[[#This Row],[Total price]]/RawDataGenPO[[#This Row],[Qty'']]</f>
        <v/>
      </c>
      <c r="T1504" s="278" t="n">
        <v>4000</v>
      </c>
      <c r="U1504" s="291" t="n"/>
      <c r="V1504" s="7" t="inlineStr">
        <is>
          <t>V1000743 - Waratep Nongpue</t>
        </is>
      </c>
      <c r="W1504" s="30" t="inlineStr">
        <is>
          <t>Recive bill and GRN already</t>
        </is>
      </c>
      <c r="X1504" s="72" t="inlineStr">
        <is>
          <t>GRN2526-0004264,GRN2526-0004838</t>
        </is>
      </c>
      <c r="Y1504" s="3" t="n">
        <v>45954</v>
      </c>
      <c r="Z1504" s="23" t="n"/>
      <c r="AA1504" s="17">
        <f>IF(RawDataGenPO[[#This Row],[Date Gen PO]]="","",RawDataGenPO[[#This Row],[Date recive bill]]-RawDataGenPO[[#This Row],[Date Gen PO]])</f>
        <v/>
      </c>
      <c r="AB1504" s="16">
        <f>IF(RawDataGenPO[[#This Row],[GRN-PO date]]&gt;RawDataGenPO[[#This Row],[Lead time delivery (day)]],"over deliverry","Ontime")</f>
        <v/>
      </c>
      <c r="AC1504" s="22" t="n"/>
    </row>
    <row r="1505" ht="22.79999923706055" customHeight="1">
      <c r="A1505" s="5">
        <f>ROW()-ROW(RawDataGenPO[[#Headers],[No.]])</f>
        <v/>
      </c>
      <c r="B1505" s="7" t="inlineStr">
        <is>
          <t>Expent  cost</t>
        </is>
      </c>
      <c r="C1505" s="275" t="n">
        <v>45909</v>
      </c>
      <c r="F1505" s="276" t="n">
        <v>45909</v>
      </c>
      <c r="G1505" s="18" t="inlineStr">
        <is>
          <t>PR2526-02227</t>
        </is>
      </c>
      <c r="H1505" s="5" t="inlineStr">
        <is>
          <t xml:space="preserve">PO2526-03234 </t>
        </is>
      </c>
      <c r="I1505" s="365" t="n">
        <v>45920</v>
      </c>
      <c r="J1505" s="56" t="n"/>
      <c r="K1505" s="20" t="n">
        <v>100</v>
      </c>
      <c r="L1505" s="5" t="inlineStr">
        <is>
          <t>SFST81000048</t>
        </is>
      </c>
      <c r="M1505" s="7" t="inlineStr">
        <is>
          <t>Foam &amp; Cleaning solution pump system</t>
        </is>
      </c>
      <c r="N1505" s="7" t="inlineStr">
        <is>
          <t>Cleaning solution pump No.1</t>
        </is>
      </c>
      <c r="O1505" s="11" t="n">
        <v>29</v>
      </c>
      <c r="P1505" s="10" t="inlineStr">
        <is>
          <t>air line 8 mm.</t>
        </is>
      </c>
      <c r="Q1505" s="277" t="n">
        <v>1</v>
      </c>
      <c r="R1505" s="5" t="inlineStr">
        <is>
          <t>PCS.</t>
        </is>
      </c>
      <c r="S1505" s="284">
        <f>RawDataGenPO[[#This Row],[Total price]]/RawDataGenPO[[#This Row],[Qty'']]</f>
        <v/>
      </c>
      <c r="T1505" s="278" t="n">
        <v>2500</v>
      </c>
      <c r="U1505" s="291" t="n"/>
      <c r="V1505" s="7" t="inlineStr">
        <is>
          <t>V1000743 - Waratep Nongpue</t>
        </is>
      </c>
      <c r="W1505" s="30" t="inlineStr">
        <is>
          <t>Recive bill and GRN already</t>
        </is>
      </c>
      <c r="X1505" s="72" t="inlineStr">
        <is>
          <t>GRN2526-0004264,GRN2526-0004838</t>
        </is>
      </c>
      <c r="Y1505" s="3" t="n">
        <v>45954</v>
      </c>
      <c r="Z1505" s="23" t="n"/>
      <c r="AA1505" s="17">
        <f>IF(RawDataGenPO[[#This Row],[Date Gen PO]]="","",RawDataGenPO[[#This Row],[Date recive bill]]-RawDataGenPO[[#This Row],[Date Gen PO]])</f>
        <v/>
      </c>
      <c r="AB1505" s="16">
        <f>IF(RawDataGenPO[[#This Row],[GRN-PO date]]&gt;RawDataGenPO[[#This Row],[Lead time delivery (day)]],"over deliverry","Ontime")</f>
        <v/>
      </c>
      <c r="AC1505" s="22" t="n"/>
    </row>
    <row r="1506" ht="15" customHeight="1">
      <c r="A1506" s="5">
        <f>ROW()-ROW(RawDataGenPO[[#Headers],[No.]])</f>
        <v/>
      </c>
      <c r="B1506" s="7" t="inlineStr">
        <is>
          <t>Expent  cost</t>
        </is>
      </c>
      <c r="C1506" s="275" t="n">
        <v>45909</v>
      </c>
      <c r="F1506" s="276" t="n">
        <v>45909</v>
      </c>
      <c r="G1506" s="5" t="inlineStr">
        <is>
          <t>PR2526-02229</t>
        </is>
      </c>
      <c r="H1506" s="5" t="inlineStr">
        <is>
          <t>PO2526-03203</t>
        </is>
      </c>
      <c r="I1506" s="286" t="n">
        <v>45916</v>
      </c>
      <c r="J1506" s="56" t="n"/>
      <c r="K1506" s="20" t="n">
        <v>30</v>
      </c>
      <c r="L1506" s="5" t="inlineStr">
        <is>
          <t>SFST34000093</t>
        </is>
      </c>
      <c r="M1506" s="7" t="inlineStr">
        <is>
          <t>Consumable part for MN</t>
        </is>
      </c>
      <c r="N1506" s="7" t="inlineStr">
        <is>
          <t>Cevil quipment  &amp; Part</t>
        </is>
      </c>
      <c r="O1506" s="11" t="n">
        <v>1</v>
      </c>
      <c r="P1506" s="10" t="inlineStr">
        <is>
          <t>welding rod size 2.4 mm. (light blue)</t>
        </is>
      </c>
      <c r="Q1506" s="277" t="n">
        <v>4</v>
      </c>
      <c r="R1506" s="5" t="inlineStr">
        <is>
          <t>PCS.</t>
        </is>
      </c>
      <c r="S1506" s="284">
        <f>RawDataGenPO[[#This Row],[Total price]]/RawDataGenPO[[#This Row],[Qty'']]</f>
        <v/>
      </c>
      <c r="U1506" s="291" t="n"/>
      <c r="V1506" s="7" t="inlineStr">
        <is>
          <t>V1000259 - JJP SUPPLY CO., LTD</t>
        </is>
      </c>
      <c r="W1506" s="30" t="inlineStr">
        <is>
          <t>Recive bill and GRN already</t>
        </is>
      </c>
      <c r="X1506" s="5" t="inlineStr">
        <is>
          <t>GRN2526-0004108</t>
        </is>
      </c>
      <c r="Y1506" s="3" t="n">
        <v>45923</v>
      </c>
      <c r="Z1506" s="23" t="n"/>
      <c r="AA1506" s="17">
        <f>IF(RawDataGenPO[[#This Row],[Date Gen PO]]="","",RawDataGenPO[[#This Row],[Date recive bill]]-RawDataGenPO[[#This Row],[Date Gen PO]])</f>
        <v/>
      </c>
      <c r="AB1506" s="16">
        <f>IF(RawDataGenPO[[#This Row],[GRN-PO date]]&gt;RawDataGenPO[[#This Row],[Lead time delivery (day)]],"over deliverry","Ontime")</f>
        <v/>
      </c>
      <c r="AC1506" s="22" t="n"/>
    </row>
    <row r="1507" ht="15" customHeight="1">
      <c r="A1507" s="5">
        <f>ROW()-ROW(RawDataGenPO[[#Headers],[No.]])</f>
        <v/>
      </c>
      <c r="B1507" s="7" t="inlineStr">
        <is>
          <t>Expent  cost</t>
        </is>
      </c>
      <c r="C1507" s="275" t="n">
        <v>45909</v>
      </c>
      <c r="F1507" s="276" t="n">
        <v>45909</v>
      </c>
      <c r="G1507" s="5" t="inlineStr">
        <is>
          <t>PR2526-02263</t>
        </is>
      </c>
      <c r="H1507" s="5" t="inlineStr">
        <is>
          <t>PO2526-03206</t>
        </is>
      </c>
      <c r="I1507" s="286" t="n">
        <v>45915</v>
      </c>
      <c r="J1507" s="56" t="n"/>
      <c r="K1507" s="20" t="n">
        <v>30</v>
      </c>
      <c r="L1507" s="5" t="inlineStr">
        <is>
          <t>SFST34000053</t>
        </is>
      </c>
      <c r="M1507" s="7" t="inlineStr">
        <is>
          <t>Refrigerant-oil for cooling M/C</t>
        </is>
      </c>
      <c r="N1507" s="7" t="inlineStr">
        <is>
          <t>Refrigerant</t>
        </is>
      </c>
      <c r="O1507" s="11" t="n">
        <v>1</v>
      </c>
      <c r="P1507" s="71" t="inlineStr">
        <is>
          <t>R410A Refrigerant,(1 Tank 11.3 kg/Tank)</t>
        </is>
      </c>
      <c r="Q1507" s="352" t="n">
        <v>4</v>
      </c>
      <c r="R1507" s="69" t="inlineStr">
        <is>
          <t>DRUM.</t>
        </is>
      </c>
      <c r="S1507" s="366">
        <f>RawDataGenPO[[#This Row],[Total price]]/RawDataGenPO[[#This Row],[Qty'']]</f>
        <v/>
      </c>
      <c r="T1507" s="354" t="n">
        <v>10800</v>
      </c>
      <c r="U1507" s="291" t="n"/>
      <c r="V1507" s="7" t="inlineStr">
        <is>
          <t>V1000109 - Coolconnection Co., Ltd</t>
        </is>
      </c>
      <c r="W1507" s="30" t="inlineStr">
        <is>
          <t>Recive bill and GRN already</t>
        </is>
      </c>
      <c r="X1507" s="5" t="inlineStr">
        <is>
          <t>GRN2526-0003909</t>
        </is>
      </c>
      <c r="Y1507" s="3" t="n">
        <v>45916</v>
      </c>
      <c r="Z1507" s="23" t="n"/>
      <c r="AA1507" s="17">
        <f>IF(RawDataGenPO[[#This Row],[Date Gen PO]]="","",RawDataGenPO[[#This Row],[Date recive bill]]-RawDataGenPO[[#This Row],[Date Gen PO]])</f>
        <v/>
      </c>
      <c r="AB1507" s="16">
        <f>IF(RawDataGenPO[[#This Row],[GRN-PO date]]&gt;RawDataGenPO[[#This Row],[Lead time delivery (day)]],"over deliverry","Ontime")</f>
        <v/>
      </c>
      <c r="AC1507" s="22" t="n"/>
    </row>
    <row r="1508" ht="15" customHeight="1">
      <c r="A1508" s="5">
        <f>ROW()-ROW(RawDataGenPO[[#Headers],[No.]])</f>
        <v/>
      </c>
      <c r="B1508" s="7" t="inlineStr">
        <is>
          <t>Expent  cost</t>
        </is>
      </c>
      <c r="C1508" s="275" t="n">
        <v>45910</v>
      </c>
      <c r="F1508" s="276" t="n">
        <v>45910</v>
      </c>
      <c r="G1508" s="5" t="inlineStr">
        <is>
          <t>PR2526-02264</t>
        </is>
      </c>
      <c r="H1508" s="5" t="inlineStr">
        <is>
          <t>PO2526-03205</t>
        </is>
      </c>
      <c r="I1508" s="286" t="n">
        <v>45915</v>
      </c>
      <c r="J1508" s="56" t="n"/>
      <c r="K1508" s="20" t="n">
        <v>30</v>
      </c>
      <c r="L1508" s="5" t="inlineStr">
        <is>
          <t>SFST34000054</t>
        </is>
      </c>
      <c r="M1508" s="7" t="inlineStr">
        <is>
          <t>Refrigerant-oil for cooling M/C</t>
        </is>
      </c>
      <c r="N1508" s="7" t="inlineStr">
        <is>
          <t>Refrigerant</t>
        </is>
      </c>
      <c r="O1508" s="11" t="n">
        <v>2</v>
      </c>
      <c r="P1508" s="66" t="inlineStr">
        <is>
          <t>R507 Refrigerant,(1 Tank 11.3 kg/Tank)</t>
        </is>
      </c>
      <c r="Q1508" s="333" t="n">
        <v>20</v>
      </c>
      <c r="R1508" s="64" t="inlineStr">
        <is>
          <t>DRUM.</t>
        </is>
      </c>
      <c r="S1508" s="350">
        <f>RawDataGenPO[[#This Row],[Total price]]/RawDataGenPO[[#This Row],[Qty'']]</f>
        <v/>
      </c>
      <c r="T1508" s="335" t="n">
        <v>49000</v>
      </c>
      <c r="U1508" s="291" t="n"/>
      <c r="V1508" s="7" t="inlineStr">
        <is>
          <t>V1000109 - Coolconnection Co., Ltd</t>
        </is>
      </c>
      <c r="W1508" s="30" t="inlineStr">
        <is>
          <t>Recive bill and GRN already</t>
        </is>
      </c>
      <c r="X1508" s="5" t="inlineStr">
        <is>
          <t>GRN2526-0003910</t>
        </is>
      </c>
      <c r="Y1508" s="3" t="n">
        <v>45916</v>
      </c>
      <c r="Z1508" s="23" t="n"/>
      <c r="AA1508" s="17">
        <f>IF(RawDataGenPO[[#This Row],[Date Gen PO]]="","",RawDataGenPO[[#This Row],[Date recive bill]]-RawDataGenPO[[#This Row],[Date Gen PO]])</f>
        <v/>
      </c>
      <c r="AB1508" s="16">
        <f>IF(RawDataGenPO[[#This Row],[GRN-PO date]]&gt;RawDataGenPO[[#This Row],[Lead time delivery (day)]],"over deliverry","Ontime")</f>
        <v/>
      </c>
      <c r="AC1508" s="22" t="n"/>
    </row>
    <row r="1509" ht="30" customHeight="1">
      <c r="A1509" s="5">
        <f>ROW()-ROW(RawDataGenPO[[#Headers],[No.]])</f>
        <v/>
      </c>
      <c r="B1509" s="7" t="inlineStr">
        <is>
          <t>Expent  cost</t>
        </is>
      </c>
      <c r="C1509" s="275" t="n">
        <v>45910</v>
      </c>
      <c r="F1509" s="276" t="n">
        <v>45910</v>
      </c>
      <c r="G1509" s="5" t="inlineStr">
        <is>
          <t>PR2526-02265</t>
        </is>
      </c>
      <c r="H1509" s="5" t="inlineStr">
        <is>
          <t>PO2526-03672</t>
        </is>
      </c>
      <c r="I1509" s="286" t="n">
        <v>45937</v>
      </c>
      <c r="J1509" s="56" t="n"/>
      <c r="K1509" s="20" t="n">
        <v>60</v>
      </c>
      <c r="L1509" s="5" t="inlineStr">
        <is>
          <t>SFST81000048</t>
        </is>
      </c>
      <c r="M1509" s="7" t="inlineStr">
        <is>
          <t>PD Machine</t>
        </is>
      </c>
      <c r="N1509" s="7" t="inlineStr">
        <is>
          <t>Transport Conveyor1</t>
        </is>
      </c>
      <c r="O1509" s="11" t="n">
        <v>1</v>
      </c>
      <c r="P1509" s="10" t="inlineStr">
        <is>
          <t>work Modify Transfer
- withinstallfrontwork</t>
        </is>
      </c>
      <c r="Q1509" s="277" t="n">
        <v>2</v>
      </c>
      <c r="R1509" s="5" t="inlineStr">
        <is>
          <t>Job.</t>
        </is>
      </c>
      <c r="S1509" s="284">
        <f>RawDataGenPO[[#This Row],[Total price]]/RawDataGenPO[[#This Row],[Qty'']]</f>
        <v/>
      </c>
      <c r="T1509" s="278" t="n">
        <v>40000</v>
      </c>
      <c r="U1509" s="291" t="n"/>
      <c r="V1509" s="7" t="inlineStr">
        <is>
          <t>V1000904 - M-PLUS TECH CO.,LTD.</t>
        </is>
      </c>
      <c r="W1509" s="30" t="inlineStr">
        <is>
          <t>Recive bill and GRN already</t>
        </is>
      </c>
      <c r="X1509" s="5" t="inlineStr">
        <is>
          <t>GRN2526-0006254</t>
        </is>
      </c>
      <c r="Y1509" s="3" t="n">
        <v>46009</v>
      </c>
      <c r="Z1509" s="23" t="n"/>
      <c r="AA1509" s="17">
        <f>IF(RawDataGenPO[[#This Row],[Date Gen PO]]="","",RawDataGenPO[[#This Row],[Date recive bill]]-RawDataGenPO[[#This Row],[Date Gen PO]])</f>
        <v/>
      </c>
      <c r="AB1509" s="16">
        <f>IF(RawDataGenPO[[#This Row],[GRN-PO date]]&gt;RawDataGenPO[[#This Row],[Lead time delivery (day)]],"over deliverry","Ontime")</f>
        <v/>
      </c>
      <c r="AC1509" s="22" t="n"/>
    </row>
    <row r="1510" ht="15" customHeight="1">
      <c r="A1510" s="5">
        <f>ROW()-ROW(RawDataGenPO[[#Headers],[No.]])</f>
        <v/>
      </c>
      <c r="B1510" s="7" t="inlineStr">
        <is>
          <t>Expent  cost</t>
        </is>
      </c>
      <c r="C1510" s="275" t="n">
        <v>45910</v>
      </c>
      <c r="F1510" s="276" t="n">
        <v>45910</v>
      </c>
      <c r="G1510" s="5" t="inlineStr">
        <is>
          <t>PR2526-02266</t>
        </is>
      </c>
      <c r="H1510" s="5" t="inlineStr">
        <is>
          <t>PO2526-03204</t>
        </is>
      </c>
      <c r="I1510" s="286" t="n">
        <v>45915</v>
      </c>
      <c r="J1510" s="56" t="n"/>
      <c r="K1510" s="20" t="n">
        <v>30</v>
      </c>
      <c r="L1510" s="5" t="inlineStr">
        <is>
          <t>SFST34000064</t>
        </is>
      </c>
      <c r="M1510" s="7" t="inlineStr">
        <is>
          <t>Consumable part for MN</t>
        </is>
      </c>
      <c r="N1510" s="7" t="inlineStr">
        <is>
          <t>Consumable part</t>
        </is>
      </c>
      <c r="O1510" s="11" t="n">
        <v>1</v>
      </c>
      <c r="P1510" s="10" t="inlineStr">
        <is>
          <t>Ruamthong, RT490-61-24, 380V, 3PH , 1HP, Motor fan</t>
        </is>
      </c>
      <c r="Q1510" s="277" t="n">
        <v>4</v>
      </c>
      <c r="R1510" s="5" t="inlineStr">
        <is>
          <t>PCS.</t>
        </is>
      </c>
      <c r="S1510" s="284">
        <f>RawDataGenPO[[#This Row],[Total price]]/RawDataGenPO[[#This Row],[Qty'']]</f>
        <v/>
      </c>
      <c r="T1510" s="278" t="n">
        <v>17596.28</v>
      </c>
      <c r="U1510" s="291" t="n"/>
      <c r="V1510" s="7" t="inlineStr">
        <is>
          <t>V1000308 - PLUG'N GO (THAILAND) CO., LTD.</t>
        </is>
      </c>
      <c r="W1510" s="30" t="inlineStr">
        <is>
          <t>Recive bill and GRN already</t>
        </is>
      </c>
      <c r="X1510" s="5" t="inlineStr">
        <is>
          <t>GRN2526-0003992</t>
        </is>
      </c>
      <c r="Y1510" s="3" t="n">
        <v>45919</v>
      </c>
      <c r="Z1510" s="23" t="n"/>
      <c r="AA1510" s="17">
        <f>IF(RawDataGenPO[[#This Row],[Date Gen PO]]="","",RawDataGenPO[[#This Row],[Date recive bill]]-RawDataGenPO[[#This Row],[Date Gen PO]])</f>
        <v/>
      </c>
      <c r="AB1510" s="16">
        <f>IF(RawDataGenPO[[#This Row],[GRN-PO date]]&gt;RawDataGenPO[[#This Row],[Lead time delivery (day)]],"over deliverry","Ontime")</f>
        <v/>
      </c>
      <c r="AC1510" s="22" t="n"/>
    </row>
    <row r="1511" ht="15" customHeight="1">
      <c r="A1511" s="5">
        <f>ROW()-ROW(RawDataGenPO[[#Headers],[No.]])</f>
        <v/>
      </c>
      <c r="B1511" s="7" t="inlineStr">
        <is>
          <t>Expent  cost</t>
        </is>
      </c>
      <c r="C1511" s="275" t="n">
        <v>45910</v>
      </c>
      <c r="F1511" s="276" t="n">
        <v>45910</v>
      </c>
      <c r="G1511" s="5" t="inlineStr">
        <is>
          <t>PR2526-02266</t>
        </is>
      </c>
      <c r="H1511" s="5" t="inlineStr">
        <is>
          <t>PO2526-03204</t>
        </is>
      </c>
      <c r="I1511" s="286" t="n">
        <v>45915</v>
      </c>
      <c r="J1511" s="56" t="n"/>
      <c r="K1511" s="20" t="n">
        <v>30</v>
      </c>
      <c r="L1511" s="5" t="inlineStr">
        <is>
          <t>SFST34000063</t>
        </is>
      </c>
      <c r="M1511" s="7" t="inlineStr">
        <is>
          <t>Consumable part for MN</t>
        </is>
      </c>
      <c r="N1511" s="7" t="inlineStr">
        <is>
          <t>Consumable part</t>
        </is>
      </c>
      <c r="O1511" s="11" t="n">
        <v>2</v>
      </c>
      <c r="P1511" s="10" t="inlineStr">
        <is>
          <t>Ruamthong, RT465-3/4HP,380V ,50Hz, 3PH , Motor fan</t>
        </is>
      </c>
      <c r="Q1511" s="277" t="n">
        <v>4</v>
      </c>
      <c r="R1511" s="5" t="inlineStr">
        <is>
          <t>PCS.</t>
        </is>
      </c>
      <c r="S1511" s="284">
        <f>RawDataGenPO[[#This Row],[Total price]]/RawDataGenPO[[#This Row],[Qty'']]</f>
        <v/>
      </c>
      <c r="T1511" s="278" t="n">
        <v>19839.24</v>
      </c>
      <c r="U1511" s="291" t="n"/>
      <c r="V1511" s="7" t="inlineStr">
        <is>
          <t>V1000308 - PLUG'N GO (THAILAND) CO., LTD.</t>
        </is>
      </c>
      <c r="W1511" s="30" t="inlineStr">
        <is>
          <t>Recive bill and GRN already</t>
        </is>
      </c>
      <c r="X1511" s="5" t="inlineStr">
        <is>
          <t>GRN2526-0003992</t>
        </is>
      </c>
      <c r="Y1511" s="3" t="n">
        <v>45919</v>
      </c>
      <c r="Z1511" s="23" t="n"/>
      <c r="AA1511" s="17">
        <f>IF(RawDataGenPO[[#This Row],[Date Gen PO]]="","",RawDataGenPO[[#This Row],[Date recive bill]]-RawDataGenPO[[#This Row],[Date Gen PO]])</f>
        <v/>
      </c>
      <c r="AB1511" s="16">
        <f>IF(RawDataGenPO[[#This Row],[GRN-PO date]]&gt;RawDataGenPO[[#This Row],[Lead time delivery (day)]],"over deliverry","Ontime")</f>
        <v/>
      </c>
      <c r="AC1511" s="22" t="n"/>
    </row>
    <row r="1512" ht="60" customHeight="1">
      <c r="A1512" s="5">
        <f>ROW()-ROW(RawDataGenPO[[#Headers],[No.]])</f>
        <v/>
      </c>
      <c r="B1512" s="7" t="inlineStr">
        <is>
          <t>CAPEX  (Budget)</t>
        </is>
      </c>
      <c r="C1512" s="275" t="n">
        <v>45910</v>
      </c>
      <c r="F1512" s="276" t="n">
        <v>45910</v>
      </c>
      <c r="G1512" s="5" t="inlineStr">
        <is>
          <t>PR2526-02267</t>
        </is>
      </c>
      <c r="H1512" s="5" t="inlineStr">
        <is>
          <t xml:space="preserve">PO2526-03792 </t>
        </is>
      </c>
      <c r="I1512" s="286" t="n">
        <v>45948</v>
      </c>
      <c r="J1512" s="56" t="n"/>
      <c r="K1512" s="20" t="n">
        <v>30</v>
      </c>
      <c r="L1512" s="5" t="inlineStr">
        <is>
          <t>SFST82000007</t>
        </is>
      </c>
      <c r="M1512" s="7" t="inlineStr">
        <is>
          <t>Tool and Equipment  Engineering</t>
        </is>
      </c>
      <c r="N1512" s="7" t="inlineStr">
        <is>
          <t>Tool and Equipment</t>
        </is>
      </c>
      <c r="O1512" s="11" t="n">
        <v>1</v>
      </c>
      <c r="P1512" s="10" t="inlineStr">
        <is>
          <t>thread NEWTON NT4-A 1/2" - 4"
- pipe HSS (PT) -A 1" - 2"
- pipe HSS (NPT) -A 1" - 2"
- pipe HSS (NPT) -A 1/2" - 3/4"</t>
        </is>
      </c>
      <c r="Q1512" s="277" t="n">
        <v>1</v>
      </c>
      <c r="R1512" s="5" t="inlineStr">
        <is>
          <t>EA.</t>
        </is>
      </c>
      <c r="S1512" s="284">
        <f>RawDataGenPO[[#This Row],[Total price]]/RawDataGenPO[[#This Row],[Qty'']]</f>
        <v/>
      </c>
      <c r="T1512" s="278" t="n">
        <v>35514.02</v>
      </c>
      <c r="U1512" s="291" t="n"/>
      <c r="V1512" s="7" t="inlineStr">
        <is>
          <t>V1000908 - CORING PRO COMPANY LIMITED</t>
        </is>
      </c>
      <c r="W1512" s="30" t="inlineStr">
        <is>
          <t>Recive bill and GRN already</t>
        </is>
      </c>
      <c r="X1512" s="5" t="inlineStr">
        <is>
          <t>GRN2526-0005215</t>
        </is>
      </c>
      <c r="Y1512" s="3" t="n">
        <v>45972</v>
      </c>
      <c r="Z1512" s="23" t="n"/>
      <c r="AA1512" s="17">
        <f>IF(RawDataGenPO[[#This Row],[Date Gen PO]]="","",RawDataGenPO[[#This Row],[Date recive bill]]-RawDataGenPO[[#This Row],[Date Gen PO]])</f>
        <v/>
      </c>
      <c r="AB1512" s="16">
        <f>IF(RawDataGenPO[[#This Row],[GRN-PO date]]&gt;RawDataGenPO[[#This Row],[Lead time delivery (day)]],"over deliverry","Ontime")</f>
        <v/>
      </c>
      <c r="AC1512" s="22" t="n"/>
    </row>
    <row r="1513" ht="15" customHeight="1">
      <c r="A1513" s="5">
        <f>ROW()-ROW(RawDataGenPO[[#Headers],[No.]])</f>
        <v/>
      </c>
      <c r="B1513" s="7" t="inlineStr">
        <is>
          <t>CAPEX  (Budget)</t>
        </is>
      </c>
      <c r="C1513" s="275" t="n">
        <v>45910</v>
      </c>
      <c r="F1513" s="276" t="n">
        <v>45910</v>
      </c>
      <c r="G1513" s="5" t="inlineStr">
        <is>
          <t>PR2526-02268</t>
        </is>
      </c>
      <c r="H1513" s="5" t="inlineStr">
        <is>
          <t xml:space="preserve">PO2526-03538 </t>
        </is>
      </c>
      <c r="I1513" s="286" t="n">
        <v>45932</v>
      </c>
      <c r="J1513" s="56" t="n"/>
      <c r="K1513" s="20" t="n">
        <v>60</v>
      </c>
      <c r="L1513" s="5" t="inlineStr">
        <is>
          <t>SFST82000007</t>
        </is>
      </c>
      <c r="M1513" s="7" t="inlineStr">
        <is>
          <t>Tool and Equipment  Engineering</t>
        </is>
      </c>
      <c r="N1513" s="7" t="inlineStr">
        <is>
          <t>Tool and Equipment</t>
        </is>
      </c>
      <c r="O1513" s="11" t="n">
        <v>1</v>
      </c>
      <c r="P1513" s="10" t="inlineStr">
        <is>
          <t>"Falcon", MAX CUT 60P, DC Inverter Plastma cutting machine</t>
        </is>
      </c>
      <c r="Q1513" s="277" t="n">
        <v>1</v>
      </c>
      <c r="R1513" s="5" t="inlineStr">
        <is>
          <t>EA.</t>
        </is>
      </c>
      <c r="S1513" s="284">
        <f>RawDataGenPO[[#This Row],[Total price]]/RawDataGenPO[[#This Row],[Qty'']]</f>
        <v/>
      </c>
      <c r="T1513" s="278" t="n">
        <v>24030</v>
      </c>
      <c r="U1513" s="291" t="n"/>
      <c r="V1513" s="7" t="inlineStr">
        <is>
          <t>V1000729 - BN SUPPLY 1991 CO., LTD.</t>
        </is>
      </c>
      <c r="W1513" s="30" t="inlineStr">
        <is>
          <t>Recive bill and GRN already</t>
        </is>
      </c>
      <c r="X1513" s="5" t="inlineStr">
        <is>
          <t>GRN2526-0004672</t>
        </is>
      </c>
      <c r="Y1513" s="3" t="n">
        <v>45947</v>
      </c>
      <c r="Z1513" s="23" t="n"/>
      <c r="AA1513" s="17">
        <f>IF(RawDataGenPO[[#This Row],[Date Gen PO]]="","",RawDataGenPO[[#This Row],[Date recive bill]]-RawDataGenPO[[#This Row],[Date Gen PO]])</f>
        <v/>
      </c>
      <c r="AB1513" s="16">
        <f>IF(RawDataGenPO[[#This Row],[GRN-PO date]]&gt;RawDataGenPO[[#This Row],[Lead time delivery (day)]],"over deliverry","Ontime")</f>
        <v/>
      </c>
      <c r="AC1513" s="22" t="n"/>
    </row>
    <row r="1514" ht="15" customHeight="1">
      <c r="A1514" s="5">
        <f>ROW()-ROW(RawDataGenPO[[#Headers],[No.]])</f>
        <v/>
      </c>
      <c r="B1514" s="7" t="inlineStr">
        <is>
          <t>CAPEX  (Budget)</t>
        </is>
      </c>
      <c r="C1514" s="275" t="n">
        <v>45910</v>
      </c>
      <c r="F1514" s="276" t="n">
        <v>45910</v>
      </c>
      <c r="G1514" s="5" t="inlineStr">
        <is>
          <t>PR2526-02268</t>
        </is>
      </c>
      <c r="H1514" s="5" t="inlineStr">
        <is>
          <t>PO2526-03537</t>
        </is>
      </c>
      <c r="I1514" s="286" t="n">
        <v>45932</v>
      </c>
      <c r="J1514" s="56" t="n"/>
      <c r="K1514" s="20" t="n">
        <v>60</v>
      </c>
      <c r="L1514" s="5" t="inlineStr">
        <is>
          <t>SFST82000007</t>
        </is>
      </c>
      <c r="M1514" s="7" t="inlineStr">
        <is>
          <t>Tool and Equipment  Engineering</t>
        </is>
      </c>
      <c r="N1514" s="7" t="inlineStr">
        <is>
          <t>Tool and Equipment</t>
        </is>
      </c>
      <c r="O1514" s="11" t="n">
        <v>1</v>
      </c>
      <c r="P1514" s="10" t="inlineStr">
        <is>
          <t>"Tiger", TGA22-100, 3HP,220V, mmbelt</t>
        </is>
      </c>
      <c r="Q1514" s="277" t="n">
        <v>1</v>
      </c>
      <c r="R1514" s="5" t="inlineStr">
        <is>
          <t>EA.</t>
        </is>
      </c>
      <c r="S1514" s="284">
        <f>RawDataGenPO[[#This Row],[Total price]]/RawDataGenPO[[#This Row],[Qty'']]</f>
        <v/>
      </c>
      <c r="T1514" s="278" t="n">
        <v>15000</v>
      </c>
      <c r="U1514" s="291" t="n"/>
      <c r="V1514" s="7" t="inlineStr">
        <is>
          <t>V1000259 - JJP SUPPLY CO., LTD</t>
        </is>
      </c>
      <c r="W1514" s="30" t="inlineStr">
        <is>
          <t>Recive bill and GRN already</t>
        </is>
      </c>
      <c r="X1514" s="5" t="inlineStr">
        <is>
          <t>GRN2526-0004535</t>
        </is>
      </c>
      <c r="Y1514" s="3" t="n">
        <v>45941</v>
      </c>
      <c r="Z1514" s="23" t="n"/>
      <c r="AA1514" s="17">
        <f>IF(RawDataGenPO[[#This Row],[Date Gen PO]]="","",RawDataGenPO[[#This Row],[Date recive bill]]-RawDataGenPO[[#This Row],[Date Gen PO]])</f>
        <v/>
      </c>
      <c r="AB1514" s="16">
        <f>IF(RawDataGenPO[[#This Row],[GRN-PO date]]&gt;RawDataGenPO[[#This Row],[Lead time delivery (day)]],"over deliverry","Ontime")</f>
        <v/>
      </c>
      <c r="AC1514" s="22" t="n"/>
    </row>
    <row r="1515" ht="15" customHeight="1">
      <c r="A1515" s="5">
        <f>ROW()-ROW(RawDataGenPO[[#Headers],[No.]])</f>
        <v/>
      </c>
      <c r="B1515" s="7" t="inlineStr">
        <is>
          <t>CAPEX  (Budget)</t>
        </is>
      </c>
      <c r="C1515" s="275" t="n">
        <v>45910</v>
      </c>
      <c r="F1515" s="276" t="n">
        <v>45910</v>
      </c>
      <c r="G1515" s="5" t="inlineStr">
        <is>
          <t>PR2526-02268</t>
        </is>
      </c>
      <c r="H1515" s="5" t="inlineStr">
        <is>
          <t xml:space="preserve">PO2526-03538 </t>
        </is>
      </c>
      <c r="I1515" s="286" t="n">
        <v>45932</v>
      </c>
      <c r="J1515" s="56" t="n"/>
      <c r="K1515" s="20" t="n">
        <v>60</v>
      </c>
      <c r="L1515" s="5" t="inlineStr">
        <is>
          <t>SFST82000007</t>
        </is>
      </c>
      <c r="M1515" s="7" t="inlineStr">
        <is>
          <t>Tool and Equipment  Engineering</t>
        </is>
      </c>
      <c r="N1515" s="7" t="inlineStr">
        <is>
          <t>Tool and Equipment</t>
        </is>
      </c>
      <c r="O1515" s="11" t="n">
        <v>1</v>
      </c>
      <c r="P1515" s="10" t="inlineStr">
        <is>
          <t>Facon, Advance AC/DC TIG 200P, Tig Welding machine</t>
        </is>
      </c>
      <c r="Q1515" s="277" t="n">
        <v>1</v>
      </c>
      <c r="R1515" s="5" t="inlineStr">
        <is>
          <t>EA.</t>
        </is>
      </c>
      <c r="S1515" s="284">
        <f>RawDataGenPO[[#This Row],[Total price]]/RawDataGenPO[[#This Row],[Qty'']]</f>
        <v/>
      </c>
      <c r="T1515" s="278" t="n">
        <v>35000</v>
      </c>
      <c r="U1515" s="291" t="n"/>
      <c r="V1515" s="7" t="inlineStr">
        <is>
          <t>V1000729 - BN SUPPLY 1991 CO., LTD.</t>
        </is>
      </c>
      <c r="W1515" s="30" t="inlineStr">
        <is>
          <t>Recive bill and GRN already</t>
        </is>
      </c>
      <c r="X1515" s="5" t="inlineStr">
        <is>
          <t>GRN2526-0004672</t>
        </is>
      </c>
      <c r="Y1515" s="3" t="n">
        <v>45947</v>
      </c>
      <c r="Z1515" s="23" t="n"/>
      <c r="AA1515" s="17">
        <f>IF(RawDataGenPO[[#This Row],[Date Gen PO]]="","",RawDataGenPO[[#This Row],[Date recive bill]]-RawDataGenPO[[#This Row],[Date Gen PO]])</f>
        <v/>
      </c>
      <c r="AB1515" s="16">
        <f>IF(RawDataGenPO[[#This Row],[GRN-PO date]]&gt;RawDataGenPO[[#This Row],[Lead time delivery (day)]],"over deliverry","Ontime")</f>
        <v/>
      </c>
      <c r="AC1515" s="22" t="n"/>
    </row>
    <row r="1516" ht="15" customHeight="1">
      <c r="A1516" s="5">
        <f>ROW()-ROW(RawDataGenPO[[#Headers],[No.]])</f>
        <v/>
      </c>
      <c r="B1516" s="7" t="inlineStr">
        <is>
          <t>Expent  cost</t>
        </is>
      </c>
      <c r="C1516" s="276" t="n">
        <v>45916</v>
      </c>
      <c r="F1516" s="276" t="n">
        <v>45916</v>
      </c>
      <c r="G1516" s="5" t="inlineStr">
        <is>
          <t>PR2526-02341</t>
        </is>
      </c>
      <c r="H1516" s="5" t="inlineStr">
        <is>
          <t>PO2526-03498</t>
        </is>
      </c>
      <c r="I1516" s="286" t="n">
        <v>45932</v>
      </c>
      <c r="J1516" s="56" t="n"/>
      <c r="K1516" s="20" t="n">
        <v>120</v>
      </c>
      <c r="L1516" s="5" t="inlineStr">
        <is>
          <t>SFST34000137</t>
        </is>
      </c>
      <c r="M1516" s="7" t="inlineStr">
        <is>
          <t>Tool and Equipment  Engineering</t>
        </is>
      </c>
      <c r="N1516" s="7" t="inlineStr">
        <is>
          <t>Tool and Equipment</t>
        </is>
      </c>
      <c r="O1516" s="11" t="n">
        <v>1</v>
      </c>
      <c r="P1516" s="61" t="inlineStr">
        <is>
          <t>argon gas 6 Q</t>
        </is>
      </c>
      <c r="Q1516" s="367" t="n">
        <v>1</v>
      </c>
      <c r="R1516" s="59" t="inlineStr">
        <is>
          <t>DRUM.</t>
        </is>
      </c>
      <c r="S1516" s="368">
        <f>RawDataGenPO[[#This Row],[Total price]]/RawDataGenPO[[#This Row],[Qty'']]</f>
        <v/>
      </c>
      <c r="T1516" s="369" t="n">
        <v>900</v>
      </c>
      <c r="U1516" s="291" t="n"/>
      <c r="V1516" s="7" t="inlineStr">
        <is>
          <t>V1000475 - Klong Karn Kha Trading</t>
        </is>
      </c>
      <c r="W1516" s="30" t="inlineStr">
        <is>
          <t>Recive bill and GRN already</t>
        </is>
      </c>
      <c r="X1516" s="5" t="inlineStr">
        <is>
          <t>GRN2526-0004255</t>
        </is>
      </c>
      <c r="Y1516" s="3" t="n">
        <v>45932</v>
      </c>
      <c r="Z1516" s="23" t="n"/>
      <c r="AA1516" s="17">
        <f>IF(RawDataGenPO[[#This Row],[Date Gen PO]]="","",RawDataGenPO[[#This Row],[Date recive bill]]-RawDataGenPO[[#This Row],[Date Gen PO]])</f>
        <v/>
      </c>
      <c r="AB1516" s="16">
        <f>IF(RawDataGenPO[[#This Row],[GRN-PO date]]&gt;RawDataGenPO[[#This Row],[Lead time delivery (day)]],"over deliverry","Ontime")</f>
        <v/>
      </c>
      <c r="AC1516" s="22" t="n"/>
    </row>
    <row r="1517" ht="15" customHeight="1">
      <c r="A1517" s="5">
        <f>ROW()-ROW(RawDataGenPO[[#Headers],[No.]])</f>
        <v/>
      </c>
      <c r="B1517" s="7" t="inlineStr">
        <is>
          <t>Expent  cost</t>
        </is>
      </c>
      <c r="C1517" s="276" t="n">
        <v>45916</v>
      </c>
      <c r="F1517" s="276" t="n">
        <v>45916</v>
      </c>
      <c r="G1517" s="5" t="inlineStr">
        <is>
          <t>PR2526-02341</t>
        </is>
      </c>
      <c r="H1517" s="5" t="inlineStr">
        <is>
          <t>PO2526-03498</t>
        </is>
      </c>
      <c r="I1517" s="286" t="n">
        <v>45932</v>
      </c>
      <c r="J1517" s="56" t="n"/>
      <c r="K1517" s="20" t="n">
        <v>120</v>
      </c>
      <c r="L1517" s="5" t="inlineStr">
        <is>
          <t>SFST34000137</t>
        </is>
      </c>
      <c r="M1517" s="7" t="inlineStr">
        <is>
          <t>Tool and Equipment  Engineering</t>
        </is>
      </c>
      <c r="N1517" s="7" t="inlineStr">
        <is>
          <t>Tool and Equipment</t>
        </is>
      </c>
      <c r="O1517" s="11" t="n">
        <v>1</v>
      </c>
      <c r="P1517" s="61" t="inlineStr">
        <is>
          <t>argon gas 6 Q</t>
        </is>
      </c>
      <c r="Q1517" s="367" t="n">
        <v>1</v>
      </c>
      <c r="R1517" s="59" t="inlineStr">
        <is>
          <t>DRUM.</t>
        </is>
      </c>
      <c r="S1517" s="368">
        <f>RawDataGenPO[[#This Row],[Total price]]/RawDataGenPO[[#This Row],[Qty'']]</f>
        <v/>
      </c>
      <c r="T1517" s="369" t="n">
        <v>900</v>
      </c>
      <c r="U1517" s="291" t="n"/>
      <c r="V1517" s="7" t="inlineStr">
        <is>
          <t>V1000475 - Klong Karn Kha Trading</t>
        </is>
      </c>
      <c r="W1517" s="30" t="inlineStr">
        <is>
          <t>Recive bill and GRN already</t>
        </is>
      </c>
      <c r="X1517" s="5" t="inlineStr">
        <is>
          <t>GRN2526-0005306</t>
        </is>
      </c>
      <c r="Y1517" s="3" t="n">
        <v>45974</v>
      </c>
      <c r="Z1517" s="23" t="n"/>
      <c r="AA1517" s="17">
        <f>IF(RawDataGenPO[[#This Row],[Date Gen PO]]="","",RawDataGenPO[[#This Row],[Date recive bill]]-RawDataGenPO[[#This Row],[Date Gen PO]])</f>
        <v/>
      </c>
      <c r="AB1517" s="16">
        <f>IF(RawDataGenPO[[#This Row],[GRN-PO date]]&gt;RawDataGenPO[[#This Row],[Lead time delivery (day)]],"over deliverry","Ontime")</f>
        <v/>
      </c>
      <c r="AC1517" s="22" t="n"/>
    </row>
    <row r="1518" ht="15" customHeight="1">
      <c r="A1518" s="5">
        <f>ROW()-ROW(RawDataGenPO[[#Headers],[No.]])</f>
        <v/>
      </c>
      <c r="B1518" s="7" t="inlineStr">
        <is>
          <t>Expent  cost</t>
        </is>
      </c>
      <c r="C1518" s="276" t="n">
        <v>45916</v>
      </c>
      <c r="F1518" s="276" t="n">
        <v>45916</v>
      </c>
      <c r="G1518" s="5" t="inlineStr">
        <is>
          <t>PR2526-02341</t>
        </is>
      </c>
      <c r="H1518" s="5" t="inlineStr">
        <is>
          <t>PO2526-03498</t>
        </is>
      </c>
      <c r="I1518" s="286" t="n">
        <v>45932</v>
      </c>
      <c r="J1518" s="56" t="n"/>
      <c r="K1518" s="20" t="n">
        <v>120</v>
      </c>
      <c r="L1518" s="5" t="inlineStr">
        <is>
          <t>SFST34000137</t>
        </is>
      </c>
      <c r="M1518" s="7" t="inlineStr">
        <is>
          <t>Tool and Equipment  Engineering</t>
        </is>
      </c>
      <c r="N1518" s="7" t="inlineStr">
        <is>
          <t>Tool and Equipment</t>
        </is>
      </c>
      <c r="O1518" s="11" t="n">
        <v>2</v>
      </c>
      <c r="P1518" s="61" t="inlineStr">
        <is>
          <t>argon gas 6 Q</t>
        </is>
      </c>
      <c r="Q1518" s="367" t="n">
        <v>1</v>
      </c>
      <c r="R1518" s="59" t="inlineStr">
        <is>
          <t>DRUM.</t>
        </is>
      </c>
      <c r="S1518" s="368">
        <f>RawDataGenPO[[#This Row],[Total price]]/RawDataGenPO[[#This Row],[Qty'']]</f>
        <v/>
      </c>
      <c r="T1518" s="369" t="n">
        <v>900</v>
      </c>
      <c r="U1518" s="291" t="n"/>
      <c r="V1518" s="7" t="inlineStr">
        <is>
          <t>V1000475 - Klong Karn Kha Trading</t>
        </is>
      </c>
      <c r="W1518" s="30" t="inlineStr">
        <is>
          <t>Recive bill and GRN already</t>
        </is>
      </c>
      <c r="X1518" s="5" t="inlineStr">
        <is>
          <t>GRN2526-0007956</t>
        </is>
      </c>
      <c r="Y1518" s="3" t="n">
        <v>46064</v>
      </c>
      <c r="Z1518" s="23" t="n"/>
      <c r="AA1518" s="17">
        <f>IF(RawDataGenPO[[#This Row],[Date Gen PO]]="","",RawDataGenPO[[#This Row],[Date recive bill]]-RawDataGenPO[[#This Row],[Date Gen PO]])</f>
        <v/>
      </c>
      <c r="AB1518" s="16">
        <f>IF(RawDataGenPO[[#This Row],[GRN-PO date]]&gt;RawDataGenPO[[#This Row],[Lead time delivery (day)]],"over deliverry","Ontime")</f>
        <v/>
      </c>
      <c r="AC1518" s="22" t="n"/>
    </row>
    <row r="1519" ht="17.25" customHeight="1">
      <c r="A1519" s="5">
        <f>ROW()-ROW(RawDataGenPO[[#Headers],[No.]])</f>
        <v/>
      </c>
      <c r="B1519" s="7" t="inlineStr">
        <is>
          <t>Expent  cost</t>
        </is>
      </c>
      <c r="C1519" s="276" t="n">
        <v>45916</v>
      </c>
      <c r="F1519" s="276" t="n">
        <v>45916</v>
      </c>
      <c r="G1519" s="5" t="inlineStr">
        <is>
          <t>PR2526-02341</t>
        </is>
      </c>
      <c r="H1519" s="5" t="inlineStr">
        <is>
          <t>PO2526-03498</t>
        </is>
      </c>
      <c r="I1519" s="286" t="n">
        <v>45932</v>
      </c>
      <c r="J1519" s="56" t="n"/>
      <c r="K1519" s="20" t="n">
        <v>120</v>
      </c>
      <c r="L1519" s="5" t="inlineStr">
        <is>
          <t>SFST34000137</t>
        </is>
      </c>
      <c r="M1519" s="7" t="inlineStr">
        <is>
          <t>Tool and Equipment  Engineering</t>
        </is>
      </c>
      <c r="N1519" s="7" t="inlineStr">
        <is>
          <t>Consumable part</t>
        </is>
      </c>
      <c r="O1519" s="11" t="n">
        <v>3</v>
      </c>
      <c r="P1519" s="61" t="inlineStr">
        <is>
          <t>argon gas 6 Q</t>
        </is>
      </c>
      <c r="Q1519" s="367" t="n">
        <v>1</v>
      </c>
      <c r="R1519" s="59" t="inlineStr">
        <is>
          <t>DRUM.</t>
        </is>
      </c>
      <c r="S1519" s="368">
        <f>RawDataGenPO[[#This Row],[Total price]]/RawDataGenPO[[#This Row],[Qty'']]</f>
        <v/>
      </c>
      <c r="T1519" s="369" t="n">
        <v>900</v>
      </c>
      <c r="U1519" s="291" t="n"/>
      <c r="V1519" s="7" t="inlineStr">
        <is>
          <t>V1000475 - Klong Karn Kha Trading</t>
        </is>
      </c>
      <c r="W1519" s="30" t="inlineStr">
        <is>
          <t xml:space="preserve">Waitting Supplier transportation </t>
        </is>
      </c>
      <c r="Z1519" s="23" t="n"/>
      <c r="AA1519" s="17">
        <f>IF(RawDataGenPO[[#This Row],[Date Gen PO]]="","",RawDataGenPO[[#This Row],[Date recive bill]]-RawDataGenPO[[#This Row],[Date Gen PO]])</f>
        <v/>
      </c>
      <c r="AB1519" s="16">
        <f>IF(RawDataGenPO[[#This Row],[GRN-PO date]]&gt;RawDataGenPO[[#This Row],[Lead time delivery (day)]],"over deliverry","Ontime")</f>
        <v/>
      </c>
      <c r="AC1519" s="22" t="n"/>
    </row>
    <row r="1520" ht="15" customHeight="1">
      <c r="A1520" s="5">
        <f>ROW()-ROW(RawDataGenPO[[#Headers],[No.]])</f>
        <v/>
      </c>
      <c r="B1520" s="7" t="inlineStr">
        <is>
          <t>Expent  cost</t>
        </is>
      </c>
      <c r="C1520" s="276" t="n">
        <v>45917</v>
      </c>
      <c r="F1520" s="276" t="n">
        <v>45917</v>
      </c>
      <c r="G1520" s="5" t="inlineStr">
        <is>
          <t>PR2526-02349</t>
        </is>
      </c>
      <c r="H1520" s="5" t="inlineStr">
        <is>
          <t>PO2526-03480</t>
        </is>
      </c>
      <c r="I1520" s="286" t="n">
        <v>45930</v>
      </c>
      <c r="J1520" s="56" t="n"/>
      <c r="K1520" s="20" t="n">
        <v>120</v>
      </c>
      <c r="L1520" s="5" t="inlineStr">
        <is>
          <t>SFST81000009</t>
        </is>
      </c>
      <c r="M1520" s="7" t="inlineStr">
        <is>
          <t>Water plant</t>
        </is>
      </c>
      <c r="N1520" s="7" t="inlineStr">
        <is>
          <t>RO Unit</t>
        </is>
      </c>
      <c r="O1520" s="11" t="n">
        <v>1</v>
      </c>
      <c r="P1520" s="10" t="inlineStr">
        <is>
          <t>Injection valve PVT 6x4</t>
        </is>
      </c>
      <c r="Q1520" s="277" t="n">
        <v>1</v>
      </c>
      <c r="R1520" s="5" t="inlineStr">
        <is>
          <t>PCS.</t>
        </is>
      </c>
      <c r="S1520" s="284">
        <f>RawDataGenPO[[#This Row],[Total price]]/RawDataGenPO[[#This Row],[Qty'']]</f>
        <v/>
      </c>
      <c r="T1520" s="278" t="n">
        <v>2673</v>
      </c>
      <c r="U1520" s="291" t="n"/>
      <c r="V1520" s="7" t="inlineStr">
        <is>
          <t>V1000102 - PROMINENT FLUID CONTROLS (THAILAND) CO., LTD.</t>
        </is>
      </c>
      <c r="W1520" s="30" t="inlineStr">
        <is>
          <t>Recive bill and GRN already</t>
        </is>
      </c>
      <c r="X1520" s="5" t="inlineStr">
        <is>
          <t>GRN2526-0006459</t>
        </is>
      </c>
      <c r="Y1520" s="3" t="n">
        <v>46014</v>
      </c>
      <c r="Z1520" s="23" t="n"/>
      <c r="AA1520" s="17">
        <f>IF(RawDataGenPO[[#This Row],[Date Gen PO]]="","",RawDataGenPO[[#This Row],[Date recive bill]]-RawDataGenPO[[#This Row],[Date Gen PO]])</f>
        <v/>
      </c>
      <c r="AB1520" s="16">
        <f>IF(RawDataGenPO[[#This Row],[GRN-PO date]]&gt;RawDataGenPO[[#This Row],[Lead time delivery (day)]],"over deliverry","Ontime")</f>
        <v/>
      </c>
      <c r="AC1520" s="22" t="n"/>
    </row>
    <row r="1521" ht="15" customHeight="1">
      <c r="A1521" s="5">
        <f>ROW()-ROW(RawDataGenPO[[#Headers],[No.]])</f>
        <v/>
      </c>
      <c r="B1521" s="1" t="inlineStr">
        <is>
          <t>Expent  cost</t>
        </is>
      </c>
      <c r="C1521" s="276" t="n">
        <v>45917</v>
      </c>
      <c r="F1521" s="276" t="n">
        <v>45917</v>
      </c>
      <c r="G1521" s="5" t="inlineStr">
        <is>
          <t>PR2526-02349</t>
        </is>
      </c>
      <c r="H1521" s="5" t="inlineStr">
        <is>
          <t>PO2526-03480</t>
        </is>
      </c>
      <c r="I1521" s="286" t="n">
        <v>45930</v>
      </c>
      <c r="J1521" s="56" t="n"/>
      <c r="K1521" s="20" t="n">
        <v>120</v>
      </c>
      <c r="L1521" s="5" t="inlineStr">
        <is>
          <t>SFST81000009</t>
        </is>
      </c>
      <c r="M1521" s="7" t="inlineStr">
        <is>
          <t>Water plant</t>
        </is>
      </c>
      <c r="N1521" s="7" t="inlineStr">
        <is>
          <t>RO Unit</t>
        </is>
      </c>
      <c r="O1521" s="11" t="n">
        <v>2</v>
      </c>
      <c r="P1521" s="10" t="inlineStr">
        <is>
          <t>Tube supply. PTEF 6x4mm</t>
        </is>
      </c>
      <c r="Q1521" s="277" t="n">
        <v>10</v>
      </c>
      <c r="R1521" s="5" t="inlineStr">
        <is>
          <t>M.</t>
        </is>
      </c>
      <c r="S1521" s="284">
        <f>RawDataGenPO[[#This Row],[Total price]]/RawDataGenPO[[#This Row],[Qty'']]</f>
        <v/>
      </c>
      <c r="T1521" s="278" t="n">
        <v>3924</v>
      </c>
      <c r="U1521" s="291" t="n"/>
      <c r="V1521" s="7" t="inlineStr">
        <is>
          <t>V1000102 - PROMINENT FLUID CONTROLS (THAILAND) CO., LTD.</t>
        </is>
      </c>
      <c r="W1521" s="30" t="inlineStr">
        <is>
          <t>Recive bill and GRN already</t>
        </is>
      </c>
      <c r="X1521" s="5" t="inlineStr">
        <is>
          <t>GRN2526-0006459</t>
        </is>
      </c>
      <c r="Y1521" s="3" t="n">
        <v>46014</v>
      </c>
      <c r="Z1521" s="23" t="n"/>
      <c r="AA1521" s="17">
        <f>IF(RawDataGenPO[[#This Row],[Date Gen PO]]="","",RawDataGenPO[[#This Row],[Date recive bill]]-RawDataGenPO[[#This Row],[Date Gen PO]])</f>
        <v/>
      </c>
      <c r="AB1521" s="16">
        <f>IF(RawDataGenPO[[#This Row],[GRN-PO date]]&gt;RawDataGenPO[[#This Row],[Lead time delivery (day)]],"over deliverry","Ontime")</f>
        <v/>
      </c>
      <c r="AC1521" s="22" t="n"/>
    </row>
    <row r="1522" ht="30" customHeight="1">
      <c r="A1522" s="5">
        <f>ROW()-ROW(RawDataGenPO[[#Headers],[No.]])</f>
        <v/>
      </c>
      <c r="B1522" s="7" t="inlineStr">
        <is>
          <t>Expent  cost</t>
        </is>
      </c>
      <c r="C1522" s="276" t="n">
        <v>45917</v>
      </c>
      <c r="F1522" s="276" t="n">
        <v>45917</v>
      </c>
      <c r="G1522" s="5" t="inlineStr">
        <is>
          <t>PR2526-02350</t>
        </is>
      </c>
      <c r="H1522" s="5" t="inlineStr">
        <is>
          <t>PO2526-03483</t>
        </is>
      </c>
      <c r="I1522" s="286" t="n">
        <v>45930</v>
      </c>
      <c r="J1522" s="56" t="n"/>
      <c r="K1522" s="20" t="n">
        <v>30</v>
      </c>
      <c r="L1522" s="5" t="inlineStr">
        <is>
          <t>SFST81000048</t>
        </is>
      </c>
      <c r="M1522" s="7" t="inlineStr">
        <is>
          <t>Tool and Equipment PD M/C</t>
        </is>
      </c>
      <c r="N1522" s="7" t="inlineStr">
        <is>
          <t>Tool and Equipment</t>
        </is>
      </c>
      <c r="O1522" s="11" t="n">
        <v>1</v>
      </c>
      <c r="P1522" s="10" t="inlineStr">
        <is>
          <t>Milling Part mpcs with
-Mat.: Stainless Steel</t>
        </is>
      </c>
      <c r="Q1522" s="277" t="n">
        <v>2</v>
      </c>
      <c r="R1522" s="5" t="inlineStr">
        <is>
          <t>PCS.</t>
        </is>
      </c>
      <c r="S1522" s="284">
        <f>RawDataGenPO[[#This Row],[Total price]]/RawDataGenPO[[#This Row],[Qty'']]</f>
        <v/>
      </c>
      <c r="T1522" s="278" t="n">
        <v>1000</v>
      </c>
      <c r="U1522" s="291" t="n"/>
      <c r="V1522" s="7" t="inlineStr">
        <is>
          <t>V1000536 - Wongchan Engineering CO., LTD.</t>
        </is>
      </c>
      <c r="W1522" s="30" t="inlineStr">
        <is>
          <t>Recive bill and GRN already</t>
        </is>
      </c>
      <c r="X1522" s="5" t="inlineStr">
        <is>
          <t>GRN2526-0004373</t>
        </is>
      </c>
      <c r="Y1522" s="3" t="n">
        <v>45936</v>
      </c>
      <c r="Z1522" s="23" t="n"/>
      <c r="AA1522" s="17">
        <f>IF(RawDataGenPO[[#This Row],[Date Gen PO]]="","",RawDataGenPO[[#This Row],[Date recive bill]]-RawDataGenPO[[#This Row],[Date Gen PO]])</f>
        <v/>
      </c>
      <c r="AB1522" s="16">
        <f>IF(RawDataGenPO[[#This Row],[GRN-PO date]]&gt;RawDataGenPO[[#This Row],[Lead time delivery (day)]],"over deliverry","Ontime")</f>
        <v/>
      </c>
      <c r="AC1522" s="22" t="n"/>
    </row>
    <row r="1523" ht="15" customHeight="1">
      <c r="A1523" s="5">
        <f>ROW()-ROW(RawDataGenPO[[#Headers],[No.]])</f>
        <v/>
      </c>
      <c r="B1523" s="7" t="inlineStr">
        <is>
          <t>Expent  cost</t>
        </is>
      </c>
      <c r="C1523" s="276" t="n">
        <v>45917</v>
      </c>
      <c r="F1523" s="276" t="n">
        <v>45917</v>
      </c>
      <c r="G1523" s="5" t="inlineStr">
        <is>
          <t>PR2526-02350</t>
        </is>
      </c>
      <c r="H1523" s="5" t="inlineStr">
        <is>
          <t>PO2526-03483</t>
        </is>
      </c>
      <c r="I1523" s="286" t="n">
        <v>45930</v>
      </c>
      <c r="J1523" s="56" t="n"/>
      <c r="K1523" s="20" t="n">
        <v>30</v>
      </c>
      <c r="L1523" s="5" t="inlineStr">
        <is>
          <t>SFST81000048</t>
        </is>
      </c>
      <c r="M1523" s="7" t="inlineStr">
        <is>
          <t>Tool and Equipment PD M/C</t>
        </is>
      </c>
      <c r="N1523" s="7" t="inlineStr">
        <is>
          <t>Tool and Equipment</t>
        </is>
      </c>
      <c r="O1523" s="11" t="n">
        <v>1</v>
      </c>
      <c r="P1523" s="10" t="inlineStr">
        <is>
          <t>Mat.: Clear Acrylic</t>
        </is>
      </c>
      <c r="Q1523" s="277" t="n">
        <v>2</v>
      </c>
      <c r="R1523" s="5" t="inlineStr">
        <is>
          <t>PCS.</t>
        </is>
      </c>
      <c r="S1523" s="284">
        <f>RawDataGenPO[[#This Row],[Total price]]/RawDataGenPO[[#This Row],[Qty'']]</f>
        <v/>
      </c>
      <c r="T1523" s="278" t="n">
        <v>800</v>
      </c>
      <c r="U1523" s="291" t="n"/>
      <c r="V1523" s="7" t="inlineStr">
        <is>
          <t>V1000536 - Wongchan Engineering CO., LTD.</t>
        </is>
      </c>
      <c r="W1523" s="30" t="inlineStr">
        <is>
          <t>Recive bill and GRN already</t>
        </is>
      </c>
      <c r="X1523" s="5" t="inlineStr">
        <is>
          <t>GRN2526-0004837</t>
        </is>
      </c>
      <c r="Y1523" s="3" t="n">
        <v>45954</v>
      </c>
      <c r="Z1523" s="23" t="n"/>
      <c r="AA1523" s="17">
        <f>IF(RawDataGenPO[[#This Row],[Date Gen PO]]="","",RawDataGenPO[[#This Row],[Date recive bill]]-RawDataGenPO[[#This Row],[Date Gen PO]])</f>
        <v/>
      </c>
      <c r="AB1523" s="16">
        <f>IF(RawDataGenPO[[#This Row],[GRN-PO date]]&gt;RawDataGenPO[[#This Row],[Lead time delivery (day)]],"over deliverry","Ontime")</f>
        <v/>
      </c>
      <c r="AC1523" s="22" t="n"/>
    </row>
    <row r="1524" ht="15" customHeight="1">
      <c r="A1524" s="5">
        <f>ROW()-ROW(RawDataGenPO[[#Headers],[No.]])</f>
        <v/>
      </c>
      <c r="B1524" s="7" t="inlineStr">
        <is>
          <t>Expent  cost</t>
        </is>
      </c>
      <c r="C1524" s="276" t="n">
        <v>45917</v>
      </c>
      <c r="F1524" s="276" t="n">
        <v>45917</v>
      </c>
      <c r="G1524" s="5" t="inlineStr">
        <is>
          <t>PR2526-02351</t>
        </is>
      </c>
      <c r="H1524" s="5" t="inlineStr">
        <is>
          <t>PO2526-03478</t>
        </is>
      </c>
      <c r="I1524" s="286" t="n">
        <v>45930</v>
      </c>
      <c r="J1524" s="56" t="n"/>
      <c r="K1524" s="20" t="n">
        <v>60</v>
      </c>
      <c r="L1524" s="5" t="inlineStr">
        <is>
          <t>SFST81000050</t>
        </is>
      </c>
      <c r="M1524" s="7" t="inlineStr">
        <is>
          <t>Tool and Equipment PD M/C</t>
        </is>
      </c>
      <c r="N1524" s="7" t="inlineStr">
        <is>
          <t>Tool and Equipment</t>
        </is>
      </c>
      <c r="O1524" s="11" t="n">
        <v>2</v>
      </c>
      <c r="P1524" s="10" t="inlineStr">
        <is>
          <t>Material tube bergin, blue (line 25 M.) (quantity 4 line)</t>
        </is>
      </c>
      <c r="Q1524" s="277" t="n">
        <v>100</v>
      </c>
      <c r="R1524" s="5" t="inlineStr">
        <is>
          <t>PCS.</t>
        </is>
      </c>
      <c r="S1524" s="284">
        <f>RawDataGenPO[[#This Row],[Total price]]/RawDataGenPO[[#This Row],[Qty'']]</f>
        <v/>
      </c>
      <c r="T1524" s="278" t="n">
        <v>60000</v>
      </c>
      <c r="U1524" s="291" t="n"/>
      <c r="V1524" s="7" t="inlineStr">
        <is>
          <t>V1000021 - CALVATIS-ASIA PACIFIC CO.,LTD.</t>
        </is>
      </c>
      <c r="W1524" s="30" t="inlineStr">
        <is>
          <t>Recive bill and GRN already</t>
        </is>
      </c>
      <c r="X1524" s="5" t="inlineStr">
        <is>
          <t>GRN2526-0004538</t>
        </is>
      </c>
      <c r="Y1524" s="3" t="n">
        <v>45941</v>
      </c>
      <c r="Z1524" s="23" t="n"/>
      <c r="AA1524" s="17">
        <f>IF(RawDataGenPO[[#This Row],[Date Gen PO]]="","",RawDataGenPO[[#This Row],[Date recive bill]]-RawDataGenPO[[#This Row],[Date Gen PO]])</f>
        <v/>
      </c>
      <c r="AB1524" s="16">
        <f>IF(RawDataGenPO[[#This Row],[GRN-PO date]]&gt;RawDataGenPO[[#This Row],[Lead time delivery (day)]],"over deliverry","Ontime")</f>
        <v/>
      </c>
      <c r="AC1524" s="22" t="n"/>
    </row>
    <row r="1525" ht="15" customHeight="1">
      <c r="A1525" s="5">
        <f>ROW()-ROW(RawDataGenPO[[#Headers],[No.]])</f>
        <v/>
      </c>
      <c r="B1525" s="7" t="inlineStr">
        <is>
          <t>Expent  cost</t>
        </is>
      </c>
      <c r="C1525" s="276" t="n">
        <v>45917</v>
      </c>
      <c r="F1525" s="276" t="n">
        <v>45917</v>
      </c>
      <c r="G1525" s="5" t="inlineStr">
        <is>
          <t>PR2526-02351</t>
        </is>
      </c>
      <c r="H1525" s="5" t="inlineStr">
        <is>
          <t>PO2526-03478</t>
        </is>
      </c>
      <c r="I1525" s="286" t="n">
        <v>45930</v>
      </c>
      <c r="J1525" s="56" t="n"/>
      <c r="K1525" s="20" t="n">
        <v>60</v>
      </c>
      <c r="L1525" s="5" t="inlineStr">
        <is>
          <t>SFST81000050</t>
        </is>
      </c>
      <c r="M1525" s="7" t="inlineStr">
        <is>
          <t>Tool and Equipment PD M/C</t>
        </is>
      </c>
      <c r="N1525" s="7" t="inlineStr">
        <is>
          <t>Tool and Equipment</t>
        </is>
      </c>
      <c r="O1525" s="11" t="n">
        <v>1</v>
      </c>
      <c r="P1525" s="10" t="inlineStr">
        <is>
          <t>HYDROLIC</t>
        </is>
      </c>
      <c r="Q1525" s="277" t="n">
        <v>8</v>
      </c>
      <c r="R1525" s="5" t="inlineStr">
        <is>
          <t>PCS.</t>
        </is>
      </c>
      <c r="S1525" s="284">
        <f>RawDataGenPO[[#This Row],[Total price]]/RawDataGenPO[[#This Row],[Qty'']]</f>
        <v/>
      </c>
      <c r="T1525" s="278" t="n">
        <v>3200</v>
      </c>
      <c r="U1525" s="291" t="n"/>
      <c r="V1525" s="7" t="inlineStr">
        <is>
          <t>V1000021 - CALVATIS-ASIA PACIFIC CO.,LTD.</t>
        </is>
      </c>
      <c r="W1525" s="30" t="inlineStr">
        <is>
          <t>Recive bill and GRN already</t>
        </is>
      </c>
      <c r="X1525" s="5" t="inlineStr">
        <is>
          <t>GRN2526-0004538</t>
        </is>
      </c>
      <c r="Y1525" s="3" t="n">
        <v>45941</v>
      </c>
      <c r="Z1525" s="23" t="n"/>
      <c r="AA1525" s="17">
        <f>IF(RawDataGenPO[[#This Row],[Date Gen PO]]="","",RawDataGenPO[[#This Row],[Date recive bill]]-RawDataGenPO[[#This Row],[Date Gen PO]])</f>
        <v/>
      </c>
      <c r="AB1525" s="16">
        <f>IF(RawDataGenPO[[#This Row],[GRN-PO date]]&gt;RawDataGenPO[[#This Row],[Lead time delivery (day)]],"over deliverry","Ontime")</f>
        <v/>
      </c>
      <c r="AC1525" s="22" t="n"/>
    </row>
    <row r="1526" ht="15" customHeight="1">
      <c r="A1526" s="5">
        <f>ROW()-ROW(RawDataGenPO[[#Headers],[No.]])</f>
        <v/>
      </c>
      <c r="B1526" s="7" t="inlineStr">
        <is>
          <t>Expent  cost</t>
        </is>
      </c>
      <c r="C1526" s="276" t="n">
        <v>45917</v>
      </c>
      <c r="F1526" s="276" t="n">
        <v>45917</v>
      </c>
      <c r="G1526" s="5" t="inlineStr">
        <is>
          <t>PR2526-02351</t>
        </is>
      </c>
      <c r="H1526" s="5" t="inlineStr">
        <is>
          <t>PO2526-03478</t>
        </is>
      </c>
      <c r="I1526" s="286" t="n">
        <v>45930</v>
      </c>
      <c r="J1526" s="56" t="n"/>
      <c r="K1526" s="20" t="n">
        <v>60</v>
      </c>
      <c r="L1526" s="5" t="inlineStr">
        <is>
          <t>SFST81000050</t>
        </is>
      </c>
      <c r="M1526" s="7" t="inlineStr">
        <is>
          <t>Tool and Equipment PD M/C</t>
        </is>
      </c>
      <c r="N1526" s="7" t="inlineStr">
        <is>
          <t>Tool and Equipment</t>
        </is>
      </c>
      <c r="O1526" s="11" t="n">
        <v>2</v>
      </c>
      <c r="P1526" s="10" t="inlineStr">
        <is>
          <t>GBMT0808 () 4buhn male thread 4buhn</t>
        </is>
      </c>
      <c r="Q1526" s="277" t="n">
        <v>4</v>
      </c>
      <c r="R1526" s="5" t="inlineStr">
        <is>
          <t>PCS.</t>
        </is>
      </c>
      <c r="S1526" s="284">
        <f>RawDataGenPO[[#This Row],[Total price]]/RawDataGenPO[[#This Row],[Qty'']]</f>
        <v/>
      </c>
      <c r="T1526" s="278" t="n">
        <v>1600</v>
      </c>
      <c r="U1526" s="291" t="n"/>
      <c r="V1526" s="7" t="inlineStr">
        <is>
          <t>V1000021 - CALVATIS-ASIA PACIFIC CO.,LTD.</t>
        </is>
      </c>
      <c r="W1526" s="30" t="inlineStr">
        <is>
          <t>Recive bill and GRN already</t>
        </is>
      </c>
      <c r="X1526" s="5" t="inlineStr">
        <is>
          <t>GRN2526-0004538</t>
        </is>
      </c>
      <c r="Y1526" s="3" t="n">
        <v>45941</v>
      </c>
      <c r="Z1526" s="23" t="n"/>
      <c r="AA1526" s="17">
        <f>IF(RawDataGenPO[[#This Row],[Date Gen PO]]="","",RawDataGenPO[[#This Row],[Date recive bill]]-RawDataGenPO[[#This Row],[Date Gen PO]])</f>
        <v/>
      </c>
      <c r="AB1526" s="16">
        <f>IF(RawDataGenPO[[#This Row],[GRN-PO date]]&gt;RawDataGenPO[[#This Row],[Lead time delivery (day)]],"over deliverry","Ontime")</f>
        <v/>
      </c>
      <c r="AC1526" s="22" t="n"/>
    </row>
    <row r="1527" ht="15" customHeight="1">
      <c r="A1527" s="5">
        <f>ROW()-ROW(RawDataGenPO[[#Headers],[No.]])</f>
        <v/>
      </c>
      <c r="B1527" s="7" t="inlineStr">
        <is>
          <t>Expent  cost</t>
        </is>
      </c>
      <c r="C1527" s="276" t="n">
        <v>45917</v>
      </c>
      <c r="F1527" s="276" t="n">
        <v>45917</v>
      </c>
      <c r="G1527" s="5" t="inlineStr">
        <is>
          <t>PR2526-02351</t>
        </is>
      </c>
      <c r="H1527" s="5" t="inlineStr">
        <is>
          <t>PO2526-03478</t>
        </is>
      </c>
      <c r="I1527" s="286" t="n">
        <v>45930</v>
      </c>
      <c r="J1527" s="56" t="n"/>
      <c r="K1527" s="20" t="n">
        <v>60</v>
      </c>
      <c r="L1527" s="5" t="inlineStr">
        <is>
          <t>SFST81000050</t>
        </is>
      </c>
      <c r="M1527" s="7" t="inlineStr">
        <is>
          <t>Tool and Equipment PD M/C</t>
        </is>
      </c>
      <c r="N1527" s="7" t="inlineStr">
        <is>
          <t>Tool and Equipment</t>
        </is>
      </c>
      <c r="O1527" s="11" t="n">
        <v>3</v>
      </c>
      <c r="P1527" s="10" t="inlineStr">
        <is>
          <t>GBMT0806 () 4buhn male thread 3buhn</t>
        </is>
      </c>
      <c r="Q1527" s="277" t="n">
        <v>4</v>
      </c>
      <c r="R1527" s="5" t="inlineStr">
        <is>
          <t>PCS.</t>
        </is>
      </c>
      <c r="S1527" s="284">
        <f>RawDataGenPO[[#This Row],[Total price]]/RawDataGenPO[[#This Row],[Qty'']]</f>
        <v/>
      </c>
      <c r="T1527" s="278" t="n">
        <v>1600</v>
      </c>
      <c r="U1527" s="291" t="n"/>
      <c r="V1527" s="7" t="inlineStr">
        <is>
          <t>V1000021 - CALVATIS-ASIA PACIFIC CO.,LTD.</t>
        </is>
      </c>
      <c r="W1527" s="30" t="inlineStr">
        <is>
          <t>Recive bill and GRN already</t>
        </is>
      </c>
      <c r="X1527" s="5" t="inlineStr">
        <is>
          <t>GRN2526-0004538</t>
        </is>
      </c>
      <c r="Y1527" s="3" t="n">
        <v>45941</v>
      </c>
      <c r="Z1527" s="23" t="n"/>
      <c r="AA1527" s="17">
        <f>IF(RawDataGenPO[[#This Row],[Date Gen PO]]="","",RawDataGenPO[[#This Row],[Date recive bill]]-RawDataGenPO[[#This Row],[Date Gen PO]])</f>
        <v/>
      </c>
      <c r="AB1527" s="16">
        <f>IF(RawDataGenPO[[#This Row],[GRN-PO date]]&gt;RawDataGenPO[[#This Row],[Lead time delivery (day)]],"over deliverry","Ontime")</f>
        <v/>
      </c>
      <c r="AC1527" s="22" t="n"/>
    </row>
    <row r="1528" ht="15" customHeight="1">
      <c r="A1528" s="5">
        <f>ROW()-ROW(RawDataGenPO[[#Headers],[No.]])</f>
        <v/>
      </c>
      <c r="B1528" s="7" t="inlineStr">
        <is>
          <t>Expent  cost</t>
        </is>
      </c>
      <c r="C1528" s="276" t="n">
        <v>45917</v>
      </c>
      <c r="F1528" s="276" t="n">
        <v>45917</v>
      </c>
      <c r="G1528" s="5" t="inlineStr">
        <is>
          <t>PR2526-02351</t>
        </is>
      </c>
      <c r="H1528" s="5" t="inlineStr">
        <is>
          <t>PO2526-03478</t>
        </is>
      </c>
      <c r="I1528" s="286" t="n">
        <v>45930</v>
      </c>
      <c r="J1528" s="56" t="n"/>
      <c r="K1528" s="20" t="n">
        <v>60</v>
      </c>
      <c r="L1528" s="5" t="inlineStr">
        <is>
          <t>SFST81000050</t>
        </is>
      </c>
      <c r="M1528" s="7" t="inlineStr">
        <is>
          <t>Tool and Equipment PD M/C</t>
        </is>
      </c>
      <c r="N1528" s="7" t="inlineStr">
        <is>
          <t>Tool and Equipment</t>
        </is>
      </c>
      <c r="O1528" s="11" t="n">
        <v>4</v>
      </c>
      <c r="P1528" s="10" t="inlineStr">
        <is>
          <t>Hose 25 M. (cabinet)</t>
        </is>
      </c>
      <c r="Q1528" s="277" t="n">
        <v>2</v>
      </c>
      <c r="R1528" s="5" t="inlineStr">
        <is>
          <t>PCS.</t>
        </is>
      </c>
      <c r="S1528" s="284">
        <f>RawDataGenPO[[#This Row],[Total price]]/RawDataGenPO[[#This Row],[Qty'']]</f>
        <v/>
      </c>
      <c r="T1528" s="278" t="n">
        <v>31000</v>
      </c>
      <c r="U1528" s="291" t="n"/>
      <c r="V1528" s="7" t="inlineStr">
        <is>
          <t>V1000021 - CALVATIS-ASIA PACIFIC CO.,LTD.</t>
        </is>
      </c>
      <c r="W1528" s="30" t="inlineStr">
        <is>
          <t>Recive bill and GRN already</t>
        </is>
      </c>
      <c r="X1528" s="5" t="inlineStr">
        <is>
          <t>GRN2526-0004538</t>
        </is>
      </c>
      <c r="Y1528" s="3" t="n">
        <v>45941</v>
      </c>
      <c r="Z1528" s="23" t="n"/>
      <c r="AA1528" s="17">
        <f>IF(RawDataGenPO[[#This Row],[Date Gen PO]]="","",RawDataGenPO[[#This Row],[Date recive bill]]-RawDataGenPO[[#This Row],[Date Gen PO]])</f>
        <v/>
      </c>
      <c r="AB1528" s="16">
        <f>IF(RawDataGenPO[[#This Row],[GRN-PO date]]&gt;RawDataGenPO[[#This Row],[Lead time delivery (day)]],"over deliverry","Ontime")</f>
        <v/>
      </c>
      <c r="AC1528" s="22" t="n"/>
    </row>
    <row r="1529" ht="15" customHeight="1">
      <c r="A1529" s="5">
        <f>ROW()-ROW(RawDataGenPO[[#Headers],[No.]])</f>
        <v/>
      </c>
      <c r="B1529" s="7" t="inlineStr">
        <is>
          <t>Expent  cost</t>
        </is>
      </c>
      <c r="C1529" s="276" t="n">
        <v>45917</v>
      </c>
      <c r="F1529" s="276" t="n">
        <v>45917</v>
      </c>
      <c r="G1529" s="5" t="inlineStr">
        <is>
          <t>PR2526-02351</t>
        </is>
      </c>
      <c r="H1529" s="5" t="inlineStr">
        <is>
          <t>PO2526-03478</t>
        </is>
      </c>
      <c r="I1529" s="286" t="n">
        <v>45930</v>
      </c>
      <c r="J1529" s="56" t="n"/>
      <c r="K1529" s="20" t="n">
        <v>60</v>
      </c>
      <c r="L1529" s="5" t="inlineStr">
        <is>
          <t>SFST81000050</t>
        </is>
      </c>
      <c r="M1529" s="7" t="inlineStr">
        <is>
          <t>Tool and Equipment PD M/C</t>
        </is>
      </c>
      <c r="N1529" s="7" t="inlineStr">
        <is>
          <t>Tool and Equipment</t>
        </is>
      </c>
      <c r="O1529" s="11" t="n">
        <v>5</v>
      </c>
      <c r="P1529" s="10" t="inlineStr">
        <is>
          <t xml:space="preserve"> Male Coupling 1/2 Internal</t>
        </is>
      </c>
      <c r="Q1529" s="277" t="n">
        <v>2</v>
      </c>
      <c r="R1529" s="5" t="inlineStr">
        <is>
          <t>PCS.</t>
        </is>
      </c>
      <c r="S1529" s="284">
        <f>RawDataGenPO[[#This Row],[Total price]]/RawDataGenPO[[#This Row],[Qty'']]</f>
        <v/>
      </c>
      <c r="T1529" s="278" t="n">
        <v>3600</v>
      </c>
      <c r="U1529" s="291" t="n"/>
      <c r="V1529" s="7" t="inlineStr">
        <is>
          <t>V1000021 - CALVATIS-ASIA PACIFIC CO.,LTD.</t>
        </is>
      </c>
      <c r="W1529" s="30" t="inlineStr">
        <is>
          <t>Recive bill and GRN already</t>
        </is>
      </c>
      <c r="X1529" s="5" t="inlineStr">
        <is>
          <t>GRN2526-0004538</t>
        </is>
      </c>
      <c r="Y1529" s="3" t="n">
        <v>45941</v>
      </c>
      <c r="Z1529" s="23" t="n"/>
      <c r="AA1529" s="17">
        <f>IF(RawDataGenPO[[#This Row],[Date Gen PO]]="","",RawDataGenPO[[#This Row],[Date recive bill]]-RawDataGenPO[[#This Row],[Date Gen PO]])</f>
        <v/>
      </c>
      <c r="AB1529" s="16">
        <f>IF(RawDataGenPO[[#This Row],[GRN-PO date]]&gt;RawDataGenPO[[#This Row],[Lead time delivery (day)]],"over deliverry","Ontime")</f>
        <v/>
      </c>
      <c r="AC1529" s="22" t="n"/>
    </row>
    <row r="1530" ht="15" customHeight="1">
      <c r="A1530" s="5">
        <f>ROW()-ROW(RawDataGenPO[[#Headers],[No.]])</f>
        <v/>
      </c>
      <c r="B1530" s="7" t="inlineStr">
        <is>
          <t>Expent  cost</t>
        </is>
      </c>
      <c r="C1530" s="276" t="n">
        <v>45918</v>
      </c>
      <c r="F1530" s="276" t="n">
        <v>45918</v>
      </c>
      <c r="G1530" s="5" t="inlineStr">
        <is>
          <t>PR2526-02384</t>
        </is>
      </c>
      <c r="H1530" s="5" t="inlineStr">
        <is>
          <t>PO2526-03455</t>
        </is>
      </c>
      <c r="I1530" s="286" t="n">
        <v>45929</v>
      </c>
      <c r="J1530" s="56" t="n"/>
      <c r="K1530" s="20" t="n">
        <v>30</v>
      </c>
      <c r="L1530" s="5" t="inlineStr">
        <is>
          <t>SFST81000048</t>
        </is>
      </c>
      <c r="M1530" s="7" t="inlineStr">
        <is>
          <t>Cooling machine for PD line</t>
        </is>
      </c>
      <c r="N1530" s="7" t="inlineStr">
        <is>
          <t>Cooling  part</t>
        </is>
      </c>
      <c r="O1530" s="11" t="n">
        <v>1</v>
      </c>
      <c r="P1530" s="10" t="inlineStr">
        <is>
          <t>Danfoss Filter drier DML 164</t>
        </is>
      </c>
      <c r="Q1530" s="277" t="n">
        <v>4</v>
      </c>
      <c r="R1530" s="5" t="inlineStr">
        <is>
          <t>PCS.</t>
        </is>
      </c>
      <c r="S1530" s="284">
        <f>RawDataGenPO[[#This Row],[Total price]]/RawDataGenPO[[#This Row],[Qty'']]</f>
        <v/>
      </c>
      <c r="T1530" s="278" t="n">
        <v>1380</v>
      </c>
      <c r="U1530" s="291" t="n"/>
      <c r="V1530" s="7" t="inlineStr">
        <is>
          <t>V1000481 - Company JW Tech Ltd.</t>
        </is>
      </c>
      <c r="W1530" s="30" t="inlineStr">
        <is>
          <t>Recive bill and GRN already</t>
        </is>
      </c>
      <c r="X1530" s="5" t="inlineStr">
        <is>
          <t>GRN2526-0004376</t>
        </is>
      </c>
      <c r="Y1530" s="3" t="n">
        <v>45936</v>
      </c>
      <c r="Z1530" s="23" t="n"/>
      <c r="AA1530" s="17">
        <f>IF(RawDataGenPO[[#This Row],[Date Gen PO]]="","",RawDataGenPO[[#This Row],[Date recive bill]]-RawDataGenPO[[#This Row],[Date Gen PO]])</f>
        <v/>
      </c>
      <c r="AB1530" s="16">
        <f>IF(RawDataGenPO[[#This Row],[GRN-PO date]]&gt;RawDataGenPO[[#This Row],[Lead time delivery (day)]],"over deliverry","Ontime")</f>
        <v/>
      </c>
      <c r="AC1530" s="22" t="n"/>
    </row>
    <row r="1531" ht="60" customHeight="1">
      <c r="A1531" s="5">
        <f>ROW()-ROW(RawDataGenPO[[#Headers],[No.]])</f>
        <v/>
      </c>
      <c r="B1531" s="7" t="inlineStr">
        <is>
          <t>Expent  cost</t>
        </is>
      </c>
      <c r="C1531" s="276" t="n">
        <v>45918</v>
      </c>
      <c r="F1531" s="276" t="n">
        <v>45918</v>
      </c>
      <c r="G1531" s="5" t="inlineStr">
        <is>
          <t>PR2526-02385</t>
        </is>
      </c>
      <c r="H1531" s="5" t="inlineStr">
        <is>
          <t>PO2526-03441</t>
        </is>
      </c>
      <c r="I1531" s="286" t="n">
        <v>45929</v>
      </c>
      <c r="J1531" s="56" t="n"/>
      <c r="K1531" s="20" t="n">
        <v>30</v>
      </c>
      <c r="L1531" s="5" t="inlineStr">
        <is>
          <t>SFST81000048</t>
        </is>
      </c>
      <c r="M1531" s="7" t="inlineStr">
        <is>
          <t>Tool and Equipment PD M/C</t>
        </is>
      </c>
      <c r="N1531" s="7" t="inlineStr">
        <is>
          <t>Tool and Equipment</t>
        </is>
      </c>
      <c r="O1531" s="11" t="n">
        <v>1</v>
      </c>
      <c r="P1531" s="10" t="inlineStr">
        <is>
          <t>ARI BELLOW SEAL GLOBE VALVE FIG.23.046 PN25 DN25
- BODY: GGG 40.3(EN-JS1049)
- CONNECTION: FLANGE DIN
- MAX.TEMP: 350°C</t>
        </is>
      </c>
      <c r="Q1531" s="277" t="n">
        <v>2</v>
      </c>
      <c r="R1531" s="5" t="inlineStr">
        <is>
          <t>PCS.</t>
        </is>
      </c>
      <c r="S1531" s="284">
        <f>RawDataGenPO[[#This Row],[Total price]]/RawDataGenPO[[#This Row],[Qty'']]</f>
        <v/>
      </c>
      <c r="T1531" s="278" t="n">
        <v>14640</v>
      </c>
      <c r="U1531" s="291" t="n"/>
      <c r="V1531" s="7" t="inlineStr">
        <is>
          <t>V1000552 - Alpha group co.,Ltd</t>
        </is>
      </c>
      <c r="W1531" s="30" t="inlineStr">
        <is>
          <t>Recive bill and GRN already</t>
        </is>
      </c>
      <c r="X1531" s="5" t="inlineStr">
        <is>
          <t>GRN2627-0000039</t>
        </is>
      </c>
      <c r="Y1531" s="3" t="n">
        <v>46114</v>
      </c>
      <c r="Z1531" s="23" t="n"/>
      <c r="AA1531" s="17">
        <f>IF(RawDataGenPO[[#This Row],[Date Gen PO]]="","",RawDataGenPO[[#This Row],[Date recive bill]]-RawDataGenPO[[#This Row],[Date Gen PO]])</f>
        <v/>
      </c>
      <c r="AB1531" s="16">
        <f>IF(RawDataGenPO[[#This Row],[GRN-PO date]]&gt;RawDataGenPO[[#This Row],[Lead time delivery (day)]],"over deliverry","Ontime")</f>
        <v/>
      </c>
      <c r="AC1531" s="22" t="n"/>
    </row>
    <row r="1532" ht="15" customHeight="1">
      <c r="A1532" s="5">
        <f>ROW()-ROW(RawDataGenPO[[#Headers],[No.]])</f>
        <v/>
      </c>
      <c r="B1532" s="7" t="inlineStr">
        <is>
          <t>Expent  cost</t>
        </is>
      </c>
      <c r="C1532" s="276" t="n">
        <v>45918</v>
      </c>
      <c r="F1532" s="276" t="n">
        <v>45918</v>
      </c>
      <c r="G1532" s="5" t="inlineStr">
        <is>
          <t>PR2526-02387</t>
        </is>
      </c>
      <c r="H1532" s="5" t="inlineStr">
        <is>
          <t>PO2526-03472</t>
        </is>
      </c>
      <c r="I1532" s="286" t="n">
        <v>45929</v>
      </c>
      <c r="J1532" s="56" t="n"/>
      <c r="K1532" s="20" t="n">
        <v>60</v>
      </c>
      <c r="L1532" s="5" t="inlineStr">
        <is>
          <t>SFST81000009</t>
        </is>
      </c>
      <c r="M1532" s="7" t="inlineStr">
        <is>
          <t>Consumable part for MN</t>
        </is>
      </c>
      <c r="N1532" s="7" t="inlineStr">
        <is>
          <t>Consumable part</t>
        </is>
      </c>
      <c r="O1532" s="11" t="n">
        <v>1</v>
      </c>
      <c r="P1532" s="10" t="inlineStr">
        <is>
          <t>Rust Oleum (A+B) (3.785L.) white 9391+9305 Epoxy</t>
        </is>
      </c>
      <c r="Q1532" s="277" t="n">
        <v>6</v>
      </c>
      <c r="R1532" s="5" t="inlineStr">
        <is>
          <t>PCS.</t>
        </is>
      </c>
      <c r="S1532" s="284">
        <f>RawDataGenPO[[#This Row],[Total price]]/RawDataGenPO[[#This Row],[Qty'']]</f>
        <v/>
      </c>
      <c r="T1532" s="278" t="n">
        <v>11040</v>
      </c>
      <c r="U1532" s="291" t="n"/>
      <c r="V1532" s="7" t="inlineStr">
        <is>
          <t>V1000657 - SANGSIAM HARDWARE LTD., PART</t>
        </is>
      </c>
      <c r="W1532" s="30" t="inlineStr">
        <is>
          <t>Recive bill and GRN already</t>
        </is>
      </c>
      <c r="X1532" s="5" t="inlineStr">
        <is>
          <t>GRN2526-0004592</t>
        </is>
      </c>
      <c r="Y1532" s="3" t="n">
        <v>45945</v>
      </c>
      <c r="Z1532" s="23" t="n"/>
      <c r="AA1532" s="17">
        <f>IF(RawDataGenPO[[#This Row],[Date Gen PO]]="","",RawDataGenPO[[#This Row],[Date recive bill]]-RawDataGenPO[[#This Row],[Date Gen PO]])</f>
        <v/>
      </c>
      <c r="AB1532" s="16">
        <f>IF(RawDataGenPO[[#This Row],[GRN-PO date]]&gt;RawDataGenPO[[#This Row],[Lead time delivery (day)]],"over deliverry","Ontime")</f>
        <v/>
      </c>
      <c r="AC1532" s="22" t="n"/>
    </row>
    <row r="1533" ht="15" customHeight="1">
      <c r="A1533" s="5">
        <f>ROW()-ROW(RawDataGenPO[[#Headers],[No.]])</f>
        <v/>
      </c>
      <c r="B1533" s="7" t="inlineStr">
        <is>
          <t>Expent  cost</t>
        </is>
      </c>
      <c r="C1533" s="276" t="n">
        <v>45918</v>
      </c>
      <c r="F1533" s="276" t="n">
        <v>45918</v>
      </c>
      <c r="G1533" s="5" t="inlineStr">
        <is>
          <t>PR2526-02387</t>
        </is>
      </c>
      <c r="H1533" s="5" t="inlineStr">
        <is>
          <t>PO2526-03473</t>
        </is>
      </c>
      <c r="I1533" s="286" t="n">
        <v>45929</v>
      </c>
      <c r="J1533" s="56" t="n"/>
      <c r="K1533" s="20" t="n">
        <v>60</v>
      </c>
      <c r="L1533" s="5" t="inlineStr">
        <is>
          <t>SFST81000009</t>
        </is>
      </c>
      <c r="M1533" s="7" t="inlineStr">
        <is>
          <t>Consumable part for MN</t>
        </is>
      </c>
      <c r="N1533" s="7" t="inlineStr">
        <is>
          <t>Consumable part</t>
        </is>
      </c>
      <c r="O1533" s="11" t="n">
        <v>1</v>
      </c>
      <c r="P1533" s="10" t="inlineStr">
        <is>
          <t>Rust Oleum Thinner No.160 (3.785L.)</t>
        </is>
      </c>
      <c r="Q1533" s="277" t="n">
        <v>6</v>
      </c>
      <c r="R1533" s="5" t="inlineStr">
        <is>
          <t>PCS.</t>
        </is>
      </c>
      <c r="S1533" s="284">
        <f>RawDataGenPO[[#This Row],[Total price]]/RawDataGenPO[[#This Row],[Qty'']]</f>
        <v/>
      </c>
      <c r="T1533" s="278" t="n">
        <v>4320</v>
      </c>
      <c r="U1533" s="291" t="n"/>
      <c r="V1533" s="7" t="inlineStr">
        <is>
          <t>V1000657 - SANGSIAM HARDWARE LTD., PART</t>
        </is>
      </c>
      <c r="W1533" s="30" t="inlineStr">
        <is>
          <t>Recive bill and GRN already</t>
        </is>
      </c>
      <c r="X1533" s="5" t="inlineStr">
        <is>
          <t>GRN2526-0004591</t>
        </is>
      </c>
      <c r="Y1533" s="3" t="n">
        <v>45945</v>
      </c>
      <c r="Z1533" s="23" t="n"/>
      <c r="AA1533" s="17">
        <f>IF(RawDataGenPO[[#This Row],[Date Gen PO]]="","",RawDataGenPO[[#This Row],[Date recive bill]]-RawDataGenPO[[#This Row],[Date Gen PO]])</f>
        <v/>
      </c>
      <c r="AB1533" s="16">
        <f>IF(RawDataGenPO[[#This Row],[GRN-PO date]]&gt;RawDataGenPO[[#This Row],[Lead time delivery (day)]],"over deliverry","Ontime")</f>
        <v/>
      </c>
      <c r="AC1533" s="22" t="n"/>
    </row>
    <row r="1534" ht="15" customHeight="1">
      <c r="A1534" s="5">
        <f>ROW()-ROW(RawDataGenPO[[#Headers],[No.]])</f>
        <v/>
      </c>
      <c r="B1534" s="7" t="inlineStr">
        <is>
          <t>Expent  cost</t>
        </is>
      </c>
      <c r="C1534" s="276" t="n">
        <v>45918</v>
      </c>
      <c r="F1534" s="276" t="n">
        <v>45918</v>
      </c>
      <c r="G1534" s="5" t="inlineStr">
        <is>
          <t>PR2526-02387</t>
        </is>
      </c>
      <c r="H1534" s="5" t="inlineStr">
        <is>
          <t>PO2526-03473</t>
        </is>
      </c>
      <c r="I1534" s="286" t="n">
        <v>45929</v>
      </c>
      <c r="J1534" s="56" t="n"/>
      <c r="K1534" s="20" t="n">
        <v>60</v>
      </c>
      <c r="L1534" s="5" t="inlineStr">
        <is>
          <t>SFST81000009</t>
        </is>
      </c>
      <c r="M1534" s="7" t="inlineStr">
        <is>
          <t>Consumable part for MN</t>
        </is>
      </c>
      <c r="N1534" s="7" t="inlineStr">
        <is>
          <t>Consumable part</t>
        </is>
      </c>
      <c r="O1534" s="11" t="n">
        <v>2</v>
      </c>
      <c r="P1534" s="10" t="inlineStr">
        <is>
          <t>TOA BARCO model AAA size 11 kg ()</t>
        </is>
      </c>
      <c r="Q1534" s="277" t="n">
        <v>2</v>
      </c>
      <c r="R1534" s="5" t="inlineStr">
        <is>
          <t>PCS.</t>
        </is>
      </c>
      <c r="S1534" s="284">
        <f>RawDataGenPO[[#This Row],[Total price]]/RawDataGenPO[[#This Row],[Qty'']]</f>
        <v/>
      </c>
      <c r="T1534" s="278" t="n">
        <v>1880</v>
      </c>
      <c r="U1534" s="291" t="n"/>
      <c r="V1534" s="7" t="inlineStr">
        <is>
          <t>V1000657 - SANGSIAM HARDWARE LTD., PART</t>
        </is>
      </c>
      <c r="W1534" s="30" t="inlineStr">
        <is>
          <t>Recive bill and GRN already</t>
        </is>
      </c>
      <c r="X1534" s="5" t="inlineStr">
        <is>
          <t>GRN2526-0004591</t>
        </is>
      </c>
      <c r="Y1534" s="3" t="n">
        <v>45945</v>
      </c>
      <c r="AA1534" s="17">
        <f>IF(RawDataGenPO[[#This Row],[Date Gen PO]]="","",RawDataGenPO[[#This Row],[Date recive bill]]-RawDataGenPO[[#This Row],[Date Gen PO]])</f>
        <v/>
      </c>
      <c r="AB1534" s="16">
        <f>IF(RawDataGenPO[[#This Row],[GRN-PO date]]&gt;RawDataGenPO[[#This Row],[Lead time delivery (day)]],"over deliverry","Ontime")</f>
        <v/>
      </c>
      <c r="AC1534" s="22" t="n"/>
    </row>
    <row r="1535" ht="15" customHeight="1">
      <c r="A1535" s="5">
        <f>ROW()-ROW(RawDataGenPO[[#Headers],[No.]])</f>
        <v/>
      </c>
      <c r="B1535" s="7" t="inlineStr">
        <is>
          <t>Expent  cost</t>
        </is>
      </c>
      <c r="C1535" s="276" t="n">
        <v>45918</v>
      </c>
      <c r="F1535" s="276" t="n">
        <v>45918</v>
      </c>
      <c r="G1535" s="5" t="inlineStr">
        <is>
          <t>PR2526-02388</t>
        </is>
      </c>
      <c r="H1535" s="5" t="inlineStr">
        <is>
          <t>PO2526-03471</t>
        </is>
      </c>
      <c r="I1535" s="286" t="n">
        <v>45929</v>
      </c>
      <c r="J1535" s="56" t="n"/>
      <c r="K1535" s="20" t="n">
        <v>120</v>
      </c>
      <c r="L1535" s="5" t="inlineStr">
        <is>
          <t>SFST81000048</t>
        </is>
      </c>
      <c r="M1535" s="7" t="inlineStr">
        <is>
          <t xml:space="preserve">Waste water </t>
        </is>
      </c>
      <c r="N1535" s="7" t="inlineStr">
        <is>
          <t>Water pump for production line cleaning No.2</t>
        </is>
      </c>
      <c r="O1535" s="11" t="n">
        <v>1</v>
      </c>
      <c r="P1535" s="10" t="inlineStr">
        <is>
          <t>Remove &amp; Installation Motor Pump 7.5 kW</t>
        </is>
      </c>
      <c r="Q1535" s="277" t="n">
        <v>1</v>
      </c>
      <c r="R1535" s="5" t="inlineStr">
        <is>
          <t>Job.</t>
        </is>
      </c>
      <c r="S1535" s="284">
        <f>RawDataGenPO[[#This Row],[Total price]]/RawDataGenPO[[#This Row],[Qty'']]</f>
        <v/>
      </c>
      <c r="T1535" s="278" t="n">
        <v>5000</v>
      </c>
      <c r="U1535" s="291" t="n"/>
      <c r="V1535" s="7" t="inlineStr">
        <is>
          <t>V1000790 - WEE SERVICE 2024 CO., LTD.</t>
        </is>
      </c>
      <c r="W1535" s="30" t="inlineStr">
        <is>
          <t>Recive bill and GRN already</t>
        </is>
      </c>
      <c r="X1535" s="5" t="inlineStr">
        <is>
          <t>GRN2526-0006769</t>
        </is>
      </c>
      <c r="Y1535" s="3" t="n">
        <v>46030</v>
      </c>
      <c r="Z1535" s="23" t="n"/>
      <c r="AA1535" s="17">
        <f>IF(RawDataGenPO[[#This Row],[Date Gen PO]]="","",RawDataGenPO[[#This Row],[Date recive bill]]-RawDataGenPO[[#This Row],[Date Gen PO]])</f>
        <v/>
      </c>
      <c r="AB1535" s="16">
        <f>IF(RawDataGenPO[[#This Row],[GRN-PO date]]&gt;RawDataGenPO[[#This Row],[Lead time delivery (day)]],"over deliverry","Ontime")</f>
        <v/>
      </c>
      <c r="AC1535" s="22" t="n"/>
    </row>
    <row r="1536" ht="90" customHeight="1">
      <c r="A1536" s="5">
        <f>ROW()-ROW(RawDataGenPO[[#Headers],[No.]])</f>
        <v/>
      </c>
      <c r="B1536" s="7" t="inlineStr">
        <is>
          <t>Expent  cost</t>
        </is>
      </c>
      <c r="C1536" s="276" t="n">
        <v>45918</v>
      </c>
      <c r="F1536" s="276" t="n">
        <v>45918</v>
      </c>
      <c r="G1536" s="5" t="inlineStr">
        <is>
          <t>PR2526-02388</t>
        </is>
      </c>
      <c r="H1536" s="5" t="inlineStr">
        <is>
          <t>PO2526-03471</t>
        </is>
      </c>
      <c r="I1536" s="286" t="n">
        <v>45929</v>
      </c>
      <c r="J1536" s="56" t="n"/>
      <c r="K1536" s="20" t="n">
        <v>120</v>
      </c>
      <c r="L1536" s="5" t="inlineStr">
        <is>
          <t>SFST81000048</t>
        </is>
      </c>
      <c r="M1536" s="7" t="inlineStr">
        <is>
          <t>Foam &amp; Cleaning solution pump system</t>
        </is>
      </c>
      <c r="N1536" s="7" t="inlineStr">
        <is>
          <t>Water pump for production line cleaning No.2</t>
        </is>
      </c>
      <c r="O1536" s="11" t="n">
        <v>2</v>
      </c>
      <c r="P1536" s="10" t="inlineStr">
        <is>
          <t>Overhaul Motor
- Inspection EE &amp; MC
- Replace bearing DE 7308 &amp; NDE 6206-2RS 2 Ea
- Replace oil seal 2 Ea.
- Balance Rotor 1 Job.
- Test Run 1 Job.</t>
        </is>
      </c>
      <c r="Q1536" s="277" t="n">
        <v>1</v>
      </c>
      <c r="R1536" s="5" t="inlineStr">
        <is>
          <t>Job.</t>
        </is>
      </c>
      <c r="S1536" s="284">
        <f>RawDataGenPO[[#This Row],[Total price]]/RawDataGenPO[[#This Row],[Qty'']]</f>
        <v/>
      </c>
      <c r="T1536" s="278" t="n">
        <v>12000</v>
      </c>
      <c r="U1536" s="291" t="n"/>
      <c r="V1536" s="7" t="inlineStr">
        <is>
          <t>V1000790 - WEE SERVICE 2024 CO., LTD.</t>
        </is>
      </c>
      <c r="W1536" s="30" t="inlineStr">
        <is>
          <t>Recive bill and GRN already</t>
        </is>
      </c>
      <c r="X1536" s="5" t="inlineStr">
        <is>
          <t>GRN2526-0006769</t>
        </is>
      </c>
      <c r="Y1536" s="3" t="n">
        <v>46030</v>
      </c>
      <c r="Z1536" s="23" t="n"/>
      <c r="AA1536" s="17">
        <f>IF(RawDataGenPO[[#This Row],[Date Gen PO]]="","",RawDataGenPO[[#This Row],[Date recive bill]]-RawDataGenPO[[#This Row],[Date Gen PO]])</f>
        <v/>
      </c>
      <c r="AB1536" s="16">
        <f>IF(RawDataGenPO[[#This Row],[GRN-PO date]]&gt;RawDataGenPO[[#This Row],[Lead time delivery (day)]],"over deliverry","Ontime")</f>
        <v/>
      </c>
      <c r="AC1536" s="22" t="n"/>
    </row>
    <row r="1537" ht="60" customHeight="1">
      <c r="A1537" s="5">
        <f>ROW()-ROW(RawDataGenPO[[#Headers],[No.]])</f>
        <v/>
      </c>
      <c r="B1537" s="7" t="inlineStr">
        <is>
          <t>Expent  cost</t>
        </is>
      </c>
      <c r="C1537" s="276" t="n">
        <v>45918</v>
      </c>
      <c r="F1537" s="276" t="n">
        <v>45918</v>
      </c>
      <c r="G1537" s="5" t="inlineStr">
        <is>
          <t>PR2526-02388</t>
        </is>
      </c>
      <c r="H1537" s="5" t="inlineStr">
        <is>
          <t>PO2526-03471</t>
        </is>
      </c>
      <c r="I1537" s="286" t="n">
        <v>45929</v>
      </c>
      <c r="J1537" s="56" t="n"/>
      <c r="K1537" s="20" t="n">
        <v>120</v>
      </c>
      <c r="L1537" s="5" t="inlineStr">
        <is>
          <t>SFST81000048</t>
        </is>
      </c>
      <c r="M1537" s="7" t="inlineStr">
        <is>
          <t>Foam &amp; Cleaning solution pump system</t>
        </is>
      </c>
      <c r="N1537" s="7" t="inlineStr">
        <is>
          <t>Water pump for production line cleaning No.2</t>
        </is>
      </c>
      <c r="O1537" s="11" t="n">
        <v>3</v>
      </c>
      <c r="P1537" s="10" t="inlineStr">
        <is>
          <t>Overhaul Pump
- Inspection MC 
- Replace mechanical seal 1 Ea GRUNDFOS
- Replace O-ring 1 Set</t>
        </is>
      </c>
      <c r="Q1537" s="277" t="n">
        <v>1</v>
      </c>
      <c r="R1537" s="5" t="inlineStr">
        <is>
          <t>Job.</t>
        </is>
      </c>
      <c r="S1537" s="284">
        <f>RawDataGenPO[[#This Row],[Total price]]/RawDataGenPO[[#This Row],[Qty'']]</f>
        <v/>
      </c>
      <c r="T1537" s="278" t="n">
        <v>15000</v>
      </c>
      <c r="U1537" s="291" t="n"/>
      <c r="V1537" s="7" t="inlineStr">
        <is>
          <t>V1000790 - WEE SERVICE 2024 CO., LTD.</t>
        </is>
      </c>
      <c r="W1537" s="30" t="inlineStr">
        <is>
          <t>Recive bill and GRN already</t>
        </is>
      </c>
      <c r="X1537" s="5" t="inlineStr">
        <is>
          <t>GRN2526-0006769</t>
        </is>
      </c>
      <c r="Y1537" s="3" t="n">
        <v>46030</v>
      </c>
      <c r="Z1537" s="23" t="n"/>
      <c r="AA1537" s="17">
        <f>IF(RawDataGenPO[[#This Row],[Date Gen PO]]="","",RawDataGenPO[[#This Row],[Date recive bill]]-RawDataGenPO[[#This Row],[Date Gen PO]])</f>
        <v/>
      </c>
      <c r="AB1537" s="16">
        <f>IF(RawDataGenPO[[#This Row],[GRN-PO date]]&gt;RawDataGenPO[[#This Row],[Lead time delivery (day)]],"over deliverry","Ontime")</f>
        <v/>
      </c>
      <c r="AC1537" s="22" t="n"/>
    </row>
    <row r="1538" ht="15" customHeight="1">
      <c r="A1538" s="5">
        <f>ROW()-ROW(RawDataGenPO[[#Headers],[No.]])</f>
        <v/>
      </c>
      <c r="B1538" s="7" t="inlineStr">
        <is>
          <t>Expent  cost</t>
        </is>
      </c>
      <c r="C1538" s="276" t="n">
        <v>45918</v>
      </c>
      <c r="F1538" s="276" t="n">
        <v>45918</v>
      </c>
      <c r="G1538" s="5" t="inlineStr">
        <is>
          <t>PR2526-02388</t>
        </is>
      </c>
      <c r="H1538" s="5" t="inlineStr">
        <is>
          <t>PO2526-03471</t>
        </is>
      </c>
      <c r="I1538" s="286" t="n">
        <v>45929</v>
      </c>
      <c r="J1538" s="56" t="n"/>
      <c r="K1538" s="20" t="n">
        <v>120</v>
      </c>
      <c r="L1538" s="5" t="inlineStr">
        <is>
          <t>SFST81000048</t>
        </is>
      </c>
      <c r="M1538" s="7" t="inlineStr">
        <is>
          <t>Foam &amp; Cleaning solution pump system</t>
        </is>
      </c>
      <c r="N1538" s="7" t="inlineStr">
        <is>
          <t>Water pump for production line cleaning No.2</t>
        </is>
      </c>
      <c r="O1538" s="11" t="n">
        <v>1</v>
      </c>
      <c r="P1538" s="10" t="inlineStr">
        <is>
          <t>Transportation</t>
        </is>
      </c>
      <c r="Q1538" s="277" t="n">
        <v>1</v>
      </c>
      <c r="R1538" s="5" t="inlineStr">
        <is>
          <t>Job.</t>
        </is>
      </c>
      <c r="S1538" s="284">
        <f>RawDataGenPO[[#This Row],[Total price]]/RawDataGenPO[[#This Row],[Qty'']]</f>
        <v/>
      </c>
      <c r="T1538" s="278" t="n">
        <v>1500</v>
      </c>
      <c r="U1538" s="291" t="n"/>
      <c r="V1538" s="7" t="inlineStr">
        <is>
          <t>V1000790 - WEE SERVICE 2024 CO., LTD.</t>
        </is>
      </c>
      <c r="W1538" s="30" t="inlineStr">
        <is>
          <t>Recive bill and GRN already</t>
        </is>
      </c>
      <c r="X1538" s="5" t="inlineStr">
        <is>
          <t>GRN2526-0006769</t>
        </is>
      </c>
      <c r="Y1538" s="3" t="n">
        <v>46030</v>
      </c>
      <c r="Z1538" s="23" t="n"/>
      <c r="AA1538" s="17">
        <f>IF(RawDataGenPO[[#This Row],[Date Gen PO]]="","",RawDataGenPO[[#This Row],[Date recive bill]]-RawDataGenPO[[#This Row],[Date Gen PO]])</f>
        <v/>
      </c>
      <c r="AB1538" s="16">
        <f>IF(RawDataGenPO[[#This Row],[GRN-PO date]]&gt;RawDataGenPO[[#This Row],[Lead time delivery (day)]],"over deliverry","Ontime")</f>
        <v/>
      </c>
      <c r="AC1538" s="22" t="n"/>
    </row>
    <row r="1539" ht="15" customHeight="1">
      <c r="A1539" s="5">
        <f>ROW()-ROW(RawDataGenPO[[#Headers],[No.]])</f>
        <v/>
      </c>
      <c r="B1539" s="7" t="inlineStr">
        <is>
          <t>Expent  cost</t>
        </is>
      </c>
      <c r="C1539" s="276" t="n">
        <v>45919</v>
      </c>
      <c r="F1539" s="276" t="n">
        <v>45919</v>
      </c>
      <c r="G1539" s="5" t="inlineStr">
        <is>
          <t>PR2526-02398</t>
        </is>
      </c>
      <c r="H1539" s="5" t="inlineStr">
        <is>
          <t>PO2526-03474</t>
        </is>
      </c>
      <c r="I1539" s="286" t="n">
        <v>45930</v>
      </c>
      <c r="J1539" s="56" t="n"/>
      <c r="K1539" s="20" t="n">
        <v>30</v>
      </c>
      <c r="L1539" s="5" t="inlineStr">
        <is>
          <t>SFST81000048</t>
        </is>
      </c>
      <c r="M1539" s="7" t="inlineStr">
        <is>
          <t>Refrigerant-oil for cooling M/C</t>
        </is>
      </c>
      <c r="N1539" s="7" t="inlineStr">
        <is>
          <t>Cooling  part</t>
        </is>
      </c>
      <c r="O1539" s="11" t="n">
        <v>1</v>
      </c>
      <c r="P1539" s="10" t="inlineStr">
        <is>
          <t>Danfoss Expansion Valve TE 2/R404A-R507/068Z3403</t>
        </is>
      </c>
      <c r="Q1539" s="277" t="n">
        <v>3</v>
      </c>
      <c r="R1539" s="5" t="inlineStr">
        <is>
          <t>PCS.</t>
        </is>
      </c>
      <c r="S1539" s="284">
        <f>RawDataGenPO[[#This Row],[Total price]]/RawDataGenPO[[#This Row],[Qty'']]</f>
        <v/>
      </c>
      <c r="T1539" s="278" t="n">
        <v>3894</v>
      </c>
      <c r="U1539" s="291" t="n"/>
      <c r="V1539" s="7" t="inlineStr">
        <is>
          <t>V1000310 - BOONBAWORN ENGINEERING CO., LTD</t>
        </is>
      </c>
      <c r="W1539" s="30" t="inlineStr">
        <is>
          <t>Recive bill and GRN already</t>
        </is>
      </c>
      <c r="X1539" s="5" t="inlineStr">
        <is>
          <t>GRN2526-0004741</t>
        </is>
      </c>
      <c r="Y1539" s="3" t="n">
        <v>45951</v>
      </c>
      <c r="Z1539" s="23" t="n"/>
      <c r="AA1539" s="17">
        <f>IF(RawDataGenPO[[#This Row],[Date Gen PO]]="","",RawDataGenPO[[#This Row],[Date recive bill]]-RawDataGenPO[[#This Row],[Date Gen PO]])</f>
        <v/>
      </c>
      <c r="AB1539" s="16">
        <f>IF(RawDataGenPO[[#This Row],[GRN-PO date]]&gt;RawDataGenPO[[#This Row],[Lead time delivery (day)]],"over deliverry","Ontime")</f>
        <v/>
      </c>
      <c r="AC1539" s="22" t="n"/>
    </row>
    <row r="1540" ht="15" customHeight="1">
      <c r="A1540" s="5">
        <f>ROW()-ROW(RawDataGenPO[[#Headers],[No.]])</f>
        <v/>
      </c>
      <c r="B1540" s="7" t="inlineStr">
        <is>
          <t>Expent  cost</t>
        </is>
      </c>
      <c r="C1540" s="276" t="n">
        <v>45919</v>
      </c>
      <c r="F1540" s="276" t="n">
        <v>45919</v>
      </c>
      <c r="G1540" s="5" t="inlineStr">
        <is>
          <t>PR2526-02398</t>
        </is>
      </c>
      <c r="H1540" s="5" t="inlineStr">
        <is>
          <t>PO2526-03474</t>
        </is>
      </c>
      <c r="I1540" s="286" t="n">
        <v>45930</v>
      </c>
      <c r="J1540" s="56" t="n"/>
      <c r="K1540" s="20" t="n">
        <v>30</v>
      </c>
      <c r="L1540" s="5" t="inlineStr">
        <is>
          <t>SFST81000048</t>
        </is>
      </c>
      <c r="M1540" s="7" t="inlineStr">
        <is>
          <t>Refrigerant-oil for cooling M/C</t>
        </is>
      </c>
      <c r="N1540" s="7" t="inlineStr">
        <is>
          <t>Cooling  part</t>
        </is>
      </c>
      <c r="O1540" s="11" t="n">
        <v>2</v>
      </c>
      <c r="P1540" s="10" t="inlineStr">
        <is>
          <t>Danfoss Expansion Valve TES 2/R404A-R507/068Z3403</t>
        </is>
      </c>
      <c r="Q1540" s="277" t="n">
        <v>3</v>
      </c>
      <c r="R1540" s="5" t="inlineStr">
        <is>
          <t>PCS.</t>
        </is>
      </c>
      <c r="S1540" s="284">
        <f>RawDataGenPO[[#This Row],[Total price]]/RawDataGenPO[[#This Row],[Qty'']]</f>
        <v/>
      </c>
      <c r="T1540" s="278" t="n">
        <v>3894</v>
      </c>
      <c r="U1540" s="291" t="n"/>
      <c r="V1540" s="7" t="inlineStr">
        <is>
          <t>V1000310 - BOONBAWORN ENGINEERING CO., LTD</t>
        </is>
      </c>
      <c r="W1540" s="30" t="inlineStr">
        <is>
          <t>Recive bill and GRN already</t>
        </is>
      </c>
      <c r="X1540" s="5" t="inlineStr">
        <is>
          <t>GRN2526-0004741</t>
        </is>
      </c>
      <c r="Y1540" s="3" t="n">
        <v>45951</v>
      </c>
      <c r="Z1540" s="23" t="n"/>
      <c r="AA1540" s="17">
        <f>IF(RawDataGenPO[[#This Row],[Date Gen PO]]="","",RawDataGenPO[[#This Row],[Date recive bill]]-RawDataGenPO[[#This Row],[Date Gen PO]])</f>
        <v/>
      </c>
      <c r="AB1540" s="16">
        <f>IF(RawDataGenPO[[#This Row],[GRN-PO date]]&gt;RawDataGenPO[[#This Row],[Lead time delivery (day)]],"over deliverry","Ontime")</f>
        <v/>
      </c>
      <c r="AC1540" s="22" t="n"/>
    </row>
    <row r="1541" ht="15" customHeight="1">
      <c r="A1541" s="5">
        <f>ROW()-ROW(RawDataGenPO[[#Headers],[No.]])</f>
        <v/>
      </c>
      <c r="B1541" s="7" t="inlineStr">
        <is>
          <t>Expent  cost</t>
        </is>
      </c>
      <c r="C1541" s="276" t="n">
        <v>45919</v>
      </c>
      <c r="F1541" s="276" t="n">
        <v>45919</v>
      </c>
      <c r="G1541" s="5" t="inlineStr">
        <is>
          <t>PR2526-02398</t>
        </is>
      </c>
      <c r="H1541" s="5" t="inlineStr">
        <is>
          <t>PO2526-03474</t>
        </is>
      </c>
      <c r="I1541" s="286" t="n">
        <v>45930</v>
      </c>
      <c r="J1541" s="56" t="n"/>
      <c r="K1541" s="20" t="n">
        <v>30</v>
      </c>
      <c r="L1541" s="5" t="inlineStr">
        <is>
          <t>SFST81000048</t>
        </is>
      </c>
      <c r="M1541" s="7" t="inlineStr">
        <is>
          <t>Refrigerant-oil for cooling M/C</t>
        </is>
      </c>
      <c r="N1541" s="7" t="inlineStr">
        <is>
          <t>Cooling  part</t>
        </is>
      </c>
      <c r="O1541" s="11" t="n">
        <v>3</v>
      </c>
      <c r="P1541" s="10" t="inlineStr">
        <is>
          <t>Danfoss Expansion Valve TE 5/R404A-R507/06783342</t>
        </is>
      </c>
      <c r="Q1541" s="277" t="n">
        <v>2</v>
      </c>
      <c r="R1541" s="5" t="inlineStr">
        <is>
          <t>PCS.</t>
        </is>
      </c>
      <c r="S1541" s="284">
        <f>RawDataGenPO[[#This Row],[Total price]]/RawDataGenPO[[#This Row],[Qty'']]</f>
        <v/>
      </c>
      <c r="T1541" s="278" t="n">
        <v>3228</v>
      </c>
      <c r="U1541" s="291" t="n"/>
      <c r="V1541" s="7" t="inlineStr">
        <is>
          <t>V1000310 - BOONBAWORN ENGINEERING CO., LTD</t>
        </is>
      </c>
      <c r="W1541" s="30" t="inlineStr">
        <is>
          <t>Recive bill and GRN already</t>
        </is>
      </c>
      <c r="X1541" s="5" t="inlineStr">
        <is>
          <t>GRN2526-0004741</t>
        </is>
      </c>
      <c r="Y1541" s="3" t="n">
        <v>45951</v>
      </c>
      <c r="Z1541" s="23" t="n"/>
      <c r="AA1541" s="17">
        <f>IF(RawDataGenPO[[#This Row],[Date Gen PO]]="","",RawDataGenPO[[#This Row],[Date recive bill]]-RawDataGenPO[[#This Row],[Date Gen PO]])</f>
        <v/>
      </c>
      <c r="AB1541" s="16">
        <f>IF(RawDataGenPO[[#This Row],[GRN-PO date]]&gt;RawDataGenPO[[#This Row],[Lead time delivery (day)]],"over deliverry","Ontime")</f>
        <v/>
      </c>
      <c r="AC1541" s="22" t="n"/>
    </row>
    <row r="1542" ht="15" customHeight="1">
      <c r="A1542" s="5">
        <f>ROW()-ROW(RawDataGenPO[[#Headers],[No.]])</f>
        <v/>
      </c>
      <c r="B1542" s="7" t="inlineStr">
        <is>
          <t>Expent  cost</t>
        </is>
      </c>
      <c r="C1542" s="276" t="n">
        <v>45919</v>
      </c>
      <c r="F1542" s="276" t="n">
        <v>45919</v>
      </c>
      <c r="G1542" s="5" t="inlineStr">
        <is>
          <t>PR2526-02398</t>
        </is>
      </c>
      <c r="H1542" s="5" t="inlineStr">
        <is>
          <t>PO2526-03474</t>
        </is>
      </c>
      <c r="I1542" s="286" t="n">
        <v>45930</v>
      </c>
      <c r="J1542" s="56" t="n"/>
      <c r="K1542" s="20" t="n">
        <v>30</v>
      </c>
      <c r="L1542" s="5" t="inlineStr">
        <is>
          <t>SFST81000048</t>
        </is>
      </c>
      <c r="M1542" s="7" t="inlineStr">
        <is>
          <t>Refrigerant-oil for cooling M/C</t>
        </is>
      </c>
      <c r="N1542" s="7" t="inlineStr">
        <is>
          <t>Cooling  part</t>
        </is>
      </c>
      <c r="O1542" s="11" t="n">
        <v>4</v>
      </c>
      <c r="P1542" s="10" t="inlineStr">
        <is>
          <t>Danfoss Expansion Valve TES 5/R404A-R507/06783342</t>
        </is>
      </c>
      <c r="Q1542" s="277" t="n">
        <v>2</v>
      </c>
      <c r="R1542" s="5" t="inlineStr">
        <is>
          <t>PCS.</t>
        </is>
      </c>
      <c r="S1542" s="284">
        <f>RawDataGenPO[[#This Row],[Total price]]/RawDataGenPO[[#This Row],[Qty'']]</f>
        <v/>
      </c>
      <c r="T1542" s="278" t="n">
        <v>3228</v>
      </c>
      <c r="U1542" s="291" t="n"/>
      <c r="V1542" s="7" t="inlineStr">
        <is>
          <t>V1000310 - BOONBAWORN ENGINEERING CO., LTD</t>
        </is>
      </c>
      <c r="W1542" s="30" t="inlineStr">
        <is>
          <t>Recive bill and GRN already</t>
        </is>
      </c>
      <c r="X1542" s="5" t="inlineStr">
        <is>
          <t>GRN2526-0004741</t>
        </is>
      </c>
      <c r="Y1542" s="3" t="n">
        <v>45951</v>
      </c>
      <c r="Z1542" s="23" t="n"/>
      <c r="AA1542" s="17">
        <f>IF(RawDataGenPO[[#This Row],[Date Gen PO]]="","",RawDataGenPO[[#This Row],[Date recive bill]]-RawDataGenPO[[#This Row],[Date Gen PO]])</f>
        <v/>
      </c>
      <c r="AB1542" s="16">
        <f>IF(RawDataGenPO[[#This Row],[GRN-PO date]]&gt;RawDataGenPO[[#This Row],[Lead time delivery (day)]],"over deliverry","Ontime")</f>
        <v/>
      </c>
      <c r="AC1542" s="22" t="n"/>
    </row>
    <row r="1543" ht="15" customHeight="1">
      <c r="A1543" s="5">
        <f>ROW()-ROW(RawDataGenPO[[#Headers],[No.]])</f>
        <v/>
      </c>
      <c r="B1543" s="7" t="inlineStr">
        <is>
          <t>Expent  cost</t>
        </is>
      </c>
      <c r="C1543" s="276" t="n">
        <v>45919</v>
      </c>
      <c r="F1543" s="276" t="n">
        <v>45919</v>
      </c>
      <c r="G1543" s="5" t="inlineStr">
        <is>
          <t>PR2526-02398</t>
        </is>
      </c>
      <c r="H1543" s="5" t="inlineStr">
        <is>
          <t>PO2526-03474</t>
        </is>
      </c>
      <c r="I1543" s="286" t="n">
        <v>45930</v>
      </c>
      <c r="J1543" s="56" t="n"/>
      <c r="K1543" s="20" t="n">
        <v>30</v>
      </c>
      <c r="L1543" s="5" t="inlineStr">
        <is>
          <t>SFST81000048</t>
        </is>
      </c>
      <c r="M1543" s="7" t="inlineStr">
        <is>
          <t>Refrigerant-oil for cooling M/C</t>
        </is>
      </c>
      <c r="N1543" s="7" t="inlineStr">
        <is>
          <t>Cooling  part</t>
        </is>
      </c>
      <c r="O1543" s="11" t="n">
        <v>5</v>
      </c>
      <c r="P1543" s="10" t="inlineStr">
        <is>
          <t>Danfoss Expansion Valve TES 2/R404A-R507/068Z3403 Inclued Orafic</t>
        </is>
      </c>
      <c r="Q1543" s="277" t="n">
        <v>1</v>
      </c>
      <c r="R1543" s="5" t="inlineStr">
        <is>
          <t>PCS.</t>
        </is>
      </c>
      <c r="S1543" s="284">
        <f>RawDataGenPO[[#This Row],[Total price]]/RawDataGenPO[[#This Row],[Qty'']]</f>
        <v/>
      </c>
      <c r="T1543" s="278" t="n">
        <v>1662</v>
      </c>
      <c r="U1543" s="291" t="n"/>
      <c r="V1543" s="7" t="inlineStr">
        <is>
          <t>V1000310 - BOONBAWORN ENGINEERING CO., LTD</t>
        </is>
      </c>
      <c r="W1543" s="30" t="inlineStr">
        <is>
          <t>Recive bill and GRN already</t>
        </is>
      </c>
      <c r="X1543" s="5" t="inlineStr">
        <is>
          <t>GRN2526-0004593</t>
        </is>
      </c>
      <c r="Y1543" s="3" t="n">
        <v>45945</v>
      </c>
      <c r="Z1543" s="23" t="n"/>
      <c r="AA1543" s="17">
        <f>IF(RawDataGenPO[[#This Row],[Date Gen PO]]="","",RawDataGenPO[[#This Row],[Date recive bill]]-RawDataGenPO[[#This Row],[Date Gen PO]])</f>
        <v/>
      </c>
      <c r="AB1543" s="16">
        <f>IF(RawDataGenPO[[#This Row],[GRN-PO date]]&gt;RawDataGenPO[[#This Row],[Lead time delivery (day)]],"over deliverry","Ontime")</f>
        <v/>
      </c>
      <c r="AC1543" s="22" t="n"/>
    </row>
    <row r="1544" ht="15" customHeight="1">
      <c r="A1544" s="5">
        <f>ROW()-ROW(RawDataGenPO[[#Headers],[No.]])</f>
        <v/>
      </c>
      <c r="B1544" s="7" t="inlineStr">
        <is>
          <t>Expent  cost</t>
        </is>
      </c>
      <c r="C1544" s="276" t="n">
        <v>45919</v>
      </c>
      <c r="F1544" s="276" t="n">
        <v>45919</v>
      </c>
      <c r="G1544" s="5" t="inlineStr">
        <is>
          <t>PR2526-02399</t>
        </is>
      </c>
      <c r="H1544" s="5" t="inlineStr">
        <is>
          <t>PO2526-03475</t>
        </is>
      </c>
      <c r="I1544" s="286" t="n">
        <v>45929</v>
      </c>
      <c r="J1544" s="56" t="n"/>
      <c r="K1544" s="20" t="n">
        <v>30</v>
      </c>
      <c r="L1544" s="5" t="inlineStr">
        <is>
          <t>SFST81000048</t>
        </is>
      </c>
      <c r="M1544" s="7" t="inlineStr">
        <is>
          <t>Refrigerant-oil for cooling M/C</t>
        </is>
      </c>
      <c r="N1544" s="7" t="inlineStr">
        <is>
          <t>Cooling  part</t>
        </is>
      </c>
      <c r="O1544" s="11" t="n">
        <v>1</v>
      </c>
      <c r="P1544" s="10" t="inlineStr">
        <is>
          <t>Danfoss EVR 10 Valve ODF-ODF 1/2in Multi 9</t>
        </is>
      </c>
      <c r="Q1544" s="277" t="n">
        <v>5</v>
      </c>
      <c r="R1544" s="5" t="inlineStr">
        <is>
          <t>PCS.</t>
        </is>
      </c>
      <c r="S1544" s="284">
        <f>RawDataGenPO[[#This Row],[Total price]]/RawDataGenPO[[#This Row],[Qty'']]</f>
        <v/>
      </c>
      <c r="T1544" s="278" t="n">
        <v>8260</v>
      </c>
      <c r="U1544" s="291" t="n"/>
      <c r="V1544" s="7" t="inlineStr">
        <is>
          <t>V1000310 - BOONBAWORN ENGINEERING CO., LTD</t>
        </is>
      </c>
      <c r="W1544" s="30" t="inlineStr">
        <is>
          <t>Recive bill and GRN already</t>
        </is>
      </c>
      <c r="X1544" s="5" t="inlineStr">
        <is>
          <t>GRN2526-0004438</t>
        </is>
      </c>
      <c r="Y1544" s="3" t="n">
        <v>45938</v>
      </c>
      <c r="Z1544" s="23" t="n"/>
      <c r="AA1544" s="17">
        <f>IF(RawDataGenPO[[#This Row],[Date Gen PO]]="","",RawDataGenPO[[#This Row],[Date recive bill]]-RawDataGenPO[[#This Row],[Date Gen PO]])</f>
        <v/>
      </c>
      <c r="AB1544" s="16">
        <f>IF(RawDataGenPO[[#This Row],[GRN-PO date]]&gt;RawDataGenPO[[#This Row],[Lead time delivery (day)]],"over deliverry","Ontime")</f>
        <v/>
      </c>
      <c r="AC1544" s="22" t="n"/>
    </row>
    <row r="1545" ht="13.5" customHeight="1">
      <c r="A1545" s="5">
        <f>ROW()-ROW(RawDataGenPO[[#Headers],[No.]])</f>
        <v/>
      </c>
      <c r="B1545" s="7" t="inlineStr">
        <is>
          <t>Expent  cost</t>
        </is>
      </c>
      <c r="C1545" s="276" t="n">
        <v>45919</v>
      </c>
      <c r="F1545" s="276" t="n">
        <v>45919</v>
      </c>
      <c r="G1545" s="5" t="inlineStr">
        <is>
          <t>PR2526-02399</t>
        </is>
      </c>
      <c r="H1545" s="5" t="inlineStr">
        <is>
          <t>PO2526-03475</t>
        </is>
      </c>
      <c r="I1545" s="286" t="n">
        <v>45929</v>
      </c>
      <c r="J1545" s="56" t="n"/>
      <c r="K1545" s="20" t="n">
        <v>30</v>
      </c>
      <c r="L1545" s="5" t="inlineStr">
        <is>
          <t>SFST81000048</t>
        </is>
      </c>
      <c r="M1545" s="7" t="inlineStr">
        <is>
          <t>Refrigerant-oil for cooling M/C</t>
        </is>
      </c>
      <c r="N1545" s="7" t="inlineStr">
        <is>
          <t>Cooling  part</t>
        </is>
      </c>
      <c r="O1545" s="11" t="n">
        <v>2</v>
      </c>
      <c r="P1545" s="10" t="inlineStr">
        <is>
          <t xml:space="preserve"> Danfoss Coil BE230AS 220-230V 50Hz Box 018F6701</t>
        </is>
      </c>
      <c r="Q1545" s="277" t="n">
        <v>3</v>
      </c>
      <c r="R1545" s="5" t="inlineStr">
        <is>
          <t>PCS.</t>
        </is>
      </c>
      <c r="S1545" s="284">
        <f>RawDataGenPO[[#This Row],[Total price]]/RawDataGenPO[[#This Row],[Qty'']]</f>
        <v/>
      </c>
      <c r="T1545" s="278" t="n">
        <v>2613</v>
      </c>
      <c r="U1545" s="291" t="n"/>
      <c r="V1545" s="7" t="inlineStr">
        <is>
          <t>V1000310 - BOONBAWORN ENGINEERING CO., LTD</t>
        </is>
      </c>
      <c r="W1545" s="30" t="inlineStr">
        <is>
          <t>Recive bill and GRN already</t>
        </is>
      </c>
      <c r="X1545" s="5" t="inlineStr">
        <is>
          <t>GRN2526-0004438</t>
        </is>
      </c>
      <c r="Y1545" s="3" t="n">
        <v>45938</v>
      </c>
      <c r="Z1545" s="23" t="n"/>
      <c r="AA1545" s="17">
        <f>IF(RawDataGenPO[[#This Row],[Date Gen PO]]="","",RawDataGenPO[[#This Row],[Date recive bill]]-RawDataGenPO[[#This Row],[Date Gen PO]])</f>
        <v/>
      </c>
      <c r="AB1545" s="16">
        <f>IF(RawDataGenPO[[#This Row],[GRN-PO date]]&gt;RawDataGenPO[[#This Row],[Lead time delivery (day)]],"over deliverry","Ontime")</f>
        <v/>
      </c>
      <c r="AC1545" s="22" t="n"/>
    </row>
    <row r="1546" ht="15" customHeight="1">
      <c r="A1546" s="5">
        <f>ROW()-ROW(RawDataGenPO[[#Headers],[No.]])</f>
        <v/>
      </c>
      <c r="B1546" s="7" t="inlineStr">
        <is>
          <t>Expent  cost</t>
        </is>
      </c>
      <c r="C1546" s="276" t="n">
        <v>45919</v>
      </c>
      <c r="F1546" s="276" t="n">
        <v>45919</v>
      </c>
      <c r="G1546" s="5" t="inlineStr">
        <is>
          <t>PR2526-02402</t>
        </is>
      </c>
      <c r="H1546" s="5" t="inlineStr">
        <is>
          <t>PO2526-03476</t>
        </is>
      </c>
      <c r="I1546" s="286" t="n">
        <v>45929</v>
      </c>
      <c r="J1546" s="56" t="n"/>
      <c r="K1546" s="20" t="n">
        <v>30</v>
      </c>
      <c r="L1546" s="5" t="inlineStr">
        <is>
          <t>SFST81000048</t>
        </is>
      </c>
      <c r="M1546" s="7" t="inlineStr">
        <is>
          <t>Refrigerant-oil for cooling M/C</t>
        </is>
      </c>
      <c r="N1546" s="7" t="inlineStr">
        <is>
          <t>Cooling  part</t>
        </is>
      </c>
      <c r="O1546" s="11" t="n">
        <v>1</v>
      </c>
      <c r="P1546" s="10" t="inlineStr">
        <is>
          <t>Danfoss DCR Filter Cartridge 48-F 48F 023U1921</t>
        </is>
      </c>
      <c r="Q1546" s="277" t="n">
        <v>6</v>
      </c>
      <c r="R1546" s="5" t="inlineStr">
        <is>
          <t>PCS.</t>
        </is>
      </c>
      <c r="S1546" s="284">
        <f>RawDataGenPO[[#This Row],[Total price]]/RawDataGenPO[[#This Row],[Qty'']]</f>
        <v/>
      </c>
      <c r="T1546" s="278" t="n">
        <v>2700</v>
      </c>
      <c r="U1546" s="291" t="n"/>
      <c r="V1546" s="7" t="inlineStr">
        <is>
          <t>V1000109 - Coolconnection Co., Ltd</t>
        </is>
      </c>
      <c r="W1546" s="30" t="inlineStr">
        <is>
          <t>Recive bill and GRN already</t>
        </is>
      </c>
      <c r="X1546" s="5" t="inlineStr">
        <is>
          <t>GRN2526-0004332</t>
        </is>
      </c>
      <c r="Y1546" s="3" t="n">
        <v>45933</v>
      </c>
      <c r="Z1546" s="23" t="n"/>
      <c r="AA1546" s="17">
        <f>IF(RawDataGenPO[[#This Row],[Date Gen PO]]="","",RawDataGenPO[[#This Row],[Date recive bill]]-RawDataGenPO[[#This Row],[Date Gen PO]])</f>
        <v/>
      </c>
      <c r="AB1546" s="16">
        <f>IF(RawDataGenPO[[#This Row],[GRN-PO date]]&gt;RawDataGenPO[[#This Row],[Lead time delivery (day)]],"over deliverry","Ontime")</f>
        <v/>
      </c>
      <c r="AC1546" s="22" t="n"/>
    </row>
    <row r="1547" ht="15" customHeight="1">
      <c r="A1547" s="5">
        <f>ROW()-ROW(RawDataGenPO[[#Headers],[No.]])</f>
        <v/>
      </c>
      <c r="B1547" s="7" t="inlineStr">
        <is>
          <t>Expent  cost</t>
        </is>
      </c>
      <c r="C1547" s="276" t="n">
        <v>45919</v>
      </c>
      <c r="F1547" s="276" t="n">
        <v>45919</v>
      </c>
      <c r="G1547" s="5" t="inlineStr">
        <is>
          <t>PR2526-02402</t>
        </is>
      </c>
      <c r="H1547" s="5" t="inlineStr">
        <is>
          <t>PO2526-03477</t>
        </is>
      </c>
      <c r="I1547" s="286" t="n">
        <v>45929</v>
      </c>
      <c r="J1547" s="56" t="n"/>
      <c r="K1547" s="20" t="n">
        <v>60</v>
      </c>
      <c r="L1547" s="5" t="inlineStr">
        <is>
          <t>SFST81000048</t>
        </is>
      </c>
      <c r="M1547" s="7" t="inlineStr">
        <is>
          <t>Refrigerant-oil for cooling M/C</t>
        </is>
      </c>
      <c r="N1547" s="7" t="inlineStr">
        <is>
          <t>Cooling  part</t>
        </is>
      </c>
      <c r="O1547" s="11" t="n">
        <v>1</v>
      </c>
      <c r="P1547" s="10" t="inlineStr">
        <is>
          <t>Filter Insert with O-Ring HS74</t>
        </is>
      </c>
      <c r="Q1547" s="277" t="n">
        <v>2</v>
      </c>
      <c r="R1547" s="5" t="inlineStr">
        <is>
          <t>PCS.</t>
        </is>
      </c>
      <c r="S1547" s="284">
        <f>RawDataGenPO[[#This Row],[Total price]]/RawDataGenPO[[#This Row],[Qty'']]</f>
        <v/>
      </c>
      <c r="T1547" s="278" t="n">
        <v>9600</v>
      </c>
      <c r="U1547" s="291" t="n"/>
      <c r="V1547" s="7" t="inlineStr">
        <is>
          <t>V1000310 - BOONBAWORN ENGINEERING CO., LTD</t>
        </is>
      </c>
      <c r="W1547" s="30" t="inlineStr">
        <is>
          <t>Recive bill and GRN already</t>
        </is>
      </c>
      <c r="X1547" s="5" t="inlineStr">
        <is>
          <t>GRN2526-0004437</t>
        </is>
      </c>
      <c r="Y1547" s="3" t="n">
        <v>45938</v>
      </c>
      <c r="Z1547" s="23" t="n"/>
      <c r="AA1547" s="17">
        <f>IF(RawDataGenPO[[#This Row],[Date Gen PO]]="","",RawDataGenPO[[#This Row],[Date recive bill]]-RawDataGenPO[[#This Row],[Date Gen PO]])</f>
        <v/>
      </c>
      <c r="AB1547" s="16">
        <f>IF(RawDataGenPO[[#This Row],[GRN-PO date]]&gt;RawDataGenPO[[#This Row],[Lead time delivery (day)]],"over deliverry","Ontime")</f>
        <v/>
      </c>
      <c r="AC1547" s="22" t="n"/>
    </row>
    <row r="1548" ht="15" customHeight="1">
      <c r="A1548" s="5">
        <f>ROW()-ROW(RawDataGenPO[[#Headers],[No.]])</f>
        <v/>
      </c>
      <c r="B1548" s="7" t="inlineStr">
        <is>
          <t>Expent  cost</t>
        </is>
      </c>
      <c r="C1548" s="275" t="n">
        <v>45919</v>
      </c>
      <c r="F1548" s="276" t="n">
        <v>45919</v>
      </c>
      <c r="G1548" s="5" t="inlineStr">
        <is>
          <t>PR2526-02403</t>
        </is>
      </c>
      <c r="H1548" s="5" t="inlineStr">
        <is>
          <t>PO2526-03457</t>
        </is>
      </c>
      <c r="I1548" s="286" t="n">
        <v>45929</v>
      </c>
      <c r="J1548" s="56" t="n"/>
      <c r="K1548" s="20" t="n">
        <v>30</v>
      </c>
      <c r="L1548" s="5" t="inlineStr">
        <is>
          <t>SFST81000009</t>
        </is>
      </c>
      <c r="M1548" s="7" t="inlineStr">
        <is>
          <t>Refrigerant-oil for cooling M/C</t>
        </is>
      </c>
      <c r="N1548" s="7" t="inlineStr">
        <is>
          <t>Cooling  part</t>
        </is>
      </c>
      <c r="O1548" s="11" t="n">
        <v>1</v>
      </c>
      <c r="P1548" s="10" t="inlineStr">
        <is>
          <t xml:space="preserve"> Axial Fan 400 mm 1 P 220 V 4 Pole Sucking</t>
        </is>
      </c>
      <c r="Q1548" s="277" t="n">
        <v>2</v>
      </c>
      <c r="R1548" s="5" t="inlineStr">
        <is>
          <t>EA.</t>
        </is>
      </c>
      <c r="S1548" s="284">
        <f>RawDataGenPO[[#This Row],[Total price]]/RawDataGenPO[[#This Row],[Qty'']]</f>
        <v/>
      </c>
      <c r="T1548" s="278" t="n">
        <v>10800</v>
      </c>
      <c r="U1548" s="291" t="n"/>
      <c r="V1548" s="7" t="inlineStr">
        <is>
          <t>V1000109 - Coolconnection Co., Ltd</t>
        </is>
      </c>
      <c r="W1548" s="30" t="inlineStr">
        <is>
          <t>Recive bill and GRN already</t>
        </is>
      </c>
      <c r="X1548" s="5" t="inlineStr">
        <is>
          <t>GRN2526-0004331</t>
        </is>
      </c>
      <c r="Y1548" s="3" t="n">
        <v>45933</v>
      </c>
      <c r="Z1548" s="23" t="n"/>
      <c r="AA1548" s="17">
        <f>IF(RawDataGenPO[[#This Row],[Date Gen PO]]="","",RawDataGenPO[[#This Row],[Date recive bill]]-RawDataGenPO[[#This Row],[Date Gen PO]])</f>
        <v/>
      </c>
      <c r="AB1548" s="16">
        <f>IF(RawDataGenPO[[#This Row],[GRN-PO date]]&gt;RawDataGenPO[[#This Row],[Lead time delivery (day)]],"over deliverry","Ontime")</f>
        <v/>
      </c>
      <c r="AC1548" s="22" t="n"/>
    </row>
    <row r="1549" ht="15" customHeight="1">
      <c r="A1549" s="5">
        <f>ROW()-ROW(RawDataGenPO[[#Headers],[No.]])</f>
        <v/>
      </c>
      <c r="B1549" s="7" t="inlineStr">
        <is>
          <t>Expent  cost</t>
        </is>
      </c>
      <c r="C1549" s="275" t="n">
        <v>45919</v>
      </c>
      <c r="F1549" s="276" t="n">
        <v>45919</v>
      </c>
      <c r="G1549" s="5" t="inlineStr">
        <is>
          <t>PR2526-02405</t>
        </is>
      </c>
      <c r="H1549" s="5" t="inlineStr">
        <is>
          <t>PO2526-03458</t>
        </is>
      </c>
      <c r="I1549" s="286" t="n">
        <v>45929</v>
      </c>
      <c r="J1549" s="56" t="n"/>
      <c r="K1549" s="20" t="n">
        <v>30</v>
      </c>
      <c r="L1549" s="5" t="inlineStr">
        <is>
          <t>SFST81000048</t>
        </is>
      </c>
      <c r="M1549" s="7" t="inlineStr">
        <is>
          <t>Refrigerant-oil for cooling M/C</t>
        </is>
      </c>
      <c r="N1549" s="7" t="inlineStr">
        <is>
          <t>Cooling  part</t>
        </is>
      </c>
      <c r="O1549" s="11" t="n">
        <v>1</v>
      </c>
      <c r="P1549" s="10" t="inlineStr">
        <is>
          <t>fittingbrass 7/8 inch</t>
        </is>
      </c>
      <c r="Q1549" s="277" t="n">
        <v>2</v>
      </c>
      <c r="R1549" s="5" t="inlineStr">
        <is>
          <t>PCS.</t>
        </is>
      </c>
      <c r="S1549" s="284">
        <f>RawDataGenPO[[#This Row],[Total price]]/RawDataGenPO[[#This Row],[Qty'']]</f>
        <v/>
      </c>
      <c r="T1549" s="278" t="n">
        <v>1880</v>
      </c>
      <c r="U1549" s="291" t="n"/>
      <c r="V1549" s="7" t="inlineStr">
        <is>
          <t>V1000259 - JJP SUPPLY CO., LTD</t>
        </is>
      </c>
      <c r="W1549" s="5" t="inlineStr">
        <is>
          <t>Recive bill and GRN already</t>
        </is>
      </c>
      <c r="X1549" s="5" t="inlineStr">
        <is>
          <t>GRN2526-0004539</t>
        </is>
      </c>
      <c r="Y1549" s="3" t="n">
        <v>45941</v>
      </c>
      <c r="Z1549" s="23" t="n"/>
      <c r="AA1549" s="17">
        <f>IF(RawDataGenPO[[#This Row],[Date Gen PO]]="","",RawDataGenPO[[#This Row],[Date recive bill]]-RawDataGenPO[[#This Row],[Date Gen PO]])</f>
        <v/>
      </c>
      <c r="AB1549" s="16">
        <f>IF(RawDataGenPO[[#This Row],[GRN-PO date]]&gt;RawDataGenPO[[#This Row],[Lead time delivery (day)]],"over deliverry","Ontime")</f>
        <v/>
      </c>
      <c r="AC1549" s="22" t="n"/>
    </row>
    <row r="1550" ht="45" customHeight="1">
      <c r="A1550" s="5">
        <f>ROW()-ROW(RawDataGenPO[[#Headers],[No.]])</f>
        <v/>
      </c>
      <c r="B1550" s="7" t="inlineStr">
        <is>
          <t>Expent  cost</t>
        </is>
      </c>
      <c r="C1550" s="275" t="n">
        <v>45919</v>
      </c>
      <c r="F1550" s="276" t="n">
        <v>45919</v>
      </c>
      <c r="G1550" s="5" t="inlineStr">
        <is>
          <t>PR2526-02407</t>
        </is>
      </c>
      <c r="H1550" s="31" t="inlineStr">
        <is>
          <t>PO2526-03481</t>
        </is>
      </c>
      <c r="I1550" s="286" t="n">
        <v>45930</v>
      </c>
      <c r="J1550" s="56" t="n"/>
      <c r="K1550" s="20" t="n">
        <v>30</v>
      </c>
      <c r="L1550" s="5" t="inlineStr">
        <is>
          <t>SFST81000048</t>
        </is>
      </c>
      <c r="M1550" s="7" t="inlineStr">
        <is>
          <t>PD Machine</t>
        </is>
      </c>
      <c r="N1550" s="7" t="inlineStr">
        <is>
          <t>Bowl Cutter (Chopper) No.1</t>
        </is>
      </c>
      <c r="O1550" s="11" t="n">
        <v>1</v>
      </c>
      <c r="P1550" s="10" t="inlineStr">
        <is>
          <t>Service charge
Error: V1.3 Can-NodeNr:01 500kBaud 5Keyboards The screen does not boot into the K+G program</t>
        </is>
      </c>
      <c r="Q1550" s="277" t="n">
        <v>1</v>
      </c>
      <c r="R1550" s="5" t="inlineStr">
        <is>
          <t>Job.</t>
        </is>
      </c>
      <c r="S1550" s="284">
        <f>RawDataGenPO[[#This Row],[Total price]]/RawDataGenPO[[#This Row],[Qty'']]</f>
        <v/>
      </c>
      <c r="T1550" s="278" t="n">
        <v>6900</v>
      </c>
      <c r="U1550" s="291" t="n"/>
      <c r="V1550" s="7" t="inlineStr">
        <is>
          <t>V1000189 - FPT FOOD PROCESS TECHNOLOGY CO., LTD.</t>
        </is>
      </c>
      <c r="W1550" s="30" t="inlineStr">
        <is>
          <t>Recive bill and GRN already</t>
        </is>
      </c>
      <c r="X1550" s="5" t="inlineStr">
        <is>
          <t>GRN2526-0004346</t>
        </is>
      </c>
      <c r="Y1550" s="3" t="n">
        <v>45934</v>
      </c>
      <c r="Z1550" s="23" t="n"/>
      <c r="AA1550" s="17">
        <f>IF(RawDataGenPO[[#This Row],[Date Gen PO]]="","",RawDataGenPO[[#This Row],[Date recive bill]]-RawDataGenPO[[#This Row],[Date Gen PO]])</f>
        <v/>
      </c>
      <c r="AB1550" s="16">
        <f>IF(RawDataGenPO[[#This Row],[GRN-PO date]]&gt;RawDataGenPO[[#This Row],[Lead time delivery (day)]],"over deliverry","Ontime")</f>
        <v/>
      </c>
      <c r="AC1550" s="22" t="n"/>
    </row>
    <row r="1551" ht="15" customHeight="1">
      <c r="A1551" s="5">
        <f>ROW()-ROW(RawDataGenPO[[#Headers],[No.]])</f>
        <v/>
      </c>
      <c r="B1551" s="7" t="inlineStr">
        <is>
          <t>Expent  cost</t>
        </is>
      </c>
      <c r="C1551" s="275" t="n">
        <v>45924</v>
      </c>
      <c r="F1551" s="276" t="n">
        <v>45924</v>
      </c>
      <c r="G1551" s="5" t="inlineStr">
        <is>
          <t>PR2526-02492</t>
        </is>
      </c>
      <c r="H1551" s="5" t="inlineStr">
        <is>
          <t>PO2526-03484</t>
        </is>
      </c>
      <c r="I1551" s="286" t="n">
        <v>45932</v>
      </c>
      <c r="J1551" s="56" t="n"/>
      <c r="K1551" s="20" t="n">
        <v>30</v>
      </c>
      <c r="L1551" s="5" t="inlineStr">
        <is>
          <t>SFST81000048</t>
        </is>
      </c>
      <c r="M1551" s="7" t="inlineStr">
        <is>
          <t>PD Machine</t>
        </is>
      </c>
      <c r="N1551" s="7" t="inlineStr">
        <is>
          <t>Condencer Unit No.33 (Ice Maker)</t>
        </is>
      </c>
      <c r="O1551" s="11" t="n">
        <v>1</v>
      </c>
      <c r="P1551" s="10" t="inlineStr">
        <is>
          <t>Inspection service chargemachineflake iceWmtravel cost</t>
        </is>
      </c>
      <c r="Q1551" s="277" t="n">
        <v>1</v>
      </c>
      <c r="R1551" s="5" t="inlineStr">
        <is>
          <t>Job.</t>
        </is>
      </c>
      <c r="S1551" s="284">
        <f>RawDataGenPO[[#This Row],[Total price]]/RawDataGenPO[[#This Row],[Qty'']]</f>
        <v/>
      </c>
      <c r="T1551" s="278" t="n">
        <v>6500</v>
      </c>
      <c r="U1551" s="291" t="n"/>
      <c r="V1551" s="7" t="inlineStr">
        <is>
          <t>V1000654 - A AND B REFRIGERATION CO., LTD.</t>
        </is>
      </c>
      <c r="W1551" s="30" t="inlineStr">
        <is>
          <t>Recive bill and GRN already</t>
        </is>
      </c>
      <c r="X1551" s="5" t="inlineStr">
        <is>
          <t>GRN2526-0004537</t>
        </is>
      </c>
      <c r="Y1551" s="3" t="n">
        <v>45941</v>
      </c>
      <c r="Z1551" s="23" t="n"/>
      <c r="AA1551" s="17">
        <f>IF(RawDataGenPO[[#This Row],[Date Gen PO]]="","",RawDataGenPO[[#This Row],[Date recive bill]]-RawDataGenPO[[#This Row],[Date Gen PO]])</f>
        <v/>
      </c>
      <c r="AB1551" s="16">
        <f>IF(RawDataGenPO[[#This Row],[GRN-PO date]]&gt;RawDataGenPO[[#This Row],[Lead time delivery (day)]],"over deliverry","Ontime")</f>
        <v/>
      </c>
      <c r="AC1551" s="22" t="n"/>
    </row>
    <row r="1552" ht="15" customHeight="1">
      <c r="A1552" s="5">
        <f>ROW()-ROW(RawDataGenPO[[#Headers],[No.]])</f>
        <v/>
      </c>
      <c r="B1552" s="7" t="inlineStr">
        <is>
          <t>Expent  cost</t>
        </is>
      </c>
      <c r="C1552" s="275" t="n">
        <v>45924</v>
      </c>
      <c r="F1552" s="276" t="n">
        <v>45924</v>
      </c>
      <c r="G1552" s="5" t="inlineStr">
        <is>
          <t>PR2526-02493</t>
        </is>
      </c>
      <c r="H1552" s="5" t="inlineStr">
        <is>
          <t>PO2526-03482</t>
        </is>
      </c>
      <c r="I1552" s="286" t="n">
        <v>45930</v>
      </c>
      <c r="J1552" s="56" t="n"/>
      <c r="K1552" s="20" t="n">
        <v>60</v>
      </c>
      <c r="L1552" s="5" t="inlineStr">
        <is>
          <t>SFST81000048</t>
        </is>
      </c>
      <c r="M1552" s="7" t="inlineStr">
        <is>
          <t>Cooling machine for PD line</t>
        </is>
      </c>
      <c r="N1552" s="7" t="inlineStr">
        <is>
          <t>Condencer Unit No.1</t>
        </is>
      </c>
      <c r="O1552" s="11" t="n">
        <v>1</v>
      </c>
      <c r="P1552" s="10" t="inlineStr">
        <is>
          <t>nitrogen leak</t>
        </is>
      </c>
      <c r="Q1552" s="277" t="n">
        <v>1</v>
      </c>
      <c r="R1552" s="5" t="inlineStr">
        <is>
          <t>Job.</t>
        </is>
      </c>
      <c r="S1552" s="284">
        <f>RawDataGenPO[[#This Row],[Total price]]/RawDataGenPO[[#This Row],[Qty'']]</f>
        <v/>
      </c>
      <c r="T1552" s="278" t="n">
        <v>3000</v>
      </c>
      <c r="U1552" s="291" t="n"/>
      <c r="V1552" s="7" t="inlineStr">
        <is>
          <t>V1000554 - SHANTECH (THAILAND) CO.,LTD.</t>
        </is>
      </c>
      <c r="W1552" s="30" t="inlineStr">
        <is>
          <t>Recive bill and GRN already</t>
        </is>
      </c>
      <c r="X1552" s="5" t="inlineStr">
        <is>
          <t>GRN2526-0004742</t>
        </is>
      </c>
      <c r="Y1552" s="3" t="n">
        <v>45951</v>
      </c>
      <c r="Z1552" s="23" t="n"/>
      <c r="AA1552" s="17">
        <f>IF(RawDataGenPO[[#This Row],[Date Gen PO]]="","",RawDataGenPO[[#This Row],[Date recive bill]]-RawDataGenPO[[#This Row],[Date Gen PO]])</f>
        <v/>
      </c>
      <c r="AB1552" s="16">
        <f>IF(RawDataGenPO[[#This Row],[GRN-PO date]]&gt;RawDataGenPO[[#This Row],[Lead time delivery (day)]],"over deliverry","Ontime")</f>
        <v/>
      </c>
      <c r="AC1552" s="22" t="n"/>
    </row>
    <row r="1553" ht="15" customHeight="1">
      <c r="A1553" s="5">
        <f>ROW()-ROW(RawDataGenPO[[#Headers],[No.]])</f>
        <v/>
      </c>
      <c r="B1553" s="7" t="inlineStr">
        <is>
          <t>Expent  cost</t>
        </is>
      </c>
      <c r="C1553" s="275" t="n">
        <v>45924</v>
      </c>
      <c r="F1553" s="276" t="n">
        <v>45924</v>
      </c>
      <c r="G1553" s="5" t="inlineStr">
        <is>
          <t>PR2526-02493</t>
        </is>
      </c>
      <c r="H1553" s="5" t="inlineStr">
        <is>
          <t>PO2526-03482</t>
        </is>
      </c>
      <c r="I1553" s="286" t="n">
        <v>45930</v>
      </c>
      <c r="J1553" s="56" t="n"/>
      <c r="K1553" s="20" t="n">
        <v>60</v>
      </c>
      <c r="L1553" s="5" t="inlineStr">
        <is>
          <t>SFST81000048</t>
        </is>
      </c>
      <c r="M1553" s="7" t="inlineStr">
        <is>
          <t>Cooling machine for PD line</t>
        </is>
      </c>
      <c r="N1553" s="7" t="inlineStr">
        <is>
          <t>Condencer Unit No.1</t>
        </is>
      </c>
      <c r="O1553" s="11" t="n">
        <v>2</v>
      </c>
      <c r="P1553" s="10" t="inlineStr">
        <is>
          <t>Service charge + travel cost</t>
        </is>
      </c>
      <c r="Q1553" s="277" t="n">
        <v>1</v>
      </c>
      <c r="R1553" s="5" t="inlineStr">
        <is>
          <t>Job.</t>
        </is>
      </c>
      <c r="S1553" s="284">
        <f>RawDataGenPO[[#This Row],[Total price]]/RawDataGenPO[[#This Row],[Qty'']]</f>
        <v/>
      </c>
      <c r="T1553" s="278" t="n">
        <v>15000</v>
      </c>
      <c r="U1553" s="291" t="n"/>
      <c r="V1553" s="7" t="inlineStr">
        <is>
          <t>V1000554 - SHANTECH (THAILAND) CO.,LTD.</t>
        </is>
      </c>
      <c r="W1553" s="30" t="inlineStr">
        <is>
          <t>Recive bill and GRN already</t>
        </is>
      </c>
      <c r="X1553" s="5" t="inlineStr">
        <is>
          <t>GRN2526-0004742</t>
        </is>
      </c>
      <c r="Y1553" s="3" t="n">
        <v>45951</v>
      </c>
      <c r="Z1553" s="23" t="n"/>
      <c r="AA1553" s="17">
        <f>IF(RawDataGenPO[[#This Row],[Date Gen PO]]="","",RawDataGenPO[[#This Row],[Date recive bill]]-RawDataGenPO[[#This Row],[Date Gen PO]])</f>
        <v/>
      </c>
      <c r="AB1553" s="16">
        <f>IF(RawDataGenPO[[#This Row],[GRN-PO date]]&gt;RawDataGenPO[[#This Row],[Lead time delivery (day)]],"over deliverry","Ontime")</f>
        <v/>
      </c>
      <c r="AC1553" s="22" t="n"/>
    </row>
    <row r="1554" ht="15" customHeight="1">
      <c r="A1554" s="5">
        <f>ROW()-ROW(RawDataGenPO[[#Headers],[No.]])</f>
        <v/>
      </c>
      <c r="B1554" s="7" t="inlineStr">
        <is>
          <t>Expent  cost</t>
        </is>
      </c>
      <c r="C1554" s="275" t="n">
        <v>45924</v>
      </c>
      <c r="F1554" s="276" t="n">
        <v>45924</v>
      </c>
      <c r="G1554" s="5" t="inlineStr">
        <is>
          <t>PR2526-02494</t>
        </is>
      </c>
      <c r="H1554" s="5" t="inlineStr">
        <is>
          <t>PO2526-03499</t>
        </is>
      </c>
      <c r="I1554" s="286" t="n">
        <v>45932</v>
      </c>
      <c r="J1554" s="56" t="n"/>
      <c r="K1554" s="20" t="n">
        <v>30</v>
      </c>
      <c r="L1554" s="5" t="inlineStr">
        <is>
          <t>SFST34000053</t>
        </is>
      </c>
      <c r="M1554" s="7" t="inlineStr">
        <is>
          <t>Refrigerant-oil for cooling M/C</t>
        </is>
      </c>
      <c r="N1554" s="7" t="inlineStr">
        <is>
          <t>Refrigerant</t>
        </is>
      </c>
      <c r="O1554" s="11" t="n">
        <v>1</v>
      </c>
      <c r="P1554" s="10" t="inlineStr">
        <is>
          <t>R410A Refrigerant,(1 Tank 11.3 kg/Tank)</t>
        </is>
      </c>
      <c r="Q1554" s="277" t="n">
        <v>4</v>
      </c>
      <c r="R1554" s="5" t="inlineStr">
        <is>
          <t>DRUM.</t>
        </is>
      </c>
      <c r="S1554" s="284">
        <f>RawDataGenPO[[#This Row],[Total price]]/RawDataGenPO[[#This Row],[Qty'']]</f>
        <v/>
      </c>
      <c r="T1554" s="278" t="n">
        <v>2800</v>
      </c>
      <c r="U1554" s="291" t="n"/>
      <c r="V1554" s="7" t="inlineStr">
        <is>
          <t>V1000312 - Colder Solution Co., Ltd.</t>
        </is>
      </c>
      <c r="W1554" s="30" t="inlineStr">
        <is>
          <t>Recive bill and GRN already</t>
        </is>
      </c>
      <c r="X1554" s="5" t="inlineStr">
        <is>
          <t>GRN2526-0004374</t>
        </is>
      </c>
      <c r="Y1554" s="3" t="n">
        <v>45936</v>
      </c>
      <c r="Z1554" s="23" t="n"/>
      <c r="AA1554" s="17">
        <f>IF(RawDataGenPO[[#This Row],[Date Gen PO]]="","",RawDataGenPO[[#This Row],[Date recive bill]]-RawDataGenPO[[#This Row],[Date Gen PO]])</f>
        <v/>
      </c>
      <c r="AB1554" s="16">
        <f>IF(RawDataGenPO[[#This Row],[GRN-PO date]]&gt;RawDataGenPO[[#This Row],[Lead time delivery (day)]],"over deliverry","Ontime")</f>
        <v/>
      </c>
      <c r="AC1554" s="22" t="n"/>
    </row>
    <row r="1555" ht="15" customHeight="1">
      <c r="A1555" s="5">
        <f>ROW()-ROW(RawDataGenPO[[#Headers],[No.]])</f>
        <v/>
      </c>
      <c r="B1555" s="7" t="inlineStr">
        <is>
          <t>Expent  cost</t>
        </is>
      </c>
      <c r="C1555" s="275" t="n">
        <v>45924</v>
      </c>
      <c r="F1555" s="276" t="n">
        <v>45924</v>
      </c>
      <c r="G1555" s="5" t="inlineStr">
        <is>
          <t>PR2526-02495</t>
        </is>
      </c>
      <c r="H1555" s="5" t="inlineStr">
        <is>
          <t>PO2526-03479</t>
        </is>
      </c>
      <c r="I1555" s="286" t="n">
        <v>45932</v>
      </c>
      <c r="J1555" s="56" t="n"/>
      <c r="K1555" s="20" t="n">
        <v>30</v>
      </c>
      <c r="L1555" s="5" t="inlineStr">
        <is>
          <t>SFST81000048</t>
        </is>
      </c>
      <c r="M1555" s="7" t="inlineStr">
        <is>
          <t>Tool and Equipment PD M/C</t>
        </is>
      </c>
      <c r="N1555" s="7" t="inlineStr">
        <is>
          <t>Tool and Equipment</t>
        </is>
      </c>
      <c r="O1555" s="11" t="n">
        <v>1</v>
      </c>
      <c r="P1555" s="10" t="inlineStr">
        <is>
          <t>Glove valve for bartt pan 2</t>
        </is>
      </c>
      <c r="Q1555" s="277" t="n">
        <v>1</v>
      </c>
      <c r="R1555" s="5" t="inlineStr">
        <is>
          <t>PCS.</t>
        </is>
      </c>
      <c r="S1555" s="284">
        <f>RawDataGenPO[[#This Row],[Total price]]/RawDataGenPO[[#This Row],[Qty'']]</f>
        <v/>
      </c>
      <c r="T1555" s="324" t="n">
        <v>4400</v>
      </c>
      <c r="U1555" s="291" t="n"/>
      <c r="V1555" s="7" t="inlineStr">
        <is>
          <t>V1000655 - SRM ENGINEERING 1991 CO., LTD.</t>
        </is>
      </c>
      <c r="W1555" s="30" t="inlineStr">
        <is>
          <t>Recive bill and GRN already</t>
        </is>
      </c>
      <c r="X1555" s="5" t="inlineStr">
        <is>
          <t>GRN2526-0004379</t>
        </is>
      </c>
      <c r="Y1555" s="3" t="n">
        <v>45936</v>
      </c>
      <c r="Z1555" s="23" t="n"/>
      <c r="AA1555" s="17">
        <f>IF(RawDataGenPO[[#This Row],[Date Gen PO]]="","",RawDataGenPO[[#This Row],[Date recive bill]]-RawDataGenPO[[#This Row],[Date Gen PO]])</f>
        <v/>
      </c>
      <c r="AB1555" s="16">
        <f>IF(RawDataGenPO[[#This Row],[GRN-PO date]]&gt;RawDataGenPO[[#This Row],[Lead time delivery (day)]],"over deliverry","Ontime")</f>
        <v/>
      </c>
      <c r="AC1555" s="22" t="n"/>
    </row>
    <row r="1556" ht="15" customHeight="1">
      <c r="A1556" s="5">
        <f>ROW()-ROW(RawDataGenPO[[#Headers],[No.]])</f>
        <v/>
      </c>
      <c r="B1556" s="7" t="inlineStr">
        <is>
          <t>Expent  cost</t>
        </is>
      </c>
      <c r="C1556" s="275" t="n">
        <v>45924</v>
      </c>
      <c r="F1556" s="276" t="n">
        <v>45924</v>
      </c>
      <c r="G1556" s="5" t="inlineStr">
        <is>
          <t>PR2526-02496</t>
        </is>
      </c>
      <c r="H1556" s="5" t="inlineStr">
        <is>
          <t>PO2526-03440</t>
        </is>
      </c>
      <c r="I1556" s="286" t="n">
        <v>45924</v>
      </c>
      <c r="J1556" s="56" t="n"/>
      <c r="K1556" s="20" t="n">
        <v>30</v>
      </c>
      <c r="L1556" s="5" t="inlineStr">
        <is>
          <t>SFST34000001</t>
        </is>
      </c>
      <c r="M1556" s="7" t="inlineStr">
        <is>
          <t>Consumable part for MN</t>
        </is>
      </c>
      <c r="N1556" s="7" t="inlineStr">
        <is>
          <t>Consumable part</t>
        </is>
      </c>
      <c r="O1556" s="11" t="n">
        <v>1</v>
      </c>
      <c r="P1556" s="10" t="inlineStr">
        <is>
          <t>fittingconnectormale thread(brassyellow), 1/2"</t>
        </is>
      </c>
      <c r="Q1556" s="277" t="n">
        <v>10</v>
      </c>
      <c r="R1556" s="5" t="inlineStr">
        <is>
          <t>PCS.</t>
        </is>
      </c>
      <c r="S1556" s="284">
        <f>RawDataGenPO[[#This Row],[Total price]]/RawDataGenPO[[#This Row],[Qty'']]</f>
        <v/>
      </c>
      <c r="U1556" s="291" t="n"/>
      <c r="V1556" s="7" t="inlineStr">
        <is>
          <t>V1000306 - Inter Supply (1992) Co., Ltd.</t>
        </is>
      </c>
      <c r="W1556" s="30" t="inlineStr">
        <is>
          <t>Recive bill and GRN already</t>
        </is>
      </c>
      <c r="X1556" s="5" t="inlineStr">
        <is>
          <t>GRN2526-0004330</t>
        </is>
      </c>
      <c r="Y1556" s="3" t="n">
        <v>45933</v>
      </c>
      <c r="Z1556" s="23" t="n"/>
      <c r="AA1556" s="17">
        <f>IF(RawDataGenPO[[#This Row],[Date Gen PO]]="","",RawDataGenPO[[#This Row],[Date recive bill]]-RawDataGenPO[[#This Row],[Date Gen PO]])</f>
        <v/>
      </c>
      <c r="AB1556" s="16">
        <f>IF(RawDataGenPO[[#This Row],[GRN-PO date]]&gt;RawDataGenPO[[#This Row],[Lead time delivery (day)]],"over deliverry","Ontime")</f>
        <v/>
      </c>
      <c r="AC1556" s="22" t="n"/>
    </row>
    <row r="1557" ht="15" customHeight="1">
      <c r="A1557" s="5">
        <f>ROW()-ROW(RawDataGenPO[[#Headers],[No.]])</f>
        <v/>
      </c>
      <c r="B1557" s="7" t="inlineStr">
        <is>
          <t>Expent  cost</t>
        </is>
      </c>
      <c r="C1557" s="275" t="n">
        <v>45924</v>
      </c>
      <c r="F1557" s="276" t="n">
        <v>45924</v>
      </c>
      <c r="G1557" s="5" t="inlineStr">
        <is>
          <t>PR2526-02496</t>
        </is>
      </c>
      <c r="H1557" s="5" t="inlineStr">
        <is>
          <t>PO2526-03440</t>
        </is>
      </c>
      <c r="I1557" s="286" t="n">
        <v>45924</v>
      </c>
      <c r="J1557" s="56" t="n"/>
      <c r="K1557" s="20" t="n">
        <v>30</v>
      </c>
      <c r="L1557" s="5" t="inlineStr">
        <is>
          <t>SFST34000007</t>
        </is>
      </c>
      <c r="M1557" s="7" t="inlineStr">
        <is>
          <t>Consumable part for MN</t>
        </is>
      </c>
      <c r="N1557" s="7" t="inlineStr">
        <is>
          <t>Consumable part</t>
        </is>
      </c>
      <c r="O1557" s="11" t="n">
        <v>2</v>
      </c>
      <c r="P1557" s="10" t="inlineStr">
        <is>
          <t>fittingconnectorPVC straightfemale thread PVC, 1/2"</t>
        </is>
      </c>
      <c r="Q1557" s="277" t="n">
        <v>10</v>
      </c>
      <c r="R1557" s="5" t="inlineStr">
        <is>
          <t>PCS.</t>
        </is>
      </c>
      <c r="S1557" s="284">
        <f>RawDataGenPO[[#This Row],[Total price]]/RawDataGenPO[[#This Row],[Qty'']]</f>
        <v/>
      </c>
      <c r="U1557" s="291" t="n"/>
      <c r="V1557" s="7" t="inlineStr">
        <is>
          <t>V1000306 - Inter Supply (1992) Co., Ltd.</t>
        </is>
      </c>
      <c r="W1557" s="30" t="inlineStr">
        <is>
          <t>Recive bill and GRN already</t>
        </is>
      </c>
      <c r="X1557" s="5" t="inlineStr">
        <is>
          <t>GRN2526-0004330</t>
        </is>
      </c>
      <c r="Y1557" s="3" t="n">
        <v>45933</v>
      </c>
      <c r="Z1557" s="23" t="n"/>
      <c r="AA1557" s="17">
        <f>IF(RawDataGenPO[[#This Row],[Date Gen PO]]="","",RawDataGenPO[[#This Row],[Date recive bill]]-RawDataGenPO[[#This Row],[Date Gen PO]])</f>
        <v/>
      </c>
      <c r="AB1557" s="16">
        <f>IF(RawDataGenPO[[#This Row],[GRN-PO date]]&gt;RawDataGenPO[[#This Row],[Lead time delivery (day)]],"over deliverry","Ontime")</f>
        <v/>
      </c>
      <c r="AC1557" s="22" t="n"/>
    </row>
    <row r="1558" ht="13.5" customHeight="1">
      <c r="A1558" s="5">
        <f>ROW()-ROW(RawDataGenPO[[#Headers],[No.]])</f>
        <v/>
      </c>
      <c r="B1558" s="7" t="inlineStr">
        <is>
          <t>Expent  cost</t>
        </is>
      </c>
      <c r="C1558" s="275" t="n">
        <v>45924</v>
      </c>
      <c r="F1558" s="276" t="n">
        <v>45924</v>
      </c>
      <c r="G1558" s="5" t="inlineStr">
        <is>
          <t>PR2526-02496</t>
        </is>
      </c>
      <c r="H1558" s="5" t="inlineStr">
        <is>
          <t>PO2526-03440</t>
        </is>
      </c>
      <c r="I1558" s="286" t="n">
        <v>45924</v>
      </c>
      <c r="J1558" s="56" t="n"/>
      <c r="K1558" s="20" t="n">
        <v>30</v>
      </c>
      <c r="L1558" s="5" t="inlineStr">
        <is>
          <t>SFST34000010</t>
        </is>
      </c>
      <c r="M1558" s="7" t="inlineStr">
        <is>
          <t>Consumable part for MN</t>
        </is>
      </c>
      <c r="N1558" s="7" t="inlineStr">
        <is>
          <t>Consumable part</t>
        </is>
      </c>
      <c r="O1558" s="11" t="n">
        <v>3</v>
      </c>
      <c r="P1558" s="10" t="inlineStr">
        <is>
          <t>fittingstraight couplingPVC female threadbrassyellow, 1/2"</t>
        </is>
      </c>
      <c r="Q1558" s="277" t="n">
        <v>10</v>
      </c>
      <c r="R1558" s="5" t="inlineStr">
        <is>
          <t>PCS.</t>
        </is>
      </c>
      <c r="S1558" s="284">
        <f>RawDataGenPO[[#This Row],[Total price]]/RawDataGenPO[[#This Row],[Qty'']]</f>
        <v/>
      </c>
      <c r="U1558" s="291" t="n"/>
      <c r="V1558" s="7" t="inlineStr">
        <is>
          <t>V1000306 - Inter Supply (1992) Co., Ltd.</t>
        </is>
      </c>
      <c r="W1558" s="30" t="inlineStr">
        <is>
          <t>Recive bill and GRN already</t>
        </is>
      </c>
      <c r="X1558" s="5" t="inlineStr">
        <is>
          <t>GRN2526-0004330</t>
        </is>
      </c>
      <c r="Y1558" s="3" t="n">
        <v>45933</v>
      </c>
      <c r="Z1558" s="23" t="n"/>
      <c r="AA1558" s="17">
        <f>IF(RawDataGenPO[[#This Row],[Date Gen PO]]="","",RawDataGenPO[[#This Row],[Date recive bill]]-RawDataGenPO[[#This Row],[Date Gen PO]])</f>
        <v/>
      </c>
      <c r="AB1558" s="16">
        <f>IF(RawDataGenPO[[#This Row],[GRN-PO date]]&gt;RawDataGenPO[[#This Row],[Lead time delivery (day)]],"over deliverry","Ontime")</f>
        <v/>
      </c>
      <c r="AC1558" s="22" t="n"/>
    </row>
    <row r="1559" ht="15" customHeight="1">
      <c r="A1559" s="5">
        <f>ROW()-ROW(RawDataGenPO[[#Headers],[No.]])</f>
        <v/>
      </c>
      <c r="B1559" s="7" t="inlineStr">
        <is>
          <t>Expent  cost</t>
        </is>
      </c>
      <c r="C1559" s="275" t="n">
        <v>45924</v>
      </c>
      <c r="F1559" s="276" t="n">
        <v>45924</v>
      </c>
      <c r="G1559" s="5" t="inlineStr">
        <is>
          <t>PR2526-02496</t>
        </is>
      </c>
      <c r="H1559" s="5" t="inlineStr">
        <is>
          <t>PO2526-03440</t>
        </is>
      </c>
      <c r="I1559" s="286" t="n">
        <v>45924</v>
      </c>
      <c r="J1559" s="56" t="n"/>
      <c r="K1559" s="20" t="n">
        <v>30</v>
      </c>
      <c r="L1559" s="5" t="inlineStr">
        <is>
          <t>SFST34000013</t>
        </is>
      </c>
      <c r="M1559" s="7" t="inlineStr">
        <is>
          <t>Consumable part for MN</t>
        </is>
      </c>
      <c r="N1559" s="7" t="inlineStr">
        <is>
          <t>Consumable part</t>
        </is>
      </c>
      <c r="O1559" s="11" t="n">
        <v>4</v>
      </c>
      <c r="P1559" s="10" t="inlineStr">
        <is>
          <t>plugmale threadPVC, 1/2"</t>
        </is>
      </c>
      <c r="Q1559" s="277" t="n">
        <v>10</v>
      </c>
      <c r="R1559" s="5" t="inlineStr">
        <is>
          <t>PCS.</t>
        </is>
      </c>
      <c r="S1559" s="284">
        <f>RawDataGenPO[[#This Row],[Total price]]/RawDataGenPO[[#This Row],[Qty'']]</f>
        <v/>
      </c>
      <c r="U1559" s="291" t="n"/>
      <c r="V1559" s="7" t="inlineStr">
        <is>
          <t>V1000306 - Inter Supply (1992) Co., Ltd.</t>
        </is>
      </c>
      <c r="W1559" s="30" t="inlineStr">
        <is>
          <t>Recive bill and GRN already</t>
        </is>
      </c>
      <c r="X1559" s="5" t="inlineStr">
        <is>
          <t>GRN2526-0004330</t>
        </is>
      </c>
      <c r="Y1559" s="3" t="n">
        <v>45933</v>
      </c>
      <c r="Z1559" s="23" t="n"/>
      <c r="AA1559" s="17">
        <f>IF(RawDataGenPO[[#This Row],[Date Gen PO]]="","",RawDataGenPO[[#This Row],[Date recive bill]]-RawDataGenPO[[#This Row],[Date Gen PO]])</f>
        <v/>
      </c>
      <c r="AB1559" s="16">
        <f>IF(RawDataGenPO[[#This Row],[GRN-PO date]]&gt;RawDataGenPO[[#This Row],[Lead time delivery (day)]],"over deliverry","Ontime")</f>
        <v/>
      </c>
      <c r="AC1559" s="22" t="n"/>
    </row>
    <row r="1560" ht="15" customHeight="1">
      <c r="A1560" s="5">
        <f>ROW()-ROW(RawDataGenPO[[#Headers],[No.]])</f>
        <v/>
      </c>
      <c r="B1560" s="7" t="inlineStr">
        <is>
          <t>Expent  cost</t>
        </is>
      </c>
      <c r="C1560" s="275" t="n">
        <v>45924</v>
      </c>
      <c r="F1560" s="276" t="n">
        <v>45924</v>
      </c>
      <c r="G1560" s="5" t="inlineStr">
        <is>
          <t>PR2526-02496</t>
        </is>
      </c>
      <c r="H1560" s="5" t="inlineStr">
        <is>
          <t>PO2526-03440</t>
        </is>
      </c>
      <c r="I1560" s="286" t="n">
        <v>45924</v>
      </c>
      <c r="J1560" s="56" t="n"/>
      <c r="K1560" s="20" t="n">
        <v>30</v>
      </c>
      <c r="L1560" s="5" t="inlineStr">
        <is>
          <t>SFST34000016</t>
        </is>
      </c>
      <c r="M1560" s="7" t="inlineStr">
        <is>
          <t>Consumable part for MN</t>
        </is>
      </c>
      <c r="N1560" s="7" t="inlineStr">
        <is>
          <t>Consumable part</t>
        </is>
      </c>
      <c r="O1560" s="11" t="n">
        <v>5</v>
      </c>
      <c r="P1560" s="10" t="inlineStr">
        <is>
          <t>fittingstraight couplingPVC, 1/2"</t>
        </is>
      </c>
      <c r="Q1560" s="277" t="n">
        <v>10</v>
      </c>
      <c r="R1560" s="5" t="inlineStr">
        <is>
          <t>PCS.</t>
        </is>
      </c>
      <c r="S1560" s="284">
        <f>RawDataGenPO[[#This Row],[Total price]]/RawDataGenPO[[#This Row],[Qty'']]</f>
        <v/>
      </c>
      <c r="U1560" s="291" t="n"/>
      <c r="V1560" s="7" t="inlineStr">
        <is>
          <t>V1000306 - Inter Supply (1992) Co., Ltd.</t>
        </is>
      </c>
      <c r="W1560" s="30" t="inlineStr">
        <is>
          <t>Recive bill and GRN already</t>
        </is>
      </c>
      <c r="X1560" s="5" t="inlineStr">
        <is>
          <t>GRN2526-0004330</t>
        </is>
      </c>
      <c r="Y1560" s="3" t="n">
        <v>45933</v>
      </c>
      <c r="Z1560" s="23" t="n"/>
      <c r="AA1560" s="17">
        <f>IF(RawDataGenPO[[#This Row],[Date Gen PO]]="","",RawDataGenPO[[#This Row],[Date recive bill]]-RawDataGenPO[[#This Row],[Date Gen PO]])</f>
        <v/>
      </c>
      <c r="AB1560" s="16">
        <f>IF(RawDataGenPO[[#This Row],[GRN-PO date]]&gt;RawDataGenPO[[#This Row],[Lead time delivery (day)]],"over deliverry","Ontime")</f>
        <v/>
      </c>
      <c r="AC1560" s="22" t="n"/>
    </row>
    <row r="1561" ht="15" customHeight="1">
      <c r="A1561" s="5">
        <f>ROW()-ROW(RawDataGenPO[[#Headers],[No.]])</f>
        <v/>
      </c>
      <c r="B1561" s="7" t="inlineStr">
        <is>
          <t>Expent  cost</t>
        </is>
      </c>
      <c r="C1561" s="275" t="n">
        <v>45924</v>
      </c>
      <c r="F1561" s="276" t="n">
        <v>45924</v>
      </c>
      <c r="G1561" s="5" t="inlineStr">
        <is>
          <t>PR2526-02496</t>
        </is>
      </c>
      <c r="H1561" s="5" t="inlineStr">
        <is>
          <t>PO2526-03440</t>
        </is>
      </c>
      <c r="I1561" s="286" t="n">
        <v>45924</v>
      </c>
      <c r="J1561" s="56" t="n"/>
      <c r="K1561" s="20" t="n">
        <v>30</v>
      </c>
      <c r="L1561" s="5" t="inlineStr">
        <is>
          <t>SFST34000019</t>
        </is>
      </c>
      <c r="M1561" s="7" t="inlineStr">
        <is>
          <t>Consumable part for MN</t>
        </is>
      </c>
      <c r="N1561" s="7" t="inlineStr">
        <is>
          <t>Consumable part</t>
        </is>
      </c>
      <c r="O1561" s="11" t="n">
        <v>6</v>
      </c>
      <c r="P1561" s="10" t="inlineStr">
        <is>
          <t>elbow 90 PVC,1/2 "</t>
        </is>
      </c>
      <c r="Q1561" s="277" t="n">
        <v>10</v>
      </c>
      <c r="R1561" s="5" t="inlineStr">
        <is>
          <t>PCS.</t>
        </is>
      </c>
      <c r="S1561" s="284">
        <f>RawDataGenPO[[#This Row],[Total price]]/RawDataGenPO[[#This Row],[Qty'']]</f>
        <v/>
      </c>
      <c r="U1561" s="291" t="n"/>
      <c r="V1561" s="7" t="inlineStr">
        <is>
          <t>V1000306 - Inter Supply (1992) Co., Ltd.</t>
        </is>
      </c>
      <c r="W1561" s="30" t="inlineStr">
        <is>
          <t>Recive bill and GRN already</t>
        </is>
      </c>
      <c r="X1561" s="5" t="inlineStr">
        <is>
          <t>GRN2526-0004330</t>
        </is>
      </c>
      <c r="Y1561" s="3" t="n">
        <v>45933</v>
      </c>
      <c r="Z1561" s="23" t="n"/>
      <c r="AA1561" s="17">
        <f>IF(RawDataGenPO[[#This Row],[Date Gen PO]]="","",RawDataGenPO[[#This Row],[Date recive bill]]-RawDataGenPO[[#This Row],[Date Gen PO]])</f>
        <v/>
      </c>
      <c r="AB1561" s="16">
        <f>IF(RawDataGenPO[[#This Row],[GRN-PO date]]&gt;RawDataGenPO[[#This Row],[Lead time delivery (day)]],"over deliverry","Ontime")</f>
        <v/>
      </c>
      <c r="AC1561" s="22" t="n"/>
    </row>
    <row r="1562" ht="15" customHeight="1">
      <c r="A1562" s="5">
        <f>ROW()-ROW(RawDataGenPO[[#Headers],[No.]])</f>
        <v/>
      </c>
      <c r="B1562" s="7" t="inlineStr">
        <is>
          <t>Expent  cost</t>
        </is>
      </c>
      <c r="C1562" s="275" t="n">
        <v>45924</v>
      </c>
      <c r="F1562" s="276" t="n">
        <v>45924</v>
      </c>
      <c r="G1562" s="5" t="inlineStr">
        <is>
          <t>PR2526-02496</t>
        </is>
      </c>
      <c r="H1562" s="5" t="inlineStr">
        <is>
          <t>PO2526-03440</t>
        </is>
      </c>
      <c r="I1562" s="286" t="n">
        <v>45924</v>
      </c>
      <c r="J1562" s="56" t="n"/>
      <c r="K1562" s="20" t="n">
        <v>30</v>
      </c>
      <c r="L1562" s="5" t="inlineStr">
        <is>
          <t>SFST34000021</t>
        </is>
      </c>
      <c r="M1562" s="7" t="inlineStr">
        <is>
          <t>Consumable part for MN</t>
        </is>
      </c>
      <c r="N1562" s="7" t="inlineStr">
        <is>
          <t>Consumable part</t>
        </is>
      </c>
      <c r="O1562" s="11" t="n">
        <v>7</v>
      </c>
      <c r="P1562" s="10" t="inlineStr">
        <is>
          <t>elbow 90 PVC,1 "</t>
        </is>
      </c>
      <c r="Q1562" s="277" t="n">
        <v>10</v>
      </c>
      <c r="R1562" s="5" t="inlineStr">
        <is>
          <t>PCS.</t>
        </is>
      </c>
      <c r="S1562" s="284">
        <f>RawDataGenPO[[#This Row],[Total price]]/RawDataGenPO[[#This Row],[Qty'']]</f>
        <v/>
      </c>
      <c r="U1562" s="291" t="n"/>
      <c r="V1562" s="7" t="inlineStr">
        <is>
          <t>V1000306 - Inter Supply (1992) Co., Ltd.</t>
        </is>
      </c>
      <c r="W1562" s="30" t="inlineStr">
        <is>
          <t>Recive bill and GRN already</t>
        </is>
      </c>
      <c r="X1562" s="5" t="inlineStr">
        <is>
          <t>GRN2526-0004330</t>
        </is>
      </c>
      <c r="Y1562" s="3" t="n">
        <v>45933</v>
      </c>
      <c r="Z1562" s="23" t="n"/>
      <c r="AA1562" s="17">
        <f>IF(RawDataGenPO[[#This Row],[Date Gen PO]]="","",RawDataGenPO[[#This Row],[Date recive bill]]-RawDataGenPO[[#This Row],[Date Gen PO]])</f>
        <v/>
      </c>
      <c r="AB1562" s="16">
        <f>IF(RawDataGenPO[[#This Row],[GRN-PO date]]&gt;RawDataGenPO[[#This Row],[Lead time delivery (day)]],"over deliverry","Ontime")</f>
        <v/>
      </c>
      <c r="AC1562" s="22" t="n"/>
    </row>
    <row r="1563" ht="15" customHeight="1">
      <c r="A1563" s="5">
        <f>ROW()-ROW(RawDataGenPO[[#Headers],[No.]])</f>
        <v/>
      </c>
      <c r="B1563" s="7" t="inlineStr">
        <is>
          <t>Expent  cost</t>
        </is>
      </c>
      <c r="C1563" s="275" t="n">
        <v>45924</v>
      </c>
      <c r="F1563" s="276" t="n">
        <v>45924</v>
      </c>
      <c r="G1563" s="5" t="inlineStr">
        <is>
          <t>PR2526-02496</t>
        </is>
      </c>
      <c r="H1563" s="5" t="inlineStr">
        <is>
          <t>PO2526-03440</t>
        </is>
      </c>
      <c r="I1563" s="286" t="n">
        <v>45924</v>
      </c>
      <c r="J1563" s="56" t="n"/>
      <c r="K1563" s="20" t="n">
        <v>30</v>
      </c>
      <c r="L1563" s="5" t="inlineStr">
        <is>
          <t>SFST34000022</t>
        </is>
      </c>
      <c r="M1563" s="7" t="inlineStr">
        <is>
          <t>Consumable part for MN</t>
        </is>
      </c>
      <c r="N1563" s="7" t="inlineStr">
        <is>
          <t>Consumable part</t>
        </is>
      </c>
      <c r="O1563" s="11" t="n">
        <v>8</v>
      </c>
      <c r="P1563" s="10" t="inlineStr">
        <is>
          <t>fittingconnector3 PVC, 1/2"</t>
        </is>
      </c>
      <c r="Q1563" s="277" t="n">
        <v>10</v>
      </c>
      <c r="R1563" s="5" t="inlineStr">
        <is>
          <t>PCS.</t>
        </is>
      </c>
      <c r="S1563" s="284">
        <f>RawDataGenPO[[#This Row],[Total price]]/RawDataGenPO[[#This Row],[Qty'']]</f>
        <v/>
      </c>
      <c r="U1563" s="291" t="n"/>
      <c r="V1563" s="7" t="inlineStr">
        <is>
          <t>V1000306 - Inter Supply (1992) Co., Ltd.</t>
        </is>
      </c>
      <c r="W1563" s="30" t="inlineStr">
        <is>
          <t>Recive bill and GRN already</t>
        </is>
      </c>
      <c r="X1563" s="5" t="inlineStr">
        <is>
          <t>GRN2526-0004330</t>
        </is>
      </c>
      <c r="Y1563" s="3" t="n">
        <v>45933</v>
      </c>
      <c r="Z1563" s="23" t="n"/>
      <c r="AA1563" s="17">
        <f>IF(RawDataGenPO[[#This Row],[Date Gen PO]]="","",RawDataGenPO[[#This Row],[Date recive bill]]-RawDataGenPO[[#This Row],[Date Gen PO]])</f>
        <v/>
      </c>
      <c r="AB1563" s="16">
        <f>IF(RawDataGenPO[[#This Row],[GRN-PO date]]&gt;RawDataGenPO[[#This Row],[Lead time delivery (day)]],"over deliverry","Ontime")</f>
        <v/>
      </c>
      <c r="AC1563" s="22" t="n"/>
    </row>
    <row r="1564" ht="15" customHeight="1">
      <c r="A1564" s="5">
        <f>ROW()-ROW(RawDataGenPO[[#Headers],[No.]])</f>
        <v/>
      </c>
      <c r="B1564" s="7" t="inlineStr">
        <is>
          <t>Expent  cost</t>
        </is>
      </c>
      <c r="C1564" s="275" t="n">
        <v>45924</v>
      </c>
      <c r="F1564" s="276" t="n">
        <v>45924</v>
      </c>
      <c r="G1564" s="5" t="inlineStr">
        <is>
          <t>PR2526-02496</t>
        </is>
      </c>
      <c r="H1564" s="5" t="inlineStr">
        <is>
          <t>PO2526-03439</t>
        </is>
      </c>
      <c r="I1564" s="286" t="n">
        <v>45929</v>
      </c>
      <c r="J1564" s="56" t="n"/>
      <c r="K1564" s="20" t="n">
        <v>30</v>
      </c>
      <c r="L1564" s="5" t="inlineStr">
        <is>
          <t>SFST34000025</t>
        </is>
      </c>
      <c r="M1564" s="7" t="inlineStr">
        <is>
          <t>Consumable part for MN</t>
        </is>
      </c>
      <c r="N1564" s="7" t="inlineStr">
        <is>
          <t>Consumable part</t>
        </is>
      </c>
      <c r="O1564" s="11" t="n">
        <v>1</v>
      </c>
      <c r="P1564" s="10" t="inlineStr">
        <is>
          <t>ball valve stainless steel 304 size 1/2’’ inch (Ball Valve Stainless)</t>
        </is>
      </c>
      <c r="Q1564" s="277" t="n">
        <v>10</v>
      </c>
      <c r="R1564" s="5" t="inlineStr">
        <is>
          <t>PCS.</t>
        </is>
      </c>
      <c r="S1564" s="284">
        <f>RawDataGenPO[[#This Row],[Total price]]/RawDataGenPO[[#This Row],[Qty'']]</f>
        <v/>
      </c>
      <c r="U1564" s="291" t="n"/>
      <c r="V1564" s="7" t="inlineStr">
        <is>
          <t>V1000259 - JJP SUPPLY CO., LTD</t>
        </is>
      </c>
      <c r="W1564" s="30" t="inlineStr">
        <is>
          <t>Recive bill and GRN already</t>
        </is>
      </c>
      <c r="X1564" s="5" t="inlineStr">
        <is>
          <t>GRN2526-0004534</t>
        </is>
      </c>
      <c r="Y1564" s="3" t="n">
        <v>45941</v>
      </c>
      <c r="Z1564" s="23" t="n"/>
      <c r="AA1564" s="17">
        <f>IF(RawDataGenPO[[#This Row],[Date Gen PO]]="","",RawDataGenPO[[#This Row],[Date recive bill]]-RawDataGenPO[[#This Row],[Date Gen PO]])</f>
        <v/>
      </c>
      <c r="AB1564" s="16">
        <f>IF(RawDataGenPO[[#This Row],[GRN-PO date]]&gt;RawDataGenPO[[#This Row],[Lead time delivery (day)]],"over deliverry","Ontime")</f>
        <v/>
      </c>
      <c r="AC1564" s="22" t="n"/>
    </row>
    <row r="1565" ht="15" customHeight="1">
      <c r="A1565" s="5">
        <f>ROW()-ROW(RawDataGenPO[[#Headers],[No.]])</f>
        <v/>
      </c>
      <c r="B1565" s="7" t="inlineStr">
        <is>
          <t>Expent  cost</t>
        </is>
      </c>
      <c r="C1565" s="275" t="n">
        <v>45925</v>
      </c>
      <c r="F1565" s="276" t="n">
        <v>45925</v>
      </c>
      <c r="G1565" s="26" t="inlineStr">
        <is>
          <t>PR2526-02520</t>
        </is>
      </c>
      <c r="H1565" s="26" t="inlineStr">
        <is>
          <t>PO2526-03536</t>
        </is>
      </c>
      <c r="I1565" s="286" t="n">
        <v>45932</v>
      </c>
      <c r="J1565" s="26" t="n"/>
      <c r="K1565" s="44" t="n">
        <v>30</v>
      </c>
      <c r="L1565" s="26" t="inlineStr">
        <is>
          <t>SFST34000044</t>
        </is>
      </c>
      <c r="M1565" s="7" t="inlineStr">
        <is>
          <t>Consumable part for MN</t>
        </is>
      </c>
      <c r="N1565" s="7" t="inlineStr">
        <is>
          <t>Consumable part</t>
        </is>
      </c>
      <c r="O1565" s="43" t="n">
        <v>1</v>
      </c>
      <c r="P1565" s="42" t="inlineStr">
        <is>
          <t>"Philip",T8,20W, 2100lm, ECO SOFT HO LED</t>
        </is>
      </c>
      <c r="Q1565" s="323" t="n">
        <v>50</v>
      </c>
      <c r="R1565" s="5" t="inlineStr">
        <is>
          <t>PCS.</t>
        </is>
      </c>
      <c r="S1565" s="292">
        <f>RawDataGenPO[[#This Row],[Total price]]/RawDataGenPO[[#This Row],[Qty'']]</f>
        <v/>
      </c>
      <c r="T1565" s="324" t="n">
        <v>6700</v>
      </c>
      <c r="U1565" s="325" t="n"/>
      <c r="V1565" s="29" t="inlineStr">
        <is>
          <t>V1000276 - SN. ELECTRIC AND SUPPLY CO., LTD.</t>
        </is>
      </c>
      <c r="W1565" s="30" t="inlineStr">
        <is>
          <t>Recive bill and GRN already</t>
        </is>
      </c>
      <c r="X1565" s="26" t="inlineStr">
        <is>
          <t>GRN2526-0004402</t>
        </is>
      </c>
      <c r="Y1565" s="23" t="n">
        <v>45937</v>
      </c>
      <c r="Z1565" s="23" t="n"/>
      <c r="AA1565" s="37">
        <f>IF(RawDataGenPO[[#This Row],[Date Gen PO]]="","",RawDataGenPO[[#This Row],[Date recive bill]]-RawDataGenPO[[#This Row],[Date Gen PO]])</f>
        <v/>
      </c>
      <c r="AB1565" s="36">
        <f>IF(RawDataGenPO[[#This Row],[GRN-PO date]]&gt;RawDataGenPO[[#This Row],[Lead time delivery (day)]],"over deliverry","Ontime")</f>
        <v/>
      </c>
      <c r="AC1565" s="35" t="n"/>
    </row>
    <row r="1566" ht="15" customHeight="1">
      <c r="A1566" s="5">
        <f>ROW()-ROW(RawDataGenPO[[#Headers],[No.]])</f>
        <v/>
      </c>
      <c r="B1566" s="7" t="inlineStr">
        <is>
          <t>Expent  cost</t>
        </is>
      </c>
      <c r="C1566" s="275" t="n">
        <v>45925</v>
      </c>
      <c r="F1566" s="370" t="n">
        <v>45925</v>
      </c>
      <c r="G1566" s="26" t="inlineStr">
        <is>
          <t>PR2526-02521</t>
        </is>
      </c>
      <c r="H1566" s="26" t="inlineStr">
        <is>
          <t>PO2526-03456</t>
        </is>
      </c>
      <c r="I1566" s="365" t="n">
        <v>45929</v>
      </c>
      <c r="J1566" s="26" t="n"/>
      <c r="K1566" s="44" t="n">
        <v>30</v>
      </c>
      <c r="L1566" s="26" t="inlineStr">
        <is>
          <t>SFST11000256</t>
        </is>
      </c>
      <c r="M1566" s="29" t="inlineStr">
        <is>
          <t xml:space="preserve">Waste water </t>
        </is>
      </c>
      <c r="N1566" s="29" t="inlineStr">
        <is>
          <t>Waste water system Jobs</t>
        </is>
      </c>
      <c r="O1566" s="43" t="n">
        <v>1</v>
      </c>
      <c r="P1566" s="42" t="inlineStr">
        <is>
          <t>Bio Solution 1 lit</t>
        </is>
      </c>
      <c r="Q1566" s="323" t="n">
        <v>2</v>
      </c>
      <c r="R1566" s="5" t="inlineStr">
        <is>
          <t>PCS.</t>
        </is>
      </c>
      <c r="S1566" s="292">
        <f>RawDataGenPO[[#This Row],[Total price]]/RawDataGenPO[[#This Row],[Qty'']]</f>
        <v/>
      </c>
      <c r="T1566" s="324" t="n">
        <v>1600</v>
      </c>
      <c r="U1566" s="325" t="n"/>
      <c r="V1566" s="29" t="inlineStr">
        <is>
          <t>V1000206 - TECHMAN (THAILAND) CO.,LTD.</t>
        </is>
      </c>
      <c r="W1566" s="30" t="inlineStr">
        <is>
          <t>Recive bill and GRN already</t>
        </is>
      </c>
      <c r="X1566" s="26" t="inlineStr">
        <is>
          <t>GRN2526-0004258</t>
        </is>
      </c>
      <c r="Y1566" s="23" t="n">
        <v>45932</v>
      </c>
      <c r="Z1566" s="23" t="n"/>
      <c r="AA1566" s="37">
        <f>IF(RawDataGenPO[[#This Row],[Date Gen PO]]="","",RawDataGenPO[[#This Row],[Date recive bill]]-RawDataGenPO[[#This Row],[Date Gen PO]])</f>
        <v/>
      </c>
      <c r="AB1566" s="36">
        <f>IF(RawDataGenPO[[#This Row],[GRN-PO date]]&gt;RawDataGenPO[[#This Row],[Lead time delivery (day)]],"over deliverry","Ontime")</f>
        <v/>
      </c>
      <c r="AC1566" s="35" t="n"/>
    </row>
    <row r="1567" ht="15" customHeight="1">
      <c r="A1567" s="5">
        <f>ROW()-ROW(RawDataGenPO[[#Headers],[No.]])</f>
        <v/>
      </c>
      <c r="B1567" s="7" t="inlineStr">
        <is>
          <t>CAPEX  (Unbudget)</t>
        </is>
      </c>
      <c r="C1567" s="371" t="n">
        <v>45929</v>
      </c>
      <c r="F1567" s="281" t="n">
        <v>45929</v>
      </c>
      <c r="G1567" s="5" t="inlineStr">
        <is>
          <t>PR2526-02554</t>
        </is>
      </c>
      <c r="H1567" s="5" t="inlineStr">
        <is>
          <t xml:space="preserve">PO2526-03609 </t>
        </is>
      </c>
      <c r="I1567" s="286" t="n">
        <v>45933</v>
      </c>
      <c r="J1567" s="26" t="n"/>
      <c r="K1567" s="20" t="n">
        <v>60</v>
      </c>
      <c r="L1567" s="5" t="inlineStr">
        <is>
          <t>SFST82000007</t>
        </is>
      </c>
      <c r="M1567" s="7" t="inlineStr">
        <is>
          <t>Safety equipment</t>
        </is>
      </c>
      <c r="N1567" s="7" t="inlineStr">
        <is>
          <t>Safety equipment</t>
        </is>
      </c>
      <c r="O1567" s="11" t="n">
        <v>1</v>
      </c>
      <c r="P1567" s="10" t="inlineStr">
        <is>
          <t>size 1200 x 1000 MM.</t>
        </is>
      </c>
      <c r="Q1567" s="277" t="n">
        <v>1</v>
      </c>
      <c r="R1567" s="5" t="inlineStr">
        <is>
          <t>PCS.</t>
        </is>
      </c>
      <c r="S1567" s="292">
        <f>RawDataGenPO[[#This Row],[Total price]]/RawDataGenPO[[#This Row],[Qty'']]</f>
        <v/>
      </c>
      <c r="T1567" s="278" t="n">
        <v>6164.29</v>
      </c>
      <c r="U1567" s="291" t="n"/>
      <c r="V1567" s="7" t="inlineStr">
        <is>
          <t>V1000655 - SRM ENGINEERING 1991 CO., LTD.</t>
        </is>
      </c>
      <c r="W1567" s="30" t="inlineStr">
        <is>
          <t>Recive bill and GRN already</t>
        </is>
      </c>
      <c r="X1567" s="5" t="inlineStr">
        <is>
          <t>GRN2526-0004584</t>
        </is>
      </c>
      <c r="Y1567" s="3" t="n">
        <v>45945</v>
      </c>
      <c r="Z1567" s="23" t="n"/>
      <c r="AA1567" s="17">
        <f>IF(RawDataGenPO[[#This Row],[Date Gen PO]]="","",RawDataGenPO[[#This Row],[Date recive bill]]-RawDataGenPO[[#This Row],[Date Gen PO]])</f>
        <v/>
      </c>
      <c r="AB1567" s="16">
        <f>IF(RawDataGenPO[[#This Row],[GRN-PO date]]&gt;RawDataGenPO[[#This Row],[Lead time delivery (day)]],"over deliverry","Ontime")</f>
        <v/>
      </c>
      <c r="AC1567" s="22" t="n"/>
    </row>
    <row r="1568" ht="15" customHeight="1">
      <c r="A1568" s="5">
        <f>ROW()-ROW(RawDataGenPO[[#Headers],[No.]])</f>
        <v/>
      </c>
      <c r="B1568" s="7" t="inlineStr">
        <is>
          <t>CAPEX  (Unbudget)</t>
        </is>
      </c>
      <c r="C1568" s="371" t="n">
        <v>45929</v>
      </c>
      <c r="F1568" s="281" t="n">
        <v>45929</v>
      </c>
      <c r="G1568" s="5" t="inlineStr">
        <is>
          <t>PR2526-02554</t>
        </is>
      </c>
      <c r="H1568" s="5" t="inlineStr">
        <is>
          <t xml:space="preserve">PO2526-03609 </t>
        </is>
      </c>
      <c r="I1568" s="286" t="n">
        <v>45933</v>
      </c>
      <c r="J1568" s="26" t="n"/>
      <c r="K1568" s="20" t="n">
        <v>60</v>
      </c>
      <c r="L1568" s="5" t="inlineStr">
        <is>
          <t>SFST82000007</t>
        </is>
      </c>
      <c r="M1568" s="7" t="inlineStr">
        <is>
          <t>Safety equipment</t>
        </is>
      </c>
      <c r="N1568" s="7" t="inlineStr">
        <is>
          <t>Safety equipment</t>
        </is>
      </c>
      <c r="O1568" s="11" t="n">
        <v>2</v>
      </c>
      <c r="P1568" s="10" t="inlineStr">
        <is>
          <t>size 1200 x 1000 MM.</t>
        </is>
      </c>
      <c r="Q1568" s="277" t="n">
        <v>1</v>
      </c>
      <c r="R1568" s="5" t="inlineStr">
        <is>
          <t>PCS.</t>
        </is>
      </c>
      <c r="S1568" s="292">
        <f>RawDataGenPO[[#This Row],[Total price]]/RawDataGenPO[[#This Row],[Qty'']]</f>
        <v/>
      </c>
      <c r="T1568" s="278" t="n">
        <v>6164.29</v>
      </c>
      <c r="U1568" s="291" t="n"/>
      <c r="V1568" s="7" t="inlineStr">
        <is>
          <t>V1000655 - SRM ENGINEERING 1991 CO., LTD.</t>
        </is>
      </c>
      <c r="W1568" s="30" t="inlineStr">
        <is>
          <t>Recive bill and GRN already</t>
        </is>
      </c>
      <c r="X1568" s="5" t="inlineStr">
        <is>
          <t>GRN2526-0004584</t>
        </is>
      </c>
      <c r="Y1568" s="3" t="n">
        <v>45945</v>
      </c>
      <c r="Z1568" s="23" t="n"/>
      <c r="AA1568" s="17">
        <f>IF(RawDataGenPO[[#This Row],[Date Gen PO]]="","",RawDataGenPO[[#This Row],[Date recive bill]]-RawDataGenPO[[#This Row],[Date Gen PO]])</f>
        <v/>
      </c>
      <c r="AB1568" s="16">
        <f>IF(RawDataGenPO[[#This Row],[GRN-PO date]]&gt;RawDataGenPO[[#This Row],[Lead time delivery (day)]],"over deliverry","Ontime")</f>
        <v/>
      </c>
      <c r="AC1568" s="22" t="n"/>
    </row>
    <row r="1569" ht="15" customHeight="1">
      <c r="A1569" s="5">
        <f>ROW()-ROW(RawDataGenPO[[#Headers],[No.]])</f>
        <v/>
      </c>
      <c r="B1569" s="7" t="inlineStr">
        <is>
          <t>CAPEX  (Unbudget)</t>
        </is>
      </c>
      <c r="C1569" s="371" t="n">
        <v>45929</v>
      </c>
      <c r="F1569" s="281" t="n">
        <v>45929</v>
      </c>
      <c r="G1569" s="5" t="inlineStr">
        <is>
          <t>PR2526-02554</t>
        </is>
      </c>
      <c r="H1569" s="5" t="inlineStr">
        <is>
          <t xml:space="preserve">PO2526-03609 </t>
        </is>
      </c>
      <c r="I1569" s="286" t="n">
        <v>45933</v>
      </c>
      <c r="J1569" s="26" t="n"/>
      <c r="K1569" s="20" t="n">
        <v>60</v>
      </c>
      <c r="L1569" s="5" t="inlineStr">
        <is>
          <t>SFST82000007</t>
        </is>
      </c>
      <c r="M1569" s="7" t="inlineStr">
        <is>
          <t>Safety equipment</t>
        </is>
      </c>
      <c r="N1569" s="7" t="inlineStr">
        <is>
          <t>Safety equipment</t>
        </is>
      </c>
      <c r="O1569" s="11" t="n">
        <v>3</v>
      </c>
      <c r="P1569" s="10" t="inlineStr">
        <is>
          <t>size 1400 x 1000 MM</t>
        </is>
      </c>
      <c r="Q1569" s="277" t="n">
        <v>1</v>
      </c>
      <c r="R1569" s="5" t="inlineStr">
        <is>
          <t>PCS.</t>
        </is>
      </c>
      <c r="S1569" s="292">
        <f>RawDataGenPO[[#This Row],[Total price]]/RawDataGenPO[[#This Row],[Qty'']]</f>
        <v/>
      </c>
      <c r="T1569" s="278" t="n">
        <v>6164.29</v>
      </c>
      <c r="U1569" s="291" t="n"/>
      <c r="V1569" s="7" t="inlineStr">
        <is>
          <t>V1000655 - SRM ENGINEERING 1991 CO., LTD.</t>
        </is>
      </c>
      <c r="W1569" s="30" t="inlineStr">
        <is>
          <t>Recive bill and GRN already</t>
        </is>
      </c>
      <c r="X1569" s="5" t="inlineStr">
        <is>
          <t>GRN2526-0004584</t>
        </is>
      </c>
      <c r="Y1569" s="3" t="n">
        <v>45945</v>
      </c>
      <c r="Z1569" s="23" t="n"/>
      <c r="AA1569" s="17">
        <f>IF(RawDataGenPO[[#This Row],[Date Gen PO]]="","",RawDataGenPO[[#This Row],[Date recive bill]]-RawDataGenPO[[#This Row],[Date Gen PO]])</f>
        <v/>
      </c>
      <c r="AB1569" s="16">
        <f>IF(RawDataGenPO[[#This Row],[GRN-PO date]]&gt;RawDataGenPO[[#This Row],[Lead time delivery (day)]],"over deliverry","Ontime")</f>
        <v/>
      </c>
      <c r="AC1569" s="22" t="n"/>
    </row>
    <row r="1570" ht="15" customHeight="1">
      <c r="A1570" s="5">
        <f>ROW()-ROW(RawDataGenPO[[#Headers],[No.]])</f>
        <v/>
      </c>
      <c r="B1570" s="7" t="inlineStr">
        <is>
          <t>CAPEX  (Unbudget)</t>
        </is>
      </c>
      <c r="C1570" s="371" t="n">
        <v>45929</v>
      </c>
      <c r="F1570" s="281" t="n">
        <v>45929</v>
      </c>
      <c r="G1570" s="5" t="inlineStr">
        <is>
          <t>PR2526-02554</t>
        </is>
      </c>
      <c r="H1570" s="5" t="inlineStr">
        <is>
          <t xml:space="preserve">PO2526-03609 </t>
        </is>
      </c>
      <c r="I1570" s="286" t="n">
        <v>45933</v>
      </c>
      <c r="J1570" s="26" t="n"/>
      <c r="K1570" s="20" t="n">
        <v>60</v>
      </c>
      <c r="L1570" s="5" t="inlineStr">
        <is>
          <t>SFST82000007</t>
        </is>
      </c>
      <c r="M1570" s="7" t="inlineStr">
        <is>
          <t>Safety equipment</t>
        </is>
      </c>
      <c r="N1570" s="7" t="inlineStr">
        <is>
          <t>Safety equipment</t>
        </is>
      </c>
      <c r="O1570" s="11" t="n">
        <v>4</v>
      </c>
      <c r="P1570" s="10" t="inlineStr">
        <is>
          <t>size 600 x 1000 MM</t>
        </is>
      </c>
      <c r="Q1570" s="277" t="n">
        <v>1</v>
      </c>
      <c r="R1570" s="5" t="inlineStr">
        <is>
          <t>PCS.</t>
        </is>
      </c>
      <c r="S1570" s="292">
        <f>RawDataGenPO[[#This Row],[Total price]]/RawDataGenPO[[#This Row],[Qty'']]</f>
        <v/>
      </c>
      <c r="T1570" s="278" t="n">
        <v>6164.29</v>
      </c>
      <c r="U1570" s="291" t="n"/>
      <c r="V1570" s="7" t="inlineStr">
        <is>
          <t>V1000655 - SRM ENGINEERING 1991 CO., LTD.</t>
        </is>
      </c>
      <c r="W1570" s="30" t="inlineStr">
        <is>
          <t>Recive bill and GRN already</t>
        </is>
      </c>
      <c r="X1570" s="5" t="inlineStr">
        <is>
          <t>GRN2526-0004584</t>
        </is>
      </c>
      <c r="Y1570" s="3" t="n">
        <v>45945</v>
      </c>
      <c r="Z1570" s="23" t="n"/>
      <c r="AA1570" s="17">
        <f>IF(RawDataGenPO[[#This Row],[Date Gen PO]]="","",RawDataGenPO[[#This Row],[Date recive bill]]-RawDataGenPO[[#This Row],[Date Gen PO]])</f>
        <v/>
      </c>
      <c r="AB1570" s="16">
        <f>IF(RawDataGenPO[[#This Row],[GRN-PO date]]&gt;RawDataGenPO[[#This Row],[Lead time delivery (day)]],"over deliverry","Ontime")</f>
        <v/>
      </c>
      <c r="AC1570" s="22" t="n"/>
    </row>
    <row r="1571" ht="15" customHeight="1">
      <c r="A1571" s="5">
        <f>ROW()-ROW(RawDataGenPO[[#Headers],[No.]])</f>
        <v/>
      </c>
      <c r="B1571" s="7" t="inlineStr">
        <is>
          <t>CAPEX  (Unbudget)</t>
        </is>
      </c>
      <c r="C1571" s="371" t="n">
        <v>45929</v>
      </c>
      <c r="F1571" s="281" t="n">
        <v>45929</v>
      </c>
      <c r="G1571" s="5" t="inlineStr">
        <is>
          <t>PR2526-02554</t>
        </is>
      </c>
      <c r="H1571" s="5" t="inlineStr">
        <is>
          <t xml:space="preserve">PO2526-03609 </t>
        </is>
      </c>
      <c r="I1571" s="286" t="n">
        <v>45933</v>
      </c>
      <c r="J1571" s="26" t="n"/>
      <c r="K1571" s="20" t="n">
        <v>60</v>
      </c>
      <c r="L1571" s="5" t="inlineStr">
        <is>
          <t>SFST82000007</t>
        </is>
      </c>
      <c r="M1571" s="7" t="inlineStr">
        <is>
          <t>Safety equipment</t>
        </is>
      </c>
      <c r="N1571" s="7" t="inlineStr">
        <is>
          <t>Safety equipment</t>
        </is>
      </c>
      <c r="O1571" s="11" t="n">
        <v>5</v>
      </c>
      <c r="P1571" s="10" t="inlineStr">
        <is>
          <t>handrailsize 300 x 100 MM</t>
        </is>
      </c>
      <c r="Q1571" s="277" t="n">
        <v>1</v>
      </c>
      <c r="R1571" s="5" t="inlineStr">
        <is>
          <t>PCS.</t>
        </is>
      </c>
      <c r="S1571" s="292">
        <f>RawDataGenPO[[#This Row],[Total price]]/RawDataGenPO[[#This Row],[Qty'']]</f>
        <v/>
      </c>
      <c r="T1571" s="278" t="n">
        <v>4314.29</v>
      </c>
      <c r="U1571" s="291" t="n"/>
      <c r="V1571" s="7" t="inlineStr">
        <is>
          <t>V1000655 - SRM ENGINEERING 1991 CO., LTD.</t>
        </is>
      </c>
      <c r="W1571" s="30" t="inlineStr">
        <is>
          <t>Recive bill and GRN already</t>
        </is>
      </c>
      <c r="X1571" s="5" t="inlineStr">
        <is>
          <t>GRN2526-0004584</t>
        </is>
      </c>
      <c r="Y1571" s="3" t="n">
        <v>45945</v>
      </c>
      <c r="Z1571" s="23" t="n"/>
      <c r="AA1571" s="17">
        <f>IF(RawDataGenPO[[#This Row],[Date Gen PO]]="","",RawDataGenPO[[#This Row],[Date recive bill]]-RawDataGenPO[[#This Row],[Date Gen PO]])</f>
        <v/>
      </c>
      <c r="AB1571" s="16">
        <f>IF(RawDataGenPO[[#This Row],[GRN-PO date]]&gt;RawDataGenPO[[#This Row],[Lead time delivery (day)]],"over deliverry","Ontime")</f>
        <v/>
      </c>
      <c r="AC1571" s="22" t="n"/>
    </row>
    <row r="1572" ht="15" customHeight="1">
      <c r="A1572" s="5">
        <f>ROW()-ROW(RawDataGenPO[[#Headers],[No.]])</f>
        <v/>
      </c>
      <c r="B1572" s="7" t="inlineStr">
        <is>
          <t>CAPEX  (Unbudget)</t>
        </is>
      </c>
      <c r="C1572" s="371" t="n">
        <v>45929</v>
      </c>
      <c r="F1572" s="281" t="n">
        <v>45929</v>
      </c>
      <c r="G1572" s="5" t="inlineStr">
        <is>
          <t>PR2526-02554</t>
        </is>
      </c>
      <c r="H1572" s="5" t="inlineStr">
        <is>
          <t xml:space="preserve">PO2526-03609 </t>
        </is>
      </c>
      <c r="I1572" s="286" t="n">
        <v>45933</v>
      </c>
      <c r="J1572" s="26" t="n"/>
      <c r="K1572" s="20" t="n">
        <v>60</v>
      </c>
      <c r="L1572" s="5" t="inlineStr">
        <is>
          <t>SFST82000007</t>
        </is>
      </c>
      <c r="M1572" s="7" t="inlineStr">
        <is>
          <t>Safety equipment</t>
        </is>
      </c>
      <c r="N1572" s="7" t="inlineStr">
        <is>
          <t>Safety equipment</t>
        </is>
      </c>
      <c r="O1572" s="11" t="n">
        <v>6</v>
      </c>
      <c r="P1572" s="10" t="inlineStr">
        <is>
          <t>handrailsize 300 x 100 MM</t>
        </is>
      </c>
      <c r="Q1572" s="277" t="n">
        <v>1</v>
      </c>
      <c r="R1572" s="5" t="inlineStr">
        <is>
          <t>PCS.</t>
        </is>
      </c>
      <c r="S1572" s="292">
        <f>RawDataGenPO[[#This Row],[Total price]]/RawDataGenPO[[#This Row],[Qty'']]</f>
        <v/>
      </c>
      <c r="T1572" s="278" t="n">
        <v>4314.29</v>
      </c>
      <c r="U1572" s="291" t="n"/>
      <c r="V1572" s="7" t="inlineStr">
        <is>
          <t>V1000655 - SRM ENGINEERING 1991 CO., LTD.</t>
        </is>
      </c>
      <c r="W1572" s="30" t="inlineStr">
        <is>
          <t>Recive bill and GRN already</t>
        </is>
      </c>
      <c r="X1572" s="5" t="inlineStr">
        <is>
          <t>GRN2526-0004584</t>
        </is>
      </c>
      <c r="Y1572" s="3" t="n">
        <v>45945</v>
      </c>
      <c r="Z1572" s="23" t="n"/>
      <c r="AA1572" s="17">
        <f>IF(RawDataGenPO[[#This Row],[Date Gen PO]]="","",RawDataGenPO[[#This Row],[Date recive bill]]-RawDataGenPO[[#This Row],[Date Gen PO]])</f>
        <v/>
      </c>
      <c r="AB1572" s="16">
        <f>IF(RawDataGenPO[[#This Row],[GRN-PO date]]&gt;RawDataGenPO[[#This Row],[Lead time delivery (day)]],"over deliverry","Ontime")</f>
        <v/>
      </c>
      <c r="AC1572" s="22" t="n"/>
    </row>
    <row r="1573" ht="45" customHeight="1">
      <c r="A1573" s="5">
        <f>ROW()-ROW(RawDataGenPO[[#Headers],[No.]])</f>
        <v/>
      </c>
      <c r="B1573" s="7" t="inlineStr">
        <is>
          <t>CAPEX  (Unbudget)</t>
        </is>
      </c>
      <c r="C1573" s="371" t="n">
        <v>45929</v>
      </c>
      <c r="F1573" s="281" t="n">
        <v>45929</v>
      </c>
      <c r="G1573" s="5" t="inlineStr">
        <is>
          <t>PR2526-02554</t>
        </is>
      </c>
      <c r="H1573" s="5" t="inlineStr">
        <is>
          <t xml:space="preserve">PO2526-03609 </t>
        </is>
      </c>
      <c r="I1573" s="286" t="n">
        <v>45933</v>
      </c>
      <c r="J1573" s="26" t="n"/>
      <c r="K1573" s="20" t="n">
        <v>60</v>
      </c>
      <c r="L1573" s="5" t="inlineStr">
        <is>
          <t>SFST82000007</t>
        </is>
      </c>
      <c r="M1573" s="7" t="inlineStr">
        <is>
          <t>Safety equipment</t>
        </is>
      </c>
      <c r="N1573" s="7" t="inlineStr">
        <is>
          <t>Safety equipment</t>
        </is>
      </c>
      <c r="O1573" s="11" t="n">
        <v>7</v>
      </c>
      <c r="P1573" s="10" t="inlineStr">
        <is>
          <t>handrailsize 300 x 100 MM
Material : SUS TK 1.2 MM
Wmlabor costinternalinstallW</t>
        </is>
      </c>
      <c r="Q1573" s="277" t="n">
        <v>1</v>
      </c>
      <c r="R1573" s="5" t="inlineStr">
        <is>
          <t>PCS.</t>
        </is>
      </c>
      <c r="S1573" s="292">
        <f>RawDataGenPO[[#This Row],[Total price]]/RawDataGenPO[[#This Row],[Qty'']]</f>
        <v/>
      </c>
      <c r="T1573" s="278" t="n">
        <v>4314.29</v>
      </c>
      <c r="U1573" s="291" t="n"/>
      <c r="V1573" s="7" t="inlineStr">
        <is>
          <t>V1000655 - SRM ENGINEERING 1991 CO., LTD.</t>
        </is>
      </c>
      <c r="W1573" s="30" t="inlineStr">
        <is>
          <t>Recive bill and GRN already</t>
        </is>
      </c>
      <c r="X1573" s="5" t="inlineStr">
        <is>
          <t>GRN2526-0004584</t>
        </is>
      </c>
      <c r="Y1573" s="3" t="n">
        <v>45945</v>
      </c>
      <c r="Z1573" s="23" t="n"/>
      <c r="AA1573" s="17">
        <f>IF(RawDataGenPO[[#This Row],[Date Gen PO]]="","",RawDataGenPO[[#This Row],[Date recive bill]]-RawDataGenPO[[#This Row],[Date Gen PO]])</f>
        <v/>
      </c>
      <c r="AB1573" s="16">
        <f>IF(RawDataGenPO[[#This Row],[GRN-PO date]]&gt;RawDataGenPO[[#This Row],[Lead time delivery (day)]],"over deliverry","Ontime")</f>
        <v/>
      </c>
      <c r="AC1573" s="22" t="n"/>
    </row>
    <row r="1574" ht="15" customHeight="1">
      <c r="A1574" s="5">
        <f>ROW()-ROW(RawDataGenPO[[#Headers],[No.]])</f>
        <v/>
      </c>
      <c r="B1574" s="7" t="inlineStr">
        <is>
          <t>Expent  cost</t>
        </is>
      </c>
      <c r="C1574" s="371" t="n">
        <v>45929</v>
      </c>
      <c r="F1574" s="281" t="n">
        <v>45929</v>
      </c>
      <c r="G1574" s="5" t="inlineStr">
        <is>
          <t>PR2526-02555</t>
        </is>
      </c>
      <c r="H1574" s="5" t="inlineStr">
        <is>
          <t>PO2526-03671</t>
        </is>
      </c>
      <c r="I1574" s="286" t="n">
        <v>45939</v>
      </c>
      <c r="J1574" s="26" t="n"/>
      <c r="K1574" s="20" t="n">
        <v>60</v>
      </c>
      <c r="L1574" s="5" t="inlineStr">
        <is>
          <t>SFST81000048</t>
        </is>
      </c>
      <c r="M1574" s="7" t="inlineStr">
        <is>
          <t>Cooling machine for PD line</t>
        </is>
      </c>
      <c r="N1574" s="7" t="inlineStr">
        <is>
          <t>Cooling system jobs</t>
        </is>
      </c>
      <c r="O1574" s="11" t="n">
        <v>1</v>
      </c>
      <c r="P1574" s="10" t="inlineStr">
        <is>
          <t>"ALCO" ball valve 1-3/8" BVE138</t>
        </is>
      </c>
      <c r="Q1574" s="277" t="n">
        <v>2</v>
      </c>
      <c r="R1574" s="5" t="inlineStr">
        <is>
          <t>PCS.</t>
        </is>
      </c>
      <c r="S1574" s="292">
        <f>RawDataGenPO[[#This Row],[Total price]]/RawDataGenPO[[#This Row],[Qty'']]</f>
        <v/>
      </c>
      <c r="T1574" s="278" t="n">
        <v>8600</v>
      </c>
      <c r="U1574" s="291" t="n"/>
      <c r="V1574" s="7" t="inlineStr">
        <is>
          <t>V1000554 - SHANTECH (THAILAND) CO.,LTD.</t>
        </is>
      </c>
      <c r="W1574" s="30" t="inlineStr">
        <is>
          <t>Recive bill and GRN already</t>
        </is>
      </c>
      <c r="X1574" s="5" t="inlineStr">
        <is>
          <t>GRN2526-0004842</t>
        </is>
      </c>
      <c r="Y1574" s="3" t="n">
        <v>45954</v>
      </c>
      <c r="Z1574" s="23" t="n"/>
      <c r="AA1574" s="17">
        <f>IF(RawDataGenPO[[#This Row],[Date Gen PO]]="","",RawDataGenPO[[#This Row],[Date recive bill]]-RawDataGenPO[[#This Row],[Date Gen PO]])</f>
        <v/>
      </c>
      <c r="AB1574" s="16">
        <f>IF(RawDataGenPO[[#This Row],[GRN-PO date]]&gt;RawDataGenPO[[#This Row],[Lead time delivery (day)]],"over deliverry","Ontime")</f>
        <v/>
      </c>
      <c r="AC1574" s="22" t="n"/>
    </row>
    <row r="1575" ht="30" customHeight="1">
      <c r="A1575" s="5">
        <f>ROW()-ROW(RawDataGenPO[[#Headers],[No.]])</f>
        <v/>
      </c>
      <c r="B1575" s="7" t="inlineStr">
        <is>
          <t>Expent  cost</t>
        </is>
      </c>
      <c r="C1575" s="371" t="n">
        <v>45929</v>
      </c>
      <c r="F1575" s="281" t="n">
        <v>45929</v>
      </c>
      <c r="G1575" s="5" t="inlineStr">
        <is>
          <t>PR2526-02555</t>
        </is>
      </c>
      <c r="H1575" s="5" t="inlineStr">
        <is>
          <t>PO2526-03671</t>
        </is>
      </c>
      <c r="I1575" s="286" t="n">
        <v>45939</v>
      </c>
      <c r="J1575" s="26" t="n"/>
      <c r="K1575" s="20" t="n">
        <v>60</v>
      </c>
      <c r="L1575" s="5" t="inlineStr">
        <is>
          <t>SFST81000048</t>
        </is>
      </c>
      <c r="M1575" s="7" t="inlineStr">
        <is>
          <t>Cooling machine for PD line</t>
        </is>
      </c>
      <c r="N1575" s="7" t="inlineStr">
        <is>
          <t>Cooling system jobs</t>
        </is>
      </c>
      <c r="O1575" s="11" t="n">
        <v>2</v>
      </c>
      <c r="P1575" s="10" t="inlineStr">
        <is>
          <t>nitrogen
leak</t>
        </is>
      </c>
      <c r="Q1575" s="277" t="n">
        <v>1</v>
      </c>
      <c r="R1575" s="5" t="inlineStr">
        <is>
          <t>Job.</t>
        </is>
      </c>
      <c r="S1575" s="292">
        <f>RawDataGenPO[[#This Row],[Total price]]/RawDataGenPO[[#This Row],[Qty'']]</f>
        <v/>
      </c>
      <c r="T1575" s="278" t="n">
        <v>2500</v>
      </c>
      <c r="U1575" s="291" t="n"/>
      <c r="V1575" s="7" t="inlineStr">
        <is>
          <t>V1000554 - SHANTECH (THAILAND) CO.,LTD.</t>
        </is>
      </c>
      <c r="W1575" s="30" t="inlineStr">
        <is>
          <t>Recive bill and GRN already</t>
        </is>
      </c>
      <c r="X1575" s="5" t="inlineStr">
        <is>
          <t>GRN2526-0004842</t>
        </is>
      </c>
      <c r="Y1575" s="3" t="n">
        <v>45954</v>
      </c>
      <c r="Z1575" s="23" t="n"/>
      <c r="AA1575" s="17">
        <f>IF(RawDataGenPO[[#This Row],[Date Gen PO]]="","",RawDataGenPO[[#This Row],[Date recive bill]]-RawDataGenPO[[#This Row],[Date Gen PO]])</f>
        <v/>
      </c>
      <c r="AB1575" s="16">
        <f>IF(RawDataGenPO[[#This Row],[GRN-PO date]]&gt;RawDataGenPO[[#This Row],[Lead time delivery (day)]],"over deliverry","Ontime")</f>
        <v/>
      </c>
      <c r="AC1575" s="22" t="n"/>
    </row>
    <row r="1576" ht="15" customHeight="1">
      <c r="A1576" s="5">
        <f>ROW()-ROW(RawDataGenPO[[#Headers],[No.]])</f>
        <v/>
      </c>
      <c r="B1576" s="7" t="inlineStr">
        <is>
          <t>Expent  cost</t>
        </is>
      </c>
      <c r="C1576" s="371" t="n">
        <v>45929</v>
      </c>
      <c r="F1576" s="281" t="n">
        <v>45929</v>
      </c>
      <c r="G1576" s="5" t="inlineStr">
        <is>
          <t>PR2526-02555</t>
        </is>
      </c>
      <c r="H1576" s="5" t="inlineStr">
        <is>
          <t>PO2526-03671</t>
        </is>
      </c>
      <c r="I1576" s="286" t="n">
        <v>45939</v>
      </c>
      <c r="J1576" s="26" t="n"/>
      <c r="K1576" s="20" t="n">
        <v>60</v>
      </c>
      <c r="L1576" s="5" t="inlineStr">
        <is>
          <t>SFST81000048</t>
        </is>
      </c>
      <c r="M1576" s="7" t="inlineStr">
        <is>
          <t>Cooling machine for PD line</t>
        </is>
      </c>
      <c r="N1576" s="7" t="inlineStr">
        <is>
          <t>Cooling system jobs</t>
        </is>
      </c>
      <c r="O1576" s="11" t="n">
        <v>3</v>
      </c>
      <c r="P1576" s="10" t="inlineStr">
        <is>
          <t>equipment</t>
        </is>
      </c>
      <c r="Q1576" s="277" t="n">
        <v>1</v>
      </c>
      <c r="R1576" s="5" t="inlineStr">
        <is>
          <t>Job.</t>
        </is>
      </c>
      <c r="S1576" s="292">
        <f>RawDataGenPO[[#This Row],[Total price]]/RawDataGenPO[[#This Row],[Qty'']]</f>
        <v/>
      </c>
      <c r="T1576" s="278" t="n">
        <v>500</v>
      </c>
      <c r="U1576" s="291" t="n"/>
      <c r="V1576" s="7" t="inlineStr">
        <is>
          <t>V1000554 - SHANTECH (THAILAND) CO.,LTD.</t>
        </is>
      </c>
      <c r="W1576" s="30" t="inlineStr">
        <is>
          <t>Recive bill and GRN already</t>
        </is>
      </c>
      <c r="X1576" s="5" t="inlineStr">
        <is>
          <t>GRN2526-0004842</t>
        </is>
      </c>
      <c r="Y1576" s="3" t="n">
        <v>45954</v>
      </c>
      <c r="Z1576" s="23" t="n"/>
      <c r="AA1576" s="17">
        <f>IF(RawDataGenPO[[#This Row],[Date Gen PO]]="","",RawDataGenPO[[#This Row],[Date recive bill]]-RawDataGenPO[[#This Row],[Date Gen PO]])</f>
        <v/>
      </c>
      <c r="AB1576" s="16">
        <f>IF(RawDataGenPO[[#This Row],[GRN-PO date]]&gt;RawDataGenPO[[#This Row],[Lead time delivery (day)]],"over deliverry","Ontime")</f>
        <v/>
      </c>
      <c r="AC1576" s="22" t="n"/>
    </row>
    <row r="1577" ht="15" customHeight="1">
      <c r="A1577" s="5">
        <f>ROW()-ROW(RawDataGenPO[[#Headers],[No.]])</f>
        <v/>
      </c>
      <c r="B1577" s="7" t="inlineStr">
        <is>
          <t>Expent  cost</t>
        </is>
      </c>
      <c r="C1577" s="371" t="n">
        <v>45929</v>
      </c>
      <c r="F1577" s="281" t="n">
        <v>45929</v>
      </c>
      <c r="G1577" s="5" t="inlineStr">
        <is>
          <t>PR2526-02555</t>
        </is>
      </c>
      <c r="H1577" s="5" t="inlineStr">
        <is>
          <t>PO2526-03671</t>
        </is>
      </c>
      <c r="I1577" s="286" t="n">
        <v>45939</v>
      </c>
      <c r="J1577" s="26" t="n"/>
      <c r="K1577" s="20" t="n">
        <v>60</v>
      </c>
      <c r="L1577" s="5" t="inlineStr">
        <is>
          <t>SFST81000048</t>
        </is>
      </c>
      <c r="M1577" s="7" t="inlineStr">
        <is>
          <t>Cooling machine for PD line</t>
        </is>
      </c>
      <c r="N1577" s="7" t="inlineStr">
        <is>
          <t>Cooling system jobs</t>
        </is>
      </c>
      <c r="O1577" s="11" t="n">
        <v>4</v>
      </c>
      <c r="P1577" s="10" t="inlineStr">
        <is>
          <t>Service charge + travel cost</t>
        </is>
      </c>
      <c r="Q1577" s="277" t="n">
        <v>1</v>
      </c>
      <c r="R1577" s="5" t="inlineStr">
        <is>
          <t>Job.</t>
        </is>
      </c>
      <c r="S1577" s="284">
        <f>RawDataGenPO[[#This Row],[Total price]]/RawDataGenPO[[#This Row],[Qty'']]</f>
        <v/>
      </c>
      <c r="T1577" s="278" t="n">
        <v>15000</v>
      </c>
      <c r="U1577" s="291" t="n"/>
      <c r="V1577" s="7" t="inlineStr">
        <is>
          <t>V1000554 - SHANTECH (THAILAND) CO.,LTD.</t>
        </is>
      </c>
      <c r="W1577" s="30" t="inlineStr">
        <is>
          <t>Recive bill and GRN already</t>
        </is>
      </c>
      <c r="X1577" s="5" t="inlineStr">
        <is>
          <t>GRN2526-0004842</t>
        </is>
      </c>
      <c r="Y1577" s="3" t="n">
        <v>45954</v>
      </c>
      <c r="Z1577" s="23" t="n"/>
      <c r="AA1577" s="17">
        <f>IF(RawDataGenPO[[#This Row],[Date Gen PO]]="","",RawDataGenPO[[#This Row],[Date recive bill]]-RawDataGenPO[[#This Row],[Date Gen PO]])</f>
        <v/>
      </c>
      <c r="AB1577" s="16">
        <f>IF(RawDataGenPO[[#This Row],[GRN-PO date]]&gt;RawDataGenPO[[#This Row],[Lead time delivery (day)]],"over deliverry","Ontime")</f>
        <v/>
      </c>
      <c r="AC1577" s="22" t="n"/>
    </row>
    <row r="1578" ht="15" customHeight="1">
      <c r="A1578" s="5">
        <f>ROW()-ROW(RawDataGenPO[[#Headers],[No.]])</f>
        <v/>
      </c>
      <c r="B1578" s="7" t="inlineStr">
        <is>
          <t>Expent  cost</t>
        </is>
      </c>
      <c r="C1578" s="371" t="n">
        <v>45931</v>
      </c>
      <c r="F1578" s="281" t="n">
        <v>45931</v>
      </c>
      <c r="G1578" s="5" t="inlineStr">
        <is>
          <t>PR2526-02595</t>
        </is>
      </c>
      <c r="H1578" s="5" t="inlineStr">
        <is>
          <t>PO2526-03698</t>
        </is>
      </c>
      <c r="I1578" s="286" t="n">
        <v>45938</v>
      </c>
      <c r="J1578" s="26" t="n"/>
      <c r="K1578" s="20" t="n">
        <v>30</v>
      </c>
      <c r="L1578" s="5" t="inlineStr">
        <is>
          <t>SFST81000009</t>
        </is>
      </c>
      <c r="M1578" s="7" t="inlineStr">
        <is>
          <t>Consumable part for MN</t>
        </is>
      </c>
      <c r="N1578" s="7" t="inlineStr">
        <is>
          <t>Consumable part</t>
        </is>
      </c>
      <c r="O1578" s="11" t="n">
        <v>1</v>
      </c>
      <c r="P1578" s="10" t="inlineStr">
        <is>
          <t>cableset ELEGANCE EG-4228 white</t>
        </is>
      </c>
      <c r="Q1578" s="277" t="n">
        <v>20</v>
      </c>
      <c r="R1578" s="5" t="inlineStr">
        <is>
          <t>PCS.</t>
        </is>
      </c>
      <c r="S1578" s="284">
        <f>RawDataGenPO[[#This Row],[Total price]]/RawDataGenPO[[#This Row],[Qty'']]</f>
        <v/>
      </c>
      <c r="T1578" s="278" t="n">
        <v>2500</v>
      </c>
      <c r="U1578" s="291" t="n"/>
      <c r="V1578" s="7" t="inlineStr">
        <is>
          <t>V1000603 - TM SUKSAP TRADING LIMITED PARTNERSHIP</t>
        </is>
      </c>
      <c r="W1578" s="30" t="inlineStr">
        <is>
          <t>Recive bill and GRN already</t>
        </is>
      </c>
      <c r="X1578" s="5" t="inlineStr">
        <is>
          <t>GRN2526-0004674</t>
        </is>
      </c>
      <c r="Y1578" s="3" t="n">
        <v>45947</v>
      </c>
      <c r="Z1578" s="23" t="n"/>
      <c r="AA1578" s="17">
        <f>IF(RawDataGenPO[[#This Row],[Date Gen PO]]="","",RawDataGenPO[[#This Row],[Date recive bill]]-RawDataGenPO[[#This Row],[Date Gen PO]])</f>
        <v/>
      </c>
      <c r="AB1578" s="16">
        <f>IF(RawDataGenPO[[#This Row],[GRN-PO date]]&gt;RawDataGenPO[[#This Row],[Lead time delivery (day)]],"over deliverry","Ontime")</f>
        <v/>
      </c>
      <c r="AC1578" s="22" t="n"/>
    </row>
    <row r="1579" ht="30" customHeight="1">
      <c r="A1579" s="5">
        <f>ROW()-ROW(RawDataGenPO[[#Headers],[No.]])</f>
        <v/>
      </c>
      <c r="B1579" s="7" t="inlineStr">
        <is>
          <t>Expent  cost</t>
        </is>
      </c>
      <c r="C1579" s="371" t="n">
        <v>45931</v>
      </c>
      <c r="F1579" s="371" t="n">
        <v>45931</v>
      </c>
      <c r="G1579" s="18" t="inlineStr">
        <is>
          <t>PR2526-02596</t>
        </is>
      </c>
      <c r="H1579" s="5" t="inlineStr">
        <is>
          <t>PO2526-03694</t>
        </is>
      </c>
      <c r="I1579" s="286" t="n">
        <v>45938</v>
      </c>
      <c r="K1579" s="20" t="n">
        <v>30</v>
      </c>
      <c r="L1579" s="5" t="inlineStr">
        <is>
          <t>SFST81000048</t>
        </is>
      </c>
      <c r="M1579" s="7" t="inlineStr">
        <is>
          <t>Cooling machine for PD line</t>
        </is>
      </c>
      <c r="N1579" s="7" t="inlineStr">
        <is>
          <t>Cooling system jobs</t>
        </is>
      </c>
      <c r="O1579" s="11" t="n">
        <v>1</v>
      </c>
      <c r="P1579" s="10" t="inlineStr">
        <is>
          <t>workroom floor wall
- Air blast freezer room No.30.</t>
        </is>
      </c>
      <c r="Q1579" s="277" t="n">
        <v>1</v>
      </c>
      <c r="R1579" s="5" t="inlineStr">
        <is>
          <t>Job.</t>
        </is>
      </c>
      <c r="S1579" s="284">
        <f>RawDataGenPO[[#This Row],[Total price]]/RawDataGenPO[[#This Row],[Qty'']]</f>
        <v/>
      </c>
      <c r="T1579" s="278" t="n">
        <v>9000</v>
      </c>
      <c r="U1579" s="291" t="n"/>
      <c r="V1579" s="7" t="inlineStr">
        <is>
          <t>V1000799 - LALIN CLEAN TECH CO., LTD.</t>
        </is>
      </c>
      <c r="W1579" s="5" t="inlineStr">
        <is>
          <t>Recive bill and GRN already</t>
        </is>
      </c>
      <c r="X1579" s="5" t="inlineStr">
        <is>
          <t>GRN2526-0004533</t>
        </is>
      </c>
      <c r="Y1579" s="3" t="n">
        <v>45941</v>
      </c>
      <c r="Z1579" s="23" t="n"/>
      <c r="AA1579" s="17">
        <f>IF(RawDataGenPO[[#This Row],[Date Gen PO]]="","",RawDataGenPO[[#This Row],[Date recive bill]]-RawDataGenPO[[#This Row],[Date Gen PO]])</f>
        <v/>
      </c>
      <c r="AB1579" s="16">
        <f>IF(RawDataGenPO[[#This Row],[GRN-PO date]]&gt;RawDataGenPO[[#This Row],[Lead time delivery (day)]],"over deliverry","Ontime")</f>
        <v/>
      </c>
      <c r="AC1579" s="22" t="n"/>
    </row>
    <row r="1580" ht="15" customHeight="1">
      <c r="A1580" s="5">
        <f>ROW()-ROW(RawDataGenPO[[#Headers],[No.]])</f>
        <v/>
      </c>
      <c r="B1580" s="7" t="inlineStr">
        <is>
          <t>Expent  cost</t>
        </is>
      </c>
      <c r="C1580" s="371" t="n">
        <v>45931</v>
      </c>
      <c r="F1580" s="371" t="n">
        <v>45931</v>
      </c>
      <c r="G1580" s="18" t="inlineStr">
        <is>
          <t>PR2526-02596</t>
        </is>
      </c>
      <c r="H1580" s="5" t="inlineStr">
        <is>
          <t>PO2526-03694</t>
        </is>
      </c>
      <c r="I1580" s="286" t="n">
        <v>45938</v>
      </c>
      <c r="K1580" s="20" t="n">
        <v>30</v>
      </c>
      <c r="L1580" s="5" t="inlineStr">
        <is>
          <t>SFST81000048</t>
        </is>
      </c>
      <c r="M1580" s="7" t="inlineStr">
        <is>
          <t>Cooling machine for PD line</t>
        </is>
      </c>
      <c r="N1580" s="7" t="inlineStr">
        <is>
          <t>Cooling system jobs</t>
        </is>
      </c>
      <c r="O1580" s="11" t="n">
        <v>2</v>
      </c>
      <c r="P1580" s="10" t="inlineStr">
        <is>
          <t>Ante Hight3</t>
        </is>
      </c>
      <c r="Q1580" s="277" t="n">
        <v>1</v>
      </c>
      <c r="R1580" s="5" t="inlineStr">
        <is>
          <t>Job.</t>
        </is>
      </c>
      <c r="S1580" s="284">
        <f>RawDataGenPO[[#This Row],[Total price]]/RawDataGenPO[[#This Row],[Qty'']]</f>
        <v/>
      </c>
      <c r="T1580" s="278" t="n">
        <v>10000</v>
      </c>
      <c r="U1580" s="291" t="n"/>
      <c r="V1580" s="7" t="inlineStr">
        <is>
          <t>V1000799 - LALIN CLEAN TECH CO., LTD.</t>
        </is>
      </c>
      <c r="W1580" s="5" t="inlineStr">
        <is>
          <t>Recive bill and GRN already</t>
        </is>
      </c>
      <c r="X1580" s="5" t="inlineStr">
        <is>
          <t>GRN2526-0004533</t>
        </is>
      </c>
      <c r="Y1580" s="3" t="n">
        <v>45941</v>
      </c>
      <c r="Z1580" s="23" t="n"/>
      <c r="AA1580" s="17">
        <f>IF(RawDataGenPO[[#This Row],[Date Gen PO]]="","",RawDataGenPO[[#This Row],[Date recive bill]]-RawDataGenPO[[#This Row],[Date Gen PO]])</f>
        <v/>
      </c>
      <c r="AB1580" s="16">
        <f>IF(RawDataGenPO[[#This Row],[GRN-PO date]]&gt;RawDataGenPO[[#This Row],[Lead time delivery (day)]],"over deliverry","Ontime")</f>
        <v/>
      </c>
      <c r="AC1580" s="22" t="n"/>
    </row>
    <row r="1581" ht="15" customHeight="1">
      <c r="A1581" s="5">
        <f>ROW()-ROW(RawDataGenPO[[#Headers],[No.]])</f>
        <v/>
      </c>
      <c r="B1581" s="7" t="inlineStr">
        <is>
          <t>Expent  cost</t>
        </is>
      </c>
      <c r="C1581" s="371" t="n">
        <v>45931</v>
      </c>
      <c r="F1581" s="371" t="n">
        <v>45931</v>
      </c>
      <c r="G1581" s="18" t="inlineStr">
        <is>
          <t>PR2526-02596</t>
        </is>
      </c>
      <c r="H1581" s="5" t="inlineStr">
        <is>
          <t>PO2526-03694</t>
        </is>
      </c>
      <c r="I1581" s="286" t="n">
        <v>45938</v>
      </c>
      <c r="K1581" s="20" t="n">
        <v>30</v>
      </c>
      <c r="L1581" s="5" t="inlineStr">
        <is>
          <t>SFST81000048</t>
        </is>
      </c>
      <c r="M1581" s="7" t="inlineStr">
        <is>
          <t>Cooling machine for PD line</t>
        </is>
      </c>
      <c r="N1581" s="7" t="inlineStr">
        <is>
          <t>Cooling system jobs</t>
        </is>
      </c>
      <c r="O1581" s="11" t="n">
        <v>3</v>
      </c>
      <c r="P1581" s="10" t="inlineStr">
        <is>
          <t>Ante Medium</t>
        </is>
      </c>
      <c r="Q1581" s="277" t="n">
        <v>1</v>
      </c>
      <c r="R1581" s="5" t="inlineStr">
        <is>
          <t>Job.</t>
        </is>
      </c>
      <c r="S1581" s="284">
        <f>RawDataGenPO[[#This Row],[Total price]]/RawDataGenPO[[#This Row],[Qty'']]</f>
        <v/>
      </c>
      <c r="T1581" s="278" t="n">
        <v>9000</v>
      </c>
      <c r="U1581" s="291" t="n"/>
      <c r="V1581" s="7" t="inlineStr">
        <is>
          <t>V1000799 - LALIN CLEAN TECH CO., LTD.</t>
        </is>
      </c>
      <c r="W1581" s="5" t="inlineStr">
        <is>
          <t>Recive bill and GRN already</t>
        </is>
      </c>
      <c r="X1581" s="5" t="inlineStr">
        <is>
          <t>GRN2526-0004533</t>
        </is>
      </c>
      <c r="Y1581" s="3" t="n">
        <v>45941</v>
      </c>
      <c r="Z1581" s="23" t="n"/>
      <c r="AA1581" s="17">
        <f>IF(RawDataGenPO[[#This Row],[Date Gen PO]]="","",RawDataGenPO[[#This Row],[Date recive bill]]-RawDataGenPO[[#This Row],[Date Gen PO]])</f>
        <v/>
      </c>
      <c r="AB1581" s="16">
        <f>IF(RawDataGenPO[[#This Row],[GRN-PO date]]&gt;RawDataGenPO[[#This Row],[Lead time delivery (day)]],"over deliverry","Ontime")</f>
        <v/>
      </c>
      <c r="AC1581" s="22" t="n"/>
    </row>
    <row r="1582" ht="15" customHeight="1">
      <c r="A1582" s="5">
        <f>ROW()-ROW(RawDataGenPO[[#Headers],[No.]])</f>
        <v/>
      </c>
      <c r="B1582" s="7" t="inlineStr">
        <is>
          <t>Expent  cost</t>
        </is>
      </c>
      <c r="C1582" s="371" t="n">
        <v>45931</v>
      </c>
      <c r="F1582" s="371" t="n">
        <v>45931</v>
      </c>
      <c r="G1582" s="18" t="inlineStr">
        <is>
          <t>PR2526-02597</t>
        </is>
      </c>
      <c r="H1582" s="5" t="inlineStr">
        <is>
          <t>PO2425-02597</t>
        </is>
      </c>
      <c r="I1582" s="290" t="n">
        <v>45939</v>
      </c>
      <c r="K1582" s="20" t="n">
        <v>30</v>
      </c>
      <c r="L1582" s="5" t="inlineStr">
        <is>
          <t>SFST81000048</t>
        </is>
      </c>
      <c r="M1582" s="7" t="inlineStr">
        <is>
          <t>PD Machine</t>
        </is>
      </c>
      <c r="N1582" s="7" t="inlineStr">
        <is>
          <t>Tool and Equipment</t>
        </is>
      </c>
      <c r="O1582" s="11" t="n">
        <v>1</v>
      </c>
      <c r="P1582" s="10" t="inlineStr">
        <is>
          <t>"TAIYI" DD16-2130*168-F CONVEYOR BELT OF UNDER BASI</t>
        </is>
      </c>
      <c r="Q1582" s="277" t="n">
        <v>2</v>
      </c>
      <c r="R1582" s="5" t="inlineStr">
        <is>
          <t>PCS.</t>
        </is>
      </c>
      <c r="S1582" s="284">
        <f>RawDataGenPO[[#This Row],[Total price]]/RawDataGenPO[[#This Row],[Qty'']]</f>
        <v/>
      </c>
      <c r="T1582" s="278" t="n">
        <v>9312</v>
      </c>
      <c r="U1582" s="291" t="n"/>
      <c r="V1582" s="7" t="inlineStr">
        <is>
          <t>V1000452 - SRIPIPAT ENGINEERING CO.,LTD.</t>
        </is>
      </c>
      <c r="W1582" s="5" t="inlineStr">
        <is>
          <t>Recive bill and GRN already</t>
        </is>
      </c>
      <c r="X1582" s="5" t="inlineStr">
        <is>
          <t>GRN2526-0004578</t>
        </is>
      </c>
      <c r="Y1582" s="3" t="n">
        <v>45945</v>
      </c>
      <c r="Z1582" s="23" t="n"/>
      <c r="AA1582" s="17">
        <f>IF(RawDataGenPO[[#This Row],[Date Gen PO]]="","",RawDataGenPO[[#This Row],[Date recive bill]]-RawDataGenPO[[#This Row],[Date Gen PO]])</f>
        <v/>
      </c>
      <c r="AB1582" s="16">
        <f>IF(RawDataGenPO[[#This Row],[GRN-PO date]]&gt;RawDataGenPO[[#This Row],[Lead time delivery (day)]],"over deliverry","Ontime")</f>
        <v/>
      </c>
      <c r="AC1582" s="22" t="n"/>
    </row>
    <row r="1583" ht="15" customHeight="1">
      <c r="A1583" s="5">
        <f>ROW()-ROW(RawDataGenPO[[#Headers],[No.]])</f>
        <v/>
      </c>
      <c r="B1583" s="7" t="inlineStr">
        <is>
          <t>Expent  cost</t>
        </is>
      </c>
      <c r="C1583" s="371" t="n">
        <v>45931</v>
      </c>
      <c r="F1583" s="371" t="n">
        <v>45931</v>
      </c>
      <c r="G1583" s="18" t="inlineStr">
        <is>
          <t>PR2526-02597</t>
        </is>
      </c>
      <c r="H1583" s="5" t="inlineStr">
        <is>
          <t>PO2425-02597</t>
        </is>
      </c>
      <c r="I1583" s="290" t="n">
        <v>45939</v>
      </c>
      <c r="K1583" s="20" t="n">
        <v>30</v>
      </c>
      <c r="L1583" s="5" t="inlineStr">
        <is>
          <t>SFST81000048</t>
        </is>
      </c>
      <c r="M1583" s="7" t="inlineStr">
        <is>
          <t>PD Machine</t>
        </is>
      </c>
      <c r="N1583" s="7" t="inlineStr">
        <is>
          <t>Tool and Equipment</t>
        </is>
      </c>
      <c r="O1583" s="11" t="n">
        <v>2</v>
      </c>
      <c r="P1583" s="10" t="inlineStr">
        <is>
          <t>"TAIYI" DD16-930*164-F CONVEYOR BELT OF UPPER BASE</t>
        </is>
      </c>
      <c r="Q1583" s="277" t="n">
        <v>2</v>
      </c>
      <c r="R1583" s="5" t="inlineStr">
        <is>
          <t>PCS.</t>
        </is>
      </c>
      <c r="S1583" s="284">
        <f>RawDataGenPO[[#This Row],[Total price]]/RawDataGenPO[[#This Row],[Qty'']]</f>
        <v/>
      </c>
      <c r="T1583" s="278" t="n">
        <v>6790</v>
      </c>
      <c r="U1583" s="291" t="n"/>
      <c r="V1583" s="7" t="inlineStr">
        <is>
          <t>V1000452 - SRIPIPAT ENGINEERING CO.,LTD.</t>
        </is>
      </c>
      <c r="W1583" s="5" t="inlineStr">
        <is>
          <t>Recive bill and GRN already</t>
        </is>
      </c>
      <c r="X1583" s="5" t="inlineStr">
        <is>
          <t>GRN2526-0004578</t>
        </is>
      </c>
      <c r="Y1583" s="3" t="n">
        <v>45945</v>
      </c>
      <c r="Z1583" s="23" t="n"/>
      <c r="AA1583" s="17">
        <f>IF(RawDataGenPO[[#This Row],[Date Gen PO]]="","",RawDataGenPO[[#This Row],[Date recive bill]]-RawDataGenPO[[#This Row],[Date Gen PO]])</f>
        <v/>
      </c>
      <c r="AB1583" s="16">
        <f>IF(RawDataGenPO[[#This Row],[GRN-PO date]]&gt;RawDataGenPO[[#This Row],[Lead time delivery (day)]],"over deliverry","Ontime")</f>
        <v/>
      </c>
      <c r="AC1583" s="22" t="n"/>
    </row>
    <row r="1584" ht="15" customHeight="1">
      <c r="A1584" s="5">
        <f>ROW()-ROW(RawDataGenPO[[#Headers],[No.]])</f>
        <v/>
      </c>
      <c r="B1584" s="7" t="inlineStr">
        <is>
          <t>Expent  cost</t>
        </is>
      </c>
      <c r="C1584" s="371" t="n">
        <v>45931</v>
      </c>
      <c r="F1584" s="371" t="n">
        <v>45931</v>
      </c>
      <c r="G1584" s="18" t="inlineStr">
        <is>
          <t>PR2526-02598</t>
        </is>
      </c>
      <c r="H1584" s="5" t="inlineStr">
        <is>
          <t>PO2529-03699</t>
        </is>
      </c>
      <c r="I1584" s="290" t="n">
        <v>45938</v>
      </c>
      <c r="K1584" s="20" t="n">
        <v>30</v>
      </c>
      <c r="L1584" s="5" t="inlineStr">
        <is>
          <t>SFST81000009</t>
        </is>
      </c>
      <c r="M1584" s="7" t="inlineStr">
        <is>
          <t>Consumable part for MN</t>
        </is>
      </c>
      <c r="N1584" s="7" t="inlineStr">
        <is>
          <t>Consumable part</t>
        </is>
      </c>
      <c r="O1584" s="11" t="n">
        <v>1</v>
      </c>
      <c r="P1584" s="10" t="inlineStr">
        <is>
          <t>SOLEX model 86 size 60 kg grey</t>
        </is>
      </c>
      <c r="Q1584" s="277" t="n">
        <v>10</v>
      </c>
      <c r="R1584" s="5" t="inlineStr">
        <is>
          <t>PCS.</t>
        </is>
      </c>
      <c r="S1584" s="284">
        <f>RawDataGenPO[[#This Row],[Total price]]/RawDataGenPO[[#This Row],[Qty'']]</f>
        <v/>
      </c>
      <c r="T1584" s="278" t="n">
        <v>5800</v>
      </c>
      <c r="U1584" s="291" t="n"/>
      <c r="V1584" s="7" t="inlineStr">
        <is>
          <t>V1000840 - S.Q. &amp; CO CO., LTD</t>
        </is>
      </c>
      <c r="W1584" s="5" t="inlineStr">
        <is>
          <t>Recive bill and GRN already</t>
        </is>
      </c>
      <c r="X1584" s="5" t="inlineStr">
        <is>
          <t>GRN2526-0004579</t>
        </is>
      </c>
      <c r="Y1584" s="3" t="n">
        <v>45945</v>
      </c>
      <c r="Z1584" s="23" t="n"/>
      <c r="AA1584" s="17">
        <f>IF(RawDataGenPO[[#This Row],[Date Gen PO]]="","",RawDataGenPO[[#This Row],[Date recive bill]]-RawDataGenPO[[#This Row],[Date Gen PO]])</f>
        <v/>
      </c>
      <c r="AB1584" s="16">
        <f>IF(RawDataGenPO[[#This Row],[GRN-PO date]]&gt;RawDataGenPO[[#This Row],[Lead time delivery (day)]],"over deliverry","Ontime")</f>
        <v/>
      </c>
      <c r="AC1584" s="22" t="n"/>
    </row>
    <row r="1585" ht="15" customHeight="1">
      <c r="A1585" s="5">
        <f>ROW()-ROW(RawDataGenPO[[#Headers],[No.]])</f>
        <v/>
      </c>
      <c r="B1585" s="7" t="inlineStr">
        <is>
          <t>Expent  cost</t>
        </is>
      </c>
      <c r="C1585" s="371" t="n">
        <v>45931</v>
      </c>
      <c r="F1585" s="371" t="n">
        <v>45931</v>
      </c>
      <c r="G1585" s="18" t="inlineStr">
        <is>
          <t>PR2526-02599</t>
        </is>
      </c>
      <c r="H1585" s="5" t="inlineStr">
        <is>
          <t>PO2526-03700</t>
        </is>
      </c>
      <c r="I1585" s="286" t="n">
        <v>45938</v>
      </c>
      <c r="K1585" s="20" t="n">
        <v>30</v>
      </c>
      <c r="L1585" s="5" t="inlineStr">
        <is>
          <t>SFST81000009</t>
        </is>
      </c>
      <c r="M1585" s="7" t="inlineStr">
        <is>
          <t>Consumable part for MN</t>
        </is>
      </c>
      <c r="N1585" s="7" t="inlineStr">
        <is>
          <t>Consumable part</t>
        </is>
      </c>
      <c r="O1585" s="11" t="n">
        <v>1</v>
      </c>
      <c r="P1585" s="10" t="inlineStr">
        <is>
          <t>Cable Gland PG13.5 Black</t>
        </is>
      </c>
      <c r="Q1585" s="277" t="n">
        <v>50</v>
      </c>
      <c r="R1585" s="5" t="inlineStr">
        <is>
          <t>PCS.</t>
        </is>
      </c>
      <c r="S1585" s="284">
        <f>RawDataGenPO[[#This Row],[Total price]]/RawDataGenPO[[#This Row],[Qty'']]</f>
        <v/>
      </c>
      <c r="T1585" s="278" t="n">
        <v>310.5</v>
      </c>
      <c r="U1585" s="291" t="n"/>
      <c r="V1585" s="7" t="inlineStr">
        <is>
          <t>V1000481 - Company JW Tech Ltd.</t>
        </is>
      </c>
      <c r="W1585" s="30" t="inlineStr">
        <is>
          <t>Recive bill and GRN already</t>
        </is>
      </c>
      <c r="X1585" s="5" t="inlineStr">
        <is>
          <t>GRN2526-0004744</t>
        </is>
      </c>
      <c r="Y1585" s="3" t="n">
        <v>45951</v>
      </c>
      <c r="Z1585" s="23" t="n"/>
      <c r="AA1585" s="17">
        <f>IF(RawDataGenPO[[#This Row],[Date Gen PO]]="","",RawDataGenPO[[#This Row],[Date recive bill]]-RawDataGenPO[[#This Row],[Date Gen PO]])</f>
        <v/>
      </c>
      <c r="AB1585" s="16">
        <f>IF(RawDataGenPO[[#This Row],[GRN-PO date]]&gt;RawDataGenPO[[#This Row],[Lead time delivery (day)]],"over deliverry","Ontime")</f>
        <v/>
      </c>
      <c r="AC1585" s="22" t="n"/>
    </row>
    <row r="1586" ht="30" customHeight="1">
      <c r="A1586" s="5">
        <f>ROW()-ROW(RawDataGenPO[[#Headers],[No.]])</f>
        <v/>
      </c>
      <c r="B1586" s="7" t="inlineStr">
        <is>
          <t>Expent  cost</t>
        </is>
      </c>
      <c r="C1586" s="371" t="n">
        <v>45931</v>
      </c>
      <c r="F1586" s="371" t="n">
        <v>45931</v>
      </c>
      <c r="G1586" s="5" t="inlineStr">
        <is>
          <t>PR2526-02607</t>
        </is>
      </c>
      <c r="H1586" s="5" t="inlineStr">
        <is>
          <t>PO2526-03701</t>
        </is>
      </c>
      <c r="I1586" s="286" t="n">
        <v>45938</v>
      </c>
      <c r="K1586" s="20" t="n">
        <v>30</v>
      </c>
      <c r="L1586" s="5" t="inlineStr">
        <is>
          <t>SFST81000048</t>
        </is>
      </c>
      <c r="M1586" s="7" t="inlineStr">
        <is>
          <t>PD Machine</t>
        </is>
      </c>
      <c r="N1586" s="7" t="inlineStr">
        <is>
          <t>Tool and Equipment</t>
        </is>
      </c>
      <c r="O1586" s="11" t="n">
        <v>1</v>
      </c>
      <c r="P1586" s="10" t="inlineStr">
        <is>
          <t>pipestainless steel SUS304 flange 1/2 inch length 100 CM.
PN40 RF flangestainless steel PN16</t>
        </is>
      </c>
      <c r="Q1586" s="277" t="n">
        <v>4</v>
      </c>
      <c r="R1586" s="5" t="inlineStr">
        <is>
          <t>PCS.</t>
        </is>
      </c>
      <c r="S1586" s="284">
        <f>RawDataGenPO[[#This Row],[Total price]]/RawDataGenPO[[#This Row],[Qty'']]</f>
        <v/>
      </c>
      <c r="T1586" s="278" t="n">
        <v>5400</v>
      </c>
      <c r="U1586" s="291" t="n"/>
      <c r="V1586" s="7" t="inlineStr">
        <is>
          <t>V1000840 - S.Q. &amp; CO CO., LTD</t>
        </is>
      </c>
      <c r="W1586" s="30" t="inlineStr">
        <is>
          <t>Recive bill and GRN already</t>
        </is>
      </c>
      <c r="X1586" s="5" t="inlineStr">
        <is>
          <t>GRN2526-0004582</t>
        </is>
      </c>
      <c r="Y1586" s="3" t="n">
        <v>45945</v>
      </c>
      <c r="Z1586" s="23" t="n"/>
      <c r="AA1586" s="17">
        <f>IF(RawDataGenPO[[#This Row],[Date Gen PO]]="","",RawDataGenPO[[#This Row],[Date recive bill]]-RawDataGenPO[[#This Row],[Date Gen PO]])</f>
        <v/>
      </c>
      <c r="AB1586" s="16">
        <f>IF(RawDataGenPO[[#This Row],[GRN-PO date]]&gt;RawDataGenPO[[#This Row],[Lead time delivery (day)]],"over deliverry","Ontime")</f>
        <v/>
      </c>
      <c r="AC1586" s="22" t="n"/>
    </row>
    <row r="1587" ht="30" customHeight="1">
      <c r="A1587" s="5">
        <f>ROW()-ROW(RawDataGenPO[[#Headers],[No.]])</f>
        <v/>
      </c>
      <c r="B1587" s="7" t="inlineStr">
        <is>
          <t>Expent  cost</t>
        </is>
      </c>
      <c r="C1587" s="371" t="n">
        <v>45931</v>
      </c>
      <c r="F1587" s="371" t="n">
        <v>45931</v>
      </c>
      <c r="G1587" s="5" t="inlineStr">
        <is>
          <t>PR2526-02608</t>
        </is>
      </c>
      <c r="H1587" s="5" t="inlineStr">
        <is>
          <t>PO2526-03695</t>
        </is>
      </c>
      <c r="I1587" s="286" t="n">
        <v>45938</v>
      </c>
      <c r="J1587" s="26" t="n"/>
      <c r="K1587" s="20" t="n">
        <v>30</v>
      </c>
      <c r="L1587" s="5" t="inlineStr">
        <is>
          <t>SFST81000050</t>
        </is>
      </c>
      <c r="M1587" s="7" t="inlineStr">
        <is>
          <t>Safety equipment</t>
        </is>
      </c>
      <c r="N1587" s="7" t="inlineStr">
        <is>
          <t>Safety equipment</t>
        </is>
      </c>
      <c r="O1587" s="11" t="n">
        <v>1</v>
      </c>
      <c r="P1587" s="10" t="inlineStr">
        <is>
          <t>Battery NV (MP18.0A-12V) 12V-18Ah
- sizebattery width 76 mm x length 186 mm x high 167 mm</t>
        </is>
      </c>
      <c r="Q1587" s="277" t="n">
        <v>4</v>
      </c>
      <c r="R1587" s="5" t="inlineStr">
        <is>
          <t>PCS.</t>
        </is>
      </c>
      <c r="S1587" s="284">
        <f>RawDataGenPO[[#This Row],[Total price]]/RawDataGenPO[[#This Row],[Qty'']]</f>
        <v/>
      </c>
      <c r="T1587" s="278" t="n">
        <v>5680</v>
      </c>
      <c r="U1587" s="291" t="n"/>
      <c r="V1587" s="7" t="inlineStr">
        <is>
          <t>V1000603 - TM SUKSAP TRADING LIMITED PARTNERSHIP</t>
        </is>
      </c>
      <c r="W1587" s="30" t="inlineStr">
        <is>
          <t>Recive bill and GRN already</t>
        </is>
      </c>
      <c r="X1587" s="5" t="inlineStr">
        <is>
          <t>GRN2526-0004673</t>
        </is>
      </c>
      <c r="Y1587" s="3" t="n">
        <v>45947</v>
      </c>
      <c r="Z1587" s="23" t="n"/>
      <c r="AA1587" s="17">
        <f>IF(RawDataGenPO[[#This Row],[Date Gen PO]]="","",RawDataGenPO[[#This Row],[Date recive bill]]-RawDataGenPO[[#This Row],[Date Gen PO]])</f>
        <v/>
      </c>
      <c r="AB1587" s="16">
        <f>IF(RawDataGenPO[[#This Row],[GRN-PO date]]&gt;RawDataGenPO[[#This Row],[Lead time delivery (day)]],"over deliverry","Ontime")</f>
        <v/>
      </c>
      <c r="AC1587" s="22" t="n"/>
    </row>
    <row r="1588" ht="15" customHeight="1">
      <c r="A1588" s="5">
        <f>ROW()-ROW(RawDataGenPO[[#Headers],[No.]])</f>
        <v/>
      </c>
      <c r="B1588" s="7" t="inlineStr">
        <is>
          <t>Expent  cost</t>
        </is>
      </c>
      <c r="C1588" s="371" t="n">
        <v>45932</v>
      </c>
      <c r="F1588" s="371" t="n">
        <v>45932</v>
      </c>
      <c r="G1588" s="5" t="inlineStr">
        <is>
          <t>PR2526-02618</t>
        </is>
      </c>
      <c r="H1588" s="5" t="inlineStr">
        <is>
          <t>PO2526-03697</t>
        </is>
      </c>
      <c r="I1588" s="286" t="n">
        <v>45938</v>
      </c>
      <c r="J1588" s="26" t="n"/>
      <c r="K1588" s="20" t="n">
        <v>60</v>
      </c>
      <c r="L1588" s="5" t="inlineStr">
        <is>
          <t>SFST81000048</t>
        </is>
      </c>
      <c r="M1588" s="7" t="inlineStr">
        <is>
          <t>PD Machine</t>
        </is>
      </c>
      <c r="N1588" s="7" t="inlineStr">
        <is>
          <t>Condencer Unit No.33 (Ice Maker)</t>
        </is>
      </c>
      <c r="O1588" s="11" t="n">
        <v>1</v>
      </c>
      <c r="P1588" s="10" t="inlineStr">
        <is>
          <t>PART SI 2500 GEAR 11"</t>
        </is>
      </c>
      <c r="Q1588" s="277" t="n">
        <v>1</v>
      </c>
      <c r="R1588" s="5" t="inlineStr">
        <is>
          <t>PCS.</t>
        </is>
      </c>
      <c r="S1588" s="284">
        <f>RawDataGenPO[[#This Row],[Total price]]/RawDataGenPO[[#This Row],[Qty'']]</f>
        <v/>
      </c>
      <c r="T1588" s="278" t="n">
        <v>17500</v>
      </c>
      <c r="U1588" s="291" t="n"/>
      <c r="V1588" s="7" t="inlineStr">
        <is>
          <t>V1000654 - A AND B REFRIGERATION CO., LTD.</t>
        </is>
      </c>
      <c r="W1588" s="30" t="inlineStr">
        <is>
          <t>Recive bill and GRN already</t>
        </is>
      </c>
      <c r="X1588" s="5" t="inlineStr">
        <is>
          <t>GRN2526-0004840</t>
        </is>
      </c>
      <c r="Y1588" s="3" t="n">
        <v>45954</v>
      </c>
      <c r="Z1588" s="23" t="n"/>
      <c r="AA1588" s="17">
        <f>IF(RawDataGenPO[[#This Row],[Date Gen PO]]="","",RawDataGenPO[[#This Row],[Date recive bill]]-RawDataGenPO[[#This Row],[Date Gen PO]])</f>
        <v/>
      </c>
      <c r="AB1588" s="16">
        <f>IF(RawDataGenPO[[#This Row],[GRN-PO date]]&gt;RawDataGenPO[[#This Row],[Lead time delivery (day)]],"over deliverry","Ontime")</f>
        <v/>
      </c>
      <c r="AC1588" s="22" t="n"/>
    </row>
    <row r="1589" ht="15" customHeight="1">
      <c r="A1589" s="5">
        <f>ROW()-ROW(RawDataGenPO[[#Headers],[No.]])</f>
        <v/>
      </c>
      <c r="B1589" s="7" t="inlineStr">
        <is>
          <t>Expent  cost</t>
        </is>
      </c>
      <c r="C1589" s="371" t="n">
        <v>45932</v>
      </c>
      <c r="F1589" s="371" t="n">
        <v>45932</v>
      </c>
      <c r="G1589" s="5" t="inlineStr">
        <is>
          <t>PR2526-02618</t>
        </is>
      </c>
      <c r="H1589" s="5" t="inlineStr">
        <is>
          <t>PO2526-03697</t>
        </is>
      </c>
      <c r="I1589" s="286" t="n">
        <v>45938</v>
      </c>
      <c r="J1589" s="26" t="n"/>
      <c r="K1589" s="20" t="n">
        <v>60</v>
      </c>
      <c r="L1589" s="5" t="inlineStr">
        <is>
          <t>SFST81000048</t>
        </is>
      </c>
      <c r="M1589" s="7" t="inlineStr">
        <is>
          <t>PD Machine</t>
        </is>
      </c>
      <c r="N1589" s="7" t="inlineStr">
        <is>
          <t>Condencer Unit No.33 (Ice Maker)</t>
        </is>
      </c>
      <c r="O1589" s="11" t="n">
        <v>2</v>
      </c>
      <c r="P1589" s="10" t="inlineStr">
        <is>
          <t>PART SI 2500 GEAR 3"</t>
        </is>
      </c>
      <c r="Q1589" s="277" t="n">
        <v>1</v>
      </c>
      <c r="R1589" s="5" t="inlineStr">
        <is>
          <t>PCS.</t>
        </is>
      </c>
      <c r="S1589" s="284">
        <f>RawDataGenPO[[#This Row],[Total price]]/RawDataGenPO[[#This Row],[Qty'']]</f>
        <v/>
      </c>
      <c r="T1589" s="278" t="n">
        <v>4500</v>
      </c>
      <c r="U1589" s="291" t="n"/>
      <c r="V1589" s="7" t="inlineStr">
        <is>
          <t>V1000654 - A AND B REFRIGERATION CO., LTD.</t>
        </is>
      </c>
      <c r="W1589" s="30" t="inlineStr">
        <is>
          <t>Recive bill and GRN already</t>
        </is>
      </c>
      <c r="X1589" s="5" t="inlineStr">
        <is>
          <t>GRN2526-0004840</t>
        </is>
      </c>
      <c r="Y1589" s="3" t="n">
        <v>45954</v>
      </c>
      <c r="Z1589" s="23" t="n"/>
      <c r="AA1589" s="17">
        <f>IF(RawDataGenPO[[#This Row],[Date Gen PO]]="","",RawDataGenPO[[#This Row],[Date recive bill]]-RawDataGenPO[[#This Row],[Date Gen PO]])</f>
        <v/>
      </c>
      <c r="AB1589" s="16">
        <f>IF(RawDataGenPO[[#This Row],[GRN-PO date]]&gt;RawDataGenPO[[#This Row],[Lead time delivery (day)]],"over deliverry","Ontime")</f>
        <v/>
      </c>
      <c r="AC1589" s="22" t="n"/>
    </row>
    <row r="1590" ht="15" customHeight="1">
      <c r="A1590" s="5">
        <f>ROW()-ROW(RawDataGenPO[[#Headers],[No.]])</f>
        <v/>
      </c>
      <c r="B1590" s="7" t="inlineStr">
        <is>
          <t>Expent  cost</t>
        </is>
      </c>
      <c r="C1590" s="371" t="n">
        <v>45932</v>
      </c>
      <c r="F1590" s="371" t="n">
        <v>45932</v>
      </c>
      <c r="G1590" s="5" t="inlineStr">
        <is>
          <t>PR2526-02618</t>
        </is>
      </c>
      <c r="H1590" s="5" t="inlineStr">
        <is>
          <t>PO2526-03697</t>
        </is>
      </c>
      <c r="I1590" s="286" t="n">
        <v>45938</v>
      </c>
      <c r="J1590" s="26" t="n"/>
      <c r="K1590" s="20" t="n">
        <v>60</v>
      </c>
      <c r="L1590" s="5" t="inlineStr">
        <is>
          <t>SFST81000048</t>
        </is>
      </c>
      <c r="M1590" s="7" t="inlineStr">
        <is>
          <t>PD Machine</t>
        </is>
      </c>
      <c r="N1590" s="7" t="inlineStr">
        <is>
          <t>Condencer Unit No.33 (Ice Maker)</t>
        </is>
      </c>
      <c r="O1590" s="11" t="n">
        <v>3</v>
      </c>
      <c r="P1590" s="10" t="inlineStr">
        <is>
          <t>OIL BELL AUTOMATIC LUBRICATION (WWoil) 2IN.X 1/4IN</t>
        </is>
      </c>
      <c r="Q1590" s="277" t="n">
        <v>3</v>
      </c>
      <c r="R1590" s="5" t="inlineStr">
        <is>
          <t>PCS.</t>
        </is>
      </c>
      <c r="S1590" s="284">
        <f>RawDataGenPO[[#This Row],[Total price]]/RawDataGenPO[[#This Row],[Qty'']]</f>
        <v/>
      </c>
      <c r="T1590" s="278" t="n">
        <v>4350</v>
      </c>
      <c r="U1590" s="291" t="n"/>
      <c r="V1590" s="7" t="inlineStr">
        <is>
          <t>V1000654 - A AND B REFRIGERATION CO., LTD.</t>
        </is>
      </c>
      <c r="W1590" s="30" t="inlineStr">
        <is>
          <t>Recive bill and GRN already</t>
        </is>
      </c>
      <c r="X1590" s="5" t="inlineStr">
        <is>
          <t>GRN2526-0004840</t>
        </is>
      </c>
      <c r="Y1590" s="3" t="n">
        <v>45954</v>
      </c>
      <c r="Z1590" s="23" t="n"/>
      <c r="AA1590" s="17">
        <f>IF(RawDataGenPO[[#This Row],[Date Gen PO]]="","",RawDataGenPO[[#This Row],[Date recive bill]]-RawDataGenPO[[#This Row],[Date Gen PO]])</f>
        <v/>
      </c>
      <c r="AB1590" s="16">
        <f>IF(RawDataGenPO[[#This Row],[GRN-PO date]]&gt;RawDataGenPO[[#This Row],[Lead time delivery (day)]],"over deliverry","Ontime")</f>
        <v/>
      </c>
      <c r="AC1590" s="22" t="n"/>
    </row>
    <row r="1591" ht="15" customHeight="1">
      <c r="A1591" s="5">
        <f>ROW()-ROW(RawDataGenPO[[#Headers],[No.]])</f>
        <v/>
      </c>
      <c r="B1591" s="7" t="inlineStr">
        <is>
          <t>Expent  cost</t>
        </is>
      </c>
      <c r="C1591" s="371" t="n">
        <v>45932</v>
      </c>
      <c r="F1591" s="371" t="n">
        <v>45932</v>
      </c>
      <c r="G1591" s="5" t="inlineStr">
        <is>
          <t>PR2526-02618</t>
        </is>
      </c>
      <c r="H1591" s="5" t="inlineStr">
        <is>
          <t>PO2526-03697</t>
        </is>
      </c>
      <c r="I1591" s="286" t="n">
        <v>45938</v>
      </c>
      <c r="J1591" s="26" t="n"/>
      <c r="K1591" s="20" t="n">
        <v>60</v>
      </c>
      <c r="L1591" s="5" t="inlineStr">
        <is>
          <t>SFST81000048</t>
        </is>
      </c>
      <c r="M1591" s="7" t="inlineStr">
        <is>
          <t>PD Machine</t>
        </is>
      </c>
      <c r="N1591" s="7" t="inlineStr">
        <is>
          <t>Condencer Unit No.33 (Ice Maker)</t>
        </is>
      </c>
      <c r="O1591" s="11" t="n">
        <v>4</v>
      </c>
      <c r="P1591" s="10" t="inlineStr">
        <is>
          <t>OMRON LIMIT SWITCH #ZC-W155</t>
        </is>
      </c>
      <c r="Q1591" s="277" t="n">
        <v>1</v>
      </c>
      <c r="R1591" s="5" t="inlineStr">
        <is>
          <t>PCS.</t>
        </is>
      </c>
      <c r="S1591" s="284">
        <f>RawDataGenPO[[#This Row],[Total price]]/RawDataGenPO[[#This Row],[Qty'']]</f>
        <v/>
      </c>
      <c r="T1591" s="278" t="n">
        <v>2500</v>
      </c>
      <c r="U1591" s="291" t="n"/>
      <c r="V1591" s="7" t="inlineStr">
        <is>
          <t>V1000654 - A AND B REFRIGERATION CO., LTD.</t>
        </is>
      </c>
      <c r="W1591" s="30" t="inlineStr">
        <is>
          <t>Recive bill and GRN already</t>
        </is>
      </c>
      <c r="X1591" s="5" t="inlineStr">
        <is>
          <t>GRN2526-0004840</t>
        </is>
      </c>
      <c r="Y1591" s="3" t="n">
        <v>45954</v>
      </c>
      <c r="Z1591" s="23" t="n"/>
      <c r="AA1591" s="17">
        <f>IF(RawDataGenPO[[#This Row],[Date Gen PO]]="","",RawDataGenPO[[#This Row],[Date recive bill]]-RawDataGenPO[[#This Row],[Date Gen PO]])</f>
        <v/>
      </c>
      <c r="AB1591" s="16">
        <f>IF(RawDataGenPO[[#This Row],[GRN-PO date]]&gt;RawDataGenPO[[#This Row],[Lead time delivery (day)]],"over deliverry","Ontime")</f>
        <v/>
      </c>
      <c r="AC1591" s="22" t="n"/>
    </row>
    <row r="1592" ht="15" customHeight="1">
      <c r="A1592" s="5">
        <f>ROW()-ROW(RawDataGenPO[[#Headers],[No.]])</f>
        <v/>
      </c>
      <c r="B1592" s="7" t="inlineStr">
        <is>
          <t>Expent  cost</t>
        </is>
      </c>
      <c r="C1592" s="371" t="n">
        <v>45932</v>
      </c>
      <c r="F1592" s="371" t="n">
        <v>45932</v>
      </c>
      <c r="G1592" s="5" t="inlineStr">
        <is>
          <t>PR2526-02618</t>
        </is>
      </c>
      <c r="H1592" s="5" t="inlineStr">
        <is>
          <t>PO2526-03697</t>
        </is>
      </c>
      <c r="I1592" s="286" t="n">
        <v>45938</v>
      </c>
      <c r="J1592" s="26" t="n"/>
      <c r="K1592" s="20" t="n">
        <v>60</v>
      </c>
      <c r="L1592" s="5" t="inlineStr">
        <is>
          <t>SFST81000048</t>
        </is>
      </c>
      <c r="M1592" s="7" t="inlineStr">
        <is>
          <t>PD Machine</t>
        </is>
      </c>
      <c r="N1592" s="7" t="inlineStr">
        <is>
          <t>Condencer Unit No.33 (Ice Maker)</t>
        </is>
      </c>
      <c r="O1592" s="11" t="n">
        <v>5</v>
      </c>
      <c r="P1592" s="10" t="inlineStr">
        <is>
          <t>SKF SPHERICAL ROLLER BEARING DOUBLE ROW PART</t>
        </is>
      </c>
      <c r="Q1592" s="277" t="n">
        <v>2</v>
      </c>
      <c r="R1592" s="5" t="inlineStr">
        <is>
          <t>PCS.</t>
        </is>
      </c>
      <c r="S1592" s="284">
        <f>RawDataGenPO[[#This Row],[Total price]]/RawDataGenPO[[#This Row],[Qty'']]</f>
        <v/>
      </c>
      <c r="T1592" s="278" t="n">
        <v>9000</v>
      </c>
      <c r="U1592" s="291" t="n"/>
      <c r="V1592" s="7" t="inlineStr">
        <is>
          <t>V1000654 - A AND B REFRIGERATION CO., LTD.</t>
        </is>
      </c>
      <c r="W1592" s="30" t="inlineStr">
        <is>
          <t>Recive bill and GRN already</t>
        </is>
      </c>
      <c r="X1592" s="5" t="inlineStr">
        <is>
          <t>GRN2526-0004840</t>
        </is>
      </c>
      <c r="Y1592" s="3" t="n">
        <v>45954</v>
      </c>
      <c r="Z1592" s="23" t="n"/>
      <c r="AA1592" s="17">
        <f>IF(RawDataGenPO[[#This Row],[Date Gen PO]]="","",RawDataGenPO[[#This Row],[Date recive bill]]-RawDataGenPO[[#This Row],[Date Gen PO]])</f>
        <v/>
      </c>
      <c r="AB1592" s="16">
        <f>IF(RawDataGenPO[[#This Row],[GRN-PO date]]&gt;RawDataGenPO[[#This Row],[Lead time delivery (day)]],"over deliverry","Ontime")</f>
        <v/>
      </c>
      <c r="AC1592" s="22" t="n"/>
    </row>
    <row r="1593" ht="15" customHeight="1">
      <c r="A1593" s="5">
        <f>ROW()-ROW(RawDataGenPO[[#Headers],[No.]])</f>
        <v/>
      </c>
      <c r="B1593" s="7" t="inlineStr">
        <is>
          <t>Expent  cost</t>
        </is>
      </c>
      <c r="C1593" s="371" t="n">
        <v>45932</v>
      </c>
      <c r="F1593" s="371" t="n">
        <v>45932</v>
      </c>
      <c r="G1593" s="5" t="inlineStr">
        <is>
          <t>PR2526-02618</t>
        </is>
      </c>
      <c r="H1593" s="5" t="inlineStr">
        <is>
          <t>PO2526-03697</t>
        </is>
      </c>
      <c r="I1593" s="286" t="n">
        <v>45938</v>
      </c>
      <c r="J1593" s="26" t="n"/>
      <c r="K1593" s="20" t="n">
        <v>60</v>
      </c>
      <c r="L1593" s="5" t="inlineStr">
        <is>
          <t>SFST81000048</t>
        </is>
      </c>
      <c r="M1593" s="7" t="inlineStr">
        <is>
          <t>PD Machine</t>
        </is>
      </c>
      <c r="N1593" s="7" t="inlineStr">
        <is>
          <t>Condencer Unit No.33 (Ice Maker)</t>
        </is>
      </c>
      <c r="O1593" s="11" t="n">
        <v>6</v>
      </c>
      <c r="P1593" s="10" t="inlineStr">
        <is>
          <t>U-CUP 75 X 90 X 7.5</t>
        </is>
      </c>
      <c r="Q1593" s="277" t="n">
        <v>2</v>
      </c>
      <c r="R1593" s="5" t="inlineStr">
        <is>
          <t>PCS.</t>
        </is>
      </c>
      <c r="S1593" s="284">
        <f>RawDataGenPO[[#This Row],[Total price]]/RawDataGenPO[[#This Row],[Qty'']]</f>
        <v/>
      </c>
      <c r="T1593" s="278" t="n">
        <v>1900</v>
      </c>
      <c r="U1593" s="291" t="n"/>
      <c r="V1593" s="7" t="inlineStr">
        <is>
          <t>V1000654 - A AND B REFRIGERATION CO., LTD.</t>
        </is>
      </c>
      <c r="W1593" s="30" t="inlineStr">
        <is>
          <t>Recive bill and GRN already</t>
        </is>
      </c>
      <c r="X1593" s="5" t="inlineStr">
        <is>
          <t>GRN2526-0004840</t>
        </is>
      </c>
      <c r="Y1593" s="3" t="n">
        <v>45954</v>
      </c>
      <c r="Z1593" s="23" t="n"/>
      <c r="AA1593" s="17">
        <f>IF(RawDataGenPO[[#This Row],[Date Gen PO]]="","",RawDataGenPO[[#This Row],[Date recive bill]]-RawDataGenPO[[#This Row],[Date Gen PO]])</f>
        <v/>
      </c>
      <c r="AB1593" s="16">
        <f>IF(RawDataGenPO[[#This Row],[GRN-PO date]]&gt;RawDataGenPO[[#This Row],[Lead time delivery (day)]],"over deliverry","Ontime")</f>
        <v/>
      </c>
      <c r="AC1593" s="22" t="n"/>
    </row>
    <row r="1594" ht="15" customHeight="1">
      <c r="A1594" s="5">
        <f>ROW()-ROW(RawDataGenPO[[#Headers],[No.]])</f>
        <v/>
      </c>
      <c r="B1594" s="7" t="inlineStr">
        <is>
          <t>Expent  cost</t>
        </is>
      </c>
      <c r="C1594" s="371" t="n">
        <v>45932</v>
      </c>
      <c r="F1594" s="371" t="n">
        <v>45932</v>
      </c>
      <c r="G1594" s="5" t="inlineStr">
        <is>
          <t>PR2526-02618</t>
        </is>
      </c>
      <c r="H1594" s="5" t="inlineStr">
        <is>
          <t>PO2526-03697</t>
        </is>
      </c>
      <c r="I1594" s="286" t="n">
        <v>45938</v>
      </c>
      <c r="J1594" s="26" t="n"/>
      <c r="K1594" s="20" t="n">
        <v>60</v>
      </c>
      <c r="L1594" s="5" t="inlineStr">
        <is>
          <t>SFST81000048</t>
        </is>
      </c>
      <c r="M1594" s="7" t="inlineStr">
        <is>
          <t>PD Machine</t>
        </is>
      </c>
      <c r="N1594" s="7" t="inlineStr">
        <is>
          <t>Condencer Unit No.33 (Ice Maker)</t>
        </is>
      </c>
      <c r="O1594" s="11" t="n">
        <v>7</v>
      </c>
      <c r="P1594" s="10" t="inlineStr">
        <is>
          <t>U-CUP 65 X 85 X 10</t>
        </is>
      </c>
      <c r="Q1594" s="277" t="n">
        <v>1</v>
      </c>
      <c r="R1594" s="5" t="inlineStr">
        <is>
          <t>PCS.</t>
        </is>
      </c>
      <c r="S1594" s="284">
        <f>RawDataGenPO[[#This Row],[Total price]]/RawDataGenPO[[#This Row],[Qty'']]</f>
        <v/>
      </c>
      <c r="T1594" s="278" t="n">
        <v>950</v>
      </c>
      <c r="U1594" s="291" t="n"/>
      <c r="V1594" s="7" t="inlineStr">
        <is>
          <t>V1000654 - A AND B REFRIGERATION CO., LTD.</t>
        </is>
      </c>
      <c r="W1594" s="30" t="inlineStr">
        <is>
          <t>Recive bill and GRN already</t>
        </is>
      </c>
      <c r="X1594" s="5" t="inlineStr">
        <is>
          <t>GRN2526-0004840</t>
        </is>
      </c>
      <c r="Y1594" s="3" t="n">
        <v>45954</v>
      </c>
      <c r="Z1594" s="23" t="n"/>
      <c r="AA1594" s="17">
        <f>IF(RawDataGenPO[[#This Row],[Date Gen PO]]="","",RawDataGenPO[[#This Row],[Date recive bill]]-RawDataGenPO[[#This Row],[Date Gen PO]])</f>
        <v/>
      </c>
      <c r="AB1594" s="16">
        <f>IF(RawDataGenPO[[#This Row],[GRN-PO date]]&gt;RawDataGenPO[[#This Row],[Lead time delivery (day)]],"over deliverry","Ontime")</f>
        <v/>
      </c>
      <c r="AC1594" s="22" t="n"/>
    </row>
    <row r="1595" ht="15" customHeight="1">
      <c r="A1595" s="5">
        <f>ROW()-ROW(RawDataGenPO[[#Headers],[No.]])</f>
        <v/>
      </c>
      <c r="B1595" s="7" t="inlineStr">
        <is>
          <t>Expent  cost</t>
        </is>
      </c>
      <c r="C1595" s="371" t="n">
        <v>45932</v>
      </c>
      <c r="F1595" s="371" t="n">
        <v>45932</v>
      </c>
      <c r="G1595" s="5" t="inlineStr">
        <is>
          <t>PR2526-02618</t>
        </is>
      </c>
      <c r="H1595" s="5" t="inlineStr">
        <is>
          <t>PO2526-03697</t>
        </is>
      </c>
      <c r="I1595" s="286" t="n">
        <v>45938</v>
      </c>
      <c r="J1595" s="26" t="n"/>
      <c r="K1595" s="20" t="n">
        <v>60</v>
      </c>
      <c r="L1595" s="5" t="inlineStr">
        <is>
          <t>SFST81000048</t>
        </is>
      </c>
      <c r="M1595" s="7" t="inlineStr">
        <is>
          <t>PD Machine</t>
        </is>
      </c>
      <c r="N1595" s="7" t="inlineStr">
        <is>
          <t>Condencer Unit No.33 (Ice Maker)</t>
        </is>
      </c>
      <c r="O1595" s="11" t="n">
        <v>8</v>
      </c>
      <c r="P1595" s="10" t="inlineStr">
        <is>
          <t>U-CUP 65 X 75 X 12</t>
        </is>
      </c>
      <c r="Q1595" s="277" t="n">
        <v>1</v>
      </c>
      <c r="R1595" s="5" t="inlineStr">
        <is>
          <t>PCS.</t>
        </is>
      </c>
      <c r="S1595" s="284">
        <f>RawDataGenPO[[#This Row],[Total price]]/RawDataGenPO[[#This Row],[Qty'']]</f>
        <v/>
      </c>
      <c r="T1595" s="278" t="n">
        <v>950</v>
      </c>
      <c r="U1595" s="291" t="n"/>
      <c r="V1595" s="7" t="inlineStr">
        <is>
          <t>V1000654 - A AND B REFRIGERATION CO., LTD.</t>
        </is>
      </c>
      <c r="W1595" s="30" t="inlineStr">
        <is>
          <t>Recive bill and GRN already</t>
        </is>
      </c>
      <c r="X1595" s="5" t="inlineStr">
        <is>
          <t>GRN2526-0004840</t>
        </is>
      </c>
      <c r="Y1595" s="3" t="n">
        <v>45954</v>
      </c>
      <c r="Z1595" s="23" t="n"/>
      <c r="AA1595" s="17">
        <f>IF(RawDataGenPO[[#This Row],[Date Gen PO]]="","",RawDataGenPO[[#This Row],[Date recive bill]]-RawDataGenPO[[#This Row],[Date Gen PO]])</f>
        <v/>
      </c>
      <c r="AB1595" s="16">
        <f>IF(RawDataGenPO[[#This Row],[GRN-PO date]]&gt;RawDataGenPO[[#This Row],[Lead time delivery (day)]],"over deliverry","Ontime")</f>
        <v/>
      </c>
      <c r="AC1595" s="22" t="n"/>
    </row>
    <row r="1596" ht="15" customHeight="1">
      <c r="A1596" s="5">
        <f>ROW()-ROW(RawDataGenPO[[#Headers],[No.]])</f>
        <v/>
      </c>
      <c r="B1596" s="7" t="inlineStr">
        <is>
          <t>Expent  cost</t>
        </is>
      </c>
      <c r="C1596" s="371" t="n">
        <v>45932</v>
      </c>
      <c r="F1596" s="371" t="n">
        <v>45932</v>
      </c>
      <c r="G1596" s="5" t="inlineStr">
        <is>
          <t>PR2526-02618</t>
        </is>
      </c>
      <c r="H1596" s="5" t="inlineStr">
        <is>
          <t>PO2526-03697</t>
        </is>
      </c>
      <c r="I1596" s="286" t="n">
        <v>45938</v>
      </c>
      <c r="J1596" s="26" t="n"/>
      <c r="K1596" s="20" t="n">
        <v>60</v>
      </c>
      <c r="L1596" s="5" t="inlineStr">
        <is>
          <t>SFST81000048</t>
        </is>
      </c>
      <c r="M1596" s="7" t="inlineStr">
        <is>
          <t>PD Machine</t>
        </is>
      </c>
      <c r="N1596" s="7" t="inlineStr">
        <is>
          <t>Condencer Unit No.33 (Ice Maker)</t>
        </is>
      </c>
      <c r="O1596" s="11" t="n">
        <v>9</v>
      </c>
      <c r="P1596" s="10" t="inlineStr">
        <is>
          <t>equipment boltstainless steel</t>
        </is>
      </c>
      <c r="Q1596" s="277" t="n">
        <v>1</v>
      </c>
      <c r="R1596" s="5" t="inlineStr">
        <is>
          <t>PCS.</t>
        </is>
      </c>
      <c r="S1596" s="284">
        <f>RawDataGenPO[[#This Row],[Total price]]/RawDataGenPO[[#This Row],[Qty'']]</f>
        <v/>
      </c>
      <c r="T1596" s="278" t="n">
        <v>1000</v>
      </c>
      <c r="U1596" s="291" t="n"/>
      <c r="V1596" s="7" t="inlineStr">
        <is>
          <t>V1000654 - A AND B REFRIGERATION CO., LTD.</t>
        </is>
      </c>
      <c r="W1596" s="30" t="inlineStr">
        <is>
          <t>Recive bill and GRN already</t>
        </is>
      </c>
      <c r="X1596" s="5" t="inlineStr">
        <is>
          <t>GRN2526-0004840</t>
        </is>
      </c>
      <c r="Y1596" s="3" t="n">
        <v>45954</v>
      </c>
      <c r="Z1596" s="23" t="n"/>
      <c r="AA1596" s="17">
        <f>IF(RawDataGenPO[[#This Row],[Date Gen PO]]="","",RawDataGenPO[[#This Row],[Date recive bill]]-RawDataGenPO[[#This Row],[Date Gen PO]])</f>
        <v/>
      </c>
      <c r="AB1596" s="16">
        <f>IF(RawDataGenPO[[#This Row],[GRN-PO date]]&gt;RawDataGenPO[[#This Row],[Lead time delivery (day)]],"over deliverry","Ontime")</f>
        <v/>
      </c>
      <c r="AC1596" s="22" t="n"/>
    </row>
    <row r="1597" ht="15" customHeight="1">
      <c r="A1597" s="5">
        <f>ROW()-ROW(RawDataGenPO[[#Headers],[No.]])</f>
        <v/>
      </c>
      <c r="B1597" s="7" t="inlineStr">
        <is>
          <t>Expent  cost</t>
        </is>
      </c>
      <c r="C1597" s="371" t="n">
        <v>45932</v>
      </c>
      <c r="F1597" s="371" t="n">
        <v>45932</v>
      </c>
      <c r="G1597" s="5" t="inlineStr">
        <is>
          <t>PR2526-02618</t>
        </is>
      </c>
      <c r="H1597" s="5" t="inlineStr">
        <is>
          <t>PO2526-03697</t>
        </is>
      </c>
      <c r="I1597" s="286" t="n">
        <v>45938</v>
      </c>
      <c r="J1597" s="26" t="n"/>
      <c r="K1597" s="20" t="n">
        <v>60</v>
      </c>
      <c r="L1597" s="5" t="inlineStr">
        <is>
          <t>SFST81000048</t>
        </is>
      </c>
      <c r="M1597" s="7" t="inlineStr">
        <is>
          <t>PD Machine</t>
        </is>
      </c>
      <c r="N1597" s="7" t="inlineStr">
        <is>
          <t>Condencer Unit No.33 (Ice Maker)</t>
        </is>
      </c>
      <c r="O1597" s="11" t="n">
        <v>10</v>
      </c>
      <c r="P1597" s="10" t="inlineStr">
        <is>
          <t>Inspection service chargemachineflake iceincluding repair and round-trip travel cost</t>
        </is>
      </c>
      <c r="Q1597" s="277" t="n">
        <v>1</v>
      </c>
      <c r="R1597" s="5" t="inlineStr">
        <is>
          <t>PCS.</t>
        </is>
      </c>
      <c r="S1597" s="284">
        <f>RawDataGenPO[[#This Row],[Total price]]/RawDataGenPO[[#This Row],[Qty'']]</f>
        <v/>
      </c>
      <c r="T1597" s="278" t="n">
        <v>10000</v>
      </c>
      <c r="U1597" s="291" t="n"/>
      <c r="V1597" s="7" t="inlineStr">
        <is>
          <t>V1000654 - A AND B REFRIGERATION CO., LTD.</t>
        </is>
      </c>
      <c r="W1597" s="30" t="inlineStr">
        <is>
          <t>Recive bill and GRN already</t>
        </is>
      </c>
      <c r="X1597" s="5" t="inlineStr">
        <is>
          <t>GRN2526-0004840</t>
        </is>
      </c>
      <c r="Y1597" s="3" t="n">
        <v>45954</v>
      </c>
      <c r="Z1597" s="23" t="n"/>
      <c r="AA1597" s="17">
        <f>IF(RawDataGenPO[[#This Row],[Date Gen PO]]="","",RawDataGenPO[[#This Row],[Date recive bill]]-RawDataGenPO[[#This Row],[Date Gen PO]])</f>
        <v/>
      </c>
      <c r="AB1597" s="16">
        <f>IF(RawDataGenPO[[#This Row],[GRN-PO date]]&gt;RawDataGenPO[[#This Row],[Lead time delivery (day)]],"over deliverry","Ontime")</f>
        <v/>
      </c>
      <c r="AC1597" s="22" t="n"/>
    </row>
    <row r="1598" ht="15" customHeight="1">
      <c r="A1598" s="5">
        <f>ROW()-ROW(RawDataGenPO[[#Headers],[No.]])</f>
        <v/>
      </c>
      <c r="B1598" s="7" t="inlineStr">
        <is>
          <t>Expent  cost</t>
        </is>
      </c>
      <c r="C1598" s="371" t="n">
        <v>45934</v>
      </c>
      <c r="F1598" s="371" t="n">
        <v>45934</v>
      </c>
      <c r="G1598" s="5" t="inlineStr">
        <is>
          <t>PR2526-02647</t>
        </is>
      </c>
      <c r="H1598" s="5" t="inlineStr">
        <is>
          <t>PO2526-03892</t>
        </is>
      </c>
      <c r="I1598" s="286" t="n">
        <v>45948</v>
      </c>
      <c r="J1598" s="26" t="n"/>
      <c r="K1598" s="20" t="n">
        <v>30</v>
      </c>
      <c r="L1598" s="5" t="inlineStr">
        <is>
          <t>SFST81000048</t>
        </is>
      </c>
      <c r="M1598" s="7" t="inlineStr">
        <is>
          <t>Refrigerant-oil for cooling M/C</t>
        </is>
      </c>
      <c r="N1598" s="7" t="inlineStr">
        <is>
          <t>Cooling  part</t>
        </is>
      </c>
      <c r="O1598" s="11" t="n">
        <v>1</v>
      </c>
      <c r="P1598" s="10" t="inlineStr">
        <is>
          <t>Shell Filter Drier 2-1/8 IN 1 Core</t>
        </is>
      </c>
      <c r="Q1598" s="277" t="n">
        <v>1</v>
      </c>
      <c r="R1598" s="5" t="inlineStr">
        <is>
          <t>PCS.</t>
        </is>
      </c>
      <c r="S1598" s="284">
        <f>RawDataGenPO[[#This Row],[Total price]]/RawDataGenPO[[#This Row],[Qty'']]</f>
        <v/>
      </c>
      <c r="T1598" s="278" t="n">
        <v>4000</v>
      </c>
      <c r="U1598" s="291" t="n"/>
      <c r="V1598" s="7" t="inlineStr">
        <is>
          <t>V1000109 - Coolconnection Co., Ltd</t>
        </is>
      </c>
      <c r="W1598" s="30" t="inlineStr">
        <is>
          <t>Recive bill and GRN already</t>
        </is>
      </c>
      <c r="X1598" s="5" t="inlineStr">
        <is>
          <t>GRN2526-0004698</t>
        </is>
      </c>
      <c r="Y1598" s="3" t="n">
        <v>45950</v>
      </c>
      <c r="Z1598" s="23" t="n"/>
      <c r="AA1598" s="17">
        <f>IF(RawDataGenPO[[#This Row],[Date Gen PO]]="","",RawDataGenPO[[#This Row],[Date recive bill]]-RawDataGenPO[[#This Row],[Date Gen PO]])</f>
        <v/>
      </c>
      <c r="AB1598" s="16">
        <f>IF(RawDataGenPO[[#This Row],[GRN-PO date]]&gt;RawDataGenPO[[#This Row],[Lead time delivery (day)]],"over deliverry","Ontime")</f>
        <v/>
      </c>
      <c r="AC1598" s="22" t="n"/>
    </row>
    <row r="1599" ht="15" customHeight="1">
      <c r="A1599" s="5">
        <f>ROW()-ROW(RawDataGenPO[[#Headers],[No.]])</f>
        <v/>
      </c>
      <c r="B1599" s="7" t="inlineStr">
        <is>
          <t>Expent  cost</t>
        </is>
      </c>
      <c r="C1599" s="371" t="n">
        <v>45934</v>
      </c>
      <c r="F1599" s="371" t="n">
        <v>45934</v>
      </c>
      <c r="G1599" s="5" t="inlineStr">
        <is>
          <t>PR2526-02647</t>
        </is>
      </c>
      <c r="H1599" s="5" t="inlineStr">
        <is>
          <t>PO2526-03892</t>
        </is>
      </c>
      <c r="I1599" s="286" t="n">
        <v>45948</v>
      </c>
      <c r="J1599" s="26" t="n"/>
      <c r="K1599" s="20" t="n">
        <v>30</v>
      </c>
      <c r="L1599" s="5" t="inlineStr">
        <is>
          <t>SFST81000048</t>
        </is>
      </c>
      <c r="M1599" s="7" t="inlineStr">
        <is>
          <t>Refrigerant-oil for cooling M/C</t>
        </is>
      </c>
      <c r="N1599" s="7" t="inlineStr">
        <is>
          <t>Cooling  part</t>
        </is>
      </c>
      <c r="O1599" s="11" t="n">
        <v>2</v>
      </c>
      <c r="P1599" s="10" t="inlineStr">
        <is>
          <t>Suction Filter Drier Core</t>
        </is>
      </c>
      <c r="Q1599" s="277" t="n">
        <v>1</v>
      </c>
      <c r="R1599" s="5" t="inlineStr">
        <is>
          <t>PCS.</t>
        </is>
      </c>
      <c r="S1599" s="284">
        <f>RawDataGenPO[[#This Row],[Total price]]/RawDataGenPO[[#This Row],[Qty'']]</f>
        <v/>
      </c>
      <c r="T1599" s="278" t="n">
        <v>650</v>
      </c>
      <c r="U1599" s="291" t="n"/>
      <c r="V1599" s="7" t="inlineStr">
        <is>
          <t>V1000109 - Coolconnection Co., Ltd</t>
        </is>
      </c>
      <c r="W1599" s="30" t="inlineStr">
        <is>
          <t>Recive bill and GRN already</t>
        </is>
      </c>
      <c r="X1599" s="5" t="inlineStr">
        <is>
          <t>GRN2526-0004698</t>
        </is>
      </c>
      <c r="Y1599" s="3" t="n">
        <v>45950</v>
      </c>
      <c r="Z1599" s="23" t="n"/>
      <c r="AA1599" s="17">
        <f>IF(RawDataGenPO[[#This Row],[Date Gen PO]]="","",RawDataGenPO[[#This Row],[Date recive bill]]-RawDataGenPO[[#This Row],[Date Gen PO]])</f>
        <v/>
      </c>
      <c r="AB1599" s="16">
        <f>IF(RawDataGenPO[[#This Row],[GRN-PO date]]&gt;RawDataGenPO[[#This Row],[Lead time delivery (day)]],"over deliverry","Ontime")</f>
        <v/>
      </c>
      <c r="AC1599" s="22" t="n"/>
    </row>
    <row r="1600" ht="105" customHeight="1">
      <c r="A1600" s="5">
        <f>ROW()-ROW(RawDataGenPO[[#Headers],[No.]])</f>
        <v/>
      </c>
      <c r="B1600" s="7" t="inlineStr">
        <is>
          <t>Expent  cost</t>
        </is>
      </c>
      <c r="C1600" s="371" t="n">
        <v>45938</v>
      </c>
      <c r="F1600" s="371" t="n">
        <v>45938</v>
      </c>
      <c r="G1600" s="5" t="inlineStr">
        <is>
          <t>PR2526-02676</t>
        </is>
      </c>
      <c r="H1600" s="5" t="inlineStr">
        <is>
          <t>PO2526-03894</t>
        </is>
      </c>
      <c r="I1600" s="286" t="n">
        <v>45950</v>
      </c>
      <c r="J1600" s="26" t="n"/>
      <c r="K1600" s="20" t="n">
        <v>60</v>
      </c>
      <c r="L1600" s="5" t="inlineStr">
        <is>
          <t>SFST81000048</t>
        </is>
      </c>
      <c r="M1600" s="7" t="inlineStr">
        <is>
          <t>PD Machine</t>
        </is>
      </c>
      <c r="N1600" s="7" t="inlineStr">
        <is>
          <t>Inkjet Stamp  No.1</t>
        </is>
      </c>
      <c r="O1600" s="11" t="n">
        <v>1</v>
      </c>
      <c r="P1600" s="10" t="inlineStr">
        <is>
          <t>FILTER SET UX
- Filter Capsule Parts 1 PCS.
- PTFE Filter 1 PCS.
- Nozzle Flat Filter 1 PCS.
- Air Filter AF3 Parts 1 PCS.
- Mini Filter Parts 1 PCS.
- R-Air Filter Parts 1 PCS.</t>
        </is>
      </c>
      <c r="Q1600" s="277" t="n">
        <v>2</v>
      </c>
      <c r="R1600" s="5" t="inlineStr">
        <is>
          <t>EA.</t>
        </is>
      </c>
      <c r="S1600" s="284">
        <f>RawDataGenPO[[#This Row],[Total price]]/RawDataGenPO[[#This Row],[Qty'']]</f>
        <v/>
      </c>
      <c r="T1600" s="278" t="n">
        <v>19000</v>
      </c>
      <c r="U1600" s="291" t="n"/>
      <c r="V1600" s="7" t="inlineStr">
        <is>
          <t>V1000051 - THAI POLYMER SUPPLY CO., LTD</t>
        </is>
      </c>
      <c r="W1600" s="30" t="inlineStr">
        <is>
          <t>Recive bill and GRN already</t>
        </is>
      </c>
      <c r="X1600" s="5" t="inlineStr">
        <is>
          <t>GRN2526-0004850</t>
        </is>
      </c>
      <c r="Y1600" s="3" t="n">
        <v>45957</v>
      </c>
      <c r="Z1600" s="23" t="n"/>
      <c r="AA1600" s="17">
        <f>IF(RawDataGenPO[[#This Row],[Date Gen PO]]="","",RawDataGenPO[[#This Row],[Date recive bill]]-RawDataGenPO[[#This Row],[Date Gen PO]])</f>
        <v/>
      </c>
      <c r="AB1600" s="16">
        <f>IF(RawDataGenPO[[#This Row],[GRN-PO date]]&gt;RawDataGenPO[[#This Row],[Lead time delivery (day)]],"over deliverry","Ontime")</f>
        <v/>
      </c>
      <c r="AC1600" s="22" t="n"/>
    </row>
    <row r="1601" ht="15" customHeight="1">
      <c r="A1601" s="5">
        <f>ROW()-ROW(RawDataGenPO[[#Headers],[No.]])</f>
        <v/>
      </c>
      <c r="B1601" s="7" t="inlineStr">
        <is>
          <t>Expent  cost</t>
        </is>
      </c>
      <c r="C1601" s="371" t="n">
        <v>45938</v>
      </c>
      <c r="F1601" s="371" t="n">
        <v>45938</v>
      </c>
      <c r="G1601" s="5" t="inlineStr">
        <is>
          <t>PR2526-02676</t>
        </is>
      </c>
      <c r="H1601" s="5" t="inlineStr">
        <is>
          <t>PO2526-03894</t>
        </is>
      </c>
      <c r="I1601" s="286" t="n">
        <v>45950</v>
      </c>
      <c r="J1601" s="26" t="n"/>
      <c r="K1601" s="20" t="n">
        <v>60</v>
      </c>
      <c r="L1601" s="5" t="inlineStr">
        <is>
          <t>SFST81000048</t>
        </is>
      </c>
      <c r="M1601" s="7" t="inlineStr">
        <is>
          <t>PD Machine</t>
        </is>
      </c>
      <c r="N1601" s="7" t="inlineStr">
        <is>
          <t>Inkjet Stamp  No.1</t>
        </is>
      </c>
      <c r="O1601" s="11" t="n">
        <v>2</v>
      </c>
      <c r="P1601" s="10" t="inlineStr">
        <is>
          <t>Ink 1087K (0.5L)</t>
        </is>
      </c>
      <c r="Q1601" s="277" t="n">
        <v>2</v>
      </c>
      <c r="R1601" s="5" t="inlineStr">
        <is>
          <t>EA.</t>
        </is>
      </c>
      <c r="S1601" s="284">
        <f>RawDataGenPO[[#This Row],[Total price]]/RawDataGenPO[[#This Row],[Qty'']]</f>
        <v/>
      </c>
      <c r="T1601" s="278" t="n">
        <v>950</v>
      </c>
      <c r="U1601" s="291" t="n"/>
      <c r="V1601" s="7" t="inlineStr">
        <is>
          <t>V1000051 - THAI POLYMER SUPPLY CO., LTD</t>
        </is>
      </c>
      <c r="W1601" s="30" t="inlineStr">
        <is>
          <t>Recive bill and GRN already</t>
        </is>
      </c>
      <c r="X1601" s="5" t="inlineStr">
        <is>
          <t>GRN2526-0004850</t>
        </is>
      </c>
      <c r="Y1601" s="3" t="n">
        <v>45957</v>
      </c>
      <c r="Z1601" s="23" t="n"/>
      <c r="AA1601" s="17">
        <f>IF(RawDataGenPO[[#This Row],[Date Gen PO]]="","",RawDataGenPO[[#This Row],[Date recive bill]]-RawDataGenPO[[#This Row],[Date Gen PO]])</f>
        <v/>
      </c>
      <c r="AB1601" s="16">
        <f>IF(RawDataGenPO[[#This Row],[GRN-PO date]]&gt;RawDataGenPO[[#This Row],[Lead time delivery (day)]],"over deliverry","Ontime")</f>
        <v/>
      </c>
      <c r="AC1601" s="22" t="n"/>
    </row>
    <row r="1602" ht="15" customHeight="1">
      <c r="A1602" s="5">
        <f>ROW()-ROW(RawDataGenPO[[#Headers],[No.]])</f>
        <v/>
      </c>
      <c r="B1602" s="7" t="inlineStr">
        <is>
          <t>Expent  cost</t>
        </is>
      </c>
      <c r="C1602" s="371" t="n">
        <v>45938</v>
      </c>
      <c r="F1602" s="371" t="n">
        <v>45938</v>
      </c>
      <c r="G1602" s="5" t="inlineStr">
        <is>
          <t>PR2526-02676</t>
        </is>
      </c>
      <c r="H1602" s="5" t="inlineStr">
        <is>
          <t>PO2526-03894</t>
        </is>
      </c>
      <c r="I1602" s="286" t="n">
        <v>45950</v>
      </c>
      <c r="J1602" s="26" t="n"/>
      <c r="K1602" s="20" t="n">
        <v>60</v>
      </c>
      <c r="L1602" s="5" t="inlineStr">
        <is>
          <t>SFST81000048</t>
        </is>
      </c>
      <c r="M1602" s="7" t="inlineStr">
        <is>
          <t>PD Machine</t>
        </is>
      </c>
      <c r="N1602" s="7" t="inlineStr">
        <is>
          <t>Inkjet Stamp  No.1</t>
        </is>
      </c>
      <c r="O1602" s="11" t="n">
        <v>3</v>
      </c>
      <c r="P1602" s="10" t="inlineStr">
        <is>
          <t>Makeup Ink S1018 (0.8L)</t>
        </is>
      </c>
      <c r="Q1602" s="277" t="n">
        <v>2</v>
      </c>
      <c r="R1602" s="5" t="inlineStr">
        <is>
          <t>EA.</t>
        </is>
      </c>
      <c r="S1602" s="284">
        <f>RawDataGenPO[[#This Row],[Total price]]/RawDataGenPO[[#This Row],[Qty'']]</f>
        <v/>
      </c>
      <c r="T1602" s="278" t="n">
        <v>4000</v>
      </c>
      <c r="U1602" s="291" t="n"/>
      <c r="V1602" s="7" t="inlineStr">
        <is>
          <t>V1000051 - THAI POLYMER SUPPLY CO., LTD</t>
        </is>
      </c>
      <c r="W1602" s="30" t="inlineStr">
        <is>
          <t>Recive bill and GRN already</t>
        </is>
      </c>
      <c r="X1602" s="5" t="inlineStr">
        <is>
          <t>GRN2526-0004850</t>
        </is>
      </c>
      <c r="Y1602" s="3" t="n">
        <v>45957</v>
      </c>
      <c r="Z1602" s="23" t="n"/>
      <c r="AA1602" s="17">
        <f>IF(RawDataGenPO[[#This Row],[Date Gen PO]]="","",RawDataGenPO[[#This Row],[Date recive bill]]-RawDataGenPO[[#This Row],[Date Gen PO]])</f>
        <v/>
      </c>
      <c r="AB1602" s="16">
        <f>IF(RawDataGenPO[[#This Row],[GRN-PO date]]&gt;RawDataGenPO[[#This Row],[Lead time delivery (day)]],"over deliverry","Ontime")</f>
        <v/>
      </c>
      <c r="AC1602" s="22" t="n"/>
    </row>
    <row r="1603" ht="15" customHeight="1">
      <c r="A1603" s="5">
        <f>ROW()-ROW(RawDataGenPO[[#Headers],[No.]])</f>
        <v/>
      </c>
      <c r="B1603" s="7" t="inlineStr">
        <is>
          <t>Expent  cost</t>
        </is>
      </c>
      <c r="C1603" s="371" t="n">
        <v>45938</v>
      </c>
      <c r="F1603" s="371" t="n">
        <v>45938</v>
      </c>
      <c r="G1603" s="5" t="inlineStr">
        <is>
          <t>PR2526-02676</t>
        </is>
      </c>
      <c r="H1603" s="5" t="inlineStr">
        <is>
          <t>PO2526-03894</t>
        </is>
      </c>
      <c r="I1603" s="286" t="n">
        <v>45950</v>
      </c>
      <c r="J1603" s="26" t="n"/>
      <c r="K1603" s="20" t="n">
        <v>60</v>
      </c>
      <c r="L1603" s="5" t="inlineStr">
        <is>
          <t>SFST81000048</t>
        </is>
      </c>
      <c r="M1603" s="7" t="inlineStr">
        <is>
          <t>PD Machine</t>
        </is>
      </c>
      <c r="N1603" s="7" t="inlineStr">
        <is>
          <t>Inkjet Stamp  No.1</t>
        </is>
      </c>
      <c r="O1603" s="11" t="n">
        <v>4</v>
      </c>
      <c r="P1603" s="10" t="inlineStr">
        <is>
          <t>Service Charge</t>
        </is>
      </c>
      <c r="Q1603" s="277" t="n">
        <v>1</v>
      </c>
      <c r="R1603" s="5" t="inlineStr">
        <is>
          <t>job.</t>
        </is>
      </c>
      <c r="S1603" s="284">
        <f>RawDataGenPO[[#This Row],[Total price]]/RawDataGenPO[[#This Row],[Qty'']]</f>
        <v/>
      </c>
      <c r="T1603" s="278" t="n">
        <v>2400</v>
      </c>
      <c r="U1603" s="291" t="n"/>
      <c r="V1603" s="7" t="inlineStr">
        <is>
          <t>V1000051 - THAI POLYMER SUPPLY CO., LTD</t>
        </is>
      </c>
      <c r="W1603" s="30" t="inlineStr">
        <is>
          <t>Recive bill and GRN already</t>
        </is>
      </c>
      <c r="X1603" s="5" t="inlineStr">
        <is>
          <t>GRN2526-0004851</t>
        </is>
      </c>
      <c r="Y1603" s="3" t="n">
        <v>45957</v>
      </c>
      <c r="Z1603" s="23" t="n"/>
      <c r="AA1603" s="17">
        <f>IF(RawDataGenPO[[#This Row],[Date Gen PO]]="","",RawDataGenPO[[#This Row],[Date recive bill]]-RawDataGenPO[[#This Row],[Date Gen PO]])</f>
        <v/>
      </c>
      <c r="AB1603" s="16">
        <f>IF(RawDataGenPO[[#This Row],[GRN-PO date]]&gt;RawDataGenPO[[#This Row],[Lead time delivery (day)]],"over deliverry","Ontime")</f>
        <v/>
      </c>
      <c r="AC1603" s="22" t="n"/>
    </row>
    <row r="1604" ht="45" customHeight="1">
      <c r="A1604" s="5">
        <f>ROW()-ROW(RawDataGenPO[[#Headers],[No.]])</f>
        <v/>
      </c>
      <c r="B1604" s="7" t="inlineStr">
        <is>
          <t>Expent  cost</t>
        </is>
      </c>
      <c r="C1604" s="371" t="n">
        <v>45938</v>
      </c>
      <c r="F1604" s="371" t="n">
        <v>45938</v>
      </c>
      <c r="G1604" s="371" t="inlineStr">
        <is>
          <t>PR2526-02679</t>
        </is>
      </c>
      <c r="H1604" s="5" t="inlineStr">
        <is>
          <t>PO2526-03897</t>
        </is>
      </c>
      <c r="I1604" s="286" t="n">
        <v>45950</v>
      </c>
      <c r="J1604" s="26" t="n"/>
      <c r="K1604" s="20" t="n">
        <v>60</v>
      </c>
      <c r="L1604" s="5" t="inlineStr">
        <is>
          <t>SFST81000050</t>
        </is>
      </c>
      <c r="M1604" s="7" t="inlineStr">
        <is>
          <t>Safety equipment</t>
        </is>
      </c>
      <c r="N1604" s="7" t="inlineStr">
        <is>
          <t>Safety equipment</t>
        </is>
      </c>
      <c r="O1604" s="11" t="n">
        <v>1</v>
      </c>
      <c r="P1604" s="10" t="inlineStr">
        <is>
          <t>safety shoes Pangolin model ELITE floor PU
- mpcs
- Size: 7UK = 1 pair, 8UK = 1 pair, 9UK = 2 pair, 11UK = 1pair</t>
        </is>
      </c>
      <c r="Q1604" s="277" t="n">
        <v>5</v>
      </c>
      <c r="R1604" s="5" t="inlineStr">
        <is>
          <t>pcs.</t>
        </is>
      </c>
      <c r="S1604" s="284">
        <f>RawDataGenPO[[#This Row],[Total price]]/RawDataGenPO[[#This Row],[Qty'']]</f>
        <v/>
      </c>
      <c r="T1604" s="278" t="n">
        <v>5803.75</v>
      </c>
      <c r="U1604" s="291" t="n"/>
      <c r="V1604" s="7" t="inlineStr">
        <is>
          <t>V1000852 - CPL Group Public Company Limited</t>
        </is>
      </c>
      <c r="W1604" s="30" t="inlineStr">
        <is>
          <t>Recive bill and GRN already</t>
        </is>
      </c>
      <c r="X1604" s="5" t="inlineStr">
        <is>
          <t>GRN2526-0005352</t>
        </is>
      </c>
      <c r="Y1604" s="3" t="n">
        <v>45976</v>
      </c>
      <c r="Z1604" s="23" t="n"/>
      <c r="AA1604" s="17">
        <f>IF(RawDataGenPO[[#This Row],[Date Gen PO]]="","",RawDataGenPO[[#This Row],[Date recive bill]]-RawDataGenPO[[#This Row],[Date Gen PO]])</f>
        <v/>
      </c>
      <c r="AB1604" s="16">
        <f>IF(RawDataGenPO[[#This Row],[GRN-PO date]]&gt;RawDataGenPO[[#This Row],[Lead time delivery (day)]],"over deliverry","Ontime")</f>
        <v/>
      </c>
      <c r="AC1604" s="22" t="n"/>
    </row>
    <row r="1605" ht="30" customHeight="1">
      <c r="A1605" s="5">
        <f>ROW()-ROW(RawDataGenPO[[#Headers],[No.]])</f>
        <v/>
      </c>
      <c r="B1605" s="7" t="inlineStr">
        <is>
          <t>Expent  cost</t>
        </is>
      </c>
      <c r="C1605" s="371" t="n">
        <v>45938</v>
      </c>
      <c r="F1605" s="371" t="n">
        <v>45938</v>
      </c>
      <c r="G1605" s="5" t="inlineStr">
        <is>
          <t>PR2526-02709</t>
        </is>
      </c>
      <c r="H1605" s="5" t="inlineStr">
        <is>
          <t>PO2526-03898</t>
        </is>
      </c>
      <c r="I1605" s="286" t="n">
        <v>45950</v>
      </c>
      <c r="J1605" s="26" t="n"/>
      <c r="K1605" s="20" t="n">
        <v>100</v>
      </c>
      <c r="L1605" s="5" t="inlineStr">
        <is>
          <t>SFST81000064</t>
        </is>
      </c>
      <c r="M1605" s="7" t="inlineStr">
        <is>
          <t>Annual cost</t>
        </is>
      </c>
      <c r="N1605" s="7" t="inlineStr">
        <is>
          <t>Safety  annual jobs</t>
        </is>
      </c>
      <c r="O1605" s="11" t="n">
        <v>1</v>
      </c>
      <c r="P1605" s="10" t="inlineStr">
        <is>
          <t>GM1030 DIGITAL LUX METER RANGE:0-200000LUX
- Brand: Benetech</t>
        </is>
      </c>
      <c r="Q1605" s="277" t="n">
        <v>1</v>
      </c>
      <c r="R1605" s="5" t="inlineStr">
        <is>
          <t>EA.</t>
        </is>
      </c>
      <c r="S1605" s="284">
        <f>RawDataGenPO[[#This Row],[Total price]]/RawDataGenPO[[#This Row],[Qty'']]</f>
        <v/>
      </c>
      <c r="T1605" s="278" t="n">
        <v>2950</v>
      </c>
      <c r="U1605" s="291" t="n"/>
      <c r="V1605" s="7" t="inlineStr">
        <is>
          <t>V1000219 - Protronics Co., Ltd.</t>
        </is>
      </c>
      <c r="W1605" s="30" t="inlineStr">
        <is>
          <t>Recive bill and GRN already</t>
        </is>
      </c>
      <c r="X1605" s="5" t="inlineStr">
        <is>
          <t>GRN2526-0006082</t>
        </is>
      </c>
      <c r="Y1605" s="3" t="n">
        <v>46007</v>
      </c>
      <c r="Z1605" s="23" t="n"/>
      <c r="AA1605" s="17">
        <f>IF(RawDataGenPO[[#This Row],[Date Gen PO]]="","",RawDataGenPO[[#This Row],[Date recive bill]]-RawDataGenPO[[#This Row],[Date Gen PO]])</f>
        <v/>
      </c>
      <c r="AB1605" s="16">
        <f>IF(RawDataGenPO[[#This Row],[GRN-PO date]]&gt;RawDataGenPO[[#This Row],[Lead time delivery (day)]],"over deliverry","Ontime")</f>
        <v/>
      </c>
      <c r="AC1605" s="22" t="n"/>
    </row>
    <row r="1606" ht="75" customHeight="1">
      <c r="A1606" s="5">
        <f>ROW()-ROW(RawDataGenPO[[#Headers],[No.]])</f>
        <v/>
      </c>
      <c r="B1606" s="7" t="inlineStr">
        <is>
          <t>Expent  cost</t>
        </is>
      </c>
      <c r="C1606" s="371" t="n">
        <v>45938</v>
      </c>
      <c r="F1606" s="371" t="n">
        <v>45938</v>
      </c>
      <c r="G1606" s="5" t="inlineStr">
        <is>
          <t>PR2526-02709</t>
        </is>
      </c>
      <c r="H1606" s="5" t="inlineStr">
        <is>
          <t>PO2526-03898</t>
        </is>
      </c>
      <c r="I1606" s="286" t="n">
        <v>45950</v>
      </c>
      <c r="J1606" s="26" t="n"/>
      <c r="K1606" s="20" t="n">
        <v>100</v>
      </c>
      <c r="L1606" s="5" t="inlineStr">
        <is>
          <t>SFST81000064</t>
        </is>
      </c>
      <c r="M1606" s="7" t="inlineStr">
        <is>
          <t>Annual cost</t>
        </is>
      </c>
      <c r="N1606" s="7" t="inlineStr">
        <is>
          <t>Safety  annual jobs</t>
        </is>
      </c>
      <c r="O1606" s="11" t="n">
        <v>2</v>
      </c>
      <c r="P1606" s="10" t="inlineStr">
        <is>
          <t>CER Service charge
- Accredited ISO/IEC 17025
- mstandard Lab
- Winternal 14-20 day
- Error mwillnotWm Uncertainty Lab</t>
        </is>
      </c>
      <c r="Q1606" s="277" t="n">
        <v>1</v>
      </c>
      <c r="R1606" s="5" t="inlineStr">
        <is>
          <t>EA.</t>
        </is>
      </c>
      <c r="S1606" s="284">
        <f>RawDataGenPO[[#This Row],[Total price]]/RawDataGenPO[[#This Row],[Qty'']]</f>
        <v/>
      </c>
      <c r="T1606" s="278" t="n">
        <v>4900</v>
      </c>
      <c r="U1606" s="291" t="n"/>
      <c r="V1606" s="7" t="inlineStr">
        <is>
          <t>V1000219 - Protronics Co., Ltd.</t>
        </is>
      </c>
      <c r="W1606" s="30" t="inlineStr">
        <is>
          <t>Recive bill and GRN already</t>
        </is>
      </c>
      <c r="X1606" s="5" t="inlineStr">
        <is>
          <t>GRN2526-0006108</t>
        </is>
      </c>
      <c r="Y1606" s="3" t="n">
        <v>46007</v>
      </c>
      <c r="Z1606" s="23" t="n"/>
      <c r="AA1606" s="17">
        <f>IF(RawDataGenPO[[#This Row],[Date Gen PO]]="","",RawDataGenPO[[#This Row],[Date recive bill]]-RawDataGenPO[[#This Row],[Date Gen PO]])</f>
        <v/>
      </c>
      <c r="AB1606" s="16">
        <f>IF(RawDataGenPO[[#This Row],[GRN-PO date]]&gt;RawDataGenPO[[#This Row],[Lead time delivery (day)]],"over deliverry","Ontime")</f>
        <v/>
      </c>
      <c r="AC1606" s="22" t="n"/>
    </row>
    <row r="1607" ht="75" customHeight="1">
      <c r="A1607" s="5">
        <f>ROW()-ROW(RawDataGenPO[[#Headers],[No.]])</f>
        <v/>
      </c>
      <c r="B1607" s="7" t="inlineStr">
        <is>
          <t>Expent  cost</t>
        </is>
      </c>
      <c r="C1607" s="371" t="n">
        <v>45938</v>
      </c>
      <c r="F1607" s="371" t="n">
        <v>45938</v>
      </c>
      <c r="G1607" s="5" t="inlineStr">
        <is>
          <t>PR2526-02710</t>
        </is>
      </c>
      <c r="H1607" s="5" t="inlineStr">
        <is>
          <t>PO2526-03899</t>
        </is>
      </c>
      <c r="I1607" s="286" t="n">
        <v>45950</v>
      </c>
      <c r="J1607" s="26" t="n"/>
      <c r="K1607" s="20" t="n">
        <v>60</v>
      </c>
      <c r="L1607" s="5" t="inlineStr">
        <is>
          <t>SFST81000064</t>
        </is>
      </c>
      <c r="M1607" s="7" t="inlineStr">
        <is>
          <t>Annual cost</t>
        </is>
      </c>
      <c r="N1607" s="7" t="inlineStr">
        <is>
          <t>Safety  annual jobs</t>
        </is>
      </c>
      <c r="O1607" s="11" t="n">
        <v>1</v>
      </c>
      <c r="P1607" s="10" t="inlineStr">
        <is>
          <t>Service chargeandsystemfire-fighting (Fire Pump)
- 2568
- with Performance Test
- machinesize 94 HP W 2,200 RPM
- machine brand Cummins</t>
        </is>
      </c>
      <c r="Q1607" s="277" t="n">
        <v>1</v>
      </c>
      <c r="R1607" s="5" t="inlineStr">
        <is>
          <t>job.</t>
        </is>
      </c>
      <c r="S1607" s="284">
        <f>RawDataGenPO[[#This Row],[Total price]]/RawDataGenPO[[#This Row],[Qty'']]</f>
        <v/>
      </c>
      <c r="T1607" s="278" t="n">
        <v>18000</v>
      </c>
      <c r="U1607" s="291" t="n"/>
      <c r="V1607" s="7" t="inlineStr">
        <is>
          <t>V1000653 - Inspector Consultant Plus Co., Ltd.</t>
        </is>
      </c>
      <c r="W1607" s="30" t="inlineStr">
        <is>
          <t>Recive bill and GRN already</t>
        </is>
      </c>
      <c r="X1607" s="5" t="inlineStr">
        <is>
          <t>GRN2526-0006258</t>
        </is>
      </c>
      <c r="Y1607" s="3" t="n">
        <v>46009</v>
      </c>
      <c r="Z1607" s="23" t="n"/>
      <c r="AA1607" s="17">
        <f>IF(RawDataGenPO[[#This Row],[Date Gen PO]]="","",RawDataGenPO[[#This Row],[Date recive bill]]-RawDataGenPO[[#This Row],[Date Gen PO]])</f>
        <v/>
      </c>
      <c r="AB1607" s="16">
        <f>IF(RawDataGenPO[[#This Row],[GRN-PO date]]&gt;RawDataGenPO[[#This Row],[Lead time delivery (day)]],"over deliverry","Ontime")</f>
        <v/>
      </c>
      <c r="AC1607" s="22" t="n"/>
    </row>
    <row r="1608" ht="15" customHeight="1">
      <c r="A1608" s="5">
        <f>ROW()-ROW(RawDataGenPO[[#Headers],[No.]])</f>
        <v/>
      </c>
      <c r="B1608" s="7" t="inlineStr">
        <is>
          <t>Expent  cost</t>
        </is>
      </c>
      <c r="C1608" s="371" t="n">
        <v>45938</v>
      </c>
      <c r="F1608" s="371" t="n">
        <v>45938</v>
      </c>
      <c r="G1608" s="5" t="inlineStr">
        <is>
          <t>PR2526-02711</t>
        </is>
      </c>
      <c r="H1608" s="5" t="inlineStr">
        <is>
          <t>PO2526-03900</t>
        </is>
      </c>
      <c r="I1608" s="286" t="n">
        <v>45950</v>
      </c>
      <c r="J1608" s="26" t="n"/>
      <c r="K1608" s="20" t="n">
        <v>60</v>
      </c>
      <c r="L1608" s="5" t="inlineStr">
        <is>
          <t>SFST81000009</t>
        </is>
      </c>
      <c r="M1608" s="7" t="inlineStr">
        <is>
          <t>Safety equipment</t>
        </is>
      </c>
      <c r="N1608" s="7" t="inlineStr">
        <is>
          <t>Safety equipment</t>
        </is>
      </c>
      <c r="O1608" s="11" t="n">
        <v>1</v>
      </c>
      <c r="P1608" s="10" t="inlineStr">
        <is>
          <t>Heat Detector "Systemsensor" model 5151</t>
        </is>
      </c>
      <c r="Q1608" s="277" t="n">
        <v>10</v>
      </c>
      <c r="R1608" s="5" t="inlineStr">
        <is>
          <t>PCS.</t>
        </is>
      </c>
      <c r="S1608" s="284">
        <f>RawDataGenPO[[#This Row],[Total price]]/RawDataGenPO[[#This Row],[Qty'']]</f>
        <v/>
      </c>
      <c r="T1608" s="278" t="n">
        <v>9000</v>
      </c>
      <c r="U1608" s="291" t="n"/>
      <c r="V1608" s="7" t="inlineStr">
        <is>
          <t>V1000741 - Louis T. Leonowens (Thailand) .,Ltd.</t>
        </is>
      </c>
      <c r="W1608" s="30" t="inlineStr">
        <is>
          <t>Recive bill and GRN already</t>
        </is>
      </c>
      <c r="X1608" s="5" t="inlineStr">
        <is>
          <t>GRN2526-0005122</t>
        </is>
      </c>
      <c r="Y1608" s="3" t="n">
        <v>45967</v>
      </c>
      <c r="Z1608" s="23" t="n"/>
      <c r="AA1608" s="17">
        <f>IF(RawDataGenPO[[#This Row],[Date Gen PO]]="","",RawDataGenPO[[#This Row],[Date recive bill]]-RawDataGenPO[[#This Row],[Date Gen PO]])</f>
        <v/>
      </c>
      <c r="AB1608" s="16">
        <f>IF(RawDataGenPO[[#This Row],[GRN-PO date]]&gt;RawDataGenPO[[#This Row],[Lead time delivery (day)]],"over deliverry","Ontime")</f>
        <v/>
      </c>
      <c r="AC1608" s="22" t="n"/>
    </row>
    <row r="1609" ht="15" customHeight="1">
      <c r="A1609" s="5">
        <f>ROW()-ROW(RawDataGenPO[[#Headers],[No.]])</f>
        <v/>
      </c>
      <c r="B1609" s="7" t="inlineStr">
        <is>
          <t>Expent  cost</t>
        </is>
      </c>
      <c r="C1609" s="371" t="n">
        <v>45938</v>
      </c>
      <c r="F1609" s="371" t="n">
        <v>45938</v>
      </c>
      <c r="G1609" s="5" t="inlineStr">
        <is>
          <t>PR2526-02712</t>
        </is>
      </c>
      <c r="H1609" s="5" t="inlineStr">
        <is>
          <t>PO2526-03883</t>
        </is>
      </c>
      <c r="I1609" s="286" t="n">
        <v>45948</v>
      </c>
      <c r="J1609" s="26" t="n"/>
      <c r="K1609" s="20" t="n">
        <v>30</v>
      </c>
      <c r="L1609" s="5" t="inlineStr">
        <is>
          <t>SFST81000009</t>
        </is>
      </c>
      <c r="M1609" s="7" t="inlineStr">
        <is>
          <t>Safety equipment</t>
        </is>
      </c>
      <c r="N1609" s="7" t="inlineStr">
        <is>
          <t>Safety equipment</t>
        </is>
      </c>
      <c r="O1609" s="11" t="n">
        <v>1</v>
      </c>
      <c r="P1609" s="10" t="inlineStr">
        <is>
          <t>pipe UPVC (HACO) white size 20 mm</t>
        </is>
      </c>
      <c r="Q1609" s="277" t="n">
        <v>25</v>
      </c>
      <c r="R1609" s="5" t="inlineStr">
        <is>
          <t>PCS.</t>
        </is>
      </c>
      <c r="S1609" s="284">
        <f>RawDataGenPO[[#This Row],[Total price]]/RawDataGenPO[[#This Row],[Qty'']]</f>
        <v/>
      </c>
      <c r="T1609" s="278" t="n">
        <v>1200</v>
      </c>
      <c r="U1609" s="291" t="n"/>
      <c r="V1609" s="7" t="inlineStr">
        <is>
          <t>V1000481 - Company JW Tech Ltd.</t>
        </is>
      </c>
      <c r="W1609" s="30" t="inlineStr">
        <is>
          <t>Recive bill and GRN already</t>
        </is>
      </c>
      <c r="X1609" s="5" t="inlineStr">
        <is>
          <t>GRN2526-0004839</t>
        </is>
      </c>
      <c r="Y1609" s="3" t="n">
        <v>45954</v>
      </c>
      <c r="Z1609" s="23" t="n"/>
      <c r="AA1609" s="17">
        <f>IF(RawDataGenPO[[#This Row],[Date Gen PO]]="","",RawDataGenPO[[#This Row],[Date recive bill]]-RawDataGenPO[[#This Row],[Date Gen PO]])</f>
        <v/>
      </c>
      <c r="AB1609" s="16">
        <f>IF(RawDataGenPO[[#This Row],[GRN-PO date]]&gt;RawDataGenPO[[#This Row],[Lead time delivery (day)]],"over deliverry","Ontime")</f>
        <v/>
      </c>
      <c r="AC1609" s="22" t="n"/>
    </row>
    <row r="1610" ht="15" customHeight="1">
      <c r="A1610" s="5">
        <f>ROW()-ROW(RawDataGenPO[[#Headers],[No.]])</f>
        <v/>
      </c>
      <c r="B1610" s="7" t="inlineStr">
        <is>
          <t>Expent  cost</t>
        </is>
      </c>
      <c r="C1610" s="371" t="n">
        <v>45938</v>
      </c>
      <c r="F1610" s="371" t="n">
        <v>45938</v>
      </c>
      <c r="G1610" s="5" t="inlineStr">
        <is>
          <t>PR2526-02712</t>
        </is>
      </c>
      <c r="H1610" s="5" t="inlineStr">
        <is>
          <t>PO2526-03883</t>
        </is>
      </c>
      <c r="I1610" s="286" t="n">
        <v>45948</v>
      </c>
      <c r="J1610" s="26" t="n"/>
      <c r="K1610" s="20" t="n">
        <v>30</v>
      </c>
      <c r="L1610" s="5" t="inlineStr">
        <is>
          <t>SFST81000009</t>
        </is>
      </c>
      <c r="M1610" s="7" t="inlineStr">
        <is>
          <t>Safety equipment</t>
        </is>
      </c>
      <c r="N1610" s="7" t="inlineStr">
        <is>
          <t>Safety equipment</t>
        </is>
      </c>
      <c r="O1610" s="11" t="n">
        <v>2</v>
      </c>
      <c r="P1610" s="10" t="inlineStr">
        <is>
          <t>pipe UPVC (HACO)white size 25 mm</t>
        </is>
      </c>
      <c r="Q1610" s="277" t="n">
        <v>25</v>
      </c>
      <c r="R1610" s="5" t="inlineStr">
        <is>
          <t>PCS.</t>
        </is>
      </c>
      <c r="S1610" s="284">
        <f>RawDataGenPO[[#This Row],[Total price]]/RawDataGenPO[[#This Row],[Qty'']]</f>
        <v/>
      </c>
      <c r="T1610" s="278" t="n">
        <v>1750</v>
      </c>
      <c r="U1610" s="291" t="n"/>
      <c r="V1610" s="7" t="inlineStr">
        <is>
          <t>V1000481 - Company JW Tech Ltd.</t>
        </is>
      </c>
      <c r="W1610" s="30" t="inlineStr">
        <is>
          <t>Recive bill and GRN already</t>
        </is>
      </c>
      <c r="X1610" s="5" t="inlineStr">
        <is>
          <t>GRN2526-0004839</t>
        </is>
      </c>
      <c r="Y1610" s="3" t="n">
        <v>45954</v>
      </c>
      <c r="Z1610" s="23" t="n"/>
      <c r="AA1610" s="17">
        <f>IF(RawDataGenPO[[#This Row],[Date Gen PO]]="","",RawDataGenPO[[#This Row],[Date recive bill]]-RawDataGenPO[[#This Row],[Date Gen PO]])</f>
        <v/>
      </c>
      <c r="AB1610" s="16">
        <f>IF(RawDataGenPO[[#This Row],[GRN-PO date]]&gt;RawDataGenPO[[#This Row],[Lead time delivery (day)]],"over deliverry","Ontime")</f>
        <v/>
      </c>
      <c r="AC1610" s="22" t="n"/>
    </row>
    <row r="1611" ht="15" customHeight="1">
      <c r="A1611" s="5">
        <f>ROW()-ROW(RawDataGenPO[[#Headers],[No.]])</f>
        <v/>
      </c>
      <c r="B1611" s="7" t="inlineStr">
        <is>
          <t>Expent  cost</t>
        </is>
      </c>
      <c r="C1611" s="371" t="n">
        <v>45938</v>
      </c>
      <c r="F1611" s="371" t="n">
        <v>45938</v>
      </c>
      <c r="G1611" s="5" t="inlineStr">
        <is>
          <t>PR2526-02712</t>
        </is>
      </c>
      <c r="H1611" s="5" t="inlineStr">
        <is>
          <t>PO2526-03883</t>
        </is>
      </c>
      <c r="I1611" s="286" t="n">
        <v>45948</v>
      </c>
      <c r="J1611" s="26" t="n"/>
      <c r="K1611" s="20" t="n">
        <v>30</v>
      </c>
      <c r="L1611" s="5" t="inlineStr">
        <is>
          <t>SFST81000009</t>
        </is>
      </c>
      <c r="M1611" s="7" t="inlineStr">
        <is>
          <t>Safety equipment</t>
        </is>
      </c>
      <c r="N1611" s="7" t="inlineStr">
        <is>
          <t>Safety equipment</t>
        </is>
      </c>
      <c r="O1611" s="11" t="n">
        <v>3</v>
      </c>
      <c r="P1611" s="10" t="inlineStr">
        <is>
          <t>Limit Switch TEND model TZ-8108</t>
        </is>
      </c>
      <c r="Q1611" s="277" t="n">
        <v>6</v>
      </c>
      <c r="R1611" s="5" t="inlineStr">
        <is>
          <t>PCS.</t>
        </is>
      </c>
      <c r="S1611" s="284">
        <f>RawDataGenPO[[#This Row],[Total price]]/RawDataGenPO[[#This Row],[Qty'']]</f>
        <v/>
      </c>
      <c r="T1611" s="278" t="n">
        <v>3570</v>
      </c>
      <c r="U1611" s="291" t="n"/>
      <c r="V1611" s="7" t="inlineStr">
        <is>
          <t>V1000481 - Company JW Tech Ltd.</t>
        </is>
      </c>
      <c r="W1611" s="30" t="inlineStr">
        <is>
          <t>Recive bill and GRN already</t>
        </is>
      </c>
      <c r="X1611" s="5" t="inlineStr">
        <is>
          <t>GRN2526-0004745</t>
        </is>
      </c>
      <c r="Y1611" s="3" t="n">
        <v>45951</v>
      </c>
      <c r="Z1611" s="23" t="n"/>
      <c r="AA1611" s="17">
        <f>IF(RawDataGenPO[[#This Row],[Date Gen PO]]="","",RawDataGenPO[[#This Row],[Date recive bill]]-RawDataGenPO[[#This Row],[Date Gen PO]])</f>
        <v/>
      </c>
      <c r="AB1611" s="16">
        <f>IF(RawDataGenPO[[#This Row],[GRN-PO date]]&gt;RawDataGenPO[[#This Row],[Lead time delivery (day)]],"over deliverry","Ontime")</f>
        <v/>
      </c>
      <c r="AC1611" s="22" t="n"/>
    </row>
    <row r="1612" ht="105" customHeight="1">
      <c r="A1612" s="5">
        <f>ROW()-ROW(RawDataGenPO[[#Headers],[No.]])</f>
        <v/>
      </c>
      <c r="B1612" s="7" t="inlineStr">
        <is>
          <t>Expent  cost</t>
        </is>
      </c>
      <c r="C1612" s="371" t="n">
        <v>45938</v>
      </c>
      <c r="F1612" s="371" t="n">
        <v>45938</v>
      </c>
      <c r="G1612" s="5" t="inlineStr">
        <is>
          <t>PR2526-02714</t>
        </is>
      </c>
      <c r="H1612" s="5" t="inlineStr">
        <is>
          <t>PO2526-03901</t>
        </is>
      </c>
      <c r="I1612" s="286" t="n">
        <v>45948</v>
      </c>
      <c r="J1612" s="26" t="n"/>
      <c r="K1612" s="20" t="n">
        <v>60</v>
      </c>
      <c r="L1612" s="5" t="inlineStr">
        <is>
          <t>SFST81000064</t>
        </is>
      </c>
      <c r="M1612" s="7" t="inlineStr">
        <is>
          <t>Annual cost</t>
        </is>
      </c>
      <c r="N1612" s="7" t="inlineStr">
        <is>
          <t>Safety  annual jobs</t>
        </is>
      </c>
      <c r="O1612" s="11" t="n">
        <v>1</v>
      </c>
      <c r="P1612" s="10" t="inlineStr">
        <is>
          <t>PM Fire Alarm System
- inspectionoperationworkcontrol cabinet
- inspection Smoke Detector 37 pcs
- inspection Heat Detector 137 pcs
- inspectionequipmentwith Manual Pull Station 14 pcs
- inspectionequipmentWdaywith Beam Detector 3 pcs
- inspectionequipmentWday Air Sampling Detector 6 pcs</t>
        </is>
      </c>
      <c r="Q1612" s="277" t="n">
        <v>1</v>
      </c>
      <c r="R1612" s="5" t="inlineStr">
        <is>
          <t>Job.</t>
        </is>
      </c>
      <c r="S1612" s="284">
        <f>RawDataGenPO[[#This Row],[Total price]]/RawDataGenPO[[#This Row],[Qty'']]</f>
        <v/>
      </c>
      <c r="T1612" s="278" t="n">
        <v>55000</v>
      </c>
      <c r="U1612" s="291" t="n"/>
      <c r="V1612" s="7" t="inlineStr">
        <is>
          <t>V1000741 - Louis T. Leonowens (Thailand) .,Ltd.</t>
        </is>
      </c>
      <c r="W1612" s="30" t="inlineStr">
        <is>
          <t>Recive bill and GRN already</t>
        </is>
      </c>
      <c r="X1612" s="5" t="inlineStr">
        <is>
          <t>GRN2526-0005916</t>
        </is>
      </c>
      <c r="Y1612" s="3" t="n">
        <v>46003</v>
      </c>
      <c r="Z1612" s="23" t="n"/>
      <c r="AA1612" s="17">
        <f>IF(RawDataGenPO[[#This Row],[Date Gen PO]]="","",RawDataGenPO[[#This Row],[Date recive bill]]-RawDataGenPO[[#This Row],[Date Gen PO]])</f>
        <v/>
      </c>
      <c r="AB1612" s="16">
        <f>IF(RawDataGenPO[[#This Row],[GRN-PO date]]&gt;RawDataGenPO[[#This Row],[Lead time delivery (day)]],"over deliverry","Ontime")</f>
        <v/>
      </c>
      <c r="AC1612" s="22" t="n"/>
    </row>
    <row r="1613" ht="45" customHeight="1">
      <c r="A1613" s="5">
        <f>ROW()-ROW(RawDataGenPO[[#Headers],[No.]])</f>
        <v/>
      </c>
      <c r="B1613" s="7" t="inlineStr">
        <is>
          <t>Expent  cost</t>
        </is>
      </c>
      <c r="C1613" s="371" t="n">
        <v>45938</v>
      </c>
      <c r="F1613" s="371" t="n">
        <v>45938</v>
      </c>
      <c r="G1613" s="5" t="inlineStr">
        <is>
          <t>PR2526-02714</t>
        </is>
      </c>
      <c r="H1613" s="5" t="inlineStr">
        <is>
          <t>PO2526-03901</t>
        </is>
      </c>
      <c r="I1613" s="286" t="n">
        <v>45948</v>
      </c>
      <c r="J1613" s="26" t="n"/>
      <c r="K1613" s="20" t="n">
        <v>60</v>
      </c>
      <c r="L1613" s="5" t="inlineStr">
        <is>
          <t>SFST81000064</t>
        </is>
      </c>
      <c r="M1613" s="7" t="inlineStr">
        <is>
          <t>Annual cost</t>
        </is>
      </c>
      <c r="N1613" s="7" t="inlineStr">
        <is>
          <t>Safety  annual jobs</t>
        </is>
      </c>
      <c r="O1613" s="11" t="n">
        <v>2</v>
      </c>
      <c r="P1613" s="10" t="inlineStr">
        <is>
          <t>replace Heat Detector
Rate-Anticipation Heat Detector 135°F
replace Heat model 302-AW-135 7</t>
        </is>
      </c>
      <c r="Q1613" s="277" t="n">
        <v>7</v>
      </c>
      <c r="R1613" s="5" t="inlineStr">
        <is>
          <t>Job.</t>
        </is>
      </c>
      <c r="S1613" s="284">
        <f>RawDataGenPO[[#This Row],[Total price]]/RawDataGenPO[[#This Row],[Qty'']]</f>
        <v/>
      </c>
      <c r="T1613" s="278" t="n">
        <v>15000</v>
      </c>
      <c r="U1613" s="291" t="n"/>
      <c r="V1613" s="7" t="inlineStr">
        <is>
          <t>V1000741 - Louis T. Leonowens (Thailand) .,Ltd.</t>
        </is>
      </c>
      <c r="W1613" s="30" t="inlineStr">
        <is>
          <t>Recive bill and GRN already</t>
        </is>
      </c>
      <c r="X1613" s="5" t="inlineStr">
        <is>
          <t>GRN2526-0005916</t>
        </is>
      </c>
      <c r="Y1613" s="3" t="n">
        <v>46003</v>
      </c>
      <c r="Z1613" s="23" t="n"/>
      <c r="AA1613" s="17">
        <f>IF(RawDataGenPO[[#This Row],[Date Gen PO]]="","",RawDataGenPO[[#This Row],[Date recive bill]]-RawDataGenPO[[#This Row],[Date Gen PO]])</f>
        <v/>
      </c>
      <c r="AB1613" s="16">
        <f>IF(RawDataGenPO[[#This Row],[GRN-PO date]]&gt;RawDataGenPO[[#This Row],[Lead time delivery (day)]],"over deliverry","Ontime")</f>
        <v/>
      </c>
      <c r="AC1613" s="22" t="n"/>
    </row>
    <row r="1614" ht="30" customHeight="1">
      <c r="A1614" s="5">
        <f>ROW()-ROW(RawDataGenPO[[#Headers],[No.]])</f>
        <v/>
      </c>
      <c r="B1614" s="7" t="inlineStr">
        <is>
          <t>Expent  cost</t>
        </is>
      </c>
      <c r="C1614" s="371" t="n">
        <v>45938</v>
      </c>
      <c r="F1614" s="371" t="n">
        <v>45938</v>
      </c>
      <c r="G1614" s="5" t="inlineStr">
        <is>
          <t>PR2526-02715</t>
        </is>
      </c>
      <c r="H1614" s="5" t="inlineStr">
        <is>
          <t>PO2526-03895</t>
        </is>
      </c>
      <c r="I1614" s="286" t="n">
        <v>45950</v>
      </c>
      <c r="J1614" s="26" t="n"/>
      <c r="K1614" s="20" t="n">
        <v>60</v>
      </c>
      <c r="L1614" s="5" t="inlineStr">
        <is>
          <t>SFST81000064</t>
        </is>
      </c>
      <c r="M1614" s="7" t="inlineStr">
        <is>
          <t>Cooling machine for PD line</t>
        </is>
      </c>
      <c r="N1614" s="7" t="inlineStr">
        <is>
          <t>Condencer Unit No.24 (COLD6)</t>
        </is>
      </c>
      <c r="O1614" s="11" t="n">
        <v>1</v>
      </c>
      <c r="P1614" s="10" t="inlineStr">
        <is>
          <t>HEATER TYPE (U) 220 V/1750 W., DIA. 8 MM, LENGTH 2200 MM. cablelength 1 M. - TUBE SUS 304 / typeconnectorm</t>
        </is>
      </c>
      <c r="Q1614" s="277" t="n">
        <v>5</v>
      </c>
      <c r="R1614" s="5" t="inlineStr">
        <is>
          <t>PCS.</t>
        </is>
      </c>
      <c r="S1614" s="284">
        <f>RawDataGenPO[[#This Row],[Total price]]/RawDataGenPO[[#This Row],[Qty'']]</f>
        <v/>
      </c>
      <c r="T1614" s="278" t="n">
        <v>20000</v>
      </c>
      <c r="U1614" s="291" t="n"/>
      <c r="V1614" s="7" t="inlineStr">
        <is>
          <t>V1000654 - A AND B REFRIGERATION CO., LTD.</t>
        </is>
      </c>
      <c r="W1614" s="30" t="inlineStr">
        <is>
          <t>Recive bill and GRN already</t>
        </is>
      </c>
      <c r="X1614" s="5" t="inlineStr">
        <is>
          <t>GRN2526-0005392</t>
        </is>
      </c>
      <c r="Y1614" s="3" t="n">
        <v>45978</v>
      </c>
      <c r="Z1614" s="23" t="n"/>
      <c r="AA1614" s="17">
        <f>IF(RawDataGenPO[[#This Row],[Date Gen PO]]="","",RawDataGenPO[[#This Row],[Date recive bill]]-RawDataGenPO[[#This Row],[Date Gen PO]])</f>
        <v/>
      </c>
      <c r="AB1614" s="16">
        <f>IF(RawDataGenPO[[#This Row],[GRN-PO date]]&gt;RawDataGenPO[[#This Row],[Lead time delivery (day)]],"over deliverry","Ontime")</f>
        <v/>
      </c>
      <c r="AC1614" s="22" t="n"/>
    </row>
    <row r="1615" ht="15" customHeight="1">
      <c r="A1615" s="5">
        <f>ROW()-ROW(RawDataGenPO[[#Headers],[No.]])</f>
        <v/>
      </c>
      <c r="B1615" s="7" t="inlineStr">
        <is>
          <t>Expent  cost</t>
        </is>
      </c>
      <c r="C1615" s="371" t="n">
        <v>45938</v>
      </c>
      <c r="F1615" s="371" t="n">
        <v>45938</v>
      </c>
      <c r="G1615" s="5" t="inlineStr">
        <is>
          <t>PR2526-02715</t>
        </is>
      </c>
      <c r="H1615" s="5" t="inlineStr">
        <is>
          <t>PO2526-03895</t>
        </is>
      </c>
      <c r="I1615" s="286" t="n">
        <v>45950</v>
      </c>
      <c r="J1615" s="26" t="n"/>
      <c r="K1615" s="20" t="n">
        <v>60</v>
      </c>
      <c r="L1615" s="5" t="inlineStr">
        <is>
          <t>SFST81000064</t>
        </is>
      </c>
      <c r="M1615" s="7" t="inlineStr">
        <is>
          <t>Cooling machine for PD line</t>
        </is>
      </c>
      <c r="N1615" s="7" t="inlineStr">
        <is>
          <t>Condencer Unit No.24 (COLD6)</t>
        </is>
      </c>
      <c r="O1615" s="11" t="n">
        <v>2</v>
      </c>
      <c r="P1615" s="10" t="inlineStr">
        <is>
          <t>Operation cost</t>
        </is>
      </c>
      <c r="Q1615" s="277" t="n">
        <v>1</v>
      </c>
      <c r="R1615" s="5" t="inlineStr">
        <is>
          <t>Job.</t>
        </is>
      </c>
      <c r="S1615" s="284">
        <f>RawDataGenPO[[#This Row],[Total price]]/RawDataGenPO[[#This Row],[Qty'']]</f>
        <v/>
      </c>
      <c r="T1615" s="278" t="n">
        <v>6500</v>
      </c>
      <c r="U1615" s="291" t="n"/>
      <c r="V1615" s="7" t="inlineStr">
        <is>
          <t>V1000654 - A AND B REFRIGERATION CO., LTD.</t>
        </is>
      </c>
      <c r="W1615" s="30" t="inlineStr">
        <is>
          <t>Recive bill and GRN already</t>
        </is>
      </c>
      <c r="X1615" s="5" t="inlineStr">
        <is>
          <t>GRN2526-0005392</t>
        </is>
      </c>
      <c r="Y1615" s="3" t="n">
        <v>45978</v>
      </c>
      <c r="Z1615" s="23" t="n"/>
      <c r="AA1615" s="17">
        <f>IF(RawDataGenPO[[#This Row],[Date Gen PO]]="","",RawDataGenPO[[#This Row],[Date recive bill]]-RawDataGenPO[[#This Row],[Date Gen PO]])</f>
        <v/>
      </c>
      <c r="AB1615" s="16">
        <f>IF(RawDataGenPO[[#This Row],[GRN-PO date]]&gt;RawDataGenPO[[#This Row],[Lead time delivery (day)]],"over deliverry","Ontime")</f>
        <v/>
      </c>
      <c r="AC1615" s="22" t="n"/>
    </row>
    <row r="1616" ht="15" customHeight="1">
      <c r="A1616" s="5">
        <f>ROW()-ROW(RawDataGenPO[[#Headers],[No.]])</f>
        <v/>
      </c>
      <c r="B1616" s="7" t="inlineStr">
        <is>
          <t>Expent  cost</t>
        </is>
      </c>
      <c r="C1616" s="371" t="n">
        <v>45938</v>
      </c>
      <c r="F1616" s="371" t="n">
        <v>45938</v>
      </c>
      <c r="G1616" s="5" t="inlineStr">
        <is>
          <t>PR2526-02716</t>
        </is>
      </c>
      <c r="H1616" s="5" t="inlineStr">
        <is>
          <t xml:space="preserve">PO2526-03890 </t>
        </is>
      </c>
      <c r="I1616" s="286" t="n">
        <v>45948</v>
      </c>
      <c r="J1616" s="26" t="n"/>
      <c r="K1616" s="20" t="n">
        <v>30</v>
      </c>
      <c r="L1616" s="5" t="inlineStr">
        <is>
          <t>SFST34000054</t>
        </is>
      </c>
      <c r="M1616" s="7" t="inlineStr">
        <is>
          <t>Refrigerant-oil for cooling M/C</t>
        </is>
      </c>
      <c r="N1616" s="7" t="inlineStr">
        <is>
          <t>Cooling  part</t>
        </is>
      </c>
      <c r="O1616" s="11" t="n">
        <v>1</v>
      </c>
      <c r="P1616" s="10" t="inlineStr">
        <is>
          <t>R507 Refrigerant,(1 Tank 11.3 kg/Tank)</t>
        </is>
      </c>
      <c r="Q1616" s="277" t="n">
        <v>25</v>
      </c>
      <c r="R1616" s="5" t="inlineStr">
        <is>
          <t>DRUM.</t>
        </is>
      </c>
      <c r="S1616" s="284">
        <f>RawDataGenPO[[#This Row],[Total price]]/RawDataGenPO[[#This Row],[Qty'']]</f>
        <v/>
      </c>
      <c r="T1616" s="278" t="n">
        <v>67500</v>
      </c>
      <c r="U1616" s="291" t="n"/>
      <c r="V1616" s="7" t="inlineStr">
        <is>
          <t>V1000271 - 395 Shop Limited Partnership</t>
        </is>
      </c>
      <c r="W1616" s="30" t="inlineStr">
        <is>
          <t>Recive bill and GRN already</t>
        </is>
      </c>
      <c r="X1616" s="5" t="inlineStr">
        <is>
          <t>GRN2526-0004747</t>
        </is>
      </c>
      <c r="Y1616" s="3" t="n">
        <v>45951</v>
      </c>
      <c r="Z1616" s="23" t="n"/>
      <c r="AA1616" s="17">
        <f>IF(RawDataGenPO[[#This Row],[Date Gen PO]]="","",RawDataGenPO[[#This Row],[Date recive bill]]-RawDataGenPO[[#This Row],[Date Gen PO]])</f>
        <v/>
      </c>
      <c r="AB1616" s="16">
        <f>IF(RawDataGenPO[[#This Row],[GRN-PO date]]&gt;RawDataGenPO[[#This Row],[Lead time delivery (day)]],"over deliverry","Ontime")</f>
        <v/>
      </c>
      <c r="AC1616" s="22" t="n"/>
    </row>
    <row r="1617" ht="30" customHeight="1">
      <c r="A1617" s="5">
        <f>ROW()-ROW(RawDataGenPO[[#Headers],[No.]])</f>
        <v/>
      </c>
      <c r="B1617" s="7" t="inlineStr">
        <is>
          <t>Expent  cost</t>
        </is>
      </c>
      <c r="C1617" s="371" t="n">
        <v>45938</v>
      </c>
      <c r="F1617" s="371" t="n">
        <v>45938</v>
      </c>
      <c r="G1617" s="5" t="inlineStr">
        <is>
          <t>PR2526-02717</t>
        </is>
      </c>
      <c r="H1617" s="5" t="inlineStr">
        <is>
          <t>PO2526-03886</t>
        </is>
      </c>
      <c r="I1617" s="286" t="n">
        <v>45948</v>
      </c>
      <c r="J1617" s="26" t="n"/>
      <c r="K1617" s="20" t="n">
        <v>60</v>
      </c>
      <c r="L1617" s="5" t="inlineStr">
        <is>
          <t>SFST81000048</t>
        </is>
      </c>
      <c r="M1617" s="7" t="inlineStr">
        <is>
          <t>Cooling machine for PD line</t>
        </is>
      </c>
      <c r="N1617" s="7" t="inlineStr">
        <is>
          <t>Condencer Unit No.21 (COLD3)</t>
        </is>
      </c>
      <c r="O1617" s="11" t="n">
        <v>1</v>
      </c>
      <c r="P1617" s="10" t="inlineStr">
        <is>
          <t>Repair CU21
Accumulator 1-5/8</t>
        </is>
      </c>
      <c r="Q1617" s="277" t="n">
        <v>1</v>
      </c>
      <c r="R1617" s="5" t="inlineStr">
        <is>
          <t>Job.</t>
        </is>
      </c>
      <c r="S1617" s="284">
        <f>RawDataGenPO[[#This Row],[Total price]]/RawDataGenPO[[#This Row],[Qty'']]</f>
        <v/>
      </c>
      <c r="T1617" s="278" t="n">
        <v>5000</v>
      </c>
      <c r="U1617" s="291" t="n"/>
      <c r="V1617" s="7" t="inlineStr">
        <is>
          <t>V1000554 - SHANTECH (THAILAND) CO.,LTD.</t>
        </is>
      </c>
      <c r="W1617" s="30" t="inlineStr">
        <is>
          <t>Recive bill and GRN already</t>
        </is>
      </c>
      <c r="X1617" s="5" t="inlineStr">
        <is>
          <t>GRN2526-0005005</t>
        </is>
      </c>
      <c r="Y1617" s="3" t="n">
        <v>45964</v>
      </c>
      <c r="Z1617" s="23" t="n"/>
      <c r="AA1617" s="17">
        <f>IF(RawDataGenPO[[#This Row],[Date Gen PO]]="","",RawDataGenPO[[#This Row],[Date recive bill]]-RawDataGenPO[[#This Row],[Date Gen PO]])</f>
        <v/>
      </c>
      <c r="AB1617" s="16">
        <f>IF(RawDataGenPO[[#This Row],[GRN-PO date]]&gt;RawDataGenPO[[#This Row],[Lead time delivery (day)]],"over deliverry","Ontime")</f>
        <v/>
      </c>
      <c r="AC1617" s="22" t="n"/>
    </row>
    <row r="1618" ht="15" customHeight="1">
      <c r="A1618" s="5">
        <f>ROW()-ROW(RawDataGenPO[[#Headers],[No.]])</f>
        <v/>
      </c>
      <c r="B1618" s="7" t="inlineStr">
        <is>
          <t>Expent  cost</t>
        </is>
      </c>
      <c r="C1618" s="371" t="n">
        <v>45938</v>
      </c>
      <c r="F1618" s="371" t="n">
        <v>45938</v>
      </c>
      <c r="G1618" s="5" t="inlineStr">
        <is>
          <t>PR2526-02717</t>
        </is>
      </c>
      <c r="H1618" s="5" t="inlineStr">
        <is>
          <t>PO2526-03886</t>
        </is>
      </c>
      <c r="I1618" s="286" t="n">
        <v>45948</v>
      </c>
      <c r="J1618" s="26" t="n"/>
      <c r="K1618" s="20" t="n">
        <v>60</v>
      </c>
      <c r="L1618" s="5" t="inlineStr">
        <is>
          <t>SFST81000048</t>
        </is>
      </c>
      <c r="M1618" s="7" t="inlineStr">
        <is>
          <t>Cooling machine for PD line</t>
        </is>
      </c>
      <c r="N1618" s="7" t="inlineStr">
        <is>
          <t>Condencer Unit No.21 (COLD3)</t>
        </is>
      </c>
      <c r="O1618" s="11" t="n">
        <v>2</v>
      </c>
      <c r="P1618" s="10" t="inlineStr">
        <is>
          <t>nitrogen leak</t>
        </is>
      </c>
      <c r="Q1618" s="277" t="n">
        <v>1</v>
      </c>
      <c r="R1618" s="5" t="inlineStr">
        <is>
          <t>Job.</t>
        </is>
      </c>
      <c r="S1618" s="284">
        <f>RawDataGenPO[[#This Row],[Total price]]/RawDataGenPO[[#This Row],[Qty'']]</f>
        <v/>
      </c>
      <c r="T1618" s="278" t="n">
        <v>3500</v>
      </c>
      <c r="U1618" s="291" t="n"/>
      <c r="V1618" s="7" t="inlineStr">
        <is>
          <t>V1000554 - SHANTECH (THAILAND) CO.,LTD.</t>
        </is>
      </c>
      <c r="W1618" s="30" t="inlineStr">
        <is>
          <t>Recive bill and GRN already</t>
        </is>
      </c>
      <c r="X1618" s="5" t="inlineStr">
        <is>
          <t>GRN2526-0005005</t>
        </is>
      </c>
      <c r="Y1618" s="3" t="n">
        <v>45964</v>
      </c>
      <c r="Z1618" s="23" t="n"/>
      <c r="AA1618" s="17">
        <f>IF(RawDataGenPO[[#This Row],[Date Gen PO]]="","",RawDataGenPO[[#This Row],[Date recive bill]]-RawDataGenPO[[#This Row],[Date Gen PO]])</f>
        <v/>
      </c>
      <c r="AB1618" s="16">
        <f>IF(RawDataGenPO[[#This Row],[GRN-PO date]]&gt;RawDataGenPO[[#This Row],[Lead time delivery (day)]],"over deliverry","Ontime")</f>
        <v/>
      </c>
      <c r="AC1618" s="22" t="n"/>
    </row>
    <row r="1619" ht="15" customHeight="1">
      <c r="A1619" s="5">
        <f>ROW()-ROW(RawDataGenPO[[#Headers],[No.]])</f>
        <v/>
      </c>
      <c r="B1619" s="7" t="inlineStr">
        <is>
          <t>Expent  cost</t>
        </is>
      </c>
      <c r="C1619" s="371" t="n">
        <v>45938</v>
      </c>
      <c r="F1619" s="371" t="n">
        <v>45938</v>
      </c>
      <c r="G1619" s="5" t="inlineStr">
        <is>
          <t>PR2526-02717</t>
        </is>
      </c>
      <c r="H1619" s="5" t="inlineStr">
        <is>
          <t>PO2526-03886</t>
        </is>
      </c>
      <c r="I1619" s="286" t="n">
        <v>45948</v>
      </c>
      <c r="J1619" s="26" t="n"/>
      <c r="K1619" s="20" t="n">
        <v>60</v>
      </c>
      <c r="L1619" s="5" t="inlineStr">
        <is>
          <t>SFST81000048</t>
        </is>
      </c>
      <c r="M1619" s="7" t="inlineStr">
        <is>
          <t>Cooling machine for PD line</t>
        </is>
      </c>
      <c r="N1619" s="7" t="inlineStr">
        <is>
          <t>Condencer Unit No.21 (COLD3)</t>
        </is>
      </c>
      <c r="O1619" s="11" t="n">
        <v>3</v>
      </c>
      <c r="P1619" s="10" t="inlineStr">
        <is>
          <t>equipment</t>
        </is>
      </c>
      <c r="Q1619" s="277" t="n">
        <v>1</v>
      </c>
      <c r="R1619" s="5" t="inlineStr">
        <is>
          <t>Job.</t>
        </is>
      </c>
      <c r="S1619" s="284">
        <f>RawDataGenPO[[#This Row],[Total price]]/RawDataGenPO[[#This Row],[Qty'']]</f>
        <v/>
      </c>
      <c r="T1619" s="278" t="n">
        <v>2500</v>
      </c>
      <c r="U1619" s="291" t="n"/>
      <c r="V1619" s="7" t="inlineStr">
        <is>
          <t>V1000554 - SHANTECH (THAILAND) CO.,LTD.</t>
        </is>
      </c>
      <c r="W1619" s="30" t="inlineStr">
        <is>
          <t>Recive bill and GRN already</t>
        </is>
      </c>
      <c r="X1619" s="5" t="inlineStr">
        <is>
          <t>GRN2526-0005005</t>
        </is>
      </c>
      <c r="Y1619" s="3" t="n">
        <v>45964</v>
      </c>
      <c r="Z1619" s="23" t="n"/>
      <c r="AA1619" s="17">
        <f>IF(RawDataGenPO[[#This Row],[Date Gen PO]]="","",RawDataGenPO[[#This Row],[Date recive bill]]-RawDataGenPO[[#This Row],[Date Gen PO]])</f>
        <v/>
      </c>
      <c r="AB1619" s="16">
        <f>IF(RawDataGenPO[[#This Row],[GRN-PO date]]&gt;RawDataGenPO[[#This Row],[Lead time delivery (day)]],"over deliverry","Ontime")</f>
        <v/>
      </c>
      <c r="AC1619" s="22" t="n"/>
    </row>
    <row r="1620" ht="15" customHeight="1">
      <c r="A1620" s="5">
        <f>ROW()-ROW(RawDataGenPO[[#Headers],[No.]])</f>
        <v/>
      </c>
      <c r="B1620" s="7" t="inlineStr">
        <is>
          <t>Expent  cost</t>
        </is>
      </c>
      <c r="C1620" s="371" t="n">
        <v>45938</v>
      </c>
      <c r="F1620" s="371" t="n">
        <v>45938</v>
      </c>
      <c r="G1620" s="5" t="inlineStr">
        <is>
          <t>PR2526-02717</t>
        </is>
      </c>
      <c r="H1620" s="5" t="inlineStr">
        <is>
          <t>PO2526-03886</t>
        </is>
      </c>
      <c r="I1620" s="286" t="n">
        <v>45948</v>
      </c>
      <c r="J1620" s="26" t="n"/>
      <c r="K1620" s="20" t="n">
        <v>60</v>
      </c>
      <c r="L1620" s="5" t="inlineStr">
        <is>
          <t>SFST81000048</t>
        </is>
      </c>
      <c r="M1620" s="7" t="inlineStr">
        <is>
          <t>Cooling machine for PD line</t>
        </is>
      </c>
      <c r="N1620" s="7" t="inlineStr">
        <is>
          <t>Condencer Unit No.21 (COLD3)</t>
        </is>
      </c>
      <c r="O1620" s="11" t="n">
        <v>4</v>
      </c>
      <c r="P1620" s="10" t="inlineStr">
        <is>
          <t>Operation cost</t>
        </is>
      </c>
      <c r="Q1620" s="277" t="n">
        <v>1</v>
      </c>
      <c r="R1620" s="5" t="inlineStr">
        <is>
          <t>Job.</t>
        </is>
      </c>
      <c r="S1620" s="284">
        <f>RawDataGenPO[[#This Row],[Total price]]/RawDataGenPO[[#This Row],[Qty'']]</f>
        <v/>
      </c>
      <c r="T1620" s="278" t="n">
        <v>8500</v>
      </c>
      <c r="U1620" s="291" t="n"/>
      <c r="V1620" s="7" t="inlineStr">
        <is>
          <t>V1000554 - SHANTECH (THAILAND) CO.,LTD.</t>
        </is>
      </c>
      <c r="W1620" s="30" t="inlineStr">
        <is>
          <t>Recive bill and GRN already</t>
        </is>
      </c>
      <c r="X1620" s="5" t="inlineStr">
        <is>
          <t>GRN2526-0005005</t>
        </is>
      </c>
      <c r="Y1620" s="3" t="n">
        <v>45964</v>
      </c>
      <c r="Z1620" s="23" t="n"/>
      <c r="AA1620" s="17">
        <f>IF(RawDataGenPO[[#This Row],[Date Gen PO]]="","",RawDataGenPO[[#This Row],[Date recive bill]]-RawDataGenPO[[#This Row],[Date Gen PO]])</f>
        <v/>
      </c>
      <c r="AB1620" s="16">
        <f>IF(RawDataGenPO[[#This Row],[GRN-PO date]]&gt;RawDataGenPO[[#This Row],[Lead time delivery (day)]],"over deliverry","Ontime")</f>
        <v/>
      </c>
      <c r="AC1620" s="22" t="n"/>
    </row>
    <row r="1621" ht="30" customHeight="1">
      <c r="A1621" s="5">
        <f>ROW()-ROW(RawDataGenPO[[#Headers],[No.]])</f>
        <v/>
      </c>
      <c r="B1621" s="7" t="inlineStr">
        <is>
          <t>Expent  cost</t>
        </is>
      </c>
      <c r="C1621" s="371" t="n">
        <v>45938</v>
      </c>
      <c r="F1621" s="371" t="n">
        <v>45938</v>
      </c>
      <c r="G1621" s="5" t="inlineStr">
        <is>
          <t>PR2526-02719</t>
        </is>
      </c>
      <c r="H1621" s="5" t="inlineStr">
        <is>
          <t>PO2526-03887</t>
        </is>
      </c>
      <c r="I1621" s="286" t="n">
        <v>45948</v>
      </c>
      <c r="J1621" s="26" t="n"/>
      <c r="K1621" s="20" t="n">
        <v>12</v>
      </c>
      <c r="L1621" s="5" t="inlineStr">
        <is>
          <t>SFST81000048</t>
        </is>
      </c>
      <c r="M1621" s="7" t="inlineStr">
        <is>
          <t>Cooling machine for PD line</t>
        </is>
      </c>
      <c r="N1621" s="7" t="inlineStr">
        <is>
          <t>Condencer Unit No.29 (Air Blast Freezer2)</t>
        </is>
      </c>
      <c r="O1621" s="11" t="n">
        <v>1</v>
      </c>
      <c r="P1621" s="10" t="inlineStr">
        <is>
          <t>Repair Leak and Replacement of Filter Drier for Air
Filter Drier 1/2" F DML 164</t>
        </is>
      </c>
      <c r="Q1621" s="277" t="n">
        <v>1</v>
      </c>
      <c r="R1621" s="5" t="inlineStr">
        <is>
          <t>PCS.</t>
        </is>
      </c>
      <c r="S1621" s="284">
        <f>RawDataGenPO[[#This Row],[Total price]]/RawDataGenPO[[#This Row],[Qty'']]</f>
        <v/>
      </c>
      <c r="T1621" s="278" t="n">
        <v>450</v>
      </c>
      <c r="U1621" s="291" t="n"/>
      <c r="V1621" s="7" t="inlineStr">
        <is>
          <t>V1000762 - PORNNARIN P N SERVICE LIMITED PARTNERSHIP</t>
        </is>
      </c>
      <c r="W1621" s="30" t="inlineStr">
        <is>
          <t>Recive bill and GRN already</t>
        </is>
      </c>
      <c r="X1621" s="5" t="inlineStr">
        <is>
          <t>GRN2526-0006619</t>
        </is>
      </c>
      <c r="Y1621" s="3" t="n">
        <v>46027</v>
      </c>
      <c r="Z1621" s="23" t="n"/>
      <c r="AA1621" s="17">
        <f>IF(RawDataGenPO[[#This Row],[Date Gen PO]]="","",RawDataGenPO[[#This Row],[Date recive bill]]-RawDataGenPO[[#This Row],[Date Gen PO]])</f>
        <v/>
      </c>
      <c r="AB1621" s="16">
        <f>IF(RawDataGenPO[[#This Row],[GRN-PO date]]&gt;RawDataGenPO[[#This Row],[Lead time delivery (day)]],"over deliverry","Ontime")</f>
        <v/>
      </c>
      <c r="AC1621" s="22" t="n"/>
    </row>
    <row r="1622" ht="15" customHeight="1">
      <c r="A1622" s="5">
        <f>ROW()-ROW(RawDataGenPO[[#Headers],[No.]])</f>
        <v/>
      </c>
      <c r="B1622" s="7" t="inlineStr">
        <is>
          <t>Expent  cost</t>
        </is>
      </c>
      <c r="C1622" s="371" t="n">
        <v>45938</v>
      </c>
      <c r="F1622" s="371" t="n">
        <v>45938</v>
      </c>
      <c r="G1622" s="5" t="inlineStr">
        <is>
          <t>PR2526-02719</t>
        </is>
      </c>
      <c r="H1622" s="5" t="inlineStr">
        <is>
          <t>PO2526-03887</t>
        </is>
      </c>
      <c r="I1622" s="286" t="n">
        <v>45948</v>
      </c>
      <c r="J1622" s="26" t="n"/>
      <c r="K1622" s="20" t="n">
        <v>120</v>
      </c>
      <c r="L1622" s="5" t="inlineStr">
        <is>
          <t>SFST81000048</t>
        </is>
      </c>
      <c r="M1622" s="7" t="inlineStr">
        <is>
          <t>Cooling machine for PD line</t>
        </is>
      </c>
      <c r="N1622" s="7" t="inlineStr">
        <is>
          <t>Condencer Unit No.29 (Air Blast Freezer2)</t>
        </is>
      </c>
      <c r="O1622" s="11" t="n">
        <v>2</v>
      </c>
      <c r="P1622" s="10" t="inlineStr">
        <is>
          <t>Labour Cost for Repair</t>
        </is>
      </c>
      <c r="Q1622" s="277" t="n">
        <v>1</v>
      </c>
      <c r="R1622" s="5" t="inlineStr">
        <is>
          <t>PCS.</t>
        </is>
      </c>
      <c r="S1622" s="284">
        <f>RawDataGenPO[[#This Row],[Total price]]/RawDataGenPO[[#This Row],[Qty'']]</f>
        <v/>
      </c>
      <c r="T1622" s="278" t="n">
        <v>9500</v>
      </c>
      <c r="U1622" s="291" t="n"/>
      <c r="V1622" s="7" t="inlineStr">
        <is>
          <t>V1000762 - PORNNARIN P N SERVICE LIMITED PARTNERSHIP</t>
        </is>
      </c>
      <c r="W1622" s="30" t="inlineStr">
        <is>
          <t>Recive bill and GRN already</t>
        </is>
      </c>
      <c r="X1622" s="5" t="inlineStr">
        <is>
          <t>GRN2526-0006619</t>
        </is>
      </c>
      <c r="Y1622" s="3" t="n">
        <v>46027</v>
      </c>
      <c r="Z1622" s="23" t="n"/>
      <c r="AA1622" s="17">
        <f>IF(RawDataGenPO[[#This Row],[Date Gen PO]]="","",RawDataGenPO[[#This Row],[Date recive bill]]-RawDataGenPO[[#This Row],[Date Gen PO]])</f>
        <v/>
      </c>
      <c r="AB1622" s="16">
        <f>IF(RawDataGenPO[[#This Row],[GRN-PO date]]&gt;RawDataGenPO[[#This Row],[Lead time delivery (day)]],"over deliverry","Ontime")</f>
        <v/>
      </c>
      <c r="AC1622" s="22" t="n"/>
    </row>
    <row r="1623" ht="30" customHeight="1">
      <c r="A1623" s="5">
        <f>ROW()-ROW(RawDataGenPO[[#Headers],[No.]])</f>
        <v/>
      </c>
      <c r="B1623" s="7" t="inlineStr">
        <is>
          <t>Expent  cost</t>
        </is>
      </c>
      <c r="C1623" s="371" t="n">
        <v>45938</v>
      </c>
      <c r="F1623" s="371" t="n">
        <v>45938</v>
      </c>
      <c r="G1623" s="5" t="inlineStr">
        <is>
          <t>PR2526-02720</t>
        </is>
      </c>
      <c r="H1623" s="5" t="inlineStr">
        <is>
          <t>PO2526-03888</t>
        </is>
      </c>
      <c r="I1623" s="286" t="n">
        <v>45948</v>
      </c>
      <c r="J1623" s="26" t="n"/>
      <c r="K1623" s="20" t="n">
        <v>30</v>
      </c>
      <c r="L1623" s="5" t="inlineStr">
        <is>
          <t>SFST81000048</t>
        </is>
      </c>
      <c r="M1623" s="7" t="inlineStr">
        <is>
          <t>Cooling machine for PD line</t>
        </is>
      </c>
      <c r="N1623" s="7" t="inlineStr">
        <is>
          <t>Condencer Unit No.1</t>
        </is>
      </c>
      <c r="O1623" s="11" t="n">
        <v>1</v>
      </c>
      <c r="P1623" s="10" t="inlineStr">
        <is>
          <t>install Filter drier shellwithreplace CU1
Ball valve 1 5/8"</t>
        </is>
      </c>
      <c r="Q1623" s="277" t="n">
        <v>1</v>
      </c>
      <c r="R1623" s="5" t="inlineStr">
        <is>
          <t>PCS.</t>
        </is>
      </c>
      <c r="S1623" s="284">
        <f>RawDataGenPO[[#This Row],[Total price]]/RawDataGenPO[[#This Row],[Qty'']]</f>
        <v/>
      </c>
      <c r="T1623" s="278" t="n">
        <v>4500</v>
      </c>
      <c r="U1623" s="291" t="n"/>
      <c r="V1623" s="7" t="inlineStr">
        <is>
          <t xml:space="preserve"> V1000554 - SHANTECH (THAILAND) CO.,LTD.</t>
        </is>
      </c>
      <c r="W1623" s="30" t="inlineStr">
        <is>
          <t>Recive bill and GRN already</t>
        </is>
      </c>
      <c r="X1623" s="5" t="inlineStr">
        <is>
          <t>GRN2526-0005003</t>
        </is>
      </c>
      <c r="Y1623" s="3" t="n">
        <v>45964</v>
      </c>
      <c r="Z1623" s="23" t="n"/>
      <c r="AA1623" s="17">
        <f>IF(RawDataGenPO[[#This Row],[Date Gen PO]]="","",RawDataGenPO[[#This Row],[Date recive bill]]-RawDataGenPO[[#This Row],[Date Gen PO]])</f>
        <v/>
      </c>
      <c r="AB1623" s="16">
        <f>IF(RawDataGenPO[[#This Row],[GRN-PO date]]&gt;RawDataGenPO[[#This Row],[Lead time delivery (day)]],"over deliverry","Ontime")</f>
        <v/>
      </c>
      <c r="AC1623" s="22" t="n"/>
    </row>
    <row r="1624" ht="15" customHeight="1">
      <c r="A1624" s="5">
        <f>ROW()-ROW(RawDataGenPO[[#Headers],[No.]])</f>
        <v/>
      </c>
      <c r="B1624" s="7" t="inlineStr">
        <is>
          <t>Expent  cost</t>
        </is>
      </c>
      <c r="C1624" s="371" t="n">
        <v>45938</v>
      </c>
      <c r="F1624" s="371" t="n">
        <v>45938</v>
      </c>
      <c r="G1624" s="5" t="inlineStr">
        <is>
          <t>PR2526-02720</t>
        </is>
      </c>
      <c r="H1624" s="5" t="inlineStr">
        <is>
          <t>PO2526-03888</t>
        </is>
      </c>
      <c r="I1624" s="286" t="n">
        <v>45948</v>
      </c>
      <c r="J1624" s="26" t="n"/>
      <c r="K1624" s="20" t="n">
        <v>30</v>
      </c>
      <c r="L1624" s="5" t="inlineStr">
        <is>
          <t>SFST81000048</t>
        </is>
      </c>
      <c r="M1624" s="7" t="inlineStr">
        <is>
          <t>Cooling machine for PD line</t>
        </is>
      </c>
      <c r="N1624" s="7" t="inlineStr">
        <is>
          <t>Condencer Unit No.1</t>
        </is>
      </c>
      <c r="O1624" s="11" t="n">
        <v>2</v>
      </c>
      <c r="P1624" s="10" t="inlineStr">
        <is>
          <t>nitrogen leak</t>
        </is>
      </c>
      <c r="Q1624" s="277" t="n">
        <v>1</v>
      </c>
      <c r="R1624" s="5" t="inlineStr">
        <is>
          <t>PCS.</t>
        </is>
      </c>
      <c r="S1624" s="284">
        <f>RawDataGenPO[[#This Row],[Total price]]/RawDataGenPO[[#This Row],[Qty'']]</f>
        <v/>
      </c>
      <c r="T1624" s="278" t="n">
        <v>3000</v>
      </c>
      <c r="U1624" s="291" t="n"/>
      <c r="V1624" s="7" t="inlineStr">
        <is>
          <t xml:space="preserve"> V1000554 - SHANTECH (THAILAND) CO.,LTD.</t>
        </is>
      </c>
      <c r="W1624" s="30" t="inlineStr">
        <is>
          <t>Recive bill and GRN already</t>
        </is>
      </c>
      <c r="X1624" s="5" t="inlineStr">
        <is>
          <t>GRN2526-0005003</t>
        </is>
      </c>
      <c r="Y1624" s="3" t="n">
        <v>45964</v>
      </c>
      <c r="Z1624" s="23" t="n"/>
      <c r="AA1624" s="17">
        <f>IF(RawDataGenPO[[#This Row],[Date Gen PO]]="","",RawDataGenPO[[#This Row],[Date recive bill]]-RawDataGenPO[[#This Row],[Date Gen PO]])</f>
        <v/>
      </c>
      <c r="AB1624" s="16">
        <f>IF(RawDataGenPO[[#This Row],[GRN-PO date]]&gt;RawDataGenPO[[#This Row],[Lead time delivery (day)]],"over deliverry","Ontime")</f>
        <v/>
      </c>
      <c r="AC1624" s="22" t="n"/>
    </row>
    <row r="1625" ht="15" customHeight="1">
      <c r="A1625" s="5">
        <f>ROW()-ROW(RawDataGenPO[[#Headers],[No.]])</f>
        <v/>
      </c>
      <c r="B1625" s="7" t="inlineStr">
        <is>
          <t>Expent  cost</t>
        </is>
      </c>
      <c r="C1625" s="371" t="n">
        <v>45938</v>
      </c>
      <c r="F1625" s="371" t="n">
        <v>45938</v>
      </c>
      <c r="G1625" s="5" t="inlineStr">
        <is>
          <t>PR2526-02720</t>
        </is>
      </c>
      <c r="H1625" s="5" t="inlineStr">
        <is>
          <t>PO2526-03888</t>
        </is>
      </c>
      <c r="I1625" s="286" t="n">
        <v>45948</v>
      </c>
      <c r="J1625" s="26" t="n"/>
      <c r="K1625" s="20" t="n">
        <v>30</v>
      </c>
      <c r="L1625" s="5" t="inlineStr">
        <is>
          <t>SFST81000048</t>
        </is>
      </c>
      <c r="M1625" s="7" t="inlineStr">
        <is>
          <t>Cooling machine for PD line</t>
        </is>
      </c>
      <c r="N1625" s="7" t="inlineStr">
        <is>
          <t>Condencer Unit No.1</t>
        </is>
      </c>
      <c r="O1625" s="11" t="n">
        <v>3</v>
      </c>
      <c r="P1625" s="10" t="inlineStr">
        <is>
          <t>equipment</t>
        </is>
      </c>
      <c r="Q1625" s="277" t="n">
        <v>1</v>
      </c>
      <c r="R1625" s="5" t="inlineStr">
        <is>
          <t>PCS.</t>
        </is>
      </c>
      <c r="S1625" s="284">
        <f>RawDataGenPO[[#This Row],[Total price]]/RawDataGenPO[[#This Row],[Qty'']]</f>
        <v/>
      </c>
      <c r="T1625" s="278" t="n">
        <v>2500</v>
      </c>
      <c r="U1625" s="291" t="n"/>
      <c r="V1625" s="7" t="inlineStr">
        <is>
          <t xml:space="preserve"> V1000554 - SHANTECH (THAILAND) CO.,LTD.</t>
        </is>
      </c>
      <c r="W1625" s="30" t="inlineStr">
        <is>
          <t>Recive bill and GRN already</t>
        </is>
      </c>
      <c r="X1625" s="5" t="inlineStr">
        <is>
          <t>GRN2526-0005003</t>
        </is>
      </c>
      <c r="Y1625" s="3" t="n">
        <v>45964</v>
      </c>
      <c r="Z1625" s="23" t="n"/>
      <c r="AA1625" s="17">
        <f>IF(RawDataGenPO[[#This Row],[Date Gen PO]]="","",RawDataGenPO[[#This Row],[Date recive bill]]-RawDataGenPO[[#This Row],[Date Gen PO]])</f>
        <v/>
      </c>
      <c r="AB1625" s="16">
        <f>IF(RawDataGenPO[[#This Row],[GRN-PO date]]&gt;RawDataGenPO[[#This Row],[Lead time delivery (day)]],"over deliverry","Ontime")</f>
        <v/>
      </c>
      <c r="AC1625" s="22" t="n"/>
    </row>
    <row r="1626" ht="15" customHeight="1">
      <c r="A1626" s="5">
        <f>ROW()-ROW(RawDataGenPO[[#Headers],[No.]])</f>
        <v/>
      </c>
      <c r="B1626" s="7" t="inlineStr">
        <is>
          <t>Expent  cost</t>
        </is>
      </c>
      <c r="C1626" s="371" t="n">
        <v>45938</v>
      </c>
      <c r="F1626" s="371" t="n">
        <v>45938</v>
      </c>
      <c r="G1626" s="5" t="inlineStr">
        <is>
          <t>PR2526-02720</t>
        </is>
      </c>
      <c r="H1626" s="5" t="inlineStr">
        <is>
          <t>PO2526-03888</t>
        </is>
      </c>
      <c r="I1626" s="286" t="n">
        <v>45948</v>
      </c>
      <c r="J1626" s="26" t="n"/>
      <c r="K1626" s="20" t="n">
        <v>30</v>
      </c>
      <c r="L1626" s="5" t="inlineStr">
        <is>
          <t>SFST81000048</t>
        </is>
      </c>
      <c r="M1626" s="7" t="inlineStr">
        <is>
          <t>Cooling machine for PD line</t>
        </is>
      </c>
      <c r="N1626" s="7" t="inlineStr">
        <is>
          <t>Condencer Unit No.1</t>
        </is>
      </c>
      <c r="O1626" s="11" t="n">
        <v>4</v>
      </c>
      <c r="P1626" s="10" t="inlineStr">
        <is>
          <t>Operation cost</t>
        </is>
      </c>
      <c r="Q1626" s="277" t="n">
        <v>1</v>
      </c>
      <c r="R1626" s="5" t="inlineStr">
        <is>
          <t>Job.</t>
        </is>
      </c>
      <c r="S1626" s="284">
        <f>RawDataGenPO[[#This Row],[Total price]]/RawDataGenPO[[#This Row],[Qty'']]</f>
        <v/>
      </c>
      <c r="T1626" s="278" t="n">
        <v>8500</v>
      </c>
      <c r="U1626" s="291" t="n"/>
      <c r="V1626" s="7" t="inlineStr">
        <is>
          <t xml:space="preserve"> V1000554 - SHANTECH (THAILAND) CO.,LTD.</t>
        </is>
      </c>
      <c r="W1626" s="30" t="inlineStr">
        <is>
          <t>Recive bill and GRN already</t>
        </is>
      </c>
      <c r="X1626" s="5" t="inlineStr">
        <is>
          <t>GRN2526-0005003</t>
        </is>
      </c>
      <c r="Y1626" s="3" t="n">
        <v>45964</v>
      </c>
      <c r="Z1626" s="23" t="n"/>
      <c r="AA1626" s="17">
        <f>IF(RawDataGenPO[[#This Row],[Date Gen PO]]="","",RawDataGenPO[[#This Row],[Date recive bill]]-RawDataGenPO[[#This Row],[Date Gen PO]])</f>
        <v/>
      </c>
      <c r="AB1626" s="16">
        <f>IF(RawDataGenPO[[#This Row],[GRN-PO date]]&gt;RawDataGenPO[[#This Row],[Lead time delivery (day)]],"over deliverry","Ontime")</f>
        <v/>
      </c>
      <c r="AC1626" s="22" t="n"/>
    </row>
    <row r="1627" ht="15" customHeight="1">
      <c r="A1627" s="5">
        <f>ROW()-ROW(RawDataGenPO[[#Headers],[No.]])</f>
        <v/>
      </c>
      <c r="B1627" s="7" t="inlineStr">
        <is>
          <t>Expent  cost</t>
        </is>
      </c>
      <c r="C1627" s="371" t="n">
        <v>45938</v>
      </c>
      <c r="F1627" s="371" t="n">
        <v>45938</v>
      </c>
      <c r="G1627" s="5" t="inlineStr">
        <is>
          <t>PR2526-02736</t>
        </is>
      </c>
      <c r="H1627" s="5" t="inlineStr">
        <is>
          <t xml:space="preserve">PO2526-03889 </t>
        </is>
      </c>
      <c r="I1627" s="286" t="n">
        <v>45948</v>
      </c>
      <c r="J1627" s="26" t="n"/>
      <c r="K1627" s="20" t="n">
        <v>45</v>
      </c>
      <c r="L1627" s="5" t="inlineStr">
        <is>
          <t>SFST81000048</t>
        </is>
      </c>
      <c r="M1627" s="7" t="inlineStr">
        <is>
          <t>Cooling machine for PD line</t>
        </is>
      </c>
      <c r="N1627" s="7" t="inlineStr">
        <is>
          <t>Condencer Unit No.21 (COLD3)</t>
        </is>
      </c>
      <c r="O1627" s="11" t="n">
        <v>1</v>
      </c>
      <c r="P1627" s="10" t="inlineStr">
        <is>
          <t>Oil Seperator 1-1/8</t>
        </is>
      </c>
      <c r="Q1627" s="277" t="n">
        <v>1</v>
      </c>
      <c r="R1627" s="5" t="inlineStr">
        <is>
          <t>PCS.</t>
        </is>
      </c>
      <c r="S1627" s="284">
        <f>RawDataGenPO[[#This Row],[Total price]]/RawDataGenPO[[#This Row],[Qty'']]</f>
        <v/>
      </c>
      <c r="T1627" s="278" t="n">
        <v>4300</v>
      </c>
      <c r="U1627" s="291" t="n"/>
      <c r="V1627" s="7" t="inlineStr">
        <is>
          <t>V1000554 - SHANTECH (THAILAND) CO.,LTD.</t>
        </is>
      </c>
      <c r="W1627" s="30" t="inlineStr">
        <is>
          <t>Recive bill and GRN already</t>
        </is>
      </c>
      <c r="X1627" s="5" t="inlineStr">
        <is>
          <t>GRN2526-0005004</t>
        </is>
      </c>
      <c r="Y1627" s="3" t="n">
        <v>45964</v>
      </c>
      <c r="Z1627" s="23" t="n"/>
      <c r="AA1627" s="17">
        <f>IF(RawDataGenPO[[#This Row],[Date Gen PO]]="","",RawDataGenPO[[#This Row],[Date recive bill]]-RawDataGenPO[[#This Row],[Date Gen PO]])</f>
        <v/>
      </c>
      <c r="AB1627" s="16">
        <f>IF(RawDataGenPO[[#This Row],[GRN-PO date]]&gt;RawDataGenPO[[#This Row],[Lead time delivery (day)]],"over deliverry","Ontime")</f>
        <v/>
      </c>
      <c r="AC1627" s="22" t="n"/>
    </row>
    <row r="1628" ht="15" customHeight="1">
      <c r="A1628" s="5">
        <f>ROW()-ROW(RawDataGenPO[[#Headers],[No.]])</f>
        <v/>
      </c>
      <c r="B1628" s="7" t="inlineStr">
        <is>
          <t>Expent  cost</t>
        </is>
      </c>
      <c r="C1628" s="371" t="n">
        <v>45938</v>
      </c>
      <c r="F1628" s="371" t="n">
        <v>45938</v>
      </c>
      <c r="G1628" s="5" t="inlineStr">
        <is>
          <t>PR2526-02736</t>
        </is>
      </c>
      <c r="H1628" s="5" t="inlineStr">
        <is>
          <t xml:space="preserve">PO2526-03889 </t>
        </is>
      </c>
      <c r="I1628" s="286" t="n">
        <v>45948</v>
      </c>
      <c r="J1628" s="26" t="n"/>
      <c r="K1628" s="20" t="n">
        <v>45</v>
      </c>
      <c r="L1628" s="5" t="inlineStr">
        <is>
          <t>SFST81000048</t>
        </is>
      </c>
      <c r="M1628" s="7" t="inlineStr">
        <is>
          <t>Cooling machine for PD line</t>
        </is>
      </c>
      <c r="N1628" s="7" t="inlineStr">
        <is>
          <t>Condencer Unit No.21 (COLD3)</t>
        </is>
      </c>
      <c r="O1628" s="11" t="n">
        <v>2</v>
      </c>
      <c r="P1628" s="10" t="inlineStr">
        <is>
          <t>Suction shutt Valve 1-5/8</t>
        </is>
      </c>
      <c r="Q1628" s="277" t="n">
        <v>1</v>
      </c>
      <c r="R1628" s="5" t="inlineStr">
        <is>
          <t>PCS.</t>
        </is>
      </c>
      <c r="S1628" s="284">
        <f>RawDataGenPO[[#This Row],[Total price]]/RawDataGenPO[[#This Row],[Qty'']]</f>
        <v/>
      </c>
      <c r="T1628" s="278" t="n">
        <v>7500</v>
      </c>
      <c r="U1628" s="291" t="n"/>
      <c r="V1628" s="7" t="inlineStr">
        <is>
          <t>V1000554 - SHANTECH (THAILAND) CO.,LTD.</t>
        </is>
      </c>
      <c r="W1628" s="30" t="inlineStr">
        <is>
          <t>Recive bill and GRN already</t>
        </is>
      </c>
      <c r="X1628" s="5" t="inlineStr">
        <is>
          <t>GRN2526-0005004</t>
        </is>
      </c>
      <c r="Y1628" s="3" t="n">
        <v>45964</v>
      </c>
      <c r="Z1628" s="23" t="n"/>
      <c r="AA1628" s="17">
        <f>IF(RawDataGenPO[[#This Row],[Date Gen PO]]="","",RawDataGenPO[[#This Row],[Date recive bill]]-RawDataGenPO[[#This Row],[Date Gen PO]])</f>
        <v/>
      </c>
      <c r="AB1628" s="16">
        <f>IF(RawDataGenPO[[#This Row],[GRN-PO date]]&gt;RawDataGenPO[[#This Row],[Lead time delivery (day)]],"over deliverry","Ontime")</f>
        <v/>
      </c>
      <c r="AC1628" s="22" t="n"/>
    </row>
    <row r="1629" ht="15" customHeight="1">
      <c r="A1629" s="5">
        <f>ROW()-ROW(RawDataGenPO[[#Headers],[No.]])</f>
        <v/>
      </c>
      <c r="B1629" s="7" t="inlineStr">
        <is>
          <t>Expent  cost</t>
        </is>
      </c>
      <c r="C1629" s="371" t="n">
        <v>45938</v>
      </c>
      <c r="F1629" s="371" t="n">
        <v>45938</v>
      </c>
      <c r="G1629" s="5" t="inlineStr">
        <is>
          <t>PR2526-02736</t>
        </is>
      </c>
      <c r="H1629" s="5" t="inlineStr">
        <is>
          <t xml:space="preserve">PO2526-03889 </t>
        </is>
      </c>
      <c r="I1629" s="286" t="n">
        <v>45948</v>
      </c>
      <c r="J1629" s="26" t="n"/>
      <c r="K1629" s="20" t="n">
        <v>45</v>
      </c>
      <c r="L1629" s="5" t="inlineStr">
        <is>
          <t>SFST81000048</t>
        </is>
      </c>
      <c r="M1629" s="7" t="inlineStr">
        <is>
          <t>Cooling machine for PD line</t>
        </is>
      </c>
      <c r="N1629" s="7" t="inlineStr">
        <is>
          <t>Condencer Unit No.21 (COLD3)</t>
        </is>
      </c>
      <c r="O1629" s="11" t="n">
        <v>3</v>
      </c>
      <c r="P1629" s="10" t="inlineStr">
        <is>
          <t>Drier Shell sizepipeinlet-outlet 7/8 1 core</t>
        </is>
      </c>
      <c r="Q1629" s="277" t="n">
        <v>1</v>
      </c>
      <c r="R1629" s="5" t="inlineStr">
        <is>
          <t>PCS.</t>
        </is>
      </c>
      <c r="S1629" s="284">
        <f>RawDataGenPO[[#This Row],[Total price]]/RawDataGenPO[[#This Row],[Qty'']]</f>
        <v/>
      </c>
      <c r="T1629" s="278" t="n">
        <v>5000</v>
      </c>
      <c r="U1629" s="291" t="n"/>
      <c r="V1629" s="7" t="inlineStr">
        <is>
          <t>V1000554 - SHANTECH (THAILAND) CO.,LTD.</t>
        </is>
      </c>
      <c r="W1629" s="30" t="inlineStr">
        <is>
          <t>Recive bill and GRN already</t>
        </is>
      </c>
      <c r="X1629" s="5" t="inlineStr">
        <is>
          <t>GRN2526-0005004</t>
        </is>
      </c>
      <c r="Y1629" s="3" t="n">
        <v>45964</v>
      </c>
      <c r="Z1629" s="23" t="n"/>
      <c r="AA1629" s="17">
        <f>IF(RawDataGenPO[[#This Row],[Date Gen PO]]="","",RawDataGenPO[[#This Row],[Date recive bill]]-RawDataGenPO[[#This Row],[Date Gen PO]])</f>
        <v/>
      </c>
      <c r="AB1629" s="16">
        <f>IF(RawDataGenPO[[#This Row],[GRN-PO date]]&gt;RawDataGenPO[[#This Row],[Lead time delivery (day)]],"over deliverry","Ontime")</f>
        <v/>
      </c>
      <c r="AC1629" s="22" t="n"/>
    </row>
    <row r="1630" ht="150" customHeight="1">
      <c r="A1630" s="5">
        <f>ROW()-ROW(RawDataGenPO[[#Headers],[No.]])</f>
        <v/>
      </c>
      <c r="B1630" s="7" t="inlineStr">
        <is>
          <t>Expent  cost</t>
        </is>
      </c>
      <c r="C1630" s="371" t="n">
        <v>45941</v>
      </c>
      <c r="F1630" s="371" t="n">
        <v>45941</v>
      </c>
      <c r="G1630" s="5" t="inlineStr">
        <is>
          <t>PR2526-02753</t>
        </is>
      </c>
      <c r="H1630" s="5" t="inlineStr">
        <is>
          <t>PO2526-03885</t>
        </is>
      </c>
      <c r="I1630" s="286" t="n">
        <v>45948</v>
      </c>
      <c r="J1630" s="26" t="n"/>
      <c r="K1630" s="20" t="n">
        <v>45</v>
      </c>
      <c r="L1630" s="5" t="inlineStr">
        <is>
          <t>SFST81000048</t>
        </is>
      </c>
      <c r="M1630" s="7" t="inlineStr">
        <is>
          <t>Foam &amp; Cleaning solution pump system</t>
        </is>
      </c>
      <c r="N1630" s="7" t="inlineStr">
        <is>
          <t>Water pump for production line cleaning No.1</t>
        </is>
      </c>
      <c r="O1630" s="11" t="n">
        <v>1</v>
      </c>
      <c r="P1630" s="10" t="inlineStr">
        <is>
          <t>Rewinding Motor (Spar Mixer (Model:SPA80HI-E)
Parts Table G for Motor Unit
- Remove Spar Mixer to srp workshop
- Disassembly and Inspection
- Replace bearing DE (G-8012) = 1 EA
- Replace bearing NDE (G-8017) = 1 EA
- Replace O-ring (G-8005) = 1 EA
- Dynamic balance rotor
- Rewinding Motor Coil :3HP (G-8015)
- Assembly painting and no load test</t>
        </is>
      </c>
      <c r="Q1630" s="277" t="n">
        <v>1</v>
      </c>
      <c r="R1630" s="5" t="inlineStr">
        <is>
          <t>Job.</t>
        </is>
      </c>
      <c r="S1630" s="284">
        <f>RawDataGenPO[[#This Row],[Total price]]/RawDataGenPO[[#This Row],[Qty'']]</f>
        <v/>
      </c>
      <c r="T1630" s="278" t="n">
        <v>12000</v>
      </c>
      <c r="U1630" s="291" t="n"/>
      <c r="V1630" s="7" t="inlineStr">
        <is>
          <t>V1000659 - SRP Maintenance and Service Co.,Ltd.</t>
        </is>
      </c>
      <c r="W1630" s="30" t="inlineStr">
        <is>
          <t>Recive bill and GRN already</t>
        </is>
      </c>
      <c r="X1630" s="5" t="inlineStr">
        <is>
          <t>GRN2526-0004947</t>
        </is>
      </c>
      <c r="Y1630" s="3" t="n">
        <v>45962</v>
      </c>
      <c r="Z1630" s="23" t="n"/>
      <c r="AA1630" s="17">
        <f>IF(RawDataGenPO[[#This Row],[Date Gen PO]]="","",RawDataGenPO[[#This Row],[Date recive bill]]-RawDataGenPO[[#This Row],[Date Gen PO]])</f>
        <v/>
      </c>
      <c r="AB1630" s="16">
        <f>IF(RawDataGenPO[[#This Row],[GRN-PO date]]&gt;RawDataGenPO[[#This Row],[Lead time delivery (day)]],"over deliverry","Ontime")</f>
        <v/>
      </c>
      <c r="AC1630" s="22" t="n"/>
    </row>
    <row r="1631" ht="30" customHeight="1">
      <c r="A1631" s="5">
        <f>ROW()-ROW(RawDataGenPO[[#Headers],[No.]])</f>
        <v/>
      </c>
      <c r="B1631" s="7" t="inlineStr">
        <is>
          <t>Expent  cost</t>
        </is>
      </c>
      <c r="C1631" s="371" t="n">
        <v>45941</v>
      </c>
      <c r="F1631" s="371" t="n">
        <v>45941</v>
      </c>
      <c r="G1631" s="5" t="inlineStr">
        <is>
          <t>PR2526-02753</t>
        </is>
      </c>
      <c r="H1631" s="5" t="inlineStr">
        <is>
          <t>PO2526-03885</t>
        </is>
      </c>
      <c r="I1631" s="286" t="n">
        <v>45948</v>
      </c>
      <c r="J1631" s="26" t="n"/>
      <c r="K1631" s="20" t="n">
        <v>45</v>
      </c>
      <c r="L1631" s="5" t="inlineStr">
        <is>
          <t>SFST81000048</t>
        </is>
      </c>
      <c r="M1631" s="7" t="inlineStr">
        <is>
          <t>Foam &amp; Cleaning solution pump system</t>
        </is>
      </c>
      <c r="N1631" s="7" t="inlineStr">
        <is>
          <t>Water pump for production line cleaning No.1</t>
        </is>
      </c>
      <c r="O1631" s="11" t="n">
        <v>2</v>
      </c>
      <c r="P1631" s="10" t="inlineStr">
        <is>
          <t>Service Installation Motor (Spar Mixer (Model:SP-A80HI-E)
- Installation and Alignment and test run</t>
        </is>
      </c>
      <c r="Q1631" s="277" t="n">
        <v>1</v>
      </c>
      <c r="R1631" s="5" t="inlineStr">
        <is>
          <t>Job.</t>
        </is>
      </c>
      <c r="S1631" s="284">
        <f>RawDataGenPO[[#This Row],[Total price]]/RawDataGenPO[[#This Row],[Qty'']]</f>
        <v/>
      </c>
      <c r="T1631" s="278" t="n">
        <v>3500</v>
      </c>
      <c r="U1631" s="291" t="n"/>
      <c r="V1631" s="7" t="inlineStr">
        <is>
          <t>V1000659 - SRP Maintenance and Service Co.,Ltd.</t>
        </is>
      </c>
      <c r="W1631" s="30" t="inlineStr">
        <is>
          <t>Recive bill and GRN already</t>
        </is>
      </c>
      <c r="X1631" s="5" t="inlineStr">
        <is>
          <t>GRN2526-0004947</t>
        </is>
      </c>
      <c r="Y1631" s="3" t="n">
        <v>45962</v>
      </c>
      <c r="Z1631" s="23" t="n"/>
      <c r="AA1631" s="17">
        <f>IF(RawDataGenPO[[#This Row],[Date Gen PO]]="","",RawDataGenPO[[#This Row],[Date recive bill]]-RawDataGenPO[[#This Row],[Date Gen PO]])</f>
        <v/>
      </c>
      <c r="AB1631" s="16">
        <f>IF(RawDataGenPO[[#This Row],[GRN-PO date]]&gt;RawDataGenPO[[#This Row],[Lead time delivery (day)]],"over deliverry","Ontime")</f>
        <v/>
      </c>
      <c r="AC1631" s="22" t="n"/>
    </row>
    <row r="1632" ht="15" customHeight="1">
      <c r="A1632" s="5">
        <f>ROW()-ROW(RawDataGenPO[[#Headers],[No.]])</f>
        <v/>
      </c>
      <c r="B1632" s="7" t="inlineStr">
        <is>
          <t>Expent  cost</t>
        </is>
      </c>
      <c r="C1632" s="371" t="n">
        <v>45941</v>
      </c>
      <c r="F1632" s="371" t="n">
        <v>45941</v>
      </c>
      <c r="G1632" s="5" t="inlineStr">
        <is>
          <t>PR2526-02754</t>
        </is>
      </c>
      <c r="H1632" s="5" t="inlineStr">
        <is>
          <t>PO2526-03896</t>
        </is>
      </c>
      <c r="I1632" s="286" t="n">
        <v>45950</v>
      </c>
      <c r="J1632" s="26" t="n"/>
      <c r="K1632" s="20" t="n">
        <v>45</v>
      </c>
      <c r="L1632" s="5" t="inlineStr">
        <is>
          <t>SFST81000005</t>
        </is>
      </c>
      <c r="M1632" s="7" t="inlineStr">
        <is>
          <t>Office Air condition</t>
        </is>
      </c>
      <c r="N1632" s="7" t="inlineStr">
        <is>
          <t>Cooling system jobs</t>
        </is>
      </c>
      <c r="O1632" s="11" t="n">
        <v>1</v>
      </c>
      <c r="P1632" s="10" t="inlineStr">
        <is>
          <t>Cleaning Air conditioner Wall type</t>
        </is>
      </c>
      <c r="Q1632" s="277" t="n">
        <v>34</v>
      </c>
      <c r="R1632" s="5" t="inlineStr">
        <is>
          <t>Job.</t>
        </is>
      </c>
      <c r="S1632" s="284">
        <f>RawDataGenPO[[#This Row],[Total price]]/RawDataGenPO[[#This Row],[Qty'']]</f>
        <v/>
      </c>
      <c r="T1632" s="278" t="n">
        <v>20400</v>
      </c>
      <c r="U1632" s="291" t="n"/>
      <c r="V1632" s="7" t="inlineStr">
        <is>
          <t>V1000543 - T.W.A.N. Engineering Co.,Ltd</t>
        </is>
      </c>
      <c r="W1632" s="30" t="inlineStr">
        <is>
          <t>Recive bill and GRN already</t>
        </is>
      </c>
      <c r="X1632" s="5" t="inlineStr">
        <is>
          <t>GRN2526-0005553</t>
        </is>
      </c>
      <c r="Y1632" s="3" t="n">
        <v>45982</v>
      </c>
      <c r="Z1632" s="23" t="n"/>
      <c r="AA1632" s="17">
        <f>IF(RawDataGenPO[[#This Row],[Date Gen PO]]="","",RawDataGenPO[[#This Row],[Date recive bill]]-RawDataGenPO[[#This Row],[Date Gen PO]])</f>
        <v/>
      </c>
      <c r="AB1632" s="16">
        <f>IF(RawDataGenPO[[#This Row],[GRN-PO date]]&gt;RawDataGenPO[[#This Row],[Lead time delivery (day)]],"over deliverry","Ontime")</f>
        <v/>
      </c>
      <c r="AC1632" s="22" t="n"/>
    </row>
    <row r="1633" ht="15" customHeight="1">
      <c r="A1633" s="5">
        <f>ROW()-ROW(RawDataGenPO[[#Headers],[No.]])</f>
        <v/>
      </c>
      <c r="B1633" s="7" t="inlineStr">
        <is>
          <t>Expent  cost</t>
        </is>
      </c>
      <c r="C1633" s="371" t="n">
        <v>45941</v>
      </c>
      <c r="F1633" s="371" t="n">
        <v>45941</v>
      </c>
      <c r="G1633" s="5" t="inlineStr">
        <is>
          <t>PR2526-02754</t>
        </is>
      </c>
      <c r="H1633" s="5" t="inlineStr">
        <is>
          <t>PO2526-03896</t>
        </is>
      </c>
      <c r="I1633" s="286" t="n">
        <v>45950</v>
      </c>
      <c r="J1633" s="26" t="n"/>
      <c r="K1633" s="20" t="n">
        <v>45</v>
      </c>
      <c r="L1633" s="5" t="inlineStr">
        <is>
          <t>SFST81000005</t>
        </is>
      </c>
      <c r="M1633" s="7" t="inlineStr">
        <is>
          <t>Office Air condition</t>
        </is>
      </c>
      <c r="N1633" s="7" t="inlineStr">
        <is>
          <t>Cooling system jobs</t>
        </is>
      </c>
      <c r="O1633" s="11" t="n">
        <v>2</v>
      </c>
      <c r="P1633" s="10" t="inlineStr">
        <is>
          <t>Cleaning Air conditioner Ceiling Type</t>
        </is>
      </c>
      <c r="Q1633" s="277" t="n">
        <v>12</v>
      </c>
      <c r="R1633" s="5" t="inlineStr">
        <is>
          <t>Job.</t>
        </is>
      </c>
      <c r="S1633" s="284">
        <f>RawDataGenPO[[#This Row],[Total price]]/RawDataGenPO[[#This Row],[Qty'']]</f>
        <v/>
      </c>
      <c r="T1633" s="278" t="n">
        <v>12000</v>
      </c>
      <c r="U1633" s="291" t="n"/>
      <c r="V1633" s="7" t="inlineStr">
        <is>
          <t>V1000543 - T.W.A.N. Engineering Co.,Ltd</t>
        </is>
      </c>
      <c r="W1633" s="30" t="inlineStr">
        <is>
          <t>Recive bill and GRN already</t>
        </is>
      </c>
      <c r="X1633" s="5" t="inlineStr">
        <is>
          <t>GRN2526-0005553</t>
        </is>
      </c>
      <c r="Y1633" s="3" t="n">
        <v>45982</v>
      </c>
      <c r="Z1633" s="23" t="n"/>
      <c r="AA1633" s="17">
        <f>IF(RawDataGenPO[[#This Row],[Date Gen PO]]="","",RawDataGenPO[[#This Row],[Date recive bill]]-RawDataGenPO[[#This Row],[Date Gen PO]])</f>
        <v/>
      </c>
      <c r="AB1633" s="16">
        <f>IF(RawDataGenPO[[#This Row],[GRN-PO date]]&gt;RawDataGenPO[[#This Row],[Lead time delivery (day)]],"over deliverry","Ontime")</f>
        <v/>
      </c>
      <c r="AC1633" s="22" t="n"/>
    </row>
    <row r="1634" ht="15" customHeight="1">
      <c r="A1634" s="5">
        <f>ROW()-ROW(RawDataGenPO[[#Headers],[No.]])</f>
        <v/>
      </c>
      <c r="B1634" s="7" t="inlineStr">
        <is>
          <t>Expent  cost</t>
        </is>
      </c>
      <c r="C1634" s="371" t="n">
        <v>45941</v>
      </c>
      <c r="F1634" s="371" t="n">
        <v>45941</v>
      </c>
      <c r="G1634" s="5" t="inlineStr">
        <is>
          <t>PR2526-02754</t>
        </is>
      </c>
      <c r="H1634" s="5" t="inlineStr">
        <is>
          <t>PO2526-03896</t>
        </is>
      </c>
      <c r="I1634" s="286" t="n">
        <v>45950</v>
      </c>
      <c r="J1634" s="26" t="n"/>
      <c r="K1634" s="20" t="n">
        <v>45</v>
      </c>
      <c r="L1634" s="5" t="inlineStr">
        <is>
          <t>SFST81000005</t>
        </is>
      </c>
      <c r="M1634" s="7" t="inlineStr">
        <is>
          <t>Office Air condition</t>
        </is>
      </c>
      <c r="N1634" s="7" t="inlineStr">
        <is>
          <t>Cooling system jobs</t>
        </is>
      </c>
      <c r="O1634" s="11" t="n">
        <v>3</v>
      </c>
      <c r="P1634" s="10" t="inlineStr">
        <is>
          <t>Cleaning Air conditioner R&amp;D kitchen (Ceiling Concealed)</t>
        </is>
      </c>
      <c r="Q1634" s="277" t="n">
        <v>2</v>
      </c>
      <c r="R1634" s="5" t="inlineStr">
        <is>
          <t>Job.</t>
        </is>
      </c>
      <c r="S1634" s="284">
        <f>RawDataGenPO[[#This Row],[Total price]]/RawDataGenPO[[#This Row],[Qty'']]</f>
        <v/>
      </c>
      <c r="T1634" s="278" t="n">
        <v>2600</v>
      </c>
      <c r="U1634" s="291" t="n"/>
      <c r="V1634" s="7" t="inlineStr">
        <is>
          <t>V1000543 - T.W.A.N. Engineering Co.,Ltd</t>
        </is>
      </c>
      <c r="W1634" s="30" t="inlineStr">
        <is>
          <t>Recive bill and GRN already</t>
        </is>
      </c>
      <c r="X1634" s="5" t="inlineStr">
        <is>
          <t>GRN2526-0005553</t>
        </is>
      </c>
      <c r="Y1634" s="3" t="n">
        <v>45982</v>
      </c>
      <c r="Z1634" s="23" t="n"/>
      <c r="AA1634" s="17">
        <f>IF(RawDataGenPO[[#This Row],[Date Gen PO]]="","",RawDataGenPO[[#This Row],[Date recive bill]]-RawDataGenPO[[#This Row],[Date Gen PO]])</f>
        <v/>
      </c>
      <c r="AB1634" s="16">
        <f>IF(RawDataGenPO[[#This Row],[GRN-PO date]]&gt;RawDataGenPO[[#This Row],[Lead time delivery (day)]],"over deliverry","Ontime")</f>
        <v/>
      </c>
      <c r="AC1634" s="22" t="n"/>
    </row>
    <row r="1635" ht="15" customHeight="1">
      <c r="A1635" s="5">
        <f>ROW()-ROW(RawDataGenPO[[#Headers],[No.]])</f>
        <v/>
      </c>
      <c r="B1635" s="7" t="inlineStr">
        <is>
          <t>Expent  cost</t>
        </is>
      </c>
      <c r="C1635" s="371" t="n">
        <v>45941</v>
      </c>
      <c r="F1635" s="371" t="n">
        <v>45941</v>
      </c>
      <c r="G1635" s="5" t="inlineStr">
        <is>
          <t>PR2526-02754</t>
        </is>
      </c>
      <c r="H1635" s="5" t="inlineStr">
        <is>
          <t>PO2526-03896</t>
        </is>
      </c>
      <c r="I1635" s="286" t="n">
        <v>45950</v>
      </c>
      <c r="J1635" s="26" t="n"/>
      <c r="K1635" s="20" t="n">
        <v>45</v>
      </c>
      <c r="L1635" s="5" t="inlineStr">
        <is>
          <t>SFST81000005</t>
        </is>
      </c>
      <c r="M1635" s="7" t="inlineStr">
        <is>
          <t>Office Air condition</t>
        </is>
      </c>
      <c r="N1635" s="7" t="inlineStr">
        <is>
          <t>Cooling system jobs</t>
        </is>
      </c>
      <c r="O1635" s="11" t="n">
        <v>4</v>
      </c>
      <c r="P1635" s="10" t="inlineStr">
        <is>
          <t>Cleaning Air conditioner SATS Meeting (4 CH)</t>
        </is>
      </c>
      <c r="Q1635" s="277" t="n">
        <v>6</v>
      </c>
      <c r="R1635" s="5" t="inlineStr">
        <is>
          <t>Job.</t>
        </is>
      </c>
      <c r="S1635" s="284">
        <f>RawDataGenPO[[#This Row],[Total price]]/RawDataGenPO[[#This Row],[Qty'']]</f>
        <v/>
      </c>
      <c r="T1635" s="278" t="n">
        <v>1500</v>
      </c>
      <c r="U1635" s="291" t="n"/>
      <c r="V1635" s="7" t="inlineStr">
        <is>
          <t>V1000543 - T.W.A.N. Engineering Co.,Ltd</t>
        </is>
      </c>
      <c r="W1635" s="30" t="inlineStr">
        <is>
          <t>Recive bill and GRN already</t>
        </is>
      </c>
      <c r="X1635" s="5" t="inlineStr">
        <is>
          <t>GRN2526-0005553</t>
        </is>
      </c>
      <c r="Y1635" s="3" t="n">
        <v>45982</v>
      </c>
      <c r="Z1635" s="23" t="n"/>
      <c r="AA1635" s="17">
        <f>IF(RawDataGenPO[[#This Row],[Date Gen PO]]="","",RawDataGenPO[[#This Row],[Date recive bill]]-RawDataGenPO[[#This Row],[Date Gen PO]])</f>
        <v/>
      </c>
      <c r="AB1635" s="16">
        <f>IF(RawDataGenPO[[#This Row],[GRN-PO date]]&gt;RawDataGenPO[[#This Row],[Lead time delivery (day)]],"over deliverry","Ontime")</f>
        <v/>
      </c>
      <c r="AC1635" s="22" t="n"/>
    </row>
    <row r="1636" ht="15" customHeight="1">
      <c r="A1636" s="5">
        <f>ROW()-ROW(RawDataGenPO[[#Headers],[No.]])</f>
        <v/>
      </c>
      <c r="B1636" s="7" t="inlineStr">
        <is>
          <t>Expent  cost</t>
        </is>
      </c>
      <c r="C1636" s="371" t="n">
        <v>45941</v>
      </c>
      <c r="F1636" s="371" t="n">
        <v>45941</v>
      </c>
      <c r="G1636" s="5" t="inlineStr">
        <is>
          <t>PR2526-02755</t>
        </is>
      </c>
      <c r="H1636" s="5" t="inlineStr">
        <is>
          <t>PO2526-03903</t>
        </is>
      </c>
      <c r="I1636" s="286" t="n">
        <v>45948</v>
      </c>
      <c r="J1636" s="26" t="n"/>
      <c r="K1636" s="20" t="n">
        <v>45</v>
      </c>
      <c r="L1636" s="5" t="inlineStr">
        <is>
          <t>SFST81000048</t>
        </is>
      </c>
      <c r="M1636" s="7" t="inlineStr">
        <is>
          <t>Office Air condition</t>
        </is>
      </c>
      <c r="N1636" s="7" t="inlineStr">
        <is>
          <t>Cooling  part</t>
        </is>
      </c>
      <c r="O1636" s="11" t="n">
        <v>1</v>
      </c>
      <c r="P1636" s="10" t="inlineStr">
        <is>
          <t>FOK - 04 thread 1/2" Oil Filter</t>
        </is>
      </c>
      <c r="Q1636" s="277" t="n">
        <v>6</v>
      </c>
      <c r="R1636" s="5" t="inlineStr">
        <is>
          <t>PCS.</t>
        </is>
      </c>
      <c r="S1636" s="284">
        <f>RawDataGenPO[[#This Row],[Total price]]/RawDataGenPO[[#This Row],[Qty'']]</f>
        <v/>
      </c>
      <c r="T1636" s="278" t="n">
        <v>5700</v>
      </c>
      <c r="U1636" s="291" t="n"/>
      <c r="V1636" s="7" t="inlineStr">
        <is>
          <t>V1000310 - BOONBAWORN ENGINEERING CO., LTD</t>
        </is>
      </c>
      <c r="W1636" s="30" t="inlineStr">
        <is>
          <t>Recive bill and GRN already</t>
        </is>
      </c>
      <c r="X1636" s="5" t="inlineStr">
        <is>
          <t>GRN2526-0005305</t>
        </is>
      </c>
      <c r="Y1636" s="3" t="n">
        <v>45974</v>
      </c>
      <c r="Z1636" s="23" t="n"/>
      <c r="AA1636" s="17">
        <f>IF(RawDataGenPO[[#This Row],[Date Gen PO]]="","",RawDataGenPO[[#This Row],[Date recive bill]]-RawDataGenPO[[#This Row],[Date Gen PO]])</f>
        <v/>
      </c>
      <c r="AB1636" s="16">
        <f>IF(RawDataGenPO[[#This Row],[GRN-PO date]]&gt;RawDataGenPO[[#This Row],[Lead time delivery (day)]],"over deliverry","Ontime")</f>
        <v/>
      </c>
      <c r="AC1636" s="22" t="n"/>
    </row>
    <row r="1637" ht="15" customHeight="1">
      <c r="A1637" s="5">
        <f>ROW()-ROW(RawDataGenPO[[#Headers],[No.]])</f>
        <v/>
      </c>
      <c r="B1637" s="7" t="inlineStr">
        <is>
          <t>Expent  cost</t>
        </is>
      </c>
      <c r="C1637" s="371" t="n">
        <v>45941</v>
      </c>
      <c r="F1637" s="371" t="n">
        <v>45941</v>
      </c>
      <c r="G1637" s="5" t="inlineStr">
        <is>
          <t>PR2526-02756</t>
        </is>
      </c>
      <c r="H1637" s="5" t="inlineStr">
        <is>
          <t>PO2526-03905</t>
        </is>
      </c>
      <c r="I1637" s="286" t="n">
        <v>45948</v>
      </c>
      <c r="J1637" s="26" t="n"/>
      <c r="K1637" s="20" t="n">
        <v>45</v>
      </c>
      <c r="L1637" s="5" t="inlineStr">
        <is>
          <t>SFST81000009</t>
        </is>
      </c>
      <c r="M1637" s="7" t="inlineStr">
        <is>
          <t>Electrical system in PD area</t>
        </is>
      </c>
      <c r="N1637" s="7" t="inlineStr">
        <is>
          <t>Electrical part</t>
        </is>
      </c>
      <c r="O1637" s="11" t="n">
        <v>1</v>
      </c>
      <c r="P1637" s="10" t="inlineStr">
        <is>
          <t>HACO switch 1 1 slot model AP-S111</t>
        </is>
      </c>
      <c r="Q1637" s="277" t="n">
        <v>20</v>
      </c>
      <c r="R1637" s="5" t="inlineStr">
        <is>
          <t>PCS.</t>
        </is>
      </c>
      <c r="S1637" s="284">
        <f>RawDataGenPO[[#This Row],[Total price]]/RawDataGenPO[[#This Row],[Qty'']]</f>
        <v/>
      </c>
      <c r="T1637" s="278" t="n">
        <v>440</v>
      </c>
      <c r="U1637" s="291" t="n"/>
      <c r="V1637" s="7" t="inlineStr">
        <is>
          <t>V1000481 - Company JW Tech Ltd.</t>
        </is>
      </c>
      <c r="W1637" s="30" t="inlineStr">
        <is>
          <t>Recive bill and GRN already</t>
        </is>
      </c>
      <c r="X1637" s="5" t="inlineStr">
        <is>
          <t>GRN2526-0004949</t>
        </is>
      </c>
      <c r="Y1637" s="3" t="n">
        <v>45962</v>
      </c>
      <c r="Z1637" s="23" t="n"/>
      <c r="AA1637" s="17">
        <f>IF(RawDataGenPO[[#This Row],[Date Gen PO]]="","",RawDataGenPO[[#This Row],[Date recive bill]]-RawDataGenPO[[#This Row],[Date Gen PO]])</f>
        <v/>
      </c>
      <c r="AB1637" s="16">
        <f>IF(RawDataGenPO[[#This Row],[GRN-PO date]]&gt;RawDataGenPO[[#This Row],[Lead time delivery (day)]],"over deliverry","Ontime")</f>
        <v/>
      </c>
      <c r="AC1637" s="22" t="n"/>
    </row>
    <row r="1638" ht="45" customHeight="1">
      <c r="A1638" s="5">
        <f>ROW()-ROW(RawDataGenPO[[#Headers],[No.]])</f>
        <v/>
      </c>
      <c r="B1638" s="7" t="inlineStr">
        <is>
          <t>Expent  cost</t>
        </is>
      </c>
      <c r="C1638" s="371" t="n">
        <v>45941</v>
      </c>
      <c r="F1638" s="371" t="n">
        <v>45941</v>
      </c>
      <c r="G1638" s="5" t="inlineStr">
        <is>
          <t>PR2526-02756</t>
        </is>
      </c>
      <c r="H1638" s="5" t="inlineStr">
        <is>
          <t>PO2526-03905</t>
        </is>
      </c>
      <c r="I1638" s="286" t="n">
        <v>45948</v>
      </c>
      <c r="J1638" s="26" t="n"/>
      <c r="K1638" s="20" t="n">
        <v>45</v>
      </c>
      <c r="L1638" s="5" t="inlineStr">
        <is>
          <t>SFST81000009</t>
        </is>
      </c>
      <c r="M1638" s="7" t="inlineStr">
        <is>
          <t>Electrical system in PD area</t>
        </is>
      </c>
      <c r="N1638" s="7" t="inlineStr">
        <is>
          <t>Electrical part</t>
        </is>
      </c>
      <c r="O1638" s="11" t="n">
        <v>2</v>
      </c>
      <c r="P1638" s="10" t="inlineStr">
        <is>
          <t>Haco 6750532 sockettype typewaterproof (notWmbox) Flanged Socket Sloping 15° 6h with Gasket to IEC 309 Watertight. 32A 5Pin (3P+N+E) 400V IP67</t>
        </is>
      </c>
      <c r="Q1638" s="277" t="n">
        <v>4</v>
      </c>
      <c r="R1638" s="5" t="inlineStr">
        <is>
          <t>PCS.</t>
        </is>
      </c>
      <c r="S1638" s="284">
        <f>RawDataGenPO[[#This Row],[Total price]]/RawDataGenPO[[#This Row],[Qty'']]</f>
        <v/>
      </c>
      <c r="T1638" s="278" t="n">
        <v>1710</v>
      </c>
      <c r="U1638" s="291" t="n"/>
      <c r="V1638" s="7" t="inlineStr">
        <is>
          <t>V1000481 - Company JW Tech Ltd.</t>
        </is>
      </c>
      <c r="W1638" s="30" t="inlineStr">
        <is>
          <t>Recive bill and GRN already</t>
        </is>
      </c>
      <c r="X1638" s="5" t="inlineStr">
        <is>
          <t>GRN2526-0004949</t>
        </is>
      </c>
      <c r="Y1638" s="3" t="n">
        <v>45962</v>
      </c>
      <c r="Z1638" s="23" t="n"/>
      <c r="AA1638" s="17">
        <f>IF(RawDataGenPO[[#This Row],[Date Gen PO]]="","",RawDataGenPO[[#This Row],[Date recive bill]]-RawDataGenPO[[#This Row],[Date Gen PO]])</f>
        <v/>
      </c>
      <c r="AB1638" s="16">
        <f>IF(RawDataGenPO[[#This Row],[GRN-PO date]]&gt;RawDataGenPO[[#This Row],[Lead time delivery (day)]],"over deliverry","Ontime")</f>
        <v/>
      </c>
      <c r="AC1638" s="22" t="n"/>
    </row>
    <row r="1639" ht="30" customHeight="1">
      <c r="A1639" s="5">
        <f>ROW()-ROW(RawDataGenPO[[#Headers],[No.]])</f>
        <v/>
      </c>
      <c r="B1639" s="7" t="inlineStr">
        <is>
          <t>Expent  cost</t>
        </is>
      </c>
      <c r="C1639" s="371" t="n">
        <v>45941</v>
      </c>
      <c r="F1639" s="371" t="n">
        <v>45941</v>
      </c>
      <c r="G1639" s="5" t="inlineStr">
        <is>
          <t>PR2526-02757</t>
        </is>
      </c>
      <c r="H1639" s="5" t="inlineStr">
        <is>
          <t>PO2526-04152</t>
        </is>
      </c>
      <c r="I1639" s="286" t="n">
        <v>45965</v>
      </c>
      <c r="J1639" s="26" t="n"/>
      <c r="K1639" s="20" t="n">
        <v>60</v>
      </c>
      <c r="L1639" s="5" t="inlineStr">
        <is>
          <t>SFST81000009</t>
        </is>
      </c>
      <c r="M1639" s="7" t="inlineStr">
        <is>
          <t>PD Machine</t>
        </is>
      </c>
      <c r="N1639" s="7" t="inlineStr">
        <is>
          <t>Consumable part</t>
        </is>
      </c>
      <c r="O1639" s="11" t="n">
        <v>1</v>
      </c>
      <c r="P1639" s="10" t="inlineStr">
        <is>
          <t>wheel 4 inch stainless steel 304
sizepcswheel 100 mm. frontm 32 mm. high 130 mm.</t>
        </is>
      </c>
      <c r="Q1639" s="277" t="n">
        <v>12</v>
      </c>
      <c r="R1639" s="5" t="inlineStr">
        <is>
          <t>pcs.</t>
        </is>
      </c>
      <c r="S1639" s="284">
        <f>RawDataGenPO[[#This Row],[Total price]]/RawDataGenPO[[#This Row],[Qty'']]</f>
        <v/>
      </c>
      <c r="T1639" s="278" t="n">
        <v>7800</v>
      </c>
      <c r="U1639" s="291" t="n"/>
      <c r="V1639" s="7" t="inlineStr">
        <is>
          <t>V1000928 - CLEAN WORLD PRODUCTS AND SUPPLY CO.,LTD.</t>
        </is>
      </c>
      <c r="W1639" s="30" t="inlineStr">
        <is>
          <t>Recive bill and GRN already</t>
        </is>
      </c>
      <c r="X1639" s="5" t="inlineStr">
        <is>
          <t>GRN2526-0006101</t>
        </is>
      </c>
      <c r="Y1639" s="3" t="n">
        <v>46006</v>
      </c>
      <c r="Z1639" s="23" t="n"/>
      <c r="AA1639" s="17">
        <f>IF(RawDataGenPO[[#This Row],[Date Gen PO]]="","",RawDataGenPO[[#This Row],[Date recive bill]]-RawDataGenPO[[#This Row],[Date Gen PO]])</f>
        <v/>
      </c>
      <c r="AB1639" s="16">
        <f>IF(RawDataGenPO[[#This Row],[GRN-PO date]]&gt;RawDataGenPO[[#This Row],[Lead time delivery (day)]],"over deliverry","Ontime")</f>
        <v/>
      </c>
      <c r="AC1639" s="22" t="n"/>
    </row>
    <row r="1640" ht="15" customHeight="1">
      <c r="A1640" s="5">
        <f>ROW()-ROW(RawDataGenPO[[#Headers],[No.]])</f>
        <v/>
      </c>
      <c r="B1640" s="7" t="inlineStr">
        <is>
          <t>Expent  cost</t>
        </is>
      </c>
      <c r="C1640" s="371" t="n">
        <v>45941</v>
      </c>
      <c r="F1640" s="371" t="n">
        <v>45941</v>
      </c>
      <c r="G1640" s="5" t="inlineStr">
        <is>
          <t>PR2526-02757</t>
        </is>
      </c>
      <c r="H1640" s="5" t="inlineStr">
        <is>
          <t>PO2526-03974</t>
        </is>
      </c>
      <c r="I1640" s="286" t="n">
        <v>45953</v>
      </c>
      <c r="J1640" s="26" t="n"/>
      <c r="K1640" s="20" t="n">
        <v>30</v>
      </c>
      <c r="L1640" s="5" t="inlineStr">
        <is>
          <t>SFST81000009</t>
        </is>
      </c>
      <c r="M1640" s="7" t="inlineStr">
        <is>
          <t>PD Machine</t>
        </is>
      </c>
      <c r="N1640" s="7" t="inlineStr">
        <is>
          <t>Consumable part</t>
        </is>
      </c>
      <c r="O1640" s="11" t="n">
        <v>2</v>
      </c>
      <c r="P1640" s="10" t="inlineStr">
        <is>
          <t>sizemmsize 92*64 mm.</t>
        </is>
      </c>
      <c r="Q1640" s="277" t="n">
        <v>12</v>
      </c>
      <c r="R1640" s="5" t="inlineStr">
        <is>
          <t>pcs.</t>
        </is>
      </c>
      <c r="S1640" s="284">
        <f>RawDataGenPO[[#This Row],[Total price]]/RawDataGenPO[[#This Row],[Qty'']]</f>
        <v/>
      </c>
      <c r="T1640" s="278" t="n">
        <v>1020</v>
      </c>
      <c r="U1640" s="291" t="n"/>
      <c r="V1640" s="7" t="inlineStr">
        <is>
          <t xml:space="preserve"> V1000840 - S.Q. &amp; CO CO., LTD</t>
        </is>
      </c>
      <c r="W1640" s="30" t="inlineStr">
        <is>
          <t>Recive bill and GRN already</t>
        </is>
      </c>
      <c r="X1640" s="275" t="inlineStr">
        <is>
          <t>GRN2526-0004950</t>
        </is>
      </c>
      <c r="Y1640" s="3" t="n">
        <v>45962</v>
      </c>
      <c r="Z1640" s="23" t="n"/>
      <c r="AA1640" s="17">
        <f>IF(RawDataGenPO[[#This Row],[Date Gen PO]]="","",RawDataGenPO[[#This Row],[Date recive bill]]-RawDataGenPO[[#This Row],[Date Gen PO]])</f>
        <v/>
      </c>
      <c r="AB1640" s="16">
        <f>IF(RawDataGenPO[[#This Row],[GRN-PO date]]&gt;RawDataGenPO[[#This Row],[Lead time delivery (day)]],"over deliverry","Ontime")</f>
        <v/>
      </c>
      <c r="AC1640" s="22" t="n"/>
    </row>
    <row r="1641" ht="15" customHeight="1">
      <c r="A1641" s="5">
        <f>ROW()-ROW(RawDataGenPO[[#Headers],[No.]])</f>
        <v/>
      </c>
      <c r="B1641" s="7" t="inlineStr">
        <is>
          <t>Expent  cost</t>
        </is>
      </c>
      <c r="C1641" s="371" t="n">
        <v>45941</v>
      </c>
      <c r="F1641" s="371" t="n">
        <v>45941</v>
      </c>
      <c r="G1641" s="5" t="inlineStr">
        <is>
          <t>PR2526-02757</t>
        </is>
      </c>
      <c r="H1641" s="5" t="inlineStr">
        <is>
          <t>PO2526-04152</t>
        </is>
      </c>
      <c r="I1641" s="286" t="n">
        <v>45965</v>
      </c>
      <c r="J1641" s="26" t="n"/>
      <c r="K1641" s="20" t="n">
        <v>60</v>
      </c>
      <c r="L1641" s="5" t="inlineStr">
        <is>
          <t>SFST81000009</t>
        </is>
      </c>
      <c r="M1641" s="7" t="inlineStr">
        <is>
          <t>PD Machine</t>
        </is>
      </c>
      <c r="N1641" s="7" t="inlineStr">
        <is>
          <t>Consumable part</t>
        </is>
      </c>
      <c r="O1641" s="11" t="n">
        <v>3</v>
      </c>
      <c r="P1641" s="10" t="inlineStr">
        <is>
          <t>Delivery charge</t>
        </is>
      </c>
      <c r="Q1641" s="277" t="n">
        <v>1</v>
      </c>
      <c r="R1641" s="5" t="inlineStr">
        <is>
          <t>Job.</t>
        </is>
      </c>
      <c r="S1641" s="284">
        <f>RawDataGenPO[[#This Row],[Total price]]/RawDataGenPO[[#This Row],[Qty'']]</f>
        <v/>
      </c>
      <c r="T1641" s="278" t="n">
        <v>200</v>
      </c>
      <c r="U1641" s="291" t="n"/>
      <c r="V1641" s="7" t="inlineStr">
        <is>
          <t>V1000928 - CLEAN WORLD PRODUCTS AND SUPPLY CO.,LTD.</t>
        </is>
      </c>
      <c r="W1641" s="30" t="inlineStr">
        <is>
          <t>Recive bill and GRN already</t>
        </is>
      </c>
      <c r="X1641" s="5" t="inlineStr">
        <is>
          <t>GRN2526-0006101</t>
        </is>
      </c>
      <c r="Y1641" s="3" t="n">
        <v>46006</v>
      </c>
      <c r="Z1641" s="23" t="n"/>
      <c r="AA1641" s="17">
        <f>IF(RawDataGenPO[[#This Row],[Date Gen PO]]="","",RawDataGenPO[[#This Row],[Date recive bill]]-RawDataGenPO[[#This Row],[Date Gen PO]])</f>
        <v/>
      </c>
      <c r="AB1641" s="16">
        <f>IF(RawDataGenPO[[#This Row],[GRN-PO date]]&gt;RawDataGenPO[[#This Row],[Lead time delivery (day)]],"over deliverry","Ontime")</f>
        <v/>
      </c>
      <c r="AC1641" s="22" t="n"/>
    </row>
    <row r="1642" ht="15" customHeight="1">
      <c r="A1642" s="5">
        <f>ROW()-ROW(RawDataGenPO[[#Headers],[No.]])</f>
        <v/>
      </c>
      <c r="B1642" s="7" t="inlineStr">
        <is>
          <t>Expent  cost</t>
        </is>
      </c>
      <c r="C1642" s="371" t="n">
        <v>45941</v>
      </c>
      <c r="F1642" s="371" t="n">
        <v>45941</v>
      </c>
      <c r="G1642" s="5" t="inlineStr">
        <is>
          <t>PR2526-02758</t>
        </is>
      </c>
      <c r="H1642" s="5" t="inlineStr">
        <is>
          <t>PO2526-03916</t>
        </is>
      </c>
      <c r="I1642" s="286" t="n">
        <v>45950</v>
      </c>
      <c r="J1642" s="26" t="n"/>
      <c r="K1642" s="20" t="n">
        <v>45</v>
      </c>
      <c r="L1642" s="5" t="inlineStr">
        <is>
          <t>SFST81000009</t>
        </is>
      </c>
      <c r="M1642" s="7" t="inlineStr">
        <is>
          <t>PD Machine</t>
        </is>
      </c>
      <c r="N1642" s="7" t="inlineStr">
        <is>
          <t>Consumable part</t>
        </is>
      </c>
      <c r="O1642" s="11" t="n">
        <v>1</v>
      </c>
      <c r="P1642" s="10" t="inlineStr">
        <is>
          <t>socketwithW HTPZ 325 (3P+N+E) 32A IP44 DAKO</t>
        </is>
      </c>
      <c r="Q1642" s="277" t="n">
        <v>5</v>
      </c>
      <c r="R1642" s="5" t="inlineStr">
        <is>
          <t>pcs.</t>
        </is>
      </c>
      <c r="S1642" s="284">
        <f>RawDataGenPO[[#This Row],[Total price]]/RawDataGenPO[[#This Row],[Qty'']]</f>
        <v/>
      </c>
      <c r="T1642" s="278" t="n">
        <v>1060</v>
      </c>
      <c r="U1642" s="291" t="n"/>
      <c r="V1642" s="7" t="inlineStr">
        <is>
          <t>V1000276 - SN. ELECTRIC AND SUPPLY CO., LTD.</t>
        </is>
      </c>
      <c r="W1642" s="30" t="inlineStr">
        <is>
          <t>Recive bill and GRN already</t>
        </is>
      </c>
      <c r="X1642" s="5" t="inlineStr">
        <is>
          <t>GRN2526-0004853</t>
        </is>
      </c>
      <c r="Y1642" s="3" t="n">
        <v>45957</v>
      </c>
      <c r="Z1642" s="23" t="n"/>
      <c r="AA1642" s="17">
        <f>IF(RawDataGenPO[[#This Row],[Date Gen PO]]="","",RawDataGenPO[[#This Row],[Date recive bill]]-RawDataGenPO[[#This Row],[Date Gen PO]])</f>
        <v/>
      </c>
      <c r="AB1642" s="16">
        <f>IF(RawDataGenPO[[#This Row],[GRN-PO date]]&gt;RawDataGenPO[[#This Row],[Lead time delivery (day)]],"over deliverry","Ontime")</f>
        <v/>
      </c>
      <c r="AC1642" s="22" t="n"/>
    </row>
    <row r="1643" ht="15" customHeight="1">
      <c r="A1643" s="5">
        <f>ROW()-ROW(RawDataGenPO[[#Headers],[No.]])</f>
        <v/>
      </c>
      <c r="B1643" s="7" t="inlineStr">
        <is>
          <t>Expent  cost</t>
        </is>
      </c>
      <c r="C1643" s="371" t="n">
        <v>45941</v>
      </c>
      <c r="F1643" s="371" t="n">
        <v>45941</v>
      </c>
      <c r="G1643" s="5" t="inlineStr">
        <is>
          <t>PR2526-02758</t>
        </is>
      </c>
      <c r="H1643" s="5" t="inlineStr">
        <is>
          <t>PO2526-03916</t>
        </is>
      </c>
      <c r="I1643" s="286" t="n">
        <v>45950</v>
      </c>
      <c r="J1643" s="26" t="n"/>
      <c r="K1643" s="20" t="n">
        <v>45</v>
      </c>
      <c r="L1643" s="5" t="inlineStr">
        <is>
          <t>SFST81000009</t>
        </is>
      </c>
      <c r="M1643" s="7" t="inlineStr">
        <is>
          <t>PD Machine</t>
        </is>
      </c>
      <c r="N1643" s="7" t="inlineStr">
        <is>
          <t>Consumable part</t>
        </is>
      </c>
      <c r="O1643" s="11" t="n">
        <v>2</v>
      </c>
      <c r="P1643" s="10" t="inlineStr">
        <is>
          <t>plugchemicalpcsmalemm P1709 5 - 15P 2P 3W (black)</t>
        </is>
      </c>
      <c r="Q1643" s="277" t="n">
        <v>12</v>
      </c>
      <c r="R1643" s="5" t="inlineStr">
        <is>
          <t>pcs.</t>
        </is>
      </c>
      <c r="S1643" s="284">
        <f>RawDataGenPO[[#This Row],[Total price]]/RawDataGenPO[[#This Row],[Qty'']]</f>
        <v/>
      </c>
      <c r="T1643" s="278" t="n">
        <v>804</v>
      </c>
      <c r="U1643" s="291" t="n"/>
      <c r="V1643" s="7" t="inlineStr">
        <is>
          <t>V1000276 - SN. ELECTRIC AND SUPPLY CO., LTD.</t>
        </is>
      </c>
      <c r="W1643" s="30" t="inlineStr">
        <is>
          <t>Recive bill and GRN already</t>
        </is>
      </c>
      <c r="X1643" s="5" t="inlineStr">
        <is>
          <t>GRN2526-0004853</t>
        </is>
      </c>
      <c r="Y1643" s="3" t="n">
        <v>45957</v>
      </c>
      <c r="Z1643" s="23" t="n"/>
      <c r="AA1643" s="17">
        <f>IF(RawDataGenPO[[#This Row],[Date Gen PO]]="","",RawDataGenPO[[#This Row],[Date recive bill]]-RawDataGenPO[[#This Row],[Date Gen PO]])</f>
        <v/>
      </c>
      <c r="AB1643" s="16">
        <f>IF(RawDataGenPO[[#This Row],[GRN-PO date]]&gt;RawDataGenPO[[#This Row],[Lead time delivery (day)]],"over deliverry","Ontime")</f>
        <v/>
      </c>
      <c r="AC1643" s="22" t="n"/>
    </row>
    <row r="1644" ht="15" customHeight="1">
      <c r="A1644" s="5">
        <f>ROW()-ROW(RawDataGenPO[[#Headers],[No.]])</f>
        <v/>
      </c>
      <c r="B1644" s="7" t="inlineStr">
        <is>
          <t>Expent  cost</t>
        </is>
      </c>
      <c r="C1644" s="371" t="n">
        <v>45941</v>
      </c>
      <c r="F1644" s="371" t="n">
        <v>45941</v>
      </c>
      <c r="G1644" s="5" t="inlineStr">
        <is>
          <t>PR2526-02758</t>
        </is>
      </c>
      <c r="H1644" s="5" t="inlineStr">
        <is>
          <t>PO2526-03917</t>
        </is>
      </c>
      <c r="I1644" s="286" t="n">
        <v>45950</v>
      </c>
      <c r="J1644" s="26" t="n"/>
      <c r="K1644" s="20" t="n">
        <v>45</v>
      </c>
      <c r="L1644" s="5" t="inlineStr">
        <is>
          <t>SFST81000009</t>
        </is>
      </c>
      <c r="M1644" s="7" t="inlineStr">
        <is>
          <t>PD Machine</t>
        </is>
      </c>
      <c r="N1644" s="7" t="inlineStr">
        <is>
          <t>Consumable part</t>
        </is>
      </c>
      <c r="O1644" s="11" t="n">
        <v>3</v>
      </c>
      <c r="P1644" s="10" t="inlineStr">
        <is>
          <t>air line PU size 5 x 8 mm light blue (roll) 100 m</t>
        </is>
      </c>
      <c r="Q1644" s="277" t="n">
        <v>1</v>
      </c>
      <c r="R1644" s="5" t="inlineStr">
        <is>
          <t>Roll</t>
        </is>
      </c>
      <c r="S1644" s="284">
        <f>RawDataGenPO[[#This Row],[Total price]]/RawDataGenPO[[#This Row],[Qty'']]</f>
        <v/>
      </c>
      <c r="T1644" s="278" t="n">
        <v>920</v>
      </c>
      <c r="U1644" s="291" t="n"/>
      <c r="V1644" s="7" t="inlineStr">
        <is>
          <t>V1000259 - JJP SUPPLY CO., LTD</t>
        </is>
      </c>
      <c r="W1644" s="30" t="inlineStr">
        <is>
          <t>Recive bill and GRN already</t>
        </is>
      </c>
      <c r="X1644" s="5" t="inlineStr">
        <is>
          <t>GRN2526-0005157</t>
        </is>
      </c>
      <c r="Y1644" s="3" t="n">
        <v>45968</v>
      </c>
      <c r="Z1644" s="23" t="n"/>
      <c r="AA1644" s="17">
        <f>IF(RawDataGenPO[[#This Row],[Date Gen PO]]="","",RawDataGenPO[[#This Row],[Date recive bill]]-RawDataGenPO[[#This Row],[Date Gen PO]])</f>
        <v/>
      </c>
      <c r="AB1644" s="16">
        <f>IF(RawDataGenPO[[#This Row],[GRN-PO date]]&gt;RawDataGenPO[[#This Row],[Lead time delivery (day)]],"over deliverry","Ontime")</f>
        <v/>
      </c>
      <c r="AC1644" s="22" t="n"/>
    </row>
    <row r="1645" ht="15" customHeight="1">
      <c r="A1645" s="5">
        <f>ROW()-ROW(RawDataGenPO[[#Headers],[No.]])</f>
        <v/>
      </c>
      <c r="B1645" s="7" t="inlineStr">
        <is>
          <t>Expent  cost</t>
        </is>
      </c>
      <c r="C1645" s="371" t="n">
        <v>45941</v>
      </c>
      <c r="F1645" s="371" t="n">
        <v>45941</v>
      </c>
      <c r="G1645" s="5" t="inlineStr">
        <is>
          <t>PR2526-02758</t>
        </is>
      </c>
      <c r="H1645" s="5" t="inlineStr">
        <is>
          <t>PO2526-03917</t>
        </is>
      </c>
      <c r="I1645" s="286" t="n">
        <v>45950</v>
      </c>
      <c r="J1645" s="26" t="n"/>
      <c r="K1645" s="20" t="n">
        <v>45</v>
      </c>
      <c r="L1645" s="5" t="inlineStr">
        <is>
          <t>SFST81000009</t>
        </is>
      </c>
      <c r="M1645" s="7" t="inlineStr">
        <is>
          <t>PD Machine</t>
        </is>
      </c>
      <c r="N1645" s="7" t="inlineStr">
        <is>
          <t>Consumable part</t>
        </is>
      </c>
      <c r="O1645" s="11" t="n">
        <v>4</v>
      </c>
      <c r="P1645" s="42" t="inlineStr">
        <is>
          <t>air line PU size 4 x 6 mm light blue (roll) 100 m</t>
        </is>
      </c>
      <c r="Q1645" s="277" t="n">
        <v>1</v>
      </c>
      <c r="R1645" s="5" t="inlineStr">
        <is>
          <t>Roll</t>
        </is>
      </c>
      <c r="S1645" s="284">
        <f>RawDataGenPO[[#This Row],[Total price]]/RawDataGenPO[[#This Row],[Qty'']]</f>
        <v/>
      </c>
      <c r="T1645" s="278" t="n">
        <v>1450</v>
      </c>
      <c r="U1645" s="291" t="n"/>
      <c r="V1645" s="7" t="inlineStr">
        <is>
          <t>V1000259 - JJP SUPPLY CO., LTD</t>
        </is>
      </c>
      <c r="W1645" s="30" t="inlineStr">
        <is>
          <t>Recive bill and GRN already</t>
        </is>
      </c>
      <c r="X1645" s="5" t="inlineStr">
        <is>
          <t>GRN2526-0005157</t>
        </is>
      </c>
      <c r="Y1645" s="3" t="n">
        <v>45968</v>
      </c>
      <c r="Z1645" s="23" t="n"/>
      <c r="AA1645" s="17">
        <f>IF(RawDataGenPO[[#This Row],[Date Gen PO]]="","",RawDataGenPO[[#This Row],[Date recive bill]]-RawDataGenPO[[#This Row],[Date Gen PO]])</f>
        <v/>
      </c>
      <c r="AB1645" s="16">
        <f>IF(RawDataGenPO[[#This Row],[GRN-PO date]]&gt;RawDataGenPO[[#This Row],[Lead time delivery (day)]],"over deliverry","Ontime")</f>
        <v/>
      </c>
      <c r="AC1645" s="22" t="n"/>
    </row>
    <row r="1646" ht="15" customHeight="1">
      <c r="A1646" s="5">
        <f>ROW()-ROW(RawDataGenPO[[#Headers],[No.]])</f>
        <v/>
      </c>
      <c r="B1646" s="7" t="inlineStr">
        <is>
          <t>Expent  cost</t>
        </is>
      </c>
      <c r="C1646" s="371" t="n">
        <v>45945</v>
      </c>
      <c r="F1646" s="371" t="n">
        <v>45945</v>
      </c>
      <c r="G1646" s="5" t="inlineStr">
        <is>
          <t>PR2526-02796</t>
        </is>
      </c>
      <c r="H1646" s="5" t="inlineStr">
        <is>
          <t>PO2526-03884</t>
        </is>
      </c>
      <c r="I1646" s="286" t="n">
        <v>45948</v>
      </c>
      <c r="J1646" s="26" t="n"/>
      <c r="K1646" s="20" t="n">
        <v>30</v>
      </c>
      <c r="L1646" s="5" t="inlineStr">
        <is>
          <t>SFST81000048</t>
        </is>
      </c>
      <c r="M1646" s="7" t="inlineStr">
        <is>
          <t>PD Machine</t>
        </is>
      </c>
      <c r="N1646" s="7" t="inlineStr">
        <is>
          <t>Consumable part</t>
        </is>
      </c>
      <c r="O1646" s="11" t="n">
        <v>1</v>
      </c>
      <c r="P1646" s="10" t="inlineStr">
        <is>
          <t>KNS-500 HD ISO VG 220 oil</t>
        </is>
      </c>
      <c r="Q1646" s="277" t="n">
        <v>1</v>
      </c>
      <c r="R1646" s="5" t="inlineStr">
        <is>
          <t>DRUM.</t>
        </is>
      </c>
      <c r="S1646" s="284">
        <f>RawDataGenPO[[#This Row],[Total price]]/RawDataGenPO[[#This Row],[Qty'']]</f>
        <v/>
      </c>
      <c r="T1646" s="278" t="n">
        <v>1800</v>
      </c>
      <c r="U1646" s="291" t="n"/>
      <c r="V1646" s="7" t="inlineStr">
        <is>
          <t xml:space="preserve"> V1000576 - Darmex Petroleum (Thailand) Corp., Ltd.</t>
        </is>
      </c>
      <c r="W1646" s="30" t="inlineStr">
        <is>
          <t>Recive bill and GRN already</t>
        </is>
      </c>
      <c r="X1646" s="5" t="inlineStr">
        <is>
          <t>GRN2526-0004700</t>
        </is>
      </c>
      <c r="Y1646" s="3" t="n">
        <v>45950</v>
      </c>
      <c r="Z1646" s="23" t="n"/>
      <c r="AA1646" s="17">
        <f>IF(RawDataGenPO[[#This Row],[Date Gen PO]]="","",RawDataGenPO[[#This Row],[Date recive bill]]-RawDataGenPO[[#This Row],[Date Gen PO]])</f>
        <v/>
      </c>
      <c r="AB1646" s="16">
        <f>IF(RawDataGenPO[[#This Row],[GRN-PO date]]&gt;RawDataGenPO[[#This Row],[Lead time delivery (day)]],"over deliverry","Ontime")</f>
        <v/>
      </c>
      <c r="AC1646" s="22" t="n"/>
    </row>
    <row r="1647" ht="15" customHeight="1">
      <c r="A1647" s="5">
        <f>ROW()-ROW(RawDataGenPO[[#Headers],[No.]])</f>
        <v/>
      </c>
      <c r="B1647" s="7" t="inlineStr">
        <is>
          <t>Expent  cost</t>
        </is>
      </c>
      <c r="C1647" s="371" t="n">
        <v>45945</v>
      </c>
      <c r="F1647" s="371" t="n">
        <v>45945</v>
      </c>
      <c r="G1647" s="5" t="inlineStr">
        <is>
          <t>PR2526-02802</t>
        </is>
      </c>
      <c r="H1647" s="5" t="inlineStr">
        <is>
          <t>PO2526-03907</t>
        </is>
      </c>
      <c r="I1647" s="286" t="n">
        <v>45950</v>
      </c>
      <c r="J1647" s="26" t="n"/>
      <c r="K1647" s="20" t="n">
        <v>45</v>
      </c>
      <c r="L1647" s="5" t="inlineStr">
        <is>
          <t>SFST34000025</t>
        </is>
      </c>
      <c r="M1647" s="7" t="inlineStr">
        <is>
          <t>Consumable part for MN</t>
        </is>
      </c>
      <c r="N1647" s="7" t="inlineStr">
        <is>
          <t>Consumable part</t>
        </is>
      </c>
      <c r="O1647" s="11" t="n">
        <v>1</v>
      </c>
      <c r="P1647" s="10" t="inlineStr">
        <is>
          <t>ball valve stainless steel 304 size 1/2’’ inch (Ball Valve Stainless)</t>
        </is>
      </c>
      <c r="Q1647" s="277" t="n">
        <v>20</v>
      </c>
      <c r="R1647" s="5" t="inlineStr">
        <is>
          <t>pcs.</t>
        </is>
      </c>
      <c r="S1647" s="284">
        <f>RawDataGenPO[[#This Row],[Total price]]/RawDataGenPO[[#This Row],[Qty'']]</f>
        <v/>
      </c>
      <c r="T1647" s="278" t="n">
        <v>3600</v>
      </c>
      <c r="U1647" s="291" t="n"/>
      <c r="V1647" s="7" t="inlineStr">
        <is>
          <t>V1000259 - JJP SUPPLY CO., LTD</t>
        </is>
      </c>
      <c r="W1647" s="30" t="inlineStr">
        <is>
          <t>Recive bill and GRN already</t>
        </is>
      </c>
      <c r="X1647" s="5" t="inlineStr">
        <is>
          <t>GRN2526-0005156</t>
        </is>
      </c>
      <c r="Y1647" s="3" t="n">
        <v>45968</v>
      </c>
      <c r="Z1647" s="23" t="n"/>
      <c r="AA1647" s="17">
        <f>IF(RawDataGenPO[[#This Row],[Date Gen PO]]="","",RawDataGenPO[[#This Row],[Date recive bill]]-RawDataGenPO[[#This Row],[Date Gen PO]])</f>
        <v/>
      </c>
      <c r="AB1647" s="16">
        <f>IF(RawDataGenPO[[#This Row],[GRN-PO date]]&gt;RawDataGenPO[[#This Row],[Lead time delivery (day)]],"over deliverry","Ontime")</f>
        <v/>
      </c>
      <c r="AC1647" s="22" t="n"/>
    </row>
    <row r="1648" ht="15" customHeight="1">
      <c r="A1648" s="5">
        <f>ROW()-ROW(RawDataGenPO[[#Headers],[No.]])</f>
        <v/>
      </c>
      <c r="B1648" s="7" t="inlineStr">
        <is>
          <t>Expent  cost</t>
        </is>
      </c>
      <c r="C1648" s="371" t="n">
        <v>45945</v>
      </c>
      <c r="F1648" s="371" t="n">
        <v>45945</v>
      </c>
      <c r="G1648" s="5" t="inlineStr">
        <is>
          <t>PR2526-02802</t>
        </is>
      </c>
      <c r="H1648" s="5" t="inlineStr">
        <is>
          <t>PO2526-03907</t>
        </is>
      </c>
      <c r="I1648" s="286" t="n">
        <v>45950</v>
      </c>
      <c r="J1648" s="26" t="n"/>
      <c r="K1648" s="20" t="n">
        <v>45</v>
      </c>
      <c r="L1648" s="5" t="inlineStr">
        <is>
          <t>SFST34000026</t>
        </is>
      </c>
      <c r="M1648" s="7" t="inlineStr">
        <is>
          <t>Consumable part for MN</t>
        </is>
      </c>
      <c r="N1648" s="7" t="inlineStr">
        <is>
          <t>Consumable part</t>
        </is>
      </c>
      <c r="O1648" s="11" t="n">
        <v>2</v>
      </c>
      <c r="P1648" s="10" t="inlineStr">
        <is>
          <t>ball valve stainless steel 304 size 3/4’’ inch (Ball Valve Stainless)</t>
        </is>
      </c>
      <c r="Q1648" s="277" t="n">
        <v>10</v>
      </c>
      <c r="R1648" s="5" t="inlineStr">
        <is>
          <t>pcs.</t>
        </is>
      </c>
      <c r="S1648" s="284">
        <f>RawDataGenPO[[#This Row],[Total price]]/RawDataGenPO[[#This Row],[Qty'']]</f>
        <v/>
      </c>
      <c r="T1648" s="278" t="n">
        <v>2550</v>
      </c>
      <c r="U1648" s="291" t="n"/>
      <c r="V1648" s="7" t="inlineStr">
        <is>
          <t>V1000259 - JJP SUPPLY CO., LTD</t>
        </is>
      </c>
      <c r="W1648" s="30" t="inlineStr">
        <is>
          <t>Recive bill and GRN already</t>
        </is>
      </c>
      <c r="X1648" s="5" t="inlineStr">
        <is>
          <t>GRN2526-0005156</t>
        </is>
      </c>
      <c r="Y1648" s="3" t="n">
        <v>45968</v>
      </c>
      <c r="Z1648" s="23" t="n"/>
      <c r="AA1648" s="17">
        <f>IF(RawDataGenPO[[#This Row],[Date Gen PO]]="","",RawDataGenPO[[#This Row],[Date recive bill]]-RawDataGenPO[[#This Row],[Date Gen PO]])</f>
        <v/>
      </c>
      <c r="AB1648" s="16">
        <f>IF(RawDataGenPO[[#This Row],[GRN-PO date]]&gt;RawDataGenPO[[#This Row],[Lead time delivery (day)]],"over deliverry","Ontime")</f>
        <v/>
      </c>
      <c r="AC1648" s="22" t="n"/>
    </row>
    <row r="1649" ht="15" customHeight="1">
      <c r="A1649" s="5">
        <f>ROW()-ROW(RawDataGenPO[[#Headers],[No.]])</f>
        <v/>
      </c>
      <c r="B1649" s="7" t="inlineStr">
        <is>
          <t>Expent  cost</t>
        </is>
      </c>
      <c r="C1649" s="371" t="n">
        <v>45945</v>
      </c>
      <c r="F1649" s="371" t="n">
        <v>45945</v>
      </c>
      <c r="G1649" s="5" t="inlineStr">
        <is>
          <t>PR2526-02803</t>
        </is>
      </c>
      <c r="H1649" s="5" t="inlineStr">
        <is>
          <t>PO2526-03906</t>
        </is>
      </c>
      <c r="I1649" s="286" t="n">
        <v>45950</v>
      </c>
      <c r="J1649" s="26" t="n"/>
      <c r="K1649" s="20" t="n">
        <v>45</v>
      </c>
      <c r="L1649" s="5" t="inlineStr">
        <is>
          <t>SFST34000188</t>
        </is>
      </c>
      <c r="M1649" s="7" t="inlineStr">
        <is>
          <t>Consumable part for MN</t>
        </is>
      </c>
      <c r="N1649" s="7" t="inlineStr">
        <is>
          <t>Consumable part</t>
        </is>
      </c>
      <c r="O1649" s="11" t="n">
        <v>1</v>
      </c>
      <c r="P1649" s="10" t="inlineStr">
        <is>
          <t>Philip LED Essential Bulb 9 W E27</t>
        </is>
      </c>
      <c r="Q1649" s="277" t="n">
        <v>4</v>
      </c>
      <c r="R1649" s="5" t="inlineStr">
        <is>
          <t>BOX.</t>
        </is>
      </c>
      <c r="S1649" s="284">
        <f>RawDataGenPO[[#This Row],[Total price]]/RawDataGenPO[[#This Row],[Qty'']]</f>
        <v/>
      </c>
      <c r="T1649" s="278" t="n">
        <v>2400</v>
      </c>
      <c r="U1649" s="291" t="n"/>
      <c r="V1649" s="7" t="inlineStr">
        <is>
          <t>V1000276 - SN. ELECTRIC AND SUPPLY CO., LTD.</t>
        </is>
      </c>
      <c r="W1649" s="30" t="inlineStr">
        <is>
          <t>Recive bill and GRN already</t>
        </is>
      </c>
      <c r="X1649" s="5" t="inlineStr">
        <is>
          <t>GRN2526-0004854</t>
        </is>
      </c>
      <c r="Y1649" s="3" t="n">
        <v>45957</v>
      </c>
      <c r="Z1649" s="23" t="n"/>
      <c r="AA1649" s="17">
        <f>IF(RawDataGenPO[[#This Row],[Date Gen PO]]="","",RawDataGenPO[[#This Row],[Date recive bill]]-RawDataGenPO[[#This Row],[Date Gen PO]])</f>
        <v/>
      </c>
      <c r="AB1649" s="16">
        <f>IF(RawDataGenPO[[#This Row],[GRN-PO date]]&gt;RawDataGenPO[[#This Row],[Lead time delivery (day)]],"over deliverry","Ontime")</f>
        <v/>
      </c>
      <c r="AC1649" s="22" t="n"/>
    </row>
    <row r="1650" ht="15" customHeight="1">
      <c r="A1650" s="5">
        <f>ROW()-ROW(RawDataGenPO[[#Headers],[No.]])</f>
        <v/>
      </c>
      <c r="B1650" s="7" t="inlineStr">
        <is>
          <t>Expent  cost</t>
        </is>
      </c>
      <c r="C1650" s="371" t="n"/>
      <c r="F1650" s="371" t="n">
        <v>45946</v>
      </c>
      <c r="G1650" s="5" t="inlineStr">
        <is>
          <t>PR2526-02815</t>
        </is>
      </c>
      <c r="H1650" s="5" t="inlineStr">
        <is>
          <t xml:space="preserve">PO2526-04134 </t>
        </is>
      </c>
      <c r="I1650" s="286" t="n">
        <v>45965</v>
      </c>
      <c r="J1650" s="26" t="n"/>
      <c r="K1650" s="20" t="n">
        <v>60</v>
      </c>
      <c r="L1650" s="5" t="inlineStr">
        <is>
          <t>SFST34000197</t>
        </is>
      </c>
      <c r="M1650" s="7" t="inlineStr">
        <is>
          <t>Consumable part for MN</t>
        </is>
      </c>
      <c r="N1650" s="7" t="inlineStr">
        <is>
          <t>Consumable part</t>
        </is>
      </c>
      <c r="O1650" s="11" t="n">
        <v>1</v>
      </c>
      <c r="P1650" s="10" t="inlineStr">
        <is>
          <t>Slicing Knife Model: TR-500 TR-500-001 (Long)</t>
        </is>
      </c>
      <c r="Q1650" s="277" t="n">
        <v>10</v>
      </c>
      <c r="R1650" s="5" t="inlineStr">
        <is>
          <t>PCS.</t>
        </is>
      </c>
      <c r="S1650" s="284">
        <f>RawDataGenPO[[#This Row],[Total price]]/RawDataGenPO[[#This Row],[Qty'']]</f>
        <v/>
      </c>
      <c r="T1650" s="278" t="n">
        <v>9000</v>
      </c>
      <c r="U1650" s="291" t="n"/>
      <c r="V1650" s="7" t="inlineStr">
        <is>
          <t xml:space="preserve"> V1000452 - SRIPIPAT ENGINEERING CO.,LTD.</t>
        </is>
      </c>
      <c r="W1650" s="5" t="inlineStr">
        <is>
          <t>Recive bill and GRN already</t>
        </is>
      </c>
      <c r="X1650" s="5" t="inlineStr">
        <is>
          <t>GRN2526-0005164</t>
        </is>
      </c>
      <c r="Y1650" s="3" t="n">
        <v>45968</v>
      </c>
      <c r="Z1650" s="23" t="n"/>
      <c r="AA1650" s="17">
        <f>IF(RawDataGenPO[[#This Row],[Date Gen PO]]="","",RawDataGenPO[[#This Row],[Date recive bill]]-RawDataGenPO[[#This Row],[Date Gen PO]])</f>
        <v/>
      </c>
      <c r="AB1650" s="16">
        <f>IF(RawDataGenPO[[#This Row],[GRN-PO date]]&gt;RawDataGenPO[[#This Row],[Lead time delivery (day)]],"over deliverry","Ontime")</f>
        <v/>
      </c>
      <c r="AC1650" s="22" t="n"/>
    </row>
    <row r="1651" ht="15" customHeight="1">
      <c r="A1651" s="5">
        <f>ROW()-ROW(RawDataGenPO[[#Headers],[No.]])</f>
        <v/>
      </c>
      <c r="B1651" s="7" t="inlineStr">
        <is>
          <t>Expent  cost</t>
        </is>
      </c>
      <c r="C1651" s="371" t="n"/>
      <c r="F1651" s="371" t="n">
        <v>45946</v>
      </c>
      <c r="G1651" s="5" t="inlineStr">
        <is>
          <t>PR2526-02815</t>
        </is>
      </c>
      <c r="H1651" s="5" t="inlineStr">
        <is>
          <t xml:space="preserve">PO2526-04134 </t>
        </is>
      </c>
      <c r="I1651" s="286" t="n">
        <v>45965</v>
      </c>
      <c r="J1651" s="26" t="n"/>
      <c r="K1651" s="20" t="n">
        <v>30</v>
      </c>
      <c r="L1651" s="5" t="inlineStr">
        <is>
          <t>SFST34000198</t>
        </is>
      </c>
      <c r="M1651" s="7" t="inlineStr">
        <is>
          <t>Consumable part for MN</t>
        </is>
      </c>
      <c r="N1651" s="7" t="inlineStr">
        <is>
          <t>Consumable part</t>
        </is>
      </c>
      <c r="O1651" s="11" t="n">
        <v>2</v>
      </c>
      <c r="P1651" s="10" t="inlineStr">
        <is>
          <t>Slicing Knife Model: TR-500 TR-500-002 (Short)</t>
        </is>
      </c>
      <c r="Q1651" s="277" t="n">
        <v>10</v>
      </c>
      <c r="R1651" s="5" t="inlineStr">
        <is>
          <t>PCS.</t>
        </is>
      </c>
      <c r="S1651" s="284">
        <f>RawDataGenPO[[#This Row],[Total price]]/RawDataGenPO[[#This Row],[Qty'']]</f>
        <v/>
      </c>
      <c r="T1651" s="278" t="n">
        <v>7000</v>
      </c>
      <c r="U1651" s="291" t="n"/>
      <c r="V1651" s="7" t="inlineStr">
        <is>
          <t xml:space="preserve"> V1000452 - SRIPIPAT ENGINEERING CO.,LTD.</t>
        </is>
      </c>
      <c r="W1651" s="5" t="inlineStr">
        <is>
          <t>Recive bill and GRN already</t>
        </is>
      </c>
      <c r="X1651" s="5" t="inlineStr">
        <is>
          <t>GRN2526-0005164</t>
        </is>
      </c>
      <c r="Y1651" s="3" t="n">
        <v>45968</v>
      </c>
      <c r="Z1651" s="23" t="n"/>
      <c r="AA1651" s="17">
        <f>IF(RawDataGenPO[[#This Row],[Date Gen PO]]="","",RawDataGenPO[[#This Row],[Date recive bill]]-RawDataGenPO[[#This Row],[Date Gen PO]])</f>
        <v/>
      </c>
      <c r="AB1651" s="16">
        <f>IF(RawDataGenPO[[#This Row],[GRN-PO date]]&gt;RawDataGenPO[[#This Row],[Lead time delivery (day)]],"over deliverry","Ontime")</f>
        <v/>
      </c>
      <c r="AC1651" s="22" t="n"/>
    </row>
    <row r="1652" ht="45" customHeight="1">
      <c r="A1652" s="5">
        <f>ROW()-ROW(RawDataGenPO[[#Headers],[No.]])</f>
        <v/>
      </c>
      <c r="B1652" s="7" t="inlineStr">
        <is>
          <t>Expent  cost</t>
        </is>
      </c>
      <c r="C1652" s="281" t="n"/>
      <c r="F1652" s="371" t="n">
        <v>45951</v>
      </c>
      <c r="G1652" s="5" t="inlineStr">
        <is>
          <t>PR2526-02862</t>
        </is>
      </c>
      <c r="H1652" s="5" t="inlineStr">
        <is>
          <t>PO2526-04133</t>
        </is>
      </c>
      <c r="I1652" s="286" t="n">
        <v>45965</v>
      </c>
      <c r="J1652" s="26" t="n"/>
      <c r="K1652" s="20" t="n">
        <v>30</v>
      </c>
      <c r="L1652" s="5" t="inlineStr">
        <is>
          <t>SFST81000078</t>
        </is>
      </c>
      <c r="M1652" s="7" t="inlineStr">
        <is>
          <t>Civill jobs (Floor-Wall-Celling-roof)</t>
        </is>
      </c>
      <c r="N1652" s="7" t="inlineStr">
        <is>
          <t>Cevil jobs</t>
        </is>
      </c>
      <c r="O1652" s="11" t="n">
        <v>1</v>
      </c>
      <c r="P1652" s="10" t="inlineStr">
        <is>
          <t>Repair the wall cracks by plastering around the production building.
- Fill the cracks with cement
- Paint the wall</t>
        </is>
      </c>
      <c r="Q1652" s="277" t="n">
        <v>1</v>
      </c>
      <c r="R1652" s="5" t="inlineStr">
        <is>
          <t>PCS.</t>
        </is>
      </c>
      <c r="S1652" s="284">
        <f>RawDataGenPO[[#This Row],[Total price]]/RawDataGenPO[[#This Row],[Qty'']]</f>
        <v/>
      </c>
      <c r="T1652" s="278" t="n">
        <v>40000</v>
      </c>
      <c r="U1652" s="291" t="n"/>
      <c r="V1652" s="7" t="inlineStr">
        <is>
          <t>V1000865 - TAWANPHOEMPHOON ENGINEERING CO.,LTD.</t>
        </is>
      </c>
      <c r="W1652" s="30" t="inlineStr">
        <is>
          <t>Recive bill and GRN already</t>
        </is>
      </c>
      <c r="X1652" s="5" t="inlineStr">
        <is>
          <t>GRN2526-0005455</t>
        </is>
      </c>
      <c r="Y1652" s="3" t="n">
        <v>45980</v>
      </c>
      <c r="Z1652" s="23" t="n"/>
      <c r="AA1652" s="17">
        <f>IF(RawDataGenPO[[#This Row],[Date Gen PO]]="","",RawDataGenPO[[#This Row],[Date recive bill]]-RawDataGenPO[[#This Row],[Date Gen PO]])</f>
        <v/>
      </c>
      <c r="AB1652" s="16">
        <f>IF(RawDataGenPO[[#This Row],[GRN-PO date]]&gt;RawDataGenPO[[#This Row],[Lead time delivery (day)]],"over deliverry","Ontime")</f>
        <v/>
      </c>
      <c r="AC1652" s="22" t="n"/>
    </row>
    <row r="1653" ht="15" customHeight="1">
      <c r="A1653" s="5">
        <f>ROW()-ROW(RawDataGenPO[[#Headers],[No.]])</f>
        <v/>
      </c>
      <c r="B1653" s="7" t="inlineStr">
        <is>
          <t>Expent  cost</t>
        </is>
      </c>
      <c r="C1653" s="281" t="n"/>
      <c r="F1653" s="371" t="n">
        <v>45951</v>
      </c>
      <c r="G1653" s="5" t="inlineStr">
        <is>
          <t>PR2526-02862</t>
        </is>
      </c>
      <c r="H1653" s="5" t="inlineStr">
        <is>
          <t>PO2526-04133</t>
        </is>
      </c>
      <c r="I1653" s="286" t="n">
        <v>45965</v>
      </c>
      <c r="J1653" s="26" t="n"/>
      <c r="K1653" s="20" t="n">
        <v>60</v>
      </c>
      <c r="L1653" s="5" t="inlineStr">
        <is>
          <t>SFST81000078</t>
        </is>
      </c>
      <c r="M1653" s="7" t="inlineStr">
        <is>
          <t>Civill jobs (Floor-Wall-Celling-roof)</t>
        </is>
      </c>
      <c r="N1653" s="7" t="inlineStr">
        <is>
          <t>Cevil jobs</t>
        </is>
      </c>
      <c r="O1653" s="11" t="n">
        <v>2</v>
      </c>
      <c r="P1653" s="10" t="inlineStr">
        <is>
          <t>Repair labor cost</t>
        </is>
      </c>
      <c r="Q1653" s="277" t="n">
        <v>1</v>
      </c>
      <c r="R1653" s="5" t="inlineStr">
        <is>
          <t>PCS.</t>
        </is>
      </c>
      <c r="S1653" s="284">
        <f>RawDataGenPO[[#This Row],[Total price]]/RawDataGenPO[[#This Row],[Qty'']]</f>
        <v/>
      </c>
      <c r="T1653" s="278" t="n">
        <v>10000</v>
      </c>
      <c r="U1653" s="291" t="n"/>
      <c r="V1653" s="7" t="inlineStr">
        <is>
          <t>V1000865 - TAWANPHOEMPHOON ENGINEERING CO.,LTD.</t>
        </is>
      </c>
      <c r="W1653" s="30" t="inlineStr">
        <is>
          <t>Recive bill and GRN already</t>
        </is>
      </c>
      <c r="X1653" s="5" t="inlineStr">
        <is>
          <t>GRN2526-0005455</t>
        </is>
      </c>
      <c r="Y1653" s="3" t="n">
        <v>45980</v>
      </c>
      <c r="Z1653" s="23" t="n"/>
      <c r="AA1653" s="17">
        <f>IF(RawDataGenPO[[#This Row],[Date Gen PO]]="","",RawDataGenPO[[#This Row],[Date recive bill]]-RawDataGenPO[[#This Row],[Date Gen PO]])</f>
        <v/>
      </c>
      <c r="AB1653" s="16">
        <f>IF(RawDataGenPO[[#This Row],[GRN-PO date]]&gt;RawDataGenPO[[#This Row],[Lead time delivery (day)]],"over deliverry","Ontime")</f>
        <v/>
      </c>
      <c r="AC1653" s="22" t="n"/>
    </row>
    <row r="1654" ht="15" customHeight="1">
      <c r="A1654" s="5">
        <f>ROW()-ROW(RawDataGenPO[[#Headers],[No.]])</f>
        <v/>
      </c>
      <c r="B1654" s="7" t="inlineStr">
        <is>
          <t>Expent  cost</t>
        </is>
      </c>
      <c r="C1654" s="281" t="n"/>
      <c r="F1654" s="371" t="n">
        <v>45951</v>
      </c>
      <c r="G1654" s="5" t="inlineStr">
        <is>
          <t>PR2526-02863</t>
        </is>
      </c>
      <c r="H1654" s="5" t="inlineStr">
        <is>
          <t>PO2526-04161</t>
        </is>
      </c>
      <c r="I1654" s="286" t="n">
        <v>45966</v>
      </c>
      <c r="J1654" s="26" t="n"/>
      <c r="K1654" s="20" t="n">
        <v>120</v>
      </c>
      <c r="L1654" s="5" t="inlineStr">
        <is>
          <t>SFST81000050</t>
        </is>
      </c>
      <c r="M1654" s="7" t="inlineStr">
        <is>
          <t>Safety equipment</t>
        </is>
      </c>
      <c r="N1654" s="7" t="inlineStr">
        <is>
          <t>Safety equipment</t>
        </is>
      </c>
      <c r="O1654" s="11" t="n">
        <v>1</v>
      </c>
      <c r="P1654" s="10" t="inlineStr">
        <is>
          <t>spare partheadtypeair Speakman SE-580/SE-582</t>
        </is>
      </c>
      <c r="Q1654" s="277" t="n">
        <v>8</v>
      </c>
      <c r="R1654" s="5" t="inlineStr">
        <is>
          <t>PCS.</t>
        </is>
      </c>
      <c r="S1654" s="284">
        <f>RawDataGenPO[[#This Row],[Total price]]/RawDataGenPO[[#This Row],[Qty'']]</f>
        <v/>
      </c>
      <c r="T1654" s="278" t="n">
        <v>6080</v>
      </c>
      <c r="U1654" s="291" t="n"/>
      <c r="V1654" s="7" t="inlineStr">
        <is>
          <t>V1000224 - PHOL DHANYA PUBLIC CO.,LTD.</t>
        </is>
      </c>
      <c r="W1654" s="30" t="inlineStr">
        <is>
          <t>Recive bill and GRN already</t>
        </is>
      </c>
      <c r="X1654" s="5" t="inlineStr">
        <is>
          <t>GRN2526-0005725</t>
        </is>
      </c>
      <c r="Y1654" s="3" t="n">
        <v>45992</v>
      </c>
      <c r="Z1654" s="23" t="n"/>
      <c r="AA1654" s="17">
        <f>IF(RawDataGenPO[[#This Row],[Date Gen PO]]="","",RawDataGenPO[[#This Row],[Date recive bill]]-RawDataGenPO[[#This Row],[Date Gen PO]])</f>
        <v/>
      </c>
      <c r="AB1654" s="16">
        <f>IF(RawDataGenPO[[#This Row],[GRN-PO date]]&gt;RawDataGenPO[[#This Row],[Lead time delivery (day)]],"over deliverry","Ontime")</f>
        <v/>
      </c>
      <c r="AC1654" s="22" t="n"/>
    </row>
    <row r="1655" ht="15" customHeight="1">
      <c r="A1655" s="5">
        <f>ROW()-ROW(RawDataGenPO[[#Headers],[No.]])</f>
        <v/>
      </c>
      <c r="B1655" s="7" t="inlineStr">
        <is>
          <t>Expent  cost</t>
        </is>
      </c>
      <c r="C1655" s="281" t="n"/>
      <c r="F1655" s="371" t="n">
        <v>45958</v>
      </c>
      <c r="G1655" s="5" t="inlineStr">
        <is>
          <t>PR2526-02951</t>
        </is>
      </c>
      <c r="H1655" s="5" t="inlineStr">
        <is>
          <t>PO2526-04291</t>
        </is>
      </c>
      <c r="I1655" s="286" t="n">
        <v>45970</v>
      </c>
      <c r="J1655" s="26" t="n"/>
      <c r="K1655" s="20" t="n">
        <v>60</v>
      </c>
      <c r="L1655" s="5" t="inlineStr">
        <is>
          <t>SFST81000010</t>
        </is>
      </c>
      <c r="M1655" s="7" t="inlineStr">
        <is>
          <t>Consumable part for MN</t>
        </is>
      </c>
      <c r="N1655" s="7" t="inlineStr">
        <is>
          <t>Consumable part</t>
        </is>
      </c>
      <c r="O1655" s="11" t="n">
        <v>1</v>
      </c>
      <c r="P1655" s="10" t="inlineStr">
        <is>
          <t>"MSJ", 24.5", PRO MP251 E2, m</t>
        </is>
      </c>
      <c r="Q1655" s="277" t="n">
        <v>1</v>
      </c>
      <c r="R1655" s="5" t="inlineStr">
        <is>
          <t>EA.</t>
        </is>
      </c>
      <c r="S1655" s="284">
        <f>RawDataGenPO[[#This Row],[Total price]]/RawDataGenPO[[#This Row],[Qty'']]</f>
        <v/>
      </c>
      <c r="T1655" s="278" t="n">
        <v>2794.39</v>
      </c>
      <c r="U1655" s="291" t="n"/>
      <c r="V1655" s="7" t="inlineStr">
        <is>
          <t>V1000702 - MINIATURE AND BEYOND CO., LTD.</t>
        </is>
      </c>
      <c r="W1655" s="30" t="inlineStr">
        <is>
          <t>Recive bill and GRN already</t>
        </is>
      </c>
      <c r="X1655" s="5" t="inlineStr">
        <is>
          <t>GRN2526-0005793</t>
        </is>
      </c>
      <c r="Y1655" s="3" t="n">
        <v>45994</v>
      </c>
      <c r="Z1655" s="23" t="n"/>
      <c r="AA1655" s="17">
        <f>IF(RawDataGenPO[[#This Row],[Date Gen PO]]="","",RawDataGenPO[[#This Row],[Date recive bill]]-RawDataGenPO[[#This Row],[Date Gen PO]])</f>
        <v/>
      </c>
      <c r="AB1655" s="16">
        <f>IF(RawDataGenPO[[#This Row],[GRN-PO date]]&gt;RawDataGenPO[[#This Row],[Lead time delivery (day)]],"over deliverry","Ontime")</f>
        <v/>
      </c>
      <c r="AC1655" s="22" t="n"/>
    </row>
    <row r="1656" ht="15" customHeight="1">
      <c r="A1656" s="5">
        <f>ROW()-ROW(RawDataGenPO[[#Headers],[No.]])</f>
        <v/>
      </c>
      <c r="B1656" s="7" t="inlineStr">
        <is>
          <t>Expent  cost</t>
        </is>
      </c>
      <c r="C1656" s="281" t="n"/>
      <c r="F1656" s="371" t="n">
        <v>45958</v>
      </c>
      <c r="G1656" s="5" t="inlineStr">
        <is>
          <t>PR2526-02951</t>
        </is>
      </c>
      <c r="H1656" s="5" t="inlineStr">
        <is>
          <t>PO2526-04291</t>
        </is>
      </c>
      <c r="I1656" s="286" t="n">
        <v>45970</v>
      </c>
      <c r="J1656" s="26" t="n"/>
      <c r="K1656" s="20" t="n">
        <v>60</v>
      </c>
      <c r="L1656" s="5" t="inlineStr">
        <is>
          <t>SFST81000010</t>
        </is>
      </c>
      <c r="M1656" s="7" t="inlineStr">
        <is>
          <t>Consumable part for MN</t>
        </is>
      </c>
      <c r="N1656" s="7" t="inlineStr">
        <is>
          <t>Consumable part</t>
        </is>
      </c>
      <c r="O1656" s="11" t="n">
        <v>2</v>
      </c>
      <c r="P1656" s="10" t="inlineStr">
        <is>
          <t>UGREEN HDMI to HDMI Cable 2M V2.1 Support 8K/60Hz</t>
        </is>
      </c>
      <c r="Q1656" s="277" t="n">
        <v>1</v>
      </c>
      <c r="R1656" s="5" t="inlineStr">
        <is>
          <t>EA.</t>
        </is>
      </c>
      <c r="S1656" s="284">
        <f>RawDataGenPO[[#This Row],[Total price]]/RawDataGenPO[[#This Row],[Qty'']]</f>
        <v/>
      </c>
      <c r="T1656" s="278" t="n">
        <v>364.49</v>
      </c>
      <c r="U1656" s="291" t="n"/>
      <c r="V1656" s="7" t="inlineStr">
        <is>
          <t>V1000702 - MINIATURE AND BEYOND CO., LTD.</t>
        </is>
      </c>
      <c r="W1656" s="30" t="inlineStr">
        <is>
          <t>Recive bill and GRN already</t>
        </is>
      </c>
      <c r="X1656" s="5" t="inlineStr">
        <is>
          <t>GRN2526-0005793</t>
        </is>
      </c>
      <c r="Y1656" s="3" t="n">
        <v>45994</v>
      </c>
      <c r="Z1656" s="23" t="n"/>
      <c r="AA1656" s="17">
        <f>IF(RawDataGenPO[[#This Row],[Date Gen PO]]="","",RawDataGenPO[[#This Row],[Date recive bill]]-RawDataGenPO[[#This Row],[Date Gen PO]])</f>
        <v/>
      </c>
      <c r="AB1656" s="16">
        <f>IF(RawDataGenPO[[#This Row],[GRN-PO date]]&gt;RawDataGenPO[[#This Row],[Lead time delivery (day)]],"over deliverry","Ontime")</f>
        <v/>
      </c>
      <c r="AC1656" s="22" t="n"/>
    </row>
    <row r="1657" ht="15" customHeight="1">
      <c r="A1657" s="5">
        <f>ROW()-ROW(RawDataGenPO[[#Headers],[No.]])</f>
        <v/>
      </c>
      <c r="B1657" s="7" t="inlineStr">
        <is>
          <t>Expent  cost</t>
        </is>
      </c>
      <c r="C1657" s="281" t="n"/>
      <c r="F1657" s="371" t="n">
        <v>45958</v>
      </c>
      <c r="G1657" s="5" t="inlineStr">
        <is>
          <t>PR2526-02951</t>
        </is>
      </c>
      <c r="H1657" s="5" t="inlineStr">
        <is>
          <t>PO2526-04291</t>
        </is>
      </c>
      <c r="I1657" s="286" t="n">
        <v>45970</v>
      </c>
      <c r="J1657" s="26" t="n"/>
      <c r="K1657" s="20" t="n">
        <v>60</v>
      </c>
      <c r="L1657" s="5" t="inlineStr">
        <is>
          <t>SFST81000010</t>
        </is>
      </c>
      <c r="M1657" s="7" t="inlineStr">
        <is>
          <t>Consumable part for MN</t>
        </is>
      </c>
      <c r="N1657" s="7" t="inlineStr">
        <is>
          <t>Consumable part</t>
        </is>
      </c>
      <c r="O1657" s="11" t="n">
        <v>3</v>
      </c>
      <c r="P1657" s="10" t="inlineStr">
        <is>
          <t>UGREEN USB-C to HDMI Thanderbolt 3 Connecter 4K Gray</t>
        </is>
      </c>
      <c r="Q1657" s="277" t="n">
        <v>1</v>
      </c>
      <c r="R1657" s="5" t="inlineStr">
        <is>
          <t>EA.</t>
        </is>
      </c>
      <c r="S1657" s="284">
        <f>RawDataGenPO[[#This Row],[Total price]]/RawDataGenPO[[#This Row],[Qty'']]</f>
        <v/>
      </c>
      <c r="T1657" s="278" t="n">
        <v>738.3200000000001</v>
      </c>
      <c r="U1657" s="291" t="n"/>
      <c r="V1657" s="7" t="inlineStr">
        <is>
          <t>V1000702 - MINIATURE AND BEYOND CO., LTD.</t>
        </is>
      </c>
      <c r="W1657" s="30" t="inlineStr">
        <is>
          <t>Recive bill and GRN already</t>
        </is>
      </c>
      <c r="X1657" s="5" t="inlineStr">
        <is>
          <t>GRN2526-0005793</t>
        </is>
      </c>
      <c r="Y1657" s="3" t="n">
        <v>45994</v>
      </c>
      <c r="Z1657" s="23" t="n"/>
      <c r="AA1657" s="17">
        <f>IF(RawDataGenPO[[#This Row],[Date Gen PO]]="","",RawDataGenPO[[#This Row],[Date recive bill]]-RawDataGenPO[[#This Row],[Date Gen PO]])</f>
        <v/>
      </c>
      <c r="AB1657" s="16">
        <f>IF(RawDataGenPO[[#This Row],[GRN-PO date]]&gt;RawDataGenPO[[#This Row],[Lead time delivery (day)]],"over deliverry","Ontime")</f>
        <v/>
      </c>
      <c r="AC1657" s="22" t="n"/>
    </row>
    <row r="1658" ht="45" customHeight="1">
      <c r="A1658" s="5">
        <f>ROW()-ROW(RawDataGenPO[[#Headers],[No.]])</f>
        <v/>
      </c>
      <c r="B1658" s="7" t="inlineStr">
        <is>
          <t>Expent  cost</t>
        </is>
      </c>
      <c r="C1658" s="281" t="n"/>
      <c r="F1658" s="301" t="n">
        <v>45965</v>
      </c>
      <c r="G1658" s="5" t="inlineStr">
        <is>
          <t>PR2526-03082</t>
        </is>
      </c>
      <c r="H1658" s="5" t="inlineStr">
        <is>
          <t>PO2526-04298</t>
        </is>
      </c>
      <c r="I1658" s="286" t="n">
        <v>45979</v>
      </c>
      <c r="J1658" s="26" t="n"/>
      <c r="K1658" s="20" t="n">
        <v>60</v>
      </c>
      <c r="L1658" s="5" t="inlineStr">
        <is>
          <t>SFST81000048</t>
        </is>
      </c>
      <c r="M1658" s="7" t="inlineStr">
        <is>
          <t>PD Machine</t>
        </is>
      </c>
      <c r="N1658" s="7" t="inlineStr">
        <is>
          <t>Bowl Cutter (Chopper) No.1</t>
        </is>
      </c>
      <c r="O1658" s="11" t="n">
        <v>1</v>
      </c>
      <c r="P1658" s="10" t="inlineStr">
        <is>
          <t>Service charge
Error: V1.3 CAN-NodeNr:01 500kBaud 5Keyboards
The screen is not showing the operation functions</t>
        </is>
      </c>
      <c r="Q1658" s="277" t="n">
        <v>1</v>
      </c>
      <c r="R1658" s="5" t="inlineStr">
        <is>
          <t>JOB.</t>
        </is>
      </c>
      <c r="S1658" s="284">
        <f>RawDataGenPO[[#This Row],[Total price]]/RawDataGenPO[[#This Row],[Qty'']]</f>
        <v/>
      </c>
      <c r="T1658" s="278" t="n">
        <v>6900</v>
      </c>
      <c r="U1658" s="291" t="n"/>
      <c r="V1658" s="7" t="inlineStr">
        <is>
          <t>V1000189 - FPT FOOD PROCESS TECHNOLOGY CO., LTD.</t>
        </is>
      </c>
      <c r="W1658" s="30" t="inlineStr">
        <is>
          <t xml:space="preserve">Waitting Supplier transportation </t>
        </is>
      </c>
      <c r="Z1658" s="23" t="n"/>
      <c r="AA1658" s="17">
        <f>IF(RawDataGenPO[[#This Row],[Date Gen PO]]="","",RawDataGenPO[[#This Row],[Date recive bill]]-RawDataGenPO[[#This Row],[Date Gen PO]])</f>
        <v/>
      </c>
      <c r="AB1658" s="16" t="n"/>
      <c r="AC1658" s="22" t="n"/>
    </row>
    <row r="1659" ht="30" customHeight="1">
      <c r="A1659" s="5">
        <f>ROW()-ROW(RawDataGenPO[[#Headers],[No.]])</f>
        <v/>
      </c>
      <c r="B1659" s="7" t="inlineStr">
        <is>
          <t>Expent  cost</t>
        </is>
      </c>
      <c r="C1659" s="281" t="n"/>
      <c r="F1659" s="301" t="n">
        <v>45966</v>
      </c>
      <c r="G1659" s="5" t="inlineStr">
        <is>
          <t xml:space="preserve">PR2526-03116 </t>
        </is>
      </c>
      <c r="H1659" s="5" t="inlineStr">
        <is>
          <t>PO2526-04371</t>
        </is>
      </c>
      <c r="I1659" s="286" t="n">
        <v>45976</v>
      </c>
      <c r="J1659" s="26" t="n"/>
      <c r="K1659" s="20" t="n">
        <v>60</v>
      </c>
      <c r="L1659" s="5" t="inlineStr">
        <is>
          <t>SFST81000009</t>
        </is>
      </c>
      <c r="M1659" s="7" t="inlineStr">
        <is>
          <t>Civill jobs (Floor-Wall-Celling-roof)</t>
        </is>
      </c>
      <c r="N1659" s="7" t="inlineStr">
        <is>
          <t>Cevil jobs</t>
        </is>
      </c>
      <c r="O1659" s="11" t="n">
        <v>1</v>
      </c>
      <c r="P1659" s="10" t="inlineStr">
        <is>
          <t>Engineering Department Door Glass Replacement Work,
size 90x200 cm.:Clear</t>
        </is>
      </c>
      <c r="Q1659" s="277" t="n">
        <v>1</v>
      </c>
      <c r="R1659" s="5" t="inlineStr">
        <is>
          <t>JOB.</t>
        </is>
      </c>
      <c r="S1659" s="284">
        <f>RawDataGenPO[[#This Row],[Total price]]/RawDataGenPO[[#This Row],[Qty'']]</f>
        <v/>
      </c>
      <c r="T1659" s="278" t="n">
        <v>3500</v>
      </c>
      <c r="U1659" s="291" t="n"/>
      <c r="V1659" s="7" t="inlineStr">
        <is>
          <t>V1000719 - PHUTAWAN ENGINEERING SERVICE CO., LTD.</t>
        </is>
      </c>
      <c r="W1659" s="30" t="inlineStr">
        <is>
          <t xml:space="preserve">Waitting Supplier transportation </t>
        </is>
      </c>
      <c r="Z1659" s="23" t="n"/>
      <c r="AA1659" s="17">
        <f>IF(RawDataGenPO[[#This Row],[Date Gen PO]]="","",RawDataGenPO[[#This Row],[Date recive bill]]-RawDataGenPO[[#This Row],[Date Gen PO]])</f>
        <v/>
      </c>
      <c r="AB1659" s="16" t="n"/>
      <c r="AC1659" s="22" t="n"/>
    </row>
    <row r="1660" ht="30" customHeight="1">
      <c r="A1660" s="5">
        <f>ROW()-ROW(RawDataGenPO[[#Headers],[No.]])</f>
        <v/>
      </c>
      <c r="B1660" s="7" t="inlineStr">
        <is>
          <t>Expent  cost</t>
        </is>
      </c>
      <c r="C1660" s="281" t="n"/>
      <c r="F1660" s="301" t="n">
        <v>45966</v>
      </c>
      <c r="G1660" s="5" t="inlineStr">
        <is>
          <t xml:space="preserve">PR2526-03116 </t>
        </is>
      </c>
      <c r="H1660" s="5" t="inlineStr">
        <is>
          <t>PO2526-04371</t>
        </is>
      </c>
      <c r="I1660" s="286" t="n">
        <v>45976</v>
      </c>
      <c r="J1660" s="26" t="n"/>
      <c r="K1660" s="20" t="n">
        <v>60</v>
      </c>
      <c r="L1660" s="5" t="inlineStr">
        <is>
          <t>SFST81000009</t>
        </is>
      </c>
      <c r="M1660" s="7" t="inlineStr">
        <is>
          <t>Civill jobs (Floor-Wall-Celling-roof)</t>
        </is>
      </c>
      <c r="N1660" s="7" t="inlineStr">
        <is>
          <t>Cevil jobs</t>
        </is>
      </c>
      <c r="O1660" s="11" t="n">
        <v>2</v>
      </c>
      <c r="P1660" s="10" t="inlineStr">
        <is>
          <t>HR Department Door Glass Replacement Work,
size 90×200 cm.: with tinted film.</t>
        </is>
      </c>
      <c r="Q1660" s="277" t="n">
        <v>1</v>
      </c>
      <c r="R1660" s="5" t="inlineStr">
        <is>
          <t>JOB.</t>
        </is>
      </c>
      <c r="S1660" s="284">
        <f>RawDataGenPO[[#This Row],[Total price]]/RawDataGenPO[[#This Row],[Qty'']]</f>
        <v/>
      </c>
      <c r="T1660" s="278" t="n">
        <v>5500</v>
      </c>
      <c r="U1660" s="291" t="n"/>
      <c r="V1660" s="7" t="inlineStr">
        <is>
          <t>V1000719 - PHUTAWAN ENGINEERING SERVICE CO., LTD.</t>
        </is>
      </c>
      <c r="W1660" s="30" t="inlineStr">
        <is>
          <t xml:space="preserve">Waitting Supplier transportation </t>
        </is>
      </c>
      <c r="Z1660" s="23" t="n"/>
      <c r="AA1660" s="17">
        <f>IF(RawDataGenPO[[#This Row],[Date Gen PO]]="","",RawDataGenPO[[#This Row],[Date recive bill]]-RawDataGenPO[[#This Row],[Date Gen PO]])</f>
        <v/>
      </c>
      <c r="AB1660" s="16">
        <f>IF(RawDataGenPO[[#This Row],[GRN-PO date]]&gt;RawDataGenPO[[#This Row],[Lead time delivery (day)]],"over deliverry","Ontime")</f>
        <v/>
      </c>
      <c r="AC1660" s="22" t="n"/>
    </row>
    <row r="1661" ht="15" customHeight="1">
      <c r="A1661" s="5">
        <f>ROW()-ROW(RawDataGenPO[[#Headers],[No.]])</f>
        <v/>
      </c>
      <c r="B1661" s="7" t="inlineStr">
        <is>
          <t>Expent  cost</t>
        </is>
      </c>
      <c r="C1661" s="281" t="n"/>
      <c r="F1661" s="301" t="n">
        <v>45966</v>
      </c>
      <c r="G1661" s="5" t="inlineStr">
        <is>
          <t xml:space="preserve">PR2526-03116 </t>
        </is>
      </c>
      <c r="H1661" s="5" t="inlineStr">
        <is>
          <t>PO2526-04371</t>
        </is>
      </c>
      <c r="I1661" s="286" t="n">
        <v>45976</v>
      </c>
      <c r="J1661" s="26" t="n"/>
      <c r="K1661" s="20" t="n">
        <v>60</v>
      </c>
      <c r="L1661" s="5" t="inlineStr">
        <is>
          <t>SFST81000009</t>
        </is>
      </c>
      <c r="M1661" s="7" t="inlineStr">
        <is>
          <t>Civill jobs (Floor-Wall-Celling-roof)</t>
        </is>
      </c>
      <c r="N1661" s="7" t="inlineStr">
        <is>
          <t>Cevil jobs</t>
        </is>
      </c>
      <c r="O1661" s="11" t="n">
        <v>3</v>
      </c>
      <c r="P1661" s="10" t="inlineStr">
        <is>
          <t>Opering cost</t>
        </is>
      </c>
      <c r="Q1661" s="277" t="n">
        <v>1</v>
      </c>
      <c r="R1661" s="5" t="inlineStr">
        <is>
          <t>JOB.</t>
        </is>
      </c>
      <c r="S1661" s="284">
        <f>RawDataGenPO[[#This Row],[Total price]]/RawDataGenPO[[#This Row],[Qty'']]</f>
        <v/>
      </c>
      <c r="T1661" s="278" t="n">
        <v>2000</v>
      </c>
      <c r="U1661" s="291" t="n"/>
      <c r="V1661" s="7" t="inlineStr">
        <is>
          <t>V1000719 - PHUTAWAN ENGINEERING SERVICE CO., LTD.</t>
        </is>
      </c>
      <c r="W1661" s="30" t="inlineStr">
        <is>
          <t xml:space="preserve">Waitting Supplier transportation </t>
        </is>
      </c>
      <c r="Z1661" s="23" t="n"/>
      <c r="AA1661" s="17">
        <f>IF(RawDataGenPO[[#This Row],[Date Gen PO]]="","",RawDataGenPO[[#This Row],[Date recive bill]]-RawDataGenPO[[#This Row],[Date Gen PO]])</f>
        <v/>
      </c>
      <c r="AB1661" s="16">
        <f>IF(RawDataGenPO[[#This Row],[GRN-PO date]]&gt;RawDataGenPO[[#This Row],[Lead time delivery (day)]],"over deliverry","Ontime")</f>
        <v/>
      </c>
      <c r="AC1661" s="22" t="n"/>
    </row>
    <row r="1662" ht="15" customHeight="1">
      <c r="A1662" s="5">
        <f>ROW()-ROW(RawDataGenPO[[#Headers],[No.]])</f>
        <v/>
      </c>
      <c r="B1662" s="7" t="inlineStr">
        <is>
          <t>Expent  cost</t>
        </is>
      </c>
      <c r="C1662" s="281" t="n"/>
      <c r="F1662" s="301" t="n">
        <v>45966</v>
      </c>
      <c r="G1662" s="5" t="inlineStr">
        <is>
          <t>PR2526-03117</t>
        </is>
      </c>
      <c r="H1662" s="5" t="inlineStr">
        <is>
          <t>PO2526-04370</t>
        </is>
      </c>
      <c r="I1662" s="286" t="n">
        <v>45979</v>
      </c>
      <c r="J1662" s="26" t="n"/>
      <c r="K1662" s="20" t="n">
        <v>120</v>
      </c>
      <c r="L1662" s="5" t="inlineStr">
        <is>
          <t>SFST81000085</t>
        </is>
      </c>
      <c r="M1662" s="7" t="inlineStr">
        <is>
          <t>PD Machine</t>
        </is>
      </c>
      <c r="N1662" s="7" t="inlineStr">
        <is>
          <t>Other machine</t>
        </is>
      </c>
      <c r="O1662" s="11" t="n">
        <v>1</v>
      </c>
      <c r="P1662" s="10" t="inlineStr">
        <is>
          <t>Machine transportation by truck June 18th and 27th</t>
        </is>
      </c>
      <c r="Q1662" s="277" t="n">
        <v>1</v>
      </c>
      <c r="R1662" s="5" t="inlineStr">
        <is>
          <t>JOB.</t>
        </is>
      </c>
      <c r="S1662" s="284">
        <f>RawDataGenPO[[#This Row],[Total price]]/RawDataGenPO[[#This Row],[Qty'']]</f>
        <v/>
      </c>
      <c r="T1662" s="278" t="n">
        <v>12000</v>
      </c>
      <c r="U1662" s="291" t="n"/>
      <c r="V1662" s="7" t="inlineStr">
        <is>
          <t>V1000782 - Forefront Foodtech Co.,Ltd.</t>
        </is>
      </c>
      <c r="W1662" s="30" t="inlineStr">
        <is>
          <t>Recive bill and GRN already</t>
        </is>
      </c>
      <c r="X1662" s="5" t="inlineStr">
        <is>
          <t>GRN2526-0006458</t>
        </is>
      </c>
      <c r="Y1662" s="3" t="n">
        <v>46014</v>
      </c>
      <c r="Z1662" s="23" t="n"/>
      <c r="AA1662" s="17">
        <f>IF(RawDataGenPO[[#This Row],[Date Gen PO]]="","",RawDataGenPO[[#This Row],[Date recive bill]]-RawDataGenPO[[#This Row],[Date Gen PO]])</f>
        <v/>
      </c>
      <c r="AB1662" s="16">
        <f>IF(RawDataGenPO[[#This Row],[GRN-PO date]]&gt;RawDataGenPO[[#This Row],[Lead time delivery (day)]],"over deliverry","Ontime")</f>
        <v/>
      </c>
      <c r="AC1662" s="22" t="n"/>
    </row>
    <row r="1663" ht="15" customHeight="1">
      <c r="A1663" s="5">
        <f>ROW()-ROW(RawDataGenPO[[#Headers],[No.]])</f>
        <v/>
      </c>
      <c r="B1663" s="7" t="inlineStr">
        <is>
          <t>Expent  cost</t>
        </is>
      </c>
      <c r="C1663" s="281" t="n"/>
      <c r="F1663" s="301" t="n">
        <v>45966</v>
      </c>
      <c r="G1663" s="5" t="inlineStr">
        <is>
          <t>PR2526-03117</t>
        </is>
      </c>
      <c r="H1663" s="5" t="inlineStr">
        <is>
          <t>PO2526-04370</t>
        </is>
      </c>
      <c r="I1663" s="286" t="n">
        <v>45979</v>
      </c>
      <c r="J1663" s="26" t="n"/>
      <c r="K1663" s="20" t="n">
        <v>120</v>
      </c>
      <c r="L1663" s="5" t="inlineStr">
        <is>
          <t>SFST81000086</t>
        </is>
      </c>
      <c r="M1663" s="7" t="inlineStr">
        <is>
          <t>PD Machine</t>
        </is>
      </c>
      <c r="N1663" s="7" t="inlineStr">
        <is>
          <t>Other machine</t>
        </is>
      </c>
      <c r="O1663" s="11" t="n">
        <v>2</v>
      </c>
      <c r="P1663" s="10" t="inlineStr">
        <is>
          <t>Second product test including raw material and transportation</t>
        </is>
      </c>
      <c r="Q1663" s="277" t="n">
        <v>1</v>
      </c>
      <c r="R1663" s="5" t="inlineStr">
        <is>
          <t>JOB.</t>
        </is>
      </c>
      <c r="S1663" s="284">
        <f>RawDataGenPO[[#This Row],[Total price]]/RawDataGenPO[[#This Row],[Qty'']]</f>
        <v/>
      </c>
      <c r="T1663" s="278" t="n">
        <v>10000</v>
      </c>
      <c r="U1663" s="291" t="n"/>
      <c r="V1663" s="7" t="inlineStr">
        <is>
          <t>V1000782 - Forefront Foodtech Co.,Ltd.</t>
        </is>
      </c>
      <c r="W1663" s="30" t="inlineStr">
        <is>
          <t>Recive bill and GRN already</t>
        </is>
      </c>
      <c r="X1663" s="5" t="inlineStr">
        <is>
          <t>GRN2526-0006458</t>
        </is>
      </c>
      <c r="Y1663" s="3" t="n">
        <v>46014</v>
      </c>
      <c r="Z1663" s="23" t="n"/>
      <c r="AA1663" s="17">
        <f>IF(RawDataGenPO[[#This Row],[Date Gen PO]]="","",RawDataGenPO[[#This Row],[Date recive bill]]-RawDataGenPO[[#This Row],[Date Gen PO]])</f>
        <v/>
      </c>
      <c r="AB1663" s="16">
        <f>IF(RawDataGenPO[[#This Row],[GRN-PO date]]&gt;RawDataGenPO[[#This Row],[Lead time delivery (day)]],"over deliverry","Ontime")</f>
        <v/>
      </c>
      <c r="AC1663" s="22" t="n"/>
    </row>
    <row r="1664" ht="45" customHeight="1">
      <c r="A1664" s="5">
        <f>ROW()-ROW(RawDataGenPO[[#Headers],[No.]])</f>
        <v/>
      </c>
      <c r="B1664" s="7" t="inlineStr">
        <is>
          <t>Expent  cost</t>
        </is>
      </c>
      <c r="C1664" s="281" t="n"/>
      <c r="F1664" s="301" t="n">
        <v>45966</v>
      </c>
      <c r="G1664" s="5" t="inlineStr">
        <is>
          <t>PR2526-03118</t>
        </is>
      </c>
      <c r="H1664" s="5" t="inlineStr">
        <is>
          <t>PO2526-04295</t>
        </is>
      </c>
      <c r="I1664" s="286" t="n">
        <v>45970</v>
      </c>
      <c r="J1664" s="26" t="n"/>
      <c r="K1664" s="20" t="n">
        <v>60</v>
      </c>
      <c r="L1664" s="5" t="inlineStr">
        <is>
          <t>SFST81000048</t>
        </is>
      </c>
      <c r="M1664" s="7" t="inlineStr">
        <is>
          <t>PD Machine</t>
        </is>
      </c>
      <c r="N1664" s="7" t="inlineStr">
        <is>
          <t>Other machine</t>
        </is>
      </c>
      <c r="O1664" s="11" t="n">
        <v>1</v>
      </c>
      <c r="P1664" s="10" t="inlineStr">
        <is>
          <t>Digital Temperature Controller PID "PRIMUS" TMP-96-R-R-AB
- Size 96x96 mm./Output1: Relay Contact/Output2: Relay
Contact/Supply: 100-250 VAC</t>
        </is>
      </c>
      <c r="Q1664" s="277" t="n">
        <v>4</v>
      </c>
      <c r="R1664" s="5" t="inlineStr">
        <is>
          <t>PCS.</t>
        </is>
      </c>
      <c r="S1664" s="284">
        <f>RawDataGenPO[[#This Row],[Total price]]/RawDataGenPO[[#This Row],[Qty'']]</f>
        <v/>
      </c>
      <c r="T1664" s="278" t="n">
        <v>16864</v>
      </c>
      <c r="U1664" s="291" t="n"/>
      <c r="V1664" s="7" t="inlineStr">
        <is>
          <t>V1000668 - Primus Co.,Ltd</t>
        </is>
      </c>
      <c r="W1664" s="30" t="inlineStr">
        <is>
          <t>Recive bill and GRN already</t>
        </is>
      </c>
      <c r="X1664" s="5" t="inlineStr">
        <is>
          <t>GRN2526-0009375</t>
        </is>
      </c>
      <c r="Y1664" s="3" t="n">
        <v>46106</v>
      </c>
      <c r="Z1664" s="23" t="n"/>
      <c r="AA1664" s="17">
        <f>IF(RawDataGenPO[[#This Row],[Date Gen PO]]="","",RawDataGenPO[[#This Row],[Date recive bill]]-RawDataGenPO[[#This Row],[Date Gen PO]])</f>
        <v/>
      </c>
      <c r="AB1664" s="16">
        <f>IF(RawDataGenPO[[#This Row],[GRN-PO date]]&gt;RawDataGenPO[[#This Row],[Lead time delivery (day)]],"over deliverry","Ontime")</f>
        <v/>
      </c>
      <c r="AC1664" s="22" t="n"/>
    </row>
    <row r="1665" ht="15" customHeight="1">
      <c r="A1665" s="5">
        <f>ROW()-ROW(RawDataGenPO[[#Headers],[No.]])</f>
        <v/>
      </c>
      <c r="B1665" s="7" t="inlineStr">
        <is>
          <t>Expent  cost</t>
        </is>
      </c>
      <c r="C1665" s="281" t="n"/>
      <c r="F1665" s="301" t="n">
        <v>45966</v>
      </c>
      <c r="G1665" s="5" t="inlineStr">
        <is>
          <t xml:space="preserve">PR2526-03119 </t>
        </is>
      </c>
      <c r="H1665" s="5" t="inlineStr">
        <is>
          <t>PO2526-04346</t>
        </is>
      </c>
      <c r="I1665" s="286" t="n">
        <v>45973</v>
      </c>
      <c r="J1665" s="26" t="n"/>
      <c r="K1665" s="20" t="n">
        <v>60</v>
      </c>
      <c r="L1665" s="5" t="inlineStr">
        <is>
          <t>SFST81000048</t>
        </is>
      </c>
      <c r="M1665" s="7" t="inlineStr">
        <is>
          <t>PD Machine</t>
        </is>
      </c>
      <c r="N1665" s="7" t="inlineStr">
        <is>
          <t>Steam Bratt pan No.1</t>
        </is>
      </c>
      <c r="O1665" s="11" t="n">
        <v>1</v>
      </c>
      <c r="P1665" s="10" t="inlineStr">
        <is>
          <t>Replacepiecemachine Steam Bratt Pan No.1</t>
        </is>
      </c>
      <c r="Q1665" s="277" t="n">
        <v>1</v>
      </c>
      <c r="R1665" s="5" t="inlineStr">
        <is>
          <t>PCS.</t>
        </is>
      </c>
      <c r="S1665" s="284">
        <f>RawDataGenPO[[#This Row],[Total price]]/RawDataGenPO[[#This Row],[Qty'']]</f>
        <v/>
      </c>
      <c r="T1665" s="278" t="n">
        <v>19800</v>
      </c>
      <c r="U1665" s="291" t="n"/>
      <c r="V1665" s="10" t="inlineStr">
        <is>
          <t>V1000922 - WORMMEC COMPANY LIMITED</t>
        </is>
      </c>
      <c r="W1665" s="30" t="inlineStr">
        <is>
          <t>Recive bill and GRN already</t>
        </is>
      </c>
      <c r="X1665" s="5" t="inlineStr">
        <is>
          <t>GRN2526-0005945</t>
        </is>
      </c>
      <c r="Y1665" s="3" t="n">
        <v>46003</v>
      </c>
      <c r="Z1665" s="23" t="n"/>
      <c r="AA1665" s="17">
        <f>IF(RawDataGenPO[[#This Row],[Date Gen PO]]="","",RawDataGenPO[[#This Row],[Date recive bill]]-RawDataGenPO[[#This Row],[Date Gen PO]])</f>
        <v/>
      </c>
      <c r="AB1665" s="16">
        <f>IF(RawDataGenPO[[#This Row],[GRN-PO date]]&gt;RawDataGenPO[[#This Row],[Lead time delivery (day)]],"over deliverry","Ontime")</f>
        <v/>
      </c>
      <c r="AC1665" s="22" t="n"/>
    </row>
    <row r="1666" ht="30" customHeight="1">
      <c r="A1666" s="5">
        <f>ROW()-ROW(RawDataGenPO[[#Headers],[No.]])</f>
        <v/>
      </c>
      <c r="B1666" s="7" t="inlineStr">
        <is>
          <t>Expent  cost</t>
        </is>
      </c>
      <c r="C1666" s="281" t="n"/>
      <c r="F1666" s="301" t="n">
        <v>45966</v>
      </c>
      <c r="G1666" s="5" t="inlineStr">
        <is>
          <t xml:space="preserve">PR2526-03119 </t>
        </is>
      </c>
      <c r="H1666" s="5" t="inlineStr">
        <is>
          <t>PO2526-04346</t>
        </is>
      </c>
      <c r="I1666" s="286" t="n">
        <v>45973</v>
      </c>
      <c r="J1666" s="26" t="n"/>
      <c r="K1666" s="20" t="n">
        <v>60</v>
      </c>
      <c r="L1666" s="5" t="inlineStr">
        <is>
          <t>SFST81000048</t>
        </is>
      </c>
      <c r="M1666" s="7" t="inlineStr">
        <is>
          <t>PD Machine</t>
        </is>
      </c>
      <c r="N1666" s="7" t="inlineStr">
        <is>
          <t>Steam Bratt pan No.1</t>
        </is>
      </c>
      <c r="O1666" s="11" t="n">
        <v>2</v>
      </c>
      <c r="P1666" s="10" t="inlineStr">
        <is>
          <t>On site Service, Transport, Hand Tools
Heavy Tools, and Overhead Profit</t>
        </is>
      </c>
      <c r="Q1666" s="277" t="n">
        <v>1</v>
      </c>
      <c r="R1666" s="5" t="inlineStr">
        <is>
          <t>PCS.</t>
        </is>
      </c>
      <c r="S1666" s="284">
        <f>RawDataGenPO[[#This Row],[Total price]]/RawDataGenPO[[#This Row],[Qty'']]</f>
        <v/>
      </c>
      <c r="T1666" s="278" t="n">
        <v>7500</v>
      </c>
      <c r="U1666" s="291" t="n"/>
      <c r="V1666" s="10" t="inlineStr">
        <is>
          <t>V1000922 - WORMMEC COMPANY LIMITED</t>
        </is>
      </c>
      <c r="W1666" s="30" t="inlineStr">
        <is>
          <t>Recive bill and GRN already</t>
        </is>
      </c>
      <c r="X1666" s="5" t="inlineStr">
        <is>
          <t>GRN2526-0005945</t>
        </is>
      </c>
      <c r="Y1666" s="3" t="n">
        <v>46003</v>
      </c>
      <c r="Z1666" s="23" t="n"/>
      <c r="AA1666" s="17">
        <f>IF(RawDataGenPO[[#This Row],[Date Gen PO]]="","",RawDataGenPO[[#This Row],[Date recive bill]]-RawDataGenPO[[#This Row],[Date Gen PO]])</f>
        <v/>
      </c>
      <c r="AB1666" s="16">
        <f>IF(RawDataGenPO[[#This Row],[GRN-PO date]]&gt;RawDataGenPO[[#This Row],[Lead time delivery (day)]],"over deliverry","Ontime")</f>
        <v/>
      </c>
      <c r="AC1666" s="22" t="n"/>
    </row>
    <row r="1667" ht="75" customHeight="1">
      <c r="A1667" s="5">
        <f>ROW()-ROW(RawDataGenPO[[#Headers],[No.]])</f>
        <v/>
      </c>
      <c r="B1667" s="7" t="inlineStr">
        <is>
          <t>Expent  cost</t>
        </is>
      </c>
      <c r="C1667" s="281" t="n"/>
      <c r="F1667" s="301" t="n">
        <v>45966</v>
      </c>
      <c r="G1667" s="5" t="inlineStr">
        <is>
          <t>PR2526-03120</t>
        </is>
      </c>
      <c r="H1667" s="5" t="inlineStr">
        <is>
          <t xml:space="preserve">PO2526-04296 </t>
        </is>
      </c>
      <c r="I1667" s="286" t="n">
        <v>45970</v>
      </c>
      <c r="J1667" s="26" t="n"/>
      <c r="K1667" s="20" t="n">
        <v>60</v>
      </c>
      <c r="L1667" s="5" t="inlineStr">
        <is>
          <t>SFST81000048</t>
        </is>
      </c>
      <c r="M1667" s="7" t="inlineStr">
        <is>
          <t>Cooling machine for PD line</t>
        </is>
      </c>
      <c r="N1667" s="7" t="inlineStr">
        <is>
          <t>Cooling  part</t>
        </is>
      </c>
      <c r="O1667" s="11" t="n">
        <v>1</v>
      </c>
      <c r="P1667" s="10" t="inlineStr">
        <is>
          <t>Motor Protection Module SE-B1
KRIWAN (Germany)
Bitzer Part No. 34701901
Supply AC 50/60Hz 230/240 3VA
Relay AC240V, max.2.5A, C300</t>
        </is>
      </c>
      <c r="Q1667" s="277" t="n">
        <v>5</v>
      </c>
      <c r="R1667" s="5" t="inlineStr">
        <is>
          <t>PCS.</t>
        </is>
      </c>
      <c r="S1667" s="284">
        <f>RawDataGenPO[[#This Row],[Total price]]/RawDataGenPO[[#This Row],[Qty'']]</f>
        <v/>
      </c>
      <c r="T1667" s="278" t="n">
        <v>24250</v>
      </c>
      <c r="U1667" s="291" t="n"/>
      <c r="V1667" s="7" t="inlineStr">
        <is>
          <t>V1000292 - Nopachart Intertrade Co., Ltd</t>
        </is>
      </c>
      <c r="W1667" s="30" t="inlineStr">
        <is>
          <t>Recive bill and GRN already</t>
        </is>
      </c>
      <c r="X1667" s="5" t="inlineStr">
        <is>
          <t>GRN2526-0005726</t>
        </is>
      </c>
      <c r="Y1667" s="3" t="n">
        <v>45992</v>
      </c>
      <c r="Z1667" s="23" t="n"/>
      <c r="AA1667" s="17">
        <f>IF(RawDataGenPO[[#This Row],[Date Gen PO]]="","",RawDataGenPO[[#This Row],[Date recive bill]]-RawDataGenPO[[#This Row],[Date Gen PO]])</f>
        <v/>
      </c>
      <c r="AB1667" s="16">
        <f>IF(RawDataGenPO[[#This Row],[GRN-PO date]]&gt;RawDataGenPO[[#This Row],[Lead time delivery (day)]],"over deliverry","Ontime")</f>
        <v/>
      </c>
      <c r="AC1667" s="22" t="n"/>
    </row>
    <row r="1668" ht="75" customHeight="1">
      <c r="A1668" s="5">
        <f>ROW()-ROW(RawDataGenPO[[#Headers],[No.]])</f>
        <v/>
      </c>
      <c r="B1668" s="7" t="inlineStr">
        <is>
          <t>Expent  cost</t>
        </is>
      </c>
      <c r="C1668" s="281" t="n"/>
      <c r="F1668" s="301" t="n">
        <v>45966</v>
      </c>
      <c r="G1668" s="5" t="inlineStr">
        <is>
          <t>PR2526-03120</t>
        </is>
      </c>
      <c r="H1668" s="5" t="inlineStr">
        <is>
          <t xml:space="preserve">PO2526-04296 </t>
        </is>
      </c>
      <c r="I1668" s="286" t="n">
        <v>45970</v>
      </c>
      <c r="J1668" s="26" t="n"/>
      <c r="K1668" s="20" t="n">
        <v>60</v>
      </c>
      <c r="L1668" s="5" t="inlineStr">
        <is>
          <t>SFST81000048</t>
        </is>
      </c>
      <c r="M1668" s="7" t="inlineStr">
        <is>
          <t>Cooling machine for PD line</t>
        </is>
      </c>
      <c r="N1668" s="7" t="inlineStr">
        <is>
          <t>Cooling  part</t>
        </is>
      </c>
      <c r="O1668" s="11" t="n">
        <v>2</v>
      </c>
      <c r="P1668" s="10" t="inlineStr">
        <is>
          <t>Motor Protection Module SE-B1
Lodam (Germany)
Bitzer Part No. 34701901
Supply AC 50/60Hz 230/240 2VA
Relay AC240V, max.2.5A, C300</t>
        </is>
      </c>
      <c r="Q1668" s="277" t="n">
        <v>5</v>
      </c>
      <c r="R1668" s="5" t="inlineStr">
        <is>
          <t>PCS.</t>
        </is>
      </c>
      <c r="S1668" s="284">
        <f>RawDataGenPO[[#This Row],[Total price]]/RawDataGenPO[[#This Row],[Qty'']]</f>
        <v/>
      </c>
      <c r="T1668" s="278" t="n">
        <v>24250</v>
      </c>
      <c r="U1668" s="291" t="n"/>
      <c r="V1668" s="7" t="inlineStr">
        <is>
          <t>V1000292 - Nopachart Intertrade Co., Ltd</t>
        </is>
      </c>
      <c r="W1668" s="30" t="inlineStr">
        <is>
          <t>Recive bill and GRN already</t>
        </is>
      </c>
      <c r="X1668" s="5" t="inlineStr">
        <is>
          <t>GRN2526-0005726</t>
        </is>
      </c>
      <c r="Y1668" s="3" t="n">
        <v>45992</v>
      </c>
      <c r="Z1668" s="23" t="n"/>
      <c r="AA1668" s="17">
        <f>IF(RawDataGenPO[[#This Row],[Date Gen PO]]="","",RawDataGenPO[[#This Row],[Date recive bill]]-RawDataGenPO[[#This Row],[Date Gen PO]])</f>
        <v/>
      </c>
      <c r="AB1668" s="16">
        <f>IF(RawDataGenPO[[#This Row],[GRN-PO date]]&gt;RawDataGenPO[[#This Row],[Lead time delivery (day)]],"over deliverry","Ontime")</f>
        <v/>
      </c>
      <c r="AC1668" s="22" t="n"/>
    </row>
    <row r="1669" ht="60" customHeight="1">
      <c r="A1669" s="5">
        <f>ROW()-ROW(RawDataGenPO[[#Headers],[No.]])</f>
        <v/>
      </c>
      <c r="B1669" s="7" t="inlineStr">
        <is>
          <t>Expent  cost</t>
        </is>
      </c>
      <c r="C1669" s="281" t="n"/>
      <c r="F1669" s="301" t="n">
        <v>45966</v>
      </c>
      <c r="G1669" s="5" t="inlineStr">
        <is>
          <t>PR2526-03121</t>
        </is>
      </c>
      <c r="H1669" s="5" t="inlineStr">
        <is>
          <t>PO2526-04301</t>
        </is>
      </c>
      <c r="I1669" s="286" t="n">
        <v>45972</v>
      </c>
      <c r="J1669" s="26" t="n"/>
      <c r="K1669" s="20" t="n">
        <v>45</v>
      </c>
      <c r="L1669" s="5" t="inlineStr">
        <is>
          <t>SFST81000048</t>
        </is>
      </c>
      <c r="M1669" s="7" t="inlineStr">
        <is>
          <t>Water plant</t>
        </is>
      </c>
      <c r="N1669" s="7" t="inlineStr">
        <is>
          <t>Water pump for production line cleaning No.2</t>
        </is>
      </c>
      <c r="O1669" s="11" t="n">
        <v>1</v>
      </c>
      <c r="P1669" s="10" t="inlineStr">
        <is>
          <t>Part
- O- Ring nbr 2EA
- Shaft 16mm 1EA
- Bush TC 1EA</t>
        </is>
      </c>
      <c r="Q1669" s="277" t="n">
        <v>1</v>
      </c>
      <c r="R1669" s="5" t="inlineStr">
        <is>
          <t>Job.</t>
        </is>
      </c>
      <c r="S1669" s="284">
        <f>RawDataGenPO[[#This Row],[Total price]]/RawDataGenPO[[#This Row],[Qty'']]</f>
        <v/>
      </c>
      <c r="T1669" s="278" t="n">
        <v>20000</v>
      </c>
      <c r="U1669" s="291" t="n"/>
      <c r="V1669" s="7" t="inlineStr">
        <is>
          <t>V1000790 - WEE SERVICE 2024 CO., LTD.</t>
        </is>
      </c>
      <c r="W1669" s="30" t="inlineStr">
        <is>
          <t>Recive bill and GRN already</t>
        </is>
      </c>
      <c r="X1669" s="5" t="inlineStr">
        <is>
          <t>GRN2526-0005413</t>
        </is>
      </c>
      <c r="Y1669" s="3" t="n">
        <v>45978</v>
      </c>
      <c r="Z1669" s="23" t="n"/>
      <c r="AA1669" s="17">
        <f>IF(RawDataGenPO[[#This Row],[Date Gen PO]]="","",RawDataGenPO[[#This Row],[Date recive bill]]-RawDataGenPO[[#This Row],[Date Gen PO]])</f>
        <v/>
      </c>
      <c r="AB1669" s="16">
        <f>IF(RawDataGenPO[[#This Row],[GRN-PO date]]&gt;RawDataGenPO[[#This Row],[Lead time delivery (day)]],"over deliverry","Ontime")</f>
        <v/>
      </c>
      <c r="AC1669" s="22" t="n"/>
    </row>
    <row r="1670" ht="60" customHeight="1">
      <c r="A1670" s="5">
        <f>ROW()-ROW(RawDataGenPO[[#Headers],[No.]])</f>
        <v/>
      </c>
      <c r="B1670" s="7" t="inlineStr">
        <is>
          <t>Expent  cost</t>
        </is>
      </c>
      <c r="C1670" s="281" t="n"/>
      <c r="F1670" s="301" t="n">
        <v>45966</v>
      </c>
      <c r="G1670" s="5" t="inlineStr">
        <is>
          <t>PR2526-03121</t>
        </is>
      </c>
      <c r="H1670" s="5" t="inlineStr">
        <is>
          <t>PO2526-04301</t>
        </is>
      </c>
      <c r="I1670" s="286" t="n">
        <v>45972</v>
      </c>
      <c r="J1670" s="26" t="n"/>
      <c r="K1670" s="20" t="n">
        <v>45</v>
      </c>
      <c r="L1670" s="5" t="inlineStr">
        <is>
          <t>SFST81000048</t>
        </is>
      </c>
      <c r="M1670" s="7" t="inlineStr">
        <is>
          <t>Water plant</t>
        </is>
      </c>
      <c r="N1670" s="7" t="inlineStr">
        <is>
          <t>Water pump for production line cleaning No.2</t>
        </is>
      </c>
      <c r="O1670" s="11" t="n">
        <v>2</v>
      </c>
      <c r="P1670" s="10" t="inlineStr">
        <is>
          <t>Service charge
- remove install Motor Pump
- Overhaul Pump
- remove Pump</t>
        </is>
      </c>
      <c r="Q1670" s="277" t="n">
        <v>1</v>
      </c>
      <c r="R1670" s="5" t="inlineStr">
        <is>
          <t>Job.</t>
        </is>
      </c>
      <c r="S1670" s="284">
        <f>RawDataGenPO[[#This Row],[Total price]]/RawDataGenPO[[#This Row],[Qty'']]</f>
        <v/>
      </c>
      <c r="T1670" s="278" t="n">
        <v>3000</v>
      </c>
      <c r="U1670" s="291" t="n"/>
      <c r="V1670" s="7" t="inlineStr">
        <is>
          <t>V1000790 - WEE SERVICE 2024 CO., LTD.</t>
        </is>
      </c>
      <c r="W1670" s="30" t="inlineStr">
        <is>
          <t>Recive bill and GRN already</t>
        </is>
      </c>
      <c r="X1670" s="5" t="inlineStr">
        <is>
          <t>GRN2526-0005413</t>
        </is>
      </c>
      <c r="Y1670" s="3" t="n">
        <v>45978</v>
      </c>
      <c r="Z1670" s="23" t="n"/>
      <c r="AA1670" s="17">
        <f>IF(RawDataGenPO[[#This Row],[Date Gen PO]]="","",RawDataGenPO[[#This Row],[Date recive bill]]-RawDataGenPO[[#This Row],[Date Gen PO]])</f>
        <v/>
      </c>
      <c r="AB1670" s="16">
        <f>IF(RawDataGenPO[[#This Row],[GRN-PO date]]&gt;RawDataGenPO[[#This Row],[Lead time delivery (day)]],"over deliverry","Ontime")</f>
        <v/>
      </c>
      <c r="AC1670" s="22" t="n"/>
    </row>
    <row r="1671" ht="15" customHeight="1">
      <c r="A1671" s="5">
        <f>ROW()-ROW(RawDataGenPO[[#Headers],[No.]])</f>
        <v/>
      </c>
      <c r="B1671" s="7" t="inlineStr">
        <is>
          <t>Expent  cost</t>
        </is>
      </c>
      <c r="C1671" s="281" t="n"/>
      <c r="F1671" s="301" t="n">
        <v>45966</v>
      </c>
      <c r="G1671" s="5" t="inlineStr">
        <is>
          <t>PR2526-03122</t>
        </is>
      </c>
      <c r="H1671" s="5" t="inlineStr">
        <is>
          <t>PO2526-04294</t>
        </is>
      </c>
      <c r="I1671" s="286" t="n">
        <v>45970</v>
      </c>
      <c r="J1671" s="26" t="n"/>
      <c r="K1671" s="20" t="n">
        <v>45</v>
      </c>
      <c r="L1671" s="5" t="inlineStr">
        <is>
          <t>SFST34000161</t>
        </is>
      </c>
      <c r="M1671" s="7" t="inlineStr">
        <is>
          <t>Consumable part for MN</t>
        </is>
      </c>
      <c r="N1671" s="7" t="inlineStr">
        <is>
          <t>Consumable part</t>
        </is>
      </c>
      <c r="O1671" s="11" t="n">
        <v>1</v>
      </c>
      <c r="P1671" s="10" t="inlineStr">
        <is>
          <t>BTICINO" 25501,grey,size 1 slot,boxwaterproof IP55</t>
        </is>
      </c>
      <c r="Q1671" s="277" t="n">
        <v>10</v>
      </c>
      <c r="R1671" s="5" t="inlineStr">
        <is>
          <t>PCS.</t>
        </is>
      </c>
      <c r="S1671" s="284">
        <f>RawDataGenPO[[#This Row],[Total price]]/RawDataGenPO[[#This Row],[Qty'']]</f>
        <v/>
      </c>
      <c r="T1671" s="278" t="n">
        <v>3200</v>
      </c>
      <c r="U1671" s="291" t="n"/>
      <c r="V1671" s="7" t="inlineStr">
        <is>
          <t>V1000276 - SN. ELECTRIC AND SUPPLY CO., LTD.</t>
        </is>
      </c>
      <c r="W1671" s="30" t="inlineStr">
        <is>
          <t>Recive bill and GRN already</t>
        </is>
      </c>
      <c r="X1671" s="5" t="inlineStr">
        <is>
          <t>GRN2526-0005353</t>
        </is>
      </c>
      <c r="Y1671" s="3" t="n">
        <v>45976</v>
      </c>
      <c r="Z1671" s="23" t="n"/>
      <c r="AA1671" s="17">
        <f>IF(RawDataGenPO[[#This Row],[Date Gen PO]]="","",RawDataGenPO[[#This Row],[Date recive bill]]-RawDataGenPO[[#This Row],[Date Gen PO]])</f>
        <v/>
      </c>
      <c r="AB1671" s="16">
        <f>IF(RawDataGenPO[[#This Row],[GRN-PO date]]&gt;RawDataGenPO[[#This Row],[Lead time delivery (day)]],"over deliverry","Ontime")</f>
        <v/>
      </c>
      <c r="AC1671" s="22" t="n"/>
    </row>
    <row r="1672" ht="15" customHeight="1">
      <c r="A1672" s="5">
        <f>ROW()-ROW(RawDataGenPO[[#Headers],[No.]])</f>
        <v/>
      </c>
      <c r="B1672" s="7" t="inlineStr">
        <is>
          <t>Expent  cost</t>
        </is>
      </c>
      <c r="C1672" s="281" t="n"/>
      <c r="F1672" s="301" t="n">
        <v>45966</v>
      </c>
      <c r="G1672" s="5" t="inlineStr">
        <is>
          <t>PR2526-03122</t>
        </is>
      </c>
      <c r="H1672" s="5" t="inlineStr">
        <is>
          <t>PO2526-04294</t>
        </is>
      </c>
      <c r="I1672" s="286" t="n">
        <v>45970</v>
      </c>
      <c r="J1672" s="26" t="n"/>
      <c r="K1672" s="20" t="n">
        <v>45</v>
      </c>
      <c r="L1672" s="5" t="inlineStr">
        <is>
          <t>SFST34000162</t>
        </is>
      </c>
      <c r="M1672" s="7" t="inlineStr">
        <is>
          <t>Consumable part for MN</t>
        </is>
      </c>
      <c r="N1672" s="7" t="inlineStr">
        <is>
          <t>Consumable part</t>
        </is>
      </c>
      <c r="O1672" s="11" t="n">
        <v>2</v>
      </c>
      <c r="P1672" s="10" t="inlineStr">
        <is>
          <t>BTICINO" 25502 ,grey,size 2 slot,boxwaterproof IP55</t>
        </is>
      </c>
      <c r="Q1672" s="277" t="n">
        <v>10</v>
      </c>
      <c r="R1672" s="5" t="inlineStr">
        <is>
          <t>PCS.</t>
        </is>
      </c>
      <c r="S1672" s="284">
        <f>RawDataGenPO[[#This Row],[Total price]]/RawDataGenPO[[#This Row],[Qty'']]</f>
        <v/>
      </c>
      <c r="T1672" s="278" t="n">
        <v>3900</v>
      </c>
      <c r="U1672" s="291" t="n"/>
      <c r="V1672" s="7" t="inlineStr">
        <is>
          <t>V1000276 - SN. ELECTRIC AND SUPPLY CO., LTD.</t>
        </is>
      </c>
      <c r="W1672" s="30" t="inlineStr">
        <is>
          <t>Recive bill and GRN already</t>
        </is>
      </c>
      <c r="X1672" s="5" t="inlineStr">
        <is>
          <t>GRN2526-0005353</t>
        </is>
      </c>
      <c r="Y1672" s="3" t="n">
        <v>45976</v>
      </c>
      <c r="Z1672" s="23" t="n"/>
      <c r="AA1672" s="17">
        <f>IF(RawDataGenPO[[#This Row],[Date Gen PO]]="","",RawDataGenPO[[#This Row],[Date recive bill]]-RawDataGenPO[[#This Row],[Date Gen PO]])</f>
        <v/>
      </c>
      <c r="AB1672" s="16">
        <f>IF(RawDataGenPO[[#This Row],[GRN-PO date]]&gt;RawDataGenPO[[#This Row],[Lead time delivery (day)]],"over deliverry","Ontime")</f>
        <v/>
      </c>
      <c r="AC1672" s="22" t="n"/>
    </row>
    <row r="1673" ht="15" customHeight="1">
      <c r="A1673" s="5">
        <f>ROW()-ROW(RawDataGenPO[[#Headers],[No.]])</f>
        <v/>
      </c>
      <c r="B1673" s="7" t="inlineStr">
        <is>
          <t>Expent  cost</t>
        </is>
      </c>
      <c r="C1673" s="281" t="n"/>
      <c r="F1673" s="301" t="n">
        <v>45966</v>
      </c>
      <c r="G1673" s="5" t="inlineStr">
        <is>
          <t>PR2526-03122</t>
        </is>
      </c>
      <c r="H1673" s="5" t="inlineStr">
        <is>
          <t>PO2526-04294</t>
        </is>
      </c>
      <c r="I1673" s="286" t="n">
        <v>45970</v>
      </c>
      <c r="J1673" s="26" t="n"/>
      <c r="K1673" s="20" t="n">
        <v>45</v>
      </c>
      <c r="L1673" s="5" t="inlineStr">
        <is>
          <t>SFST34000186</t>
        </is>
      </c>
      <c r="M1673" s="7" t="inlineStr">
        <is>
          <t>Consumable part for MN</t>
        </is>
      </c>
      <c r="N1673" s="7" t="inlineStr">
        <is>
          <t>Consumable part</t>
        </is>
      </c>
      <c r="O1673" s="11" t="n">
        <v>3</v>
      </c>
      <c r="P1673" s="10" t="inlineStr">
        <is>
          <t>BTICINO 25503 grey size 3 slot waterproof IP55</t>
        </is>
      </c>
      <c r="Q1673" s="277" t="n">
        <v>10</v>
      </c>
      <c r="R1673" s="5" t="inlineStr">
        <is>
          <t>PCS.</t>
        </is>
      </c>
      <c r="S1673" s="284">
        <f>RawDataGenPO[[#This Row],[Total price]]/RawDataGenPO[[#This Row],[Qty'']]</f>
        <v/>
      </c>
      <c r="T1673" s="278" t="n">
        <v>3900</v>
      </c>
      <c r="U1673" s="291" t="n"/>
      <c r="V1673" s="7" t="inlineStr">
        <is>
          <t>V1000276 - SN. ELECTRIC AND SUPPLY CO., LTD.</t>
        </is>
      </c>
      <c r="W1673" s="30" t="inlineStr">
        <is>
          <t>Recive bill and GRN already</t>
        </is>
      </c>
      <c r="X1673" s="5" t="inlineStr">
        <is>
          <t>GRN2526-0005353</t>
        </is>
      </c>
      <c r="Y1673" s="3" t="n">
        <v>45976</v>
      </c>
      <c r="Z1673" s="23" t="n"/>
      <c r="AA1673" s="17">
        <f>IF(RawDataGenPO[[#This Row],[Date Gen PO]]="","",RawDataGenPO[[#This Row],[Date recive bill]]-RawDataGenPO[[#This Row],[Date Gen PO]])</f>
        <v/>
      </c>
      <c r="AB1673" s="16">
        <f>IF(RawDataGenPO[[#This Row],[GRN-PO date]]&gt;RawDataGenPO[[#This Row],[Lead time delivery (day)]],"over deliverry","Ontime")</f>
        <v/>
      </c>
      <c r="AC1673" s="22" t="n"/>
    </row>
    <row r="1674" ht="15" customHeight="1">
      <c r="A1674" s="5">
        <f>ROW()-ROW(RawDataGenPO[[#Headers],[No.]])</f>
        <v/>
      </c>
      <c r="B1674" s="7" t="inlineStr">
        <is>
          <t>Expent  cost</t>
        </is>
      </c>
      <c r="C1674" s="281" t="n"/>
      <c r="F1674" s="301" t="n">
        <v>45966</v>
      </c>
      <c r="G1674" s="5" t="inlineStr">
        <is>
          <t>PR2526-03123</t>
        </is>
      </c>
      <c r="H1674" s="5" t="inlineStr">
        <is>
          <t>PO2526-04292</t>
        </is>
      </c>
      <c r="I1674" s="286" t="n">
        <v>45970</v>
      </c>
      <c r="J1674" s="26" t="n"/>
      <c r="K1674" s="20" t="n">
        <v>45</v>
      </c>
      <c r="L1674" s="5" t="inlineStr">
        <is>
          <t>SFST34000094</t>
        </is>
      </c>
      <c r="M1674" s="7" t="inlineStr">
        <is>
          <t>Consumable part for MN</t>
        </is>
      </c>
      <c r="N1674" s="7" t="inlineStr">
        <is>
          <t>Consumable part</t>
        </is>
      </c>
      <c r="O1674" s="11" t="n">
        <v>1</v>
      </c>
      <c r="P1674" s="10" t="inlineStr">
        <is>
          <t>Wstainless steel size 1.6 mm.</t>
        </is>
      </c>
      <c r="Q1674" s="277" t="n">
        <v>2</v>
      </c>
      <c r="R1674" s="5" t="inlineStr">
        <is>
          <t>KG.</t>
        </is>
      </c>
      <c r="S1674" s="284">
        <f>RawDataGenPO[[#This Row],[Total price]]/RawDataGenPO[[#This Row],[Qty'']]</f>
        <v/>
      </c>
      <c r="T1674" s="278" t="n">
        <v>900</v>
      </c>
      <c r="U1674" s="291" t="n"/>
      <c r="V1674" s="7" t="inlineStr">
        <is>
          <t>V1000840 - S.Q. &amp; CO CO., LTD</t>
        </is>
      </c>
      <c r="W1674" s="30" t="inlineStr">
        <is>
          <t>Recive bill and GRN already</t>
        </is>
      </c>
      <c r="X1674" s="5" t="inlineStr">
        <is>
          <t>GRN2526-0005464</t>
        </is>
      </c>
      <c r="Y1674" s="3" t="n">
        <v>45980</v>
      </c>
      <c r="Z1674" s="23" t="n"/>
      <c r="AA1674" s="17">
        <f>IF(RawDataGenPO[[#This Row],[Date Gen PO]]="","",RawDataGenPO[[#This Row],[Date recive bill]]-RawDataGenPO[[#This Row],[Date Gen PO]])</f>
        <v/>
      </c>
      <c r="AB1674" s="16">
        <f>IF(RawDataGenPO[[#This Row],[GRN-PO date]]&gt;RawDataGenPO[[#This Row],[Lead time delivery (day)]],"over deliverry","Ontime")</f>
        <v/>
      </c>
      <c r="AC1674" s="22" t="n"/>
    </row>
    <row r="1675" ht="15" customHeight="1">
      <c r="A1675" s="5">
        <f>ROW()-ROW(RawDataGenPO[[#Headers],[No.]])</f>
        <v/>
      </c>
      <c r="B1675" s="7" t="inlineStr">
        <is>
          <t>Expent  cost</t>
        </is>
      </c>
      <c r="C1675" s="281" t="n"/>
      <c r="F1675" s="301" t="n">
        <v>45966</v>
      </c>
      <c r="G1675" s="5" t="inlineStr">
        <is>
          <t>PR2526-03123</t>
        </is>
      </c>
      <c r="H1675" s="5" t="inlineStr">
        <is>
          <t>PO2526-04292</t>
        </is>
      </c>
      <c r="I1675" s="286" t="n">
        <v>45970</v>
      </c>
      <c r="J1675" s="26" t="n"/>
      <c r="K1675" s="20" t="n">
        <v>45</v>
      </c>
      <c r="L1675" s="5" t="inlineStr">
        <is>
          <t>SFST34000095</t>
        </is>
      </c>
      <c r="M1675" s="7" t="inlineStr">
        <is>
          <t>Consumable part for MN</t>
        </is>
      </c>
      <c r="N1675" s="7" t="inlineStr">
        <is>
          <t>Consumable part</t>
        </is>
      </c>
      <c r="O1675" s="11" t="n">
        <v>2</v>
      </c>
      <c r="P1675" s="10" t="inlineStr">
        <is>
          <t>Wstainless steel size 2.0 mm.</t>
        </is>
      </c>
      <c r="Q1675" s="277" t="n">
        <v>2</v>
      </c>
      <c r="R1675" s="5" t="inlineStr">
        <is>
          <t>KG.</t>
        </is>
      </c>
      <c r="S1675" s="284">
        <f>RawDataGenPO[[#This Row],[Total price]]/RawDataGenPO[[#This Row],[Qty'']]</f>
        <v/>
      </c>
      <c r="T1675" s="278" t="n">
        <v>900</v>
      </c>
      <c r="U1675" s="291" t="n"/>
      <c r="V1675" s="7" t="inlineStr">
        <is>
          <t>V1000840 - S.Q. &amp; CO CO., LTD</t>
        </is>
      </c>
      <c r="W1675" s="30" t="inlineStr">
        <is>
          <t>Recive bill and GRN already</t>
        </is>
      </c>
      <c r="X1675" s="5" t="inlineStr">
        <is>
          <t>GRN2526-0005464</t>
        </is>
      </c>
      <c r="Y1675" s="3" t="n">
        <v>45980</v>
      </c>
      <c r="Z1675" s="23" t="n"/>
      <c r="AA1675" s="17">
        <f>IF(RawDataGenPO[[#This Row],[Date Gen PO]]="","",RawDataGenPO[[#This Row],[Date recive bill]]-RawDataGenPO[[#This Row],[Date Gen PO]])</f>
        <v/>
      </c>
      <c r="AB1675" s="16">
        <f>IF(RawDataGenPO[[#This Row],[GRN-PO date]]&gt;RawDataGenPO[[#This Row],[Lead time delivery (day)]],"over deliverry","Ontime")</f>
        <v/>
      </c>
      <c r="AC1675" s="22" t="n"/>
    </row>
    <row r="1676" ht="15" customHeight="1">
      <c r="A1676" s="5">
        <f>ROW()-ROW(RawDataGenPO[[#Headers],[No.]])</f>
        <v/>
      </c>
      <c r="B1676" s="7" t="inlineStr">
        <is>
          <t>Expent  cost</t>
        </is>
      </c>
      <c r="C1676" s="281" t="n"/>
      <c r="F1676" s="301" t="n">
        <v>45966</v>
      </c>
      <c r="G1676" s="5" t="inlineStr">
        <is>
          <t>PR2526-03123</t>
        </is>
      </c>
      <c r="H1676" s="5" t="inlineStr">
        <is>
          <t>PO2526-04292</t>
        </is>
      </c>
      <c r="I1676" s="286" t="n">
        <v>45970</v>
      </c>
      <c r="J1676" s="26" t="n"/>
      <c r="K1676" s="20" t="n">
        <v>45</v>
      </c>
      <c r="L1676" s="5" t="inlineStr">
        <is>
          <t>SFST34000096</t>
        </is>
      </c>
      <c r="M1676" s="7" t="inlineStr">
        <is>
          <t>Consumable part for MN</t>
        </is>
      </c>
      <c r="N1676" s="7" t="inlineStr">
        <is>
          <t>Consumable part</t>
        </is>
      </c>
      <c r="O1676" s="11" t="n">
        <v>3</v>
      </c>
      <c r="P1676" s="10" t="inlineStr">
        <is>
          <t>Wstainless steel size 2.4 mm.</t>
        </is>
      </c>
      <c r="Q1676" s="277" t="n">
        <v>2</v>
      </c>
      <c r="R1676" s="5" t="inlineStr">
        <is>
          <t>KG.</t>
        </is>
      </c>
      <c r="S1676" s="284">
        <f>RawDataGenPO[[#This Row],[Total price]]/RawDataGenPO[[#This Row],[Qty'']]</f>
        <v/>
      </c>
      <c r="T1676" s="278" t="n">
        <v>900</v>
      </c>
      <c r="U1676" s="291" t="n"/>
      <c r="V1676" s="7" t="inlineStr">
        <is>
          <t>V1000840 - S.Q. &amp; CO CO., LTD</t>
        </is>
      </c>
      <c r="W1676" s="30" t="inlineStr">
        <is>
          <t>Recive bill and GRN already</t>
        </is>
      </c>
      <c r="X1676" s="5" t="inlineStr">
        <is>
          <t>GRN2526-0005464</t>
        </is>
      </c>
      <c r="Y1676" s="3" t="n">
        <v>45980</v>
      </c>
      <c r="Z1676" s="23" t="n"/>
      <c r="AA1676" s="17">
        <f>IF(RawDataGenPO[[#This Row],[Date Gen PO]]="","",RawDataGenPO[[#This Row],[Date recive bill]]-RawDataGenPO[[#This Row],[Date Gen PO]])</f>
        <v/>
      </c>
      <c r="AB1676" s="16">
        <f>IF(RawDataGenPO[[#This Row],[GRN-PO date]]&gt;RawDataGenPO[[#This Row],[Lead time delivery (day)]],"over deliverry","Ontime")</f>
        <v/>
      </c>
      <c r="AC1676" s="22" t="n"/>
    </row>
    <row r="1677" ht="15" customHeight="1">
      <c r="A1677" s="5">
        <f>ROW()-ROW(RawDataGenPO[[#Headers],[No.]])</f>
        <v/>
      </c>
      <c r="B1677" s="7" t="inlineStr">
        <is>
          <t>Expent  cost</t>
        </is>
      </c>
      <c r="C1677" s="281" t="n"/>
      <c r="F1677" s="301" t="n">
        <v>45966</v>
      </c>
      <c r="G1677" s="5" t="inlineStr">
        <is>
          <t>PR2526-03123</t>
        </is>
      </c>
      <c r="H1677" s="5" t="inlineStr">
        <is>
          <t>PO2526-04292</t>
        </is>
      </c>
      <c r="I1677" s="286" t="n">
        <v>45970</v>
      </c>
      <c r="J1677" s="26" t="n"/>
      <c r="K1677" s="20" t="n">
        <v>45</v>
      </c>
      <c r="L1677" s="5" t="inlineStr">
        <is>
          <t>SFST34000097</t>
        </is>
      </c>
      <c r="M1677" s="7" t="inlineStr">
        <is>
          <t>Consumable part for MN</t>
        </is>
      </c>
      <c r="N1677" s="7" t="inlineStr">
        <is>
          <t>Consumable part</t>
        </is>
      </c>
      <c r="O1677" s="11" t="n">
        <v>4</v>
      </c>
      <c r="P1677" s="10" t="inlineStr">
        <is>
          <t>Wstainless steel size 3.2 mm.</t>
        </is>
      </c>
      <c r="Q1677" s="277" t="n">
        <v>2</v>
      </c>
      <c r="R1677" s="5" t="inlineStr">
        <is>
          <t>KG.</t>
        </is>
      </c>
      <c r="S1677" s="284">
        <f>RawDataGenPO[[#This Row],[Total price]]/RawDataGenPO[[#This Row],[Qty'']]</f>
        <v/>
      </c>
      <c r="T1677" s="278" t="n">
        <v>900</v>
      </c>
      <c r="U1677" s="291" t="n"/>
      <c r="V1677" s="7" t="inlineStr">
        <is>
          <t>V1000840 - S.Q. &amp; CO CO., LTD</t>
        </is>
      </c>
      <c r="W1677" s="30" t="inlineStr">
        <is>
          <t>Recive bill and GRN already</t>
        </is>
      </c>
      <c r="X1677" s="5" t="inlineStr">
        <is>
          <t>GRN2526-0005464</t>
        </is>
      </c>
      <c r="Y1677" s="3" t="n">
        <v>45980</v>
      </c>
      <c r="Z1677" s="23" t="n"/>
      <c r="AA1677" s="17">
        <f>IF(RawDataGenPO[[#This Row],[Date Gen PO]]="","",RawDataGenPO[[#This Row],[Date recive bill]]-RawDataGenPO[[#This Row],[Date Gen PO]])</f>
        <v/>
      </c>
      <c r="AB1677" s="16">
        <f>IF(RawDataGenPO[[#This Row],[GRN-PO date]]&gt;RawDataGenPO[[#This Row],[Lead time delivery (day)]],"over deliverry","Ontime")</f>
        <v/>
      </c>
      <c r="AC1677" s="22" t="n"/>
    </row>
    <row r="1678" ht="15" customHeight="1">
      <c r="A1678" s="5">
        <f>ROW()-ROW(RawDataGenPO[[#Headers],[No.]])</f>
        <v/>
      </c>
      <c r="B1678" s="7" t="inlineStr">
        <is>
          <t>Expent  cost</t>
        </is>
      </c>
      <c r="C1678" s="281" t="n"/>
      <c r="F1678" s="281" t="n">
        <v>45967</v>
      </c>
      <c r="G1678" s="5" t="inlineStr">
        <is>
          <t>PR2526-03139</t>
        </is>
      </c>
      <c r="H1678" s="5" t="inlineStr">
        <is>
          <t>PO2526-04771</t>
        </is>
      </c>
      <c r="I1678" s="286" t="n">
        <v>45992</v>
      </c>
      <c r="J1678" s="26" t="n"/>
      <c r="K1678" s="20" t="n">
        <v>30</v>
      </c>
      <c r="L1678" s="5" t="inlineStr">
        <is>
          <t>SFST81000050</t>
        </is>
      </c>
      <c r="M1678" s="7" t="inlineStr">
        <is>
          <t>Consumable part for MN</t>
        </is>
      </c>
      <c r="N1678" s="7" t="inlineStr">
        <is>
          <t>Consumable part</t>
        </is>
      </c>
      <c r="O1678" s="11" t="n">
        <v>1</v>
      </c>
      <c r="P1678" s="7" t="inlineStr">
        <is>
          <t>PAC B-50 10000 KG.</t>
        </is>
      </c>
      <c r="Q1678" s="277" t="n">
        <v>10000</v>
      </c>
      <c r="R1678" s="5" t="inlineStr">
        <is>
          <t>KG.</t>
        </is>
      </c>
      <c r="S1678" s="284">
        <f>RawDataGenPO[[#This Row],[Total price]]/RawDataGenPO[[#This Row],[Qty'']]</f>
        <v/>
      </c>
      <c r="T1678" s="278" t="n">
        <v>70000</v>
      </c>
      <c r="U1678" s="291" t="n"/>
      <c r="V1678" s="7" t="inlineStr">
        <is>
          <t>V1000953 - GK FINECHEM CO., LTD.</t>
        </is>
      </c>
      <c r="W1678" s="30" t="inlineStr">
        <is>
          <t>Recive bill and GRN already</t>
        </is>
      </c>
      <c r="X1678" s="5" t="inlineStr">
        <is>
          <t>GRN2526-0005870</t>
        </is>
      </c>
      <c r="Y1678" s="3" t="n">
        <v>45996</v>
      </c>
      <c r="Z1678" s="23" t="n"/>
      <c r="AA1678" s="17">
        <f>IF(RawDataGenPO[[#This Row],[Date Gen PO]]="","",RawDataGenPO[[#This Row],[Date recive bill]]-RawDataGenPO[[#This Row],[Date Gen PO]])</f>
        <v/>
      </c>
      <c r="AB1678" s="16">
        <f>IF(RawDataGenPO[[#This Row],[GRN-PO date]]&gt;RawDataGenPO[[#This Row],[Lead time delivery (day)]],"over deliverry","Ontime")</f>
        <v/>
      </c>
      <c r="AC1678" s="22" t="n"/>
    </row>
    <row r="1679" ht="15" customHeight="1">
      <c r="A1679" s="5">
        <f>ROW()-ROW(RawDataGenPO[[#Headers],[No.]])</f>
        <v/>
      </c>
      <c r="B1679" s="7" t="inlineStr">
        <is>
          <t>Expent  cost</t>
        </is>
      </c>
      <c r="C1679" s="281" t="n"/>
      <c r="F1679" s="281" t="n">
        <v>45967</v>
      </c>
      <c r="G1679" s="5" t="inlineStr">
        <is>
          <t>PR2526-03150</t>
        </is>
      </c>
      <c r="H1679" s="5" t="inlineStr">
        <is>
          <t>PO2526-04297</t>
        </is>
      </c>
      <c r="I1679" s="286" t="n">
        <v>45973</v>
      </c>
      <c r="J1679" s="26" t="n"/>
      <c r="K1679" s="20" t="n">
        <v>30</v>
      </c>
      <c r="L1679" s="5" t="inlineStr">
        <is>
          <t>SFST11000256</t>
        </is>
      </c>
      <c r="M1679" s="7" t="inlineStr">
        <is>
          <t>Consumable part for MN</t>
        </is>
      </c>
      <c r="N1679" s="7" t="inlineStr">
        <is>
          <t>Consumable part</t>
        </is>
      </c>
      <c r="O1679" s="11" t="n">
        <v>1</v>
      </c>
      <c r="P1679" s="10" t="inlineStr">
        <is>
          <t>Bio Solution 1 lit</t>
        </is>
      </c>
      <c r="Q1679" s="277" t="n">
        <v>2</v>
      </c>
      <c r="R1679" s="5" t="inlineStr">
        <is>
          <t>BOT.</t>
        </is>
      </c>
      <c r="S1679" s="284">
        <f>RawDataGenPO[[#This Row],[Total price]]/RawDataGenPO[[#This Row],[Qty'']]</f>
        <v/>
      </c>
      <c r="T1679" s="278" t="n">
        <v>1600</v>
      </c>
      <c r="U1679" s="291" t="n"/>
      <c r="V1679" s="10" t="inlineStr">
        <is>
          <t>V1000206 - TECHMAN (THAILAND) CO.,LTD.</t>
        </is>
      </c>
      <c r="W1679" s="30" t="inlineStr">
        <is>
          <t>Recive bill and GRN already</t>
        </is>
      </c>
      <c r="X1679" s="5" t="inlineStr">
        <is>
          <t>GRN2526-0005263</t>
        </is>
      </c>
      <c r="Y1679" s="3" t="n">
        <v>45973</v>
      </c>
      <c r="Z1679" s="23" t="n"/>
      <c r="AA1679" s="17">
        <f>IF(RawDataGenPO[[#This Row],[Date Gen PO]]="","",RawDataGenPO[[#This Row],[Date recive bill]]-RawDataGenPO[[#This Row],[Date Gen PO]])</f>
        <v/>
      </c>
      <c r="AB1679" s="16">
        <f>IF(RawDataGenPO[[#This Row],[GRN-PO date]]&gt;RawDataGenPO[[#This Row],[Lead time delivery (day)]],"over deliverry","Ontime")</f>
        <v/>
      </c>
      <c r="AC1679" s="22" t="n"/>
    </row>
    <row r="1680" ht="15" customHeight="1">
      <c r="A1680" s="5">
        <f>ROW()-ROW(RawDataGenPO[[#Headers],[No.]])</f>
        <v/>
      </c>
      <c r="B1680" s="7" t="inlineStr">
        <is>
          <t>Expent  cost</t>
        </is>
      </c>
      <c r="C1680" s="281" t="n"/>
      <c r="F1680" s="281" t="n">
        <v>45968</v>
      </c>
      <c r="G1680" s="5" t="inlineStr">
        <is>
          <t>PR2526-03154</t>
        </is>
      </c>
      <c r="H1680" s="5" t="inlineStr">
        <is>
          <t>PO2526-04293</t>
        </is>
      </c>
      <c r="I1680" s="286" t="n">
        <v>45970</v>
      </c>
      <c r="J1680" s="26" t="n"/>
      <c r="K1680" s="20" t="n">
        <v>30</v>
      </c>
      <c r="L1680" s="5" t="inlineStr">
        <is>
          <t>SFST34000174</t>
        </is>
      </c>
      <c r="M1680" s="7" t="inlineStr">
        <is>
          <t>Consumable part for MN</t>
        </is>
      </c>
      <c r="N1680" s="7" t="inlineStr">
        <is>
          <t>Consumable part</t>
        </is>
      </c>
      <c r="O1680" s="11" t="n">
        <v>1</v>
      </c>
      <c r="P1680" s="10" t="inlineStr">
        <is>
          <t>PP melt blown cartridge Filter, 10", 5 Micron</t>
        </is>
      </c>
      <c r="Q1680" s="277" t="n">
        <v>100</v>
      </c>
      <c r="R1680" s="5" t="inlineStr">
        <is>
          <t>PCS.</t>
        </is>
      </c>
      <c r="S1680" s="284">
        <f>RawDataGenPO[[#This Row],[Total price]]/RawDataGenPO[[#This Row],[Qty'']]</f>
        <v/>
      </c>
      <c r="T1680" s="278" t="n">
        <v>5500</v>
      </c>
      <c r="U1680" s="291" t="n"/>
      <c r="V1680" s="10" t="inlineStr">
        <is>
          <t>V1000878 - ROJANAPAT ENGINEERING CO., LTD</t>
        </is>
      </c>
      <c r="W1680" s="30" t="inlineStr">
        <is>
          <t>Recive bill and GRN already</t>
        </is>
      </c>
      <c r="X1680" s="5" t="inlineStr">
        <is>
          <t>GRN2526-0005216</t>
        </is>
      </c>
      <c r="Y1680" s="3" t="n">
        <v>45972</v>
      </c>
      <c r="Z1680" s="23" t="n"/>
      <c r="AA1680" s="17">
        <f>IF(RawDataGenPO[[#This Row],[Date Gen PO]]="","",RawDataGenPO[[#This Row],[Date recive bill]]-RawDataGenPO[[#This Row],[Date Gen PO]])</f>
        <v/>
      </c>
      <c r="AB1680" s="16">
        <f>IF(RawDataGenPO[[#This Row],[GRN-PO date]]&gt;RawDataGenPO[[#This Row],[Lead time delivery (day)]],"over deliverry","Ontime")</f>
        <v/>
      </c>
      <c r="AC1680" s="22" t="n"/>
    </row>
    <row r="1681" ht="15" customHeight="1">
      <c r="A1681" s="5">
        <f>ROW()-ROW(RawDataGenPO[[#Headers],[No.]])</f>
        <v/>
      </c>
      <c r="B1681" s="7" t="inlineStr">
        <is>
          <t>Expent  cost</t>
        </is>
      </c>
      <c r="C1681" s="281" t="n"/>
      <c r="F1681" s="281" t="n">
        <v>45968</v>
      </c>
      <c r="G1681" s="5" t="inlineStr">
        <is>
          <t>PR2526-03154</t>
        </is>
      </c>
      <c r="H1681" s="5" t="inlineStr">
        <is>
          <t>PO2526-04293</t>
        </is>
      </c>
      <c r="I1681" s="286" t="n">
        <v>45970</v>
      </c>
      <c r="J1681" s="26" t="n"/>
      <c r="K1681" s="20" t="n">
        <v>30</v>
      </c>
      <c r="L1681" s="5" t="inlineStr">
        <is>
          <t>SFST34000175</t>
        </is>
      </c>
      <c r="M1681" s="7" t="inlineStr">
        <is>
          <t>Consumable part for MN</t>
        </is>
      </c>
      <c r="N1681" s="7" t="inlineStr">
        <is>
          <t>Consumable part</t>
        </is>
      </c>
      <c r="O1681" s="11" t="n">
        <v>2</v>
      </c>
      <c r="P1681" s="10" t="inlineStr">
        <is>
          <t>PP melt blown cartridge Filter, 20", 5 Micron</t>
        </is>
      </c>
      <c r="Q1681" s="277" t="n">
        <v>25</v>
      </c>
      <c r="R1681" s="5" t="inlineStr">
        <is>
          <t>PCS.</t>
        </is>
      </c>
      <c r="S1681" s="284">
        <f>RawDataGenPO[[#This Row],[Total price]]/RawDataGenPO[[#This Row],[Qty'']]</f>
        <v/>
      </c>
      <c r="T1681" s="278" t="n">
        <v>3000</v>
      </c>
      <c r="U1681" s="291" t="n"/>
      <c r="V1681" s="10" t="inlineStr">
        <is>
          <t>V1000878 - ROJANAPAT ENGINEERING CO., LTD</t>
        </is>
      </c>
      <c r="W1681" s="30" t="inlineStr">
        <is>
          <t>Recive bill and GRN already</t>
        </is>
      </c>
      <c r="X1681" s="5" t="inlineStr">
        <is>
          <t>GRN2526-0005216</t>
        </is>
      </c>
      <c r="Y1681" s="3" t="n">
        <v>45972</v>
      </c>
      <c r="Z1681" s="23" t="n"/>
      <c r="AA1681" s="17">
        <f>IF(RawDataGenPO[[#This Row],[Date Gen PO]]="","",RawDataGenPO[[#This Row],[Date recive bill]]-RawDataGenPO[[#This Row],[Date Gen PO]])</f>
        <v/>
      </c>
      <c r="AB1681" s="16">
        <f>IF(RawDataGenPO[[#This Row],[GRN-PO date]]&gt;RawDataGenPO[[#This Row],[Lead time delivery (day)]],"over deliverry","Ontime")</f>
        <v/>
      </c>
      <c r="AC1681" s="22" t="n"/>
    </row>
    <row r="1682" ht="30" customHeight="1">
      <c r="A1682" s="5">
        <f>ROW()-ROW(RawDataGenPO[[#Headers],[No.]])</f>
        <v/>
      </c>
      <c r="B1682" s="7" t="inlineStr">
        <is>
          <t>Expent  cost</t>
        </is>
      </c>
      <c r="C1682" s="281" t="n"/>
      <c r="F1682" s="281" t="n">
        <v>45968</v>
      </c>
      <c r="G1682" s="5" t="inlineStr">
        <is>
          <t>PR2526-03162</t>
        </is>
      </c>
      <c r="H1682" s="5" t="inlineStr">
        <is>
          <t>PO2526-04299</t>
        </is>
      </c>
      <c r="I1682" s="286" t="n">
        <v>45970</v>
      </c>
      <c r="J1682" s="26" t="n"/>
      <c r="K1682" s="20" t="n">
        <v>30</v>
      </c>
      <c r="L1682" s="5" t="inlineStr">
        <is>
          <t>SFST81000074</t>
        </is>
      </c>
      <c r="M1682" s="7" t="inlineStr">
        <is>
          <t>Water plant</t>
        </is>
      </c>
      <c r="N1682" s="7" t="inlineStr">
        <is>
          <t>Water system jobs</t>
        </is>
      </c>
      <c r="O1682" s="11" t="n">
        <v>1</v>
      </c>
      <c r="P1682" s="10" t="inlineStr">
        <is>
          <t>Transportation cost of water from Stage 2 to Stage 1 for production use. totaling 20-22 trips.on November 7, 2025.</t>
        </is>
      </c>
      <c r="Q1682" s="277" t="n">
        <v>20</v>
      </c>
      <c r="R1682" s="5" t="inlineStr">
        <is>
          <t>PCS.</t>
        </is>
      </c>
      <c r="S1682" s="284">
        <f>RawDataGenPO[[#This Row],[Total price]]/RawDataGenPO[[#This Row],[Qty'']]</f>
        <v/>
      </c>
      <c r="T1682" s="278" t="n">
        <v>36000</v>
      </c>
      <c r="U1682" s="291" t="n"/>
      <c r="V1682" s="7" t="inlineStr">
        <is>
          <t>V1000930 - JS999 CO., LTD.</t>
        </is>
      </c>
      <c r="W1682" s="30" t="inlineStr">
        <is>
          <t xml:space="preserve">Waitting Supplier transportation </t>
        </is>
      </c>
      <c r="Z1682" s="23" t="n"/>
      <c r="AA1682" s="17">
        <f>IF(RawDataGenPO[[#This Row],[Date Gen PO]]="","",RawDataGenPO[[#This Row],[Date recive bill]]-RawDataGenPO[[#This Row],[Date Gen PO]])</f>
        <v/>
      </c>
      <c r="AB1682" s="16">
        <f>IF(RawDataGenPO[[#This Row],[GRN-PO date]]&gt;RawDataGenPO[[#This Row],[Lead time delivery (day)]],"over deliverry","Ontime")</f>
        <v/>
      </c>
      <c r="AC1682" s="22" t="n"/>
    </row>
    <row r="1683" ht="15" customHeight="1">
      <c r="A1683" s="5">
        <f>ROW()-ROW(RawDataGenPO[[#Headers],[No.]])</f>
        <v/>
      </c>
      <c r="B1683" s="7" t="inlineStr">
        <is>
          <t>Expent  cost</t>
        </is>
      </c>
      <c r="C1683" s="281" t="n"/>
      <c r="F1683" s="281" t="n">
        <v>45974</v>
      </c>
      <c r="G1683" s="5" t="inlineStr">
        <is>
          <t>PR2526-03245</t>
        </is>
      </c>
      <c r="H1683" s="5" t="inlineStr">
        <is>
          <t>PO2526-04574</t>
        </is>
      </c>
      <c r="I1683" s="286" t="n">
        <v>45972</v>
      </c>
      <c r="J1683" s="26" t="n"/>
      <c r="K1683" s="20" t="n">
        <v>120</v>
      </c>
      <c r="L1683" s="5" t="inlineStr">
        <is>
          <t>SFST34000136</t>
        </is>
      </c>
      <c r="M1683" s="7" t="inlineStr">
        <is>
          <t>Consumable part for MN</t>
        </is>
      </c>
      <c r="N1683" s="7" t="inlineStr">
        <is>
          <t>Consumable part</t>
        </is>
      </c>
      <c r="O1683" s="11" t="n">
        <v>1</v>
      </c>
      <c r="P1683" s="10" t="inlineStr">
        <is>
          <t xml:space="preserve"> argon gas 1.5 Q</t>
        </is>
      </c>
      <c r="Q1683" s="277" t="n">
        <v>1</v>
      </c>
      <c r="R1683" s="5" t="inlineStr">
        <is>
          <t>DRUM.</t>
        </is>
      </c>
      <c r="S1683" s="284">
        <f>RawDataGenPO[[#This Row],[Total price]]/RawDataGenPO[[#This Row],[Qty'']]</f>
        <v/>
      </c>
      <c r="T1683" s="278" t="n">
        <v>350</v>
      </c>
      <c r="U1683" s="291" t="n"/>
      <c r="V1683" s="7" t="inlineStr">
        <is>
          <t>V1000475 - Klong Karn Kha Trading</t>
        </is>
      </c>
      <c r="W1683" s="30" t="inlineStr">
        <is>
          <t>Recive bill and GRN already</t>
        </is>
      </c>
      <c r="X1683" s="5" t="inlineStr">
        <is>
          <t>GRN2526-0007958</t>
        </is>
      </c>
      <c r="Y1683" s="3" t="n">
        <v>46064</v>
      </c>
      <c r="Z1683" s="23" t="n"/>
      <c r="AA1683" s="17">
        <f>IF(RawDataGenPO[[#This Row],[Date Gen PO]]="","",RawDataGenPO[[#This Row],[Date recive bill]]-RawDataGenPO[[#This Row],[Date Gen PO]])</f>
        <v/>
      </c>
      <c r="AB1683" s="16">
        <f>IF(RawDataGenPO[[#This Row],[GRN-PO date]]&gt;RawDataGenPO[[#This Row],[Lead time delivery (day)]],"over deliverry","Ontime")</f>
        <v/>
      </c>
      <c r="AC1683" s="22" t="n"/>
    </row>
    <row r="1684" ht="15" customHeight="1">
      <c r="A1684" s="5">
        <f>ROW()-ROW(RawDataGenPO[[#Headers],[No.]])</f>
        <v/>
      </c>
      <c r="B1684" s="7" t="inlineStr">
        <is>
          <t>Expent  cost</t>
        </is>
      </c>
      <c r="C1684" s="281" t="n"/>
      <c r="F1684" s="281" t="n">
        <v>45974</v>
      </c>
      <c r="G1684" s="5" t="inlineStr">
        <is>
          <t>PR2526-03245</t>
        </is>
      </c>
      <c r="H1684" s="5" t="inlineStr">
        <is>
          <t>PO2526-04574</t>
        </is>
      </c>
      <c r="I1684" s="286" t="n">
        <v>45972</v>
      </c>
      <c r="J1684" s="26" t="n"/>
      <c r="K1684" s="20" t="n">
        <v>120</v>
      </c>
      <c r="L1684" s="5" t="inlineStr">
        <is>
          <t>SFST34000136</t>
        </is>
      </c>
      <c r="M1684" s="7" t="inlineStr">
        <is>
          <t>Consumable part for MN</t>
        </is>
      </c>
      <c r="N1684" s="7" t="inlineStr">
        <is>
          <t>Consumable part</t>
        </is>
      </c>
      <c r="O1684" s="11" t="n">
        <v>2</v>
      </c>
      <c r="P1684" s="10" t="inlineStr">
        <is>
          <t xml:space="preserve"> argon gas 1.5 Q</t>
        </is>
      </c>
      <c r="Q1684" s="277" t="n">
        <v>1</v>
      </c>
      <c r="R1684" s="5" t="inlineStr">
        <is>
          <t>DRUM.</t>
        </is>
      </c>
      <c r="S1684" s="284">
        <f>RawDataGenPO[[#This Row],[Total price]]/RawDataGenPO[[#This Row],[Qty'']]</f>
        <v/>
      </c>
      <c r="T1684" s="278" t="n">
        <v>350</v>
      </c>
      <c r="U1684" s="291" t="n"/>
      <c r="V1684" s="7" t="inlineStr">
        <is>
          <t>V1000475 - Klong Karn Kha Trading</t>
        </is>
      </c>
      <c r="W1684" s="30" t="inlineStr">
        <is>
          <t>Recive bill and GRN already</t>
        </is>
      </c>
      <c r="X1684" s="5" t="inlineStr">
        <is>
          <t>GRN2526-0007958</t>
        </is>
      </c>
      <c r="Y1684" s="3" t="n">
        <v>46064</v>
      </c>
      <c r="Z1684" s="23" t="n"/>
      <c r="AA1684" s="17">
        <f>IF(RawDataGenPO[[#This Row],[Date Gen PO]]="","",RawDataGenPO[[#This Row],[Date recive bill]]-RawDataGenPO[[#This Row],[Date Gen PO]])</f>
        <v/>
      </c>
      <c r="AB1684" s="16">
        <f>IF(RawDataGenPO[[#This Row],[GRN-PO date]]&gt;RawDataGenPO[[#This Row],[Lead time delivery (day)]],"over deliverry","Ontime")</f>
        <v/>
      </c>
      <c r="AC1684" s="22" t="n"/>
    </row>
    <row r="1685" ht="15" customHeight="1">
      <c r="A1685" s="5">
        <f>ROW()-ROW(RawDataGenPO[[#Headers],[No.]])</f>
        <v/>
      </c>
      <c r="B1685" s="7" t="inlineStr">
        <is>
          <t>Expent  cost</t>
        </is>
      </c>
      <c r="C1685" s="281" t="n"/>
      <c r="F1685" s="281" t="n">
        <v>45974</v>
      </c>
      <c r="G1685" s="5" t="inlineStr">
        <is>
          <t>PR2526-03245</t>
        </is>
      </c>
      <c r="H1685" s="5" t="inlineStr">
        <is>
          <t>PO2526-04574</t>
        </is>
      </c>
      <c r="I1685" s="286" t="n">
        <v>45972</v>
      </c>
      <c r="J1685" s="26" t="n"/>
      <c r="K1685" s="20" t="n">
        <v>120</v>
      </c>
      <c r="L1685" s="5" t="inlineStr">
        <is>
          <t>SFST34000136</t>
        </is>
      </c>
      <c r="M1685" s="7" t="inlineStr">
        <is>
          <t>Consumable part for MN</t>
        </is>
      </c>
      <c r="N1685" s="7" t="inlineStr">
        <is>
          <t>Consumable part</t>
        </is>
      </c>
      <c r="O1685" s="11" t="n">
        <v>3</v>
      </c>
      <c r="P1685" s="10" t="inlineStr">
        <is>
          <t xml:space="preserve"> argon gas 1.5 Q</t>
        </is>
      </c>
      <c r="Q1685" s="277" t="n">
        <v>1</v>
      </c>
      <c r="R1685" s="5" t="inlineStr">
        <is>
          <t>DRUM.</t>
        </is>
      </c>
      <c r="S1685" s="284">
        <f>RawDataGenPO[[#This Row],[Total price]]/RawDataGenPO[[#This Row],[Qty'']]</f>
        <v/>
      </c>
      <c r="T1685" s="278" t="n">
        <v>350</v>
      </c>
      <c r="U1685" s="291" t="n"/>
      <c r="V1685" s="7" t="inlineStr">
        <is>
          <t>V1000475 - Klong Karn Kha Trading</t>
        </is>
      </c>
      <c r="W1685" s="30" t="inlineStr">
        <is>
          <t>Recive bill and GRN already</t>
        </is>
      </c>
      <c r="X1685" s="5" t="inlineStr">
        <is>
          <t>GRN2526-0007958</t>
        </is>
      </c>
      <c r="Y1685" s="3" t="n">
        <v>46064</v>
      </c>
      <c r="Z1685" s="23" t="n"/>
      <c r="AA1685" s="17">
        <f>IF(RawDataGenPO[[#This Row],[Date Gen PO]]="","",RawDataGenPO[[#This Row],[Date recive bill]]-RawDataGenPO[[#This Row],[Date Gen PO]])</f>
        <v/>
      </c>
      <c r="AB1685" s="16">
        <f>IF(RawDataGenPO[[#This Row],[GRN-PO date]]&gt;RawDataGenPO[[#This Row],[Lead time delivery (day)]],"over deliverry","Ontime")</f>
        <v/>
      </c>
      <c r="AC1685" s="22" t="n"/>
    </row>
    <row r="1686" ht="15" customHeight="1">
      <c r="A1686" s="5">
        <f>ROW()-ROW(RawDataGenPO[[#Headers],[No.]])</f>
        <v/>
      </c>
      <c r="B1686" s="7" t="inlineStr">
        <is>
          <t>Expent  cost</t>
        </is>
      </c>
      <c r="C1686" s="281" t="n"/>
      <c r="F1686" s="281" t="n">
        <v>45974</v>
      </c>
      <c r="G1686" s="5" t="inlineStr">
        <is>
          <t>PR2526-03245</t>
        </is>
      </c>
      <c r="H1686" s="5" t="inlineStr">
        <is>
          <t>PO2526-04574</t>
        </is>
      </c>
      <c r="I1686" s="286" t="n">
        <v>45972</v>
      </c>
      <c r="J1686" s="26" t="n"/>
      <c r="K1686" s="20" t="n">
        <v>300</v>
      </c>
      <c r="L1686" s="5" t="inlineStr">
        <is>
          <t>SFST34000136</t>
        </is>
      </c>
      <c r="M1686" s="7" t="inlineStr">
        <is>
          <t>Consumable part for MN</t>
        </is>
      </c>
      <c r="N1686" s="7" t="inlineStr">
        <is>
          <t>Consumable part</t>
        </is>
      </c>
      <c r="O1686" s="11" t="n">
        <v>4</v>
      </c>
      <c r="P1686" s="10" t="inlineStr">
        <is>
          <t xml:space="preserve"> argon gas 1.5 Q</t>
        </is>
      </c>
      <c r="Q1686" s="277" t="n">
        <v>1</v>
      </c>
      <c r="R1686" s="5" t="inlineStr">
        <is>
          <t>DRUM.</t>
        </is>
      </c>
      <c r="S1686" s="284">
        <f>RawDataGenPO[[#This Row],[Total price]]/RawDataGenPO[[#This Row],[Qty'']]</f>
        <v/>
      </c>
      <c r="T1686" s="278" t="n">
        <v>350</v>
      </c>
      <c r="U1686" s="291" t="n"/>
      <c r="V1686" s="7" t="inlineStr">
        <is>
          <t>V1000475 - Klong Karn Kha Trading</t>
        </is>
      </c>
      <c r="W1686" s="30" t="inlineStr">
        <is>
          <t>Recive bill and GRN already</t>
        </is>
      </c>
      <c r="X1686" s="5" t="inlineStr">
        <is>
          <t>GRN2526-0009014</t>
        </is>
      </c>
      <c r="Y1686" s="3" t="n">
        <v>46094</v>
      </c>
      <c r="Z1686" s="23" t="n"/>
      <c r="AA1686" s="17">
        <f>IF(RawDataGenPO[[#This Row],[Date Gen PO]]="","",RawDataGenPO[[#This Row],[Date recive bill]]-RawDataGenPO[[#This Row],[Date Gen PO]])</f>
        <v/>
      </c>
      <c r="AB1686" s="16">
        <f>IF(RawDataGenPO[[#This Row],[GRN-PO date]]&gt;RawDataGenPO[[#This Row],[Lead time delivery (day)]],"over deliverry","Ontime")</f>
        <v/>
      </c>
      <c r="AC1686" s="22" t="n"/>
    </row>
    <row r="1687" ht="15" customHeight="1">
      <c r="A1687" s="5">
        <f>ROW()-ROW(RawDataGenPO[[#Headers],[No.]])</f>
        <v/>
      </c>
      <c r="B1687" s="7" t="inlineStr">
        <is>
          <t>Expent  cost</t>
        </is>
      </c>
      <c r="C1687" s="281" t="n"/>
      <c r="F1687" s="281" t="n">
        <v>45974</v>
      </c>
      <c r="G1687" s="5" t="inlineStr">
        <is>
          <t>PR2526-03245</t>
        </is>
      </c>
      <c r="H1687" s="5" t="inlineStr">
        <is>
          <t>PO2526-04574</t>
        </is>
      </c>
      <c r="I1687" s="286" t="n">
        <v>45972</v>
      </c>
      <c r="J1687" s="26" t="n"/>
      <c r="K1687" s="20" t="n">
        <v>300</v>
      </c>
      <c r="L1687" s="5" t="inlineStr">
        <is>
          <t>SFST34000136</t>
        </is>
      </c>
      <c r="M1687" s="7" t="inlineStr">
        <is>
          <t>Consumable part for MN</t>
        </is>
      </c>
      <c r="N1687" s="7" t="inlineStr">
        <is>
          <t>Consumable part</t>
        </is>
      </c>
      <c r="O1687" s="11" t="n">
        <v>5</v>
      </c>
      <c r="P1687" s="10" t="inlineStr">
        <is>
          <t xml:space="preserve"> argon gas 1.5 Q</t>
        </is>
      </c>
      <c r="Q1687" s="277" t="n">
        <v>1</v>
      </c>
      <c r="R1687" s="5" t="inlineStr">
        <is>
          <t>DRUM.</t>
        </is>
      </c>
      <c r="S1687" s="284">
        <f>RawDataGenPO[[#This Row],[Total price]]/RawDataGenPO[[#This Row],[Qty'']]</f>
        <v/>
      </c>
      <c r="T1687" s="278" t="n">
        <v>350</v>
      </c>
      <c r="U1687" s="291" t="n"/>
      <c r="V1687" s="7" t="inlineStr">
        <is>
          <t>V1000475 - Klong Karn Kha Trading</t>
        </is>
      </c>
      <c r="W1687" s="30" t="inlineStr">
        <is>
          <t>Recive bill and GRN already</t>
        </is>
      </c>
      <c r="X1687" s="5" t="inlineStr">
        <is>
          <t>GRN2526-0009014</t>
        </is>
      </c>
      <c r="Y1687" s="3" t="n">
        <v>46094</v>
      </c>
      <c r="Z1687" s="23" t="n"/>
      <c r="AA1687" s="17">
        <f>IF(RawDataGenPO[[#This Row],[Date Gen PO]]="","",RawDataGenPO[[#This Row],[Date recive bill]]-RawDataGenPO[[#This Row],[Date Gen PO]])</f>
        <v/>
      </c>
      <c r="AB1687" s="16">
        <f>IF(RawDataGenPO[[#This Row],[GRN-PO date]]&gt;RawDataGenPO[[#This Row],[Lead time delivery (day)]],"over deliverry","Ontime")</f>
        <v/>
      </c>
      <c r="AC1687" s="22" t="n"/>
    </row>
    <row r="1688" ht="15" customHeight="1">
      <c r="A1688" s="5">
        <f>ROW()-ROW(RawDataGenPO[[#Headers],[No.]])</f>
        <v/>
      </c>
      <c r="B1688" s="7" t="inlineStr">
        <is>
          <t>Expent  cost</t>
        </is>
      </c>
      <c r="C1688" s="281" t="n"/>
      <c r="F1688" s="281" t="n">
        <v>45974</v>
      </c>
      <c r="G1688" s="5" t="inlineStr">
        <is>
          <t>PR2526-03245</t>
        </is>
      </c>
      <c r="H1688" s="5" t="inlineStr">
        <is>
          <t>PO2526-04574</t>
        </is>
      </c>
      <c r="I1688" s="286" t="n">
        <v>45972</v>
      </c>
      <c r="J1688" s="26" t="n"/>
      <c r="K1688" s="20" t="n">
        <v>300</v>
      </c>
      <c r="L1688" s="5" t="inlineStr">
        <is>
          <t>SFST34000136</t>
        </is>
      </c>
      <c r="M1688" s="7" t="inlineStr">
        <is>
          <t>Consumable part for MN</t>
        </is>
      </c>
      <c r="N1688" s="7" t="inlineStr">
        <is>
          <t>Consumable part</t>
        </is>
      </c>
      <c r="O1688" s="11" t="n">
        <v>6</v>
      </c>
      <c r="P1688" s="10" t="inlineStr">
        <is>
          <t xml:space="preserve"> argon gas 1.5 Q</t>
        </is>
      </c>
      <c r="Q1688" s="277" t="n">
        <v>1</v>
      </c>
      <c r="R1688" s="5" t="inlineStr">
        <is>
          <t>DRUM.</t>
        </is>
      </c>
      <c r="S1688" s="284">
        <f>RawDataGenPO[[#This Row],[Total price]]/RawDataGenPO[[#This Row],[Qty'']]</f>
        <v/>
      </c>
      <c r="T1688" s="278" t="n">
        <v>350</v>
      </c>
      <c r="U1688" s="291" t="n"/>
      <c r="V1688" s="7" t="inlineStr">
        <is>
          <t>V1000475 - Klong Karn Kha Trading</t>
        </is>
      </c>
      <c r="W1688" s="30" t="inlineStr">
        <is>
          <t>Recive bill and GRN already</t>
        </is>
      </c>
      <c r="X1688" s="5" t="inlineStr">
        <is>
          <t>GRN2526-0009014</t>
        </is>
      </c>
      <c r="Y1688" s="3" t="n">
        <v>46094</v>
      </c>
      <c r="Z1688" s="23" t="n"/>
      <c r="AA1688" s="17">
        <f>IF(RawDataGenPO[[#This Row],[Date Gen PO]]="","",RawDataGenPO[[#This Row],[Date recive bill]]-RawDataGenPO[[#This Row],[Date Gen PO]])</f>
        <v/>
      </c>
      <c r="AB1688" s="16">
        <f>IF(RawDataGenPO[[#This Row],[GRN-PO date]]&gt;RawDataGenPO[[#This Row],[Lead time delivery (day)]],"over deliverry","Ontime")</f>
        <v/>
      </c>
      <c r="AC1688" s="22" t="n"/>
    </row>
    <row r="1689" ht="15" customHeight="1">
      <c r="A1689" s="5">
        <f>ROW()-ROW(RawDataGenPO[[#Headers],[No.]])</f>
        <v/>
      </c>
      <c r="B1689" s="7" t="inlineStr">
        <is>
          <t>Expent  cost</t>
        </is>
      </c>
      <c r="C1689" s="281" t="n"/>
      <c r="F1689" s="281" t="n">
        <v>45974</v>
      </c>
      <c r="G1689" s="5" t="inlineStr">
        <is>
          <t>PR2526-03245</t>
        </is>
      </c>
      <c r="H1689" s="5" t="inlineStr">
        <is>
          <t>PO2526-04574</t>
        </is>
      </c>
      <c r="I1689" s="286" t="n">
        <v>45972</v>
      </c>
      <c r="J1689" s="26" t="n"/>
      <c r="K1689" s="20" t="n">
        <v>300</v>
      </c>
      <c r="L1689" s="5" t="inlineStr">
        <is>
          <t>SFST34000136</t>
        </is>
      </c>
      <c r="M1689" s="7" t="inlineStr">
        <is>
          <t>Consumable part for MN</t>
        </is>
      </c>
      <c r="N1689" s="7" t="inlineStr">
        <is>
          <t>Consumable part</t>
        </is>
      </c>
      <c r="O1689" s="11" t="n">
        <v>7</v>
      </c>
      <c r="P1689" s="10" t="inlineStr">
        <is>
          <t xml:space="preserve"> argon gas 1.5 Q</t>
        </is>
      </c>
      <c r="Q1689" s="277" t="n">
        <v>1</v>
      </c>
      <c r="R1689" s="5" t="inlineStr">
        <is>
          <t>DRUM.</t>
        </is>
      </c>
      <c r="S1689" s="284">
        <f>RawDataGenPO[[#This Row],[Total price]]/RawDataGenPO[[#This Row],[Qty'']]</f>
        <v/>
      </c>
      <c r="T1689" s="278" t="n">
        <v>350</v>
      </c>
      <c r="U1689" s="291" t="n"/>
      <c r="V1689" s="7" t="inlineStr">
        <is>
          <t>V1000475 - Klong Karn Kha Trading</t>
        </is>
      </c>
      <c r="W1689" s="30" t="inlineStr">
        <is>
          <t>Recive bill and GRN already</t>
        </is>
      </c>
      <c r="X1689" s="5" t="inlineStr">
        <is>
          <t>GRN2627-0000377</t>
        </is>
      </c>
      <c r="Y1689" s="3" t="n">
        <v>46123</v>
      </c>
      <c r="Z1689" s="23" t="n"/>
      <c r="AA1689" s="17">
        <f>IF(RawDataGenPO[[#This Row],[Date Gen PO]]="","",RawDataGenPO[[#This Row],[Date recive bill]]-RawDataGenPO[[#This Row],[Date Gen PO]])</f>
        <v/>
      </c>
      <c r="AB1689" s="16">
        <f>IF(RawDataGenPO[[#This Row],[GRN-PO date]]&gt;RawDataGenPO[[#This Row],[Lead time delivery (day)]],"over deliverry","Ontime")</f>
        <v/>
      </c>
      <c r="AC1689" s="22" t="n"/>
    </row>
    <row r="1690" ht="15" customHeight="1">
      <c r="A1690" s="5">
        <f>ROW()-ROW(RawDataGenPO[[#Headers],[No.]])</f>
        <v/>
      </c>
      <c r="B1690" s="7" t="inlineStr">
        <is>
          <t>Expent  cost</t>
        </is>
      </c>
      <c r="C1690" s="281" t="n"/>
      <c r="F1690" s="281" t="n">
        <v>45974</v>
      </c>
      <c r="G1690" s="5" t="inlineStr">
        <is>
          <t>PR2526-03245</t>
        </is>
      </c>
      <c r="H1690" s="5" t="inlineStr">
        <is>
          <t>PO2526-04574</t>
        </is>
      </c>
      <c r="I1690" s="286" t="n">
        <v>45972</v>
      </c>
      <c r="J1690" s="26" t="n"/>
      <c r="K1690" s="20" t="n">
        <v>300</v>
      </c>
      <c r="L1690" s="5" t="inlineStr">
        <is>
          <t>SFST34000136</t>
        </is>
      </c>
      <c r="M1690" s="7" t="inlineStr">
        <is>
          <t>Consumable part for MN</t>
        </is>
      </c>
      <c r="N1690" s="7" t="inlineStr">
        <is>
          <t>Consumable part</t>
        </is>
      </c>
      <c r="O1690" s="11" t="n">
        <v>8</v>
      </c>
      <c r="P1690" s="10" t="inlineStr">
        <is>
          <t xml:space="preserve"> argon gas 1.5 Q</t>
        </is>
      </c>
      <c r="Q1690" s="277" t="n">
        <v>1</v>
      </c>
      <c r="R1690" s="5" t="inlineStr">
        <is>
          <t>DRUM.</t>
        </is>
      </c>
      <c r="S1690" s="284">
        <f>RawDataGenPO[[#This Row],[Total price]]/RawDataGenPO[[#This Row],[Qty'']]</f>
        <v/>
      </c>
      <c r="T1690" s="278" t="n">
        <v>350</v>
      </c>
      <c r="U1690" s="291" t="n"/>
      <c r="V1690" s="7" t="inlineStr">
        <is>
          <t>V1000475 - Klong Karn Kha Trading</t>
        </is>
      </c>
      <c r="W1690" s="30" t="inlineStr">
        <is>
          <t>Recive bill and GRN already</t>
        </is>
      </c>
      <c r="X1690" s="5" t="inlineStr">
        <is>
          <t>GRN2627-0000377</t>
        </is>
      </c>
      <c r="Y1690" s="3" t="n">
        <v>46123</v>
      </c>
      <c r="Z1690" s="23" t="n"/>
      <c r="AA1690" s="17">
        <f>IF(RawDataGenPO[[#This Row],[Date Gen PO]]="","",RawDataGenPO[[#This Row],[Date recive bill]]-RawDataGenPO[[#This Row],[Date Gen PO]])</f>
        <v/>
      </c>
      <c r="AB1690" s="16">
        <f>IF(RawDataGenPO[[#This Row],[GRN-PO date]]&gt;RawDataGenPO[[#This Row],[Lead time delivery (day)]],"over deliverry","Ontime")</f>
        <v/>
      </c>
      <c r="AC1690" s="22" t="n"/>
    </row>
    <row r="1691" ht="15" customHeight="1">
      <c r="A1691" s="5">
        <f>ROW()-ROW(RawDataGenPO[[#Headers],[No.]])</f>
        <v/>
      </c>
      <c r="B1691" s="7" t="inlineStr">
        <is>
          <t>Expent  cost</t>
        </is>
      </c>
      <c r="C1691" s="281" t="n"/>
      <c r="F1691" s="281" t="n">
        <v>45974</v>
      </c>
      <c r="G1691" s="5" t="inlineStr">
        <is>
          <t>PR2526-03245</t>
        </is>
      </c>
      <c r="H1691" s="5" t="inlineStr">
        <is>
          <t>PO2526-04574</t>
        </is>
      </c>
      <c r="I1691" s="286" t="n">
        <v>45972</v>
      </c>
      <c r="J1691" s="26" t="n"/>
      <c r="K1691" s="20" t="n">
        <v>300</v>
      </c>
      <c r="L1691" s="5" t="inlineStr">
        <is>
          <t>SFST34000136</t>
        </is>
      </c>
      <c r="M1691" s="7" t="inlineStr">
        <is>
          <t>Consumable part for MN</t>
        </is>
      </c>
      <c r="N1691" s="7" t="inlineStr">
        <is>
          <t>Consumable part</t>
        </is>
      </c>
      <c r="O1691" s="11" t="n">
        <v>9</v>
      </c>
      <c r="P1691" s="10" t="inlineStr">
        <is>
          <t xml:space="preserve"> argon gas 1.5 Q</t>
        </is>
      </c>
      <c r="Q1691" s="277" t="n">
        <v>1</v>
      </c>
      <c r="R1691" s="5" t="inlineStr">
        <is>
          <t>DRUM.</t>
        </is>
      </c>
      <c r="S1691" s="284">
        <f>RawDataGenPO[[#This Row],[Total price]]/RawDataGenPO[[#This Row],[Qty'']]</f>
        <v/>
      </c>
      <c r="T1691" s="278" t="n">
        <v>350</v>
      </c>
      <c r="U1691" s="291" t="n"/>
      <c r="V1691" s="7" t="inlineStr">
        <is>
          <t>V1000475 - Klong Karn Kha Trading</t>
        </is>
      </c>
      <c r="W1691" s="30" t="inlineStr">
        <is>
          <t xml:space="preserve">Waitting Supplier transportation </t>
        </is>
      </c>
      <c r="Z1691" s="23" t="n"/>
      <c r="AA1691" s="17">
        <f>IF(RawDataGenPO[[#This Row],[Date Gen PO]]="","",RawDataGenPO[[#This Row],[Date recive bill]]-RawDataGenPO[[#This Row],[Date Gen PO]])</f>
        <v/>
      </c>
      <c r="AB1691" s="16">
        <f>IF(RawDataGenPO[[#This Row],[GRN-PO date]]&gt;RawDataGenPO[[#This Row],[Lead time delivery (day)]],"over deliverry","Ontime")</f>
        <v/>
      </c>
      <c r="AC1691" s="22" t="n"/>
    </row>
    <row r="1692" ht="15" customHeight="1">
      <c r="A1692" s="5">
        <f>ROW()-ROW(RawDataGenPO[[#Headers],[No.]])</f>
        <v/>
      </c>
      <c r="B1692" s="7" t="inlineStr">
        <is>
          <t>Expent  cost</t>
        </is>
      </c>
      <c r="C1692" s="281" t="n"/>
      <c r="F1692" s="281" t="n">
        <v>45974</v>
      </c>
      <c r="G1692" s="5" t="inlineStr">
        <is>
          <t>PR2526-03245</t>
        </is>
      </c>
      <c r="H1692" s="5" t="inlineStr">
        <is>
          <t>PO2526-04574</t>
        </is>
      </c>
      <c r="I1692" s="286" t="n">
        <v>45972</v>
      </c>
      <c r="J1692" s="26" t="n"/>
      <c r="K1692" s="20" t="n">
        <v>300</v>
      </c>
      <c r="L1692" s="5" t="inlineStr">
        <is>
          <t>SFST34000136</t>
        </is>
      </c>
      <c r="M1692" s="7" t="inlineStr">
        <is>
          <t>Consumable part for MN</t>
        </is>
      </c>
      <c r="N1692" s="7" t="inlineStr">
        <is>
          <t>Consumable part</t>
        </is>
      </c>
      <c r="O1692" s="11" t="n">
        <v>10</v>
      </c>
      <c r="P1692" s="10" t="inlineStr">
        <is>
          <t xml:space="preserve"> argon gas 1.5 Q</t>
        </is>
      </c>
      <c r="Q1692" s="277" t="n">
        <v>1</v>
      </c>
      <c r="R1692" s="5" t="inlineStr">
        <is>
          <t>DRUM.</t>
        </is>
      </c>
      <c r="S1692" s="284">
        <f>RawDataGenPO[[#This Row],[Total price]]/RawDataGenPO[[#This Row],[Qty'']]</f>
        <v/>
      </c>
      <c r="T1692" s="278" t="n">
        <v>350</v>
      </c>
      <c r="U1692" s="291" t="n"/>
      <c r="V1692" s="7" t="inlineStr">
        <is>
          <t>V1000475 - Klong Karn Kha Trading</t>
        </is>
      </c>
      <c r="W1692" s="30" t="inlineStr">
        <is>
          <t xml:space="preserve">Waitting Supplier transportation </t>
        </is>
      </c>
      <c r="Z1692" s="23" t="n"/>
      <c r="AA1692" s="17">
        <f>IF(RawDataGenPO[[#This Row],[Date Gen PO]]="","",RawDataGenPO[[#This Row],[Date recive bill]]-RawDataGenPO[[#This Row],[Date Gen PO]])</f>
        <v/>
      </c>
      <c r="AB1692" s="16">
        <f>IF(RawDataGenPO[[#This Row],[GRN-PO date]]&gt;RawDataGenPO[[#This Row],[Lead time delivery (day)]],"over deliverry","Ontime")</f>
        <v/>
      </c>
      <c r="AC1692" s="22" t="n"/>
    </row>
    <row r="1693" ht="45" customHeight="1">
      <c r="A1693" s="5">
        <f>ROW()-ROW(RawDataGenPO[[#Headers],[No.]])</f>
        <v/>
      </c>
      <c r="B1693" s="7" t="inlineStr">
        <is>
          <t>CAPEX  (Unbudget)</t>
        </is>
      </c>
      <c r="C1693" s="281" t="n"/>
      <c r="F1693" s="281" t="n">
        <v>45978</v>
      </c>
      <c r="G1693" s="5" t="inlineStr">
        <is>
          <t>PR2526-03300</t>
        </is>
      </c>
      <c r="H1693" s="5" t="inlineStr">
        <is>
          <t>PO2526-04698</t>
        </is>
      </c>
      <c r="I1693" s="286" t="n">
        <v>45988</v>
      </c>
      <c r="J1693" s="26" t="n"/>
      <c r="K1693" s="20" t="n">
        <v>120</v>
      </c>
      <c r="L1693" s="5" t="inlineStr">
        <is>
          <t>SFST82000005</t>
        </is>
      </c>
      <c r="M1693" s="7" t="inlineStr">
        <is>
          <t>PD Machine</t>
        </is>
      </c>
      <c r="N1693" s="7" t="inlineStr">
        <is>
          <t>Bowl Cutter (Chopper) No.1</t>
        </is>
      </c>
      <c r="O1693" s="11" t="n">
        <v>1</v>
      </c>
      <c r="P1693" s="10" t="inlineStr">
        <is>
          <t>MACHINE: K+G WETTER CM120 STL
Model: 420/1217
PLC-Unit Pre-programmed</t>
        </is>
      </c>
      <c r="Q1693" s="277" t="n">
        <v>1</v>
      </c>
      <c r="R1693" s="5" t="inlineStr">
        <is>
          <t>PCS.</t>
        </is>
      </c>
      <c r="S1693" s="284">
        <f>RawDataGenPO[[#This Row],[Total price]]/RawDataGenPO[[#This Row],[Qty'']]</f>
        <v/>
      </c>
      <c r="T1693" s="278" t="n">
        <v>39988</v>
      </c>
      <c r="U1693" s="291" t="n"/>
      <c r="V1693" s="7" t="inlineStr">
        <is>
          <t>V1000189 - FPT FOOD PROCESS TECHNOLOGY CO., LTD.</t>
        </is>
      </c>
      <c r="W1693" s="30" t="inlineStr">
        <is>
          <t>Recive bill and GRN already</t>
        </is>
      </c>
      <c r="X1693" s="5" t="inlineStr">
        <is>
          <t>GRN2526-0006623</t>
        </is>
      </c>
      <c r="Y1693" s="3" t="n">
        <v>46027</v>
      </c>
      <c r="Z1693" s="23" t="n"/>
      <c r="AA1693" s="17">
        <f>IF(RawDataGenPO[[#This Row],[Date Gen PO]]="","",RawDataGenPO[[#This Row],[Date recive bill]]-RawDataGenPO[[#This Row],[Date Gen PO]])</f>
        <v/>
      </c>
      <c r="AB1693" s="16">
        <f>IF(RawDataGenPO[[#This Row],[GRN-PO date]]&gt;RawDataGenPO[[#This Row],[Lead time delivery (day)]],"over deliverry","Ontime")</f>
        <v/>
      </c>
      <c r="AC1693" s="22" t="n"/>
    </row>
    <row r="1694" ht="75" customHeight="1">
      <c r="A1694" s="5">
        <f>ROW()-ROW(RawDataGenPO[[#Headers],[No.]])</f>
        <v/>
      </c>
      <c r="B1694" s="7" t="inlineStr">
        <is>
          <t>Expent  cost</t>
        </is>
      </c>
      <c r="C1694" s="281" t="n"/>
      <c r="F1694" s="281" t="n">
        <v>45978</v>
      </c>
      <c r="G1694" s="5" t="inlineStr">
        <is>
          <t>PR2526-03301</t>
        </is>
      </c>
      <c r="H1694" s="5" t="inlineStr">
        <is>
          <t>PO2526-04722</t>
        </is>
      </c>
      <c r="I1694" s="286" t="n">
        <v>45992</v>
      </c>
      <c r="J1694" s="26" t="n"/>
      <c r="K1694" s="20" t="n">
        <v>60</v>
      </c>
      <c r="L1694" s="5" t="inlineStr">
        <is>
          <t>SFST81000064</t>
        </is>
      </c>
      <c r="M1694" s="7" t="inlineStr">
        <is>
          <t>Annual cost</t>
        </is>
      </c>
      <c r="N1694" s="7" t="inlineStr">
        <is>
          <t>Safety  annual jobs</t>
        </is>
      </c>
      <c r="O1694" s="11" t="n">
        <v>1</v>
      </c>
      <c r="P1694" s="10" t="inlineStr">
        <is>
          <t>Wastewater analysis and measurement fee
- m measurement every 3 months
- inlet point
- outlet point
- discharge point in front of factory</t>
        </is>
      </c>
      <c r="Q1694" s="277" t="n">
        <v>1</v>
      </c>
      <c r="R1694" s="5" t="inlineStr">
        <is>
          <t>job.</t>
        </is>
      </c>
      <c r="S1694" s="284">
        <f>RawDataGenPO[[#This Row],[Total price]]/RawDataGenPO[[#This Row],[Qty'']]</f>
        <v/>
      </c>
      <c r="T1694" s="278" t="n">
        <v>5250</v>
      </c>
      <c r="U1694" s="291" t="n"/>
      <c r="V1694" s="7" t="inlineStr">
        <is>
          <t>V1000124 - S.P.J. SCIENTIFIC CO., LTD.</t>
        </is>
      </c>
      <c r="W1694" s="30" t="inlineStr">
        <is>
          <t>Recive bill and GRN already</t>
        </is>
      </c>
      <c r="X1694" s="5" t="inlineStr">
        <is>
          <t>GRN2526-0006808</t>
        </is>
      </c>
      <c r="Y1694" s="3" t="n">
        <v>46031</v>
      </c>
      <c r="Z1694" s="23" t="n"/>
      <c r="AA1694" s="17">
        <f>IF(RawDataGenPO[[#This Row],[Date Gen PO]]="","",RawDataGenPO[[#This Row],[Date recive bill]]-RawDataGenPO[[#This Row],[Date Gen PO]])</f>
        <v/>
      </c>
      <c r="AB1694" s="16">
        <f>IF(RawDataGenPO[[#This Row],[GRN-PO date]]&gt;RawDataGenPO[[#This Row],[Lead time delivery (day)]],"over deliverry","Ontime")</f>
        <v/>
      </c>
      <c r="AC1694" s="22" t="n"/>
    </row>
    <row r="1695" ht="15" customHeight="1">
      <c r="A1695" s="5">
        <f>ROW()-ROW(RawDataGenPO[[#Headers],[No.]])</f>
        <v/>
      </c>
      <c r="B1695" s="7" t="inlineStr">
        <is>
          <t>Expent  cost</t>
        </is>
      </c>
      <c r="C1695" s="281" t="n"/>
      <c r="F1695" s="281" t="n">
        <v>45978</v>
      </c>
      <c r="G1695" s="5" t="inlineStr">
        <is>
          <t>PR2526-03302</t>
        </is>
      </c>
      <c r="H1695" s="5" t="inlineStr">
        <is>
          <t>PO2526-04668</t>
        </is>
      </c>
      <c r="I1695" s="286" t="n">
        <v>45985</v>
      </c>
      <c r="J1695" s="26" t="n"/>
      <c r="K1695" s="20" t="n">
        <v>30</v>
      </c>
      <c r="L1695" s="5" t="inlineStr">
        <is>
          <t>SFST81000048</t>
        </is>
      </c>
      <c r="M1695" s="7" t="inlineStr">
        <is>
          <t>Cooling machine for PD line</t>
        </is>
      </c>
      <c r="N1695" s="7" t="inlineStr">
        <is>
          <t>Cooling  part</t>
        </is>
      </c>
      <c r="O1695" s="11" t="n">
        <v>1</v>
      </c>
      <c r="P1695" s="10" t="inlineStr">
        <is>
          <t>m (Filter drier cores and filters) model UR-48</t>
        </is>
      </c>
      <c r="Q1695" s="277" t="n">
        <v>8</v>
      </c>
      <c r="R1695" s="5" t="inlineStr">
        <is>
          <t>PCS.</t>
        </is>
      </c>
      <c r="S1695" s="284">
        <f>RawDataGenPO[[#This Row],[Total price]]/RawDataGenPO[[#This Row],[Qty'']]</f>
        <v/>
      </c>
      <c r="T1695" s="278" t="n">
        <v>3184</v>
      </c>
      <c r="U1695" s="291" t="n"/>
      <c r="V1695" s="7" t="inlineStr">
        <is>
          <t>V1000310 - BOONBAWORN ENGINEERING CO., LTD</t>
        </is>
      </c>
      <c r="W1695" s="30" t="inlineStr">
        <is>
          <t>Recive bill and GRN already</t>
        </is>
      </c>
      <c r="X1695" s="5" t="inlineStr">
        <is>
          <t>GRN2526-0006014</t>
        </is>
      </c>
      <c r="Y1695" s="3" t="n">
        <v>46003</v>
      </c>
      <c r="Z1695" s="23" t="n"/>
      <c r="AA1695" s="17">
        <f>IF(RawDataGenPO[[#This Row],[Date Gen PO]]="","",RawDataGenPO[[#This Row],[Date recive bill]]-RawDataGenPO[[#This Row],[Date Gen PO]])</f>
        <v/>
      </c>
      <c r="AB1695" s="16">
        <f>IF(RawDataGenPO[[#This Row],[GRN-PO date]]&gt;RawDataGenPO[[#This Row],[Lead time delivery (day)]],"over deliverry","Ontime")</f>
        <v/>
      </c>
      <c r="AC1695" s="22" t="n"/>
    </row>
    <row r="1696" ht="30" customHeight="1">
      <c r="A1696" s="5">
        <f>ROW()-ROW(RawDataGenPO[[#Headers],[No.]])</f>
        <v/>
      </c>
      <c r="B1696" s="7" t="inlineStr">
        <is>
          <t>Expent  cost</t>
        </is>
      </c>
      <c r="C1696" s="281" t="n"/>
      <c r="F1696" s="281" t="n">
        <v>45978</v>
      </c>
      <c r="G1696" s="5" t="inlineStr">
        <is>
          <t>PR2526-03303</t>
        </is>
      </c>
      <c r="H1696" s="5" t="inlineStr">
        <is>
          <t>PO2526-04675</t>
        </is>
      </c>
      <c r="I1696" s="286" t="n">
        <v>45985</v>
      </c>
      <c r="J1696" s="26" t="n"/>
      <c r="K1696" s="20" t="n">
        <v>30</v>
      </c>
      <c r="L1696" s="5" t="inlineStr">
        <is>
          <t>SFST81000048</t>
        </is>
      </c>
      <c r="M1696" s="7" t="inlineStr">
        <is>
          <t>Cooling machine for PD line</t>
        </is>
      </c>
      <c r="N1696" s="7" t="inlineStr">
        <is>
          <t>Cooling  part</t>
        </is>
      </c>
      <c r="O1696" s="11" t="n">
        <v>1</v>
      </c>
      <c r="P1696" s="10" t="inlineStr">
        <is>
          <t>"Emerson", Connection 2-1/8" for Suction line drier core 48-F, Refrigerant R507, Filter Drier shell</t>
        </is>
      </c>
      <c r="Q1696" s="277" t="n">
        <v>2</v>
      </c>
      <c r="R1696" s="5" t="inlineStr">
        <is>
          <t>PCS.</t>
        </is>
      </c>
      <c r="S1696" s="284">
        <f>RawDataGenPO[[#This Row],[Total price]]/RawDataGenPO[[#This Row],[Qty'']]</f>
        <v/>
      </c>
      <c r="T1696" s="278" t="n">
        <v>10098</v>
      </c>
      <c r="U1696" s="291" t="n"/>
      <c r="V1696" s="7" t="inlineStr">
        <is>
          <t>V1000310 - BOONBAWORN ENGINEERING CO., LTD</t>
        </is>
      </c>
      <c r="W1696" s="30" t="inlineStr">
        <is>
          <t>Recive bill and GRN already</t>
        </is>
      </c>
      <c r="X1696" s="5" t="inlineStr">
        <is>
          <t>GRN2526-0006056</t>
        </is>
      </c>
      <c r="Y1696" s="3" t="n">
        <v>46004</v>
      </c>
      <c r="Z1696" s="23" t="n"/>
      <c r="AA1696" s="17">
        <f>IF(RawDataGenPO[[#This Row],[Date Gen PO]]="","",RawDataGenPO[[#This Row],[Date recive bill]]-RawDataGenPO[[#This Row],[Date Gen PO]])</f>
        <v/>
      </c>
      <c r="AB1696" s="16">
        <f>IF(RawDataGenPO[[#This Row],[GRN-PO date]]&gt;RawDataGenPO[[#This Row],[Lead time delivery (day)]],"over deliverry","Ontime")</f>
        <v/>
      </c>
      <c r="AC1696" s="22" t="n"/>
    </row>
    <row r="1697" ht="15" customHeight="1">
      <c r="A1697" s="5">
        <f>ROW()-ROW(RawDataGenPO[[#Headers],[No.]])</f>
        <v/>
      </c>
      <c r="B1697" s="7" t="inlineStr">
        <is>
          <t>Expent  cost</t>
        </is>
      </c>
      <c r="C1697" s="281" t="n"/>
      <c r="F1697" s="281" t="n">
        <v>45978</v>
      </c>
      <c r="G1697" s="5" t="inlineStr">
        <is>
          <t>PR2526-03303</t>
        </is>
      </c>
      <c r="H1697" s="5" t="inlineStr">
        <is>
          <t>PO2526-04675</t>
        </is>
      </c>
      <c r="I1697" s="286" t="n">
        <v>45985</v>
      </c>
      <c r="J1697" s="26" t="n"/>
      <c r="K1697" s="20" t="n">
        <v>30</v>
      </c>
      <c r="L1697" s="5" t="inlineStr">
        <is>
          <t>SFST81000048</t>
        </is>
      </c>
      <c r="M1697" s="7" t="inlineStr">
        <is>
          <t>Cooling machine for PD line</t>
        </is>
      </c>
      <c r="N1697" s="7" t="inlineStr">
        <is>
          <t>Cooling  part</t>
        </is>
      </c>
      <c r="O1697" s="11" t="n">
        <v>2</v>
      </c>
      <c r="P1697" s="10" t="inlineStr">
        <is>
          <t>Drier core 48-F</t>
        </is>
      </c>
      <c r="Q1697" s="277" t="n">
        <v>2</v>
      </c>
      <c r="R1697" s="5" t="inlineStr">
        <is>
          <t>PCS.</t>
        </is>
      </c>
      <c r="S1697" s="284">
        <f>RawDataGenPO[[#This Row],[Total price]]/RawDataGenPO[[#This Row],[Qty'']]</f>
        <v/>
      </c>
      <c r="T1697" s="278" t="n">
        <v>2010</v>
      </c>
      <c r="U1697" s="291" t="n"/>
      <c r="V1697" s="7" t="inlineStr">
        <is>
          <t>V1000310 - BOONBAWORN ENGINEERING CO., LTD</t>
        </is>
      </c>
      <c r="W1697" s="30" t="inlineStr">
        <is>
          <t>Recive bill and GRN already</t>
        </is>
      </c>
      <c r="X1697" s="5" t="inlineStr">
        <is>
          <t>GRN2526-0006056</t>
        </is>
      </c>
      <c r="Y1697" s="3" t="n">
        <v>46004</v>
      </c>
      <c r="Z1697" s="23" t="n"/>
      <c r="AA1697" s="17">
        <f>IF(RawDataGenPO[[#This Row],[Date Gen PO]]="","",RawDataGenPO[[#This Row],[Date recive bill]]-RawDataGenPO[[#This Row],[Date Gen PO]])</f>
        <v/>
      </c>
      <c r="AB1697" s="16">
        <f>IF(RawDataGenPO[[#This Row],[GRN-PO date]]&gt;RawDataGenPO[[#This Row],[Lead time delivery (day)]],"over deliverry","Ontime")</f>
        <v/>
      </c>
      <c r="AC1697" s="22" t="n"/>
    </row>
    <row r="1698" ht="30" customHeight="1">
      <c r="A1698" s="5">
        <f>ROW()-ROW(RawDataGenPO[[#Headers],[No.]])</f>
        <v/>
      </c>
      <c r="B1698" s="7" t="inlineStr">
        <is>
          <t>Expent  cost</t>
        </is>
      </c>
      <c r="C1698" s="281" t="n"/>
      <c r="F1698" s="281" t="n">
        <v>45978</v>
      </c>
      <c r="G1698" s="5" t="inlineStr">
        <is>
          <t>PR2526-03303</t>
        </is>
      </c>
      <c r="H1698" s="5" t="inlineStr">
        <is>
          <t>PO2526-04675</t>
        </is>
      </c>
      <c r="I1698" s="286" t="n">
        <v>45985</v>
      </c>
      <c r="J1698" s="26" t="n"/>
      <c r="K1698" s="20" t="n">
        <v>30</v>
      </c>
      <c r="L1698" s="5" t="inlineStr">
        <is>
          <t>SFST81000048</t>
        </is>
      </c>
      <c r="M1698" s="7" t="inlineStr">
        <is>
          <t>Cooling machine for PD line</t>
        </is>
      </c>
      <c r="N1698" s="7" t="inlineStr">
        <is>
          <t>Cooling  part</t>
        </is>
      </c>
      <c r="O1698" s="11" t="n">
        <v>3</v>
      </c>
      <c r="P1698" s="10" t="inlineStr">
        <is>
          <t>"Emerson", Connection 7/8" for Liquid line, drier core W-48
Refrigerant R507, Filter Drier shell</t>
        </is>
      </c>
      <c r="Q1698" s="277" t="n">
        <v>2</v>
      </c>
      <c r="R1698" s="5" t="inlineStr">
        <is>
          <t>PCS.</t>
        </is>
      </c>
      <c r="S1698" s="284">
        <f>RawDataGenPO[[#This Row],[Total price]]/RawDataGenPO[[#This Row],[Qty'']]</f>
        <v/>
      </c>
      <c r="T1698" s="278" t="n">
        <v>9180</v>
      </c>
      <c r="U1698" s="291" t="n"/>
      <c r="V1698" s="7" t="inlineStr">
        <is>
          <t>V1000310 - BOONBAWORN ENGINEERING CO., LTD</t>
        </is>
      </c>
      <c r="W1698" s="30" t="inlineStr">
        <is>
          <t>Recive bill and GRN already</t>
        </is>
      </c>
      <c r="X1698" s="5" t="inlineStr">
        <is>
          <t>GRN2526-0006056</t>
        </is>
      </c>
      <c r="Y1698" s="3" t="n">
        <v>46004</v>
      </c>
      <c r="Z1698" s="23" t="n"/>
      <c r="AA1698" s="17">
        <f>IF(RawDataGenPO[[#This Row],[Date Gen PO]]="","",RawDataGenPO[[#This Row],[Date recive bill]]-RawDataGenPO[[#This Row],[Date Gen PO]])</f>
        <v/>
      </c>
      <c r="AB1698" s="16">
        <f>IF(RawDataGenPO[[#This Row],[GRN-PO date]]&gt;RawDataGenPO[[#This Row],[Lead time delivery (day)]],"over deliverry","Ontime")</f>
        <v/>
      </c>
      <c r="AC1698" s="22" t="n"/>
    </row>
    <row r="1699" ht="15" customHeight="1">
      <c r="A1699" s="5">
        <f>ROW()-ROW(RawDataGenPO[[#Headers],[No.]])</f>
        <v/>
      </c>
      <c r="B1699" s="7" t="inlineStr">
        <is>
          <t>Expent  cost</t>
        </is>
      </c>
      <c r="C1699" s="281" t="n"/>
      <c r="F1699" s="281" t="n">
        <v>45978</v>
      </c>
      <c r="G1699" s="5" t="inlineStr">
        <is>
          <t>PR2526-03303</t>
        </is>
      </c>
      <c r="H1699" s="5" t="inlineStr">
        <is>
          <t>PO2526-04674</t>
        </is>
      </c>
      <c r="I1699" s="286" t="n">
        <v>45985</v>
      </c>
      <c r="J1699" s="26" t="n"/>
      <c r="K1699" s="20" t="n">
        <v>30</v>
      </c>
      <c r="L1699" s="5" t="inlineStr">
        <is>
          <t>SFST81000048</t>
        </is>
      </c>
      <c r="M1699" s="7" t="inlineStr">
        <is>
          <t>Cooling machine for PD line</t>
        </is>
      </c>
      <c r="N1699" s="7" t="inlineStr">
        <is>
          <t>Cooling  part</t>
        </is>
      </c>
      <c r="O1699" s="11" t="n">
        <v>4</v>
      </c>
      <c r="P1699" s="10" t="inlineStr">
        <is>
          <t>Drier core W-48</t>
        </is>
      </c>
      <c r="Q1699" s="277" t="n">
        <v>2</v>
      </c>
      <c r="R1699" s="5" t="inlineStr">
        <is>
          <t>PCS.</t>
        </is>
      </c>
      <c r="S1699" s="284">
        <f>RawDataGenPO[[#This Row],[Total price]]/RawDataGenPO[[#This Row],[Qty'']]</f>
        <v/>
      </c>
      <c r="T1699" s="278" t="n">
        <v>1700</v>
      </c>
      <c r="U1699" s="291" t="n"/>
      <c r="V1699" s="7" t="inlineStr">
        <is>
          <t>V1000109 - Coolconnection Co., Ltd</t>
        </is>
      </c>
      <c r="W1699" s="30" t="inlineStr">
        <is>
          <t>Recive bill and GRN already</t>
        </is>
      </c>
      <c r="X1699" s="5" t="inlineStr">
        <is>
          <t>GRN2526-0005724</t>
        </is>
      </c>
      <c r="Y1699" s="3" t="n">
        <v>45992</v>
      </c>
      <c r="Z1699" s="23" t="n"/>
      <c r="AA1699" s="17">
        <f>IF(RawDataGenPO[[#This Row],[Date Gen PO]]="","",RawDataGenPO[[#This Row],[Date recive bill]]-RawDataGenPO[[#This Row],[Date Gen PO]])</f>
        <v/>
      </c>
      <c r="AB1699" s="16">
        <f>IF(RawDataGenPO[[#This Row],[GRN-PO date]]&gt;RawDataGenPO[[#This Row],[Lead time delivery (day)]],"over deliverry","Ontime")</f>
        <v/>
      </c>
      <c r="AC1699" s="22" t="n"/>
    </row>
    <row r="1700" ht="15" customHeight="1">
      <c r="A1700" s="5">
        <f>ROW()-ROW(RawDataGenPO[[#Headers],[No.]])</f>
        <v/>
      </c>
      <c r="B1700" s="7" t="inlineStr">
        <is>
          <t>Expent  cost</t>
        </is>
      </c>
      <c r="C1700" s="281" t="n"/>
      <c r="F1700" s="281" t="n">
        <v>45978</v>
      </c>
      <c r="G1700" s="5" t="inlineStr">
        <is>
          <t>PR2526-03303</t>
        </is>
      </c>
      <c r="H1700" s="5" t="inlineStr">
        <is>
          <t>PO2526-04675</t>
        </is>
      </c>
      <c r="I1700" s="286" t="n">
        <v>45985</v>
      </c>
      <c r="J1700" s="26" t="n"/>
      <c r="K1700" s="20" t="n">
        <v>30</v>
      </c>
      <c r="L1700" s="5" t="inlineStr">
        <is>
          <t>SFST81000048</t>
        </is>
      </c>
      <c r="M1700" s="7" t="inlineStr">
        <is>
          <t>Cooling machine for PD line</t>
        </is>
      </c>
      <c r="N1700" s="7" t="inlineStr">
        <is>
          <t>Cooling  part</t>
        </is>
      </c>
      <c r="O1700" s="11" t="n">
        <v>5</v>
      </c>
      <c r="P1700" s="10" t="inlineStr">
        <is>
          <t>Reduce coupling copper 7/8"x5/8"</t>
        </is>
      </c>
      <c r="Q1700" s="277" t="n">
        <v>4</v>
      </c>
      <c r="R1700" s="5" t="inlineStr">
        <is>
          <t>PCS.</t>
        </is>
      </c>
      <c r="S1700" s="284">
        <f>RawDataGenPO[[#This Row],[Total price]]/RawDataGenPO[[#This Row],[Qty'']]</f>
        <v/>
      </c>
      <c r="T1700" s="278" t="n">
        <v>144</v>
      </c>
      <c r="U1700" s="291" t="n"/>
      <c r="V1700" s="7" t="inlineStr">
        <is>
          <t>V1000310 - BOONBAWORN ENGINEERING CO., LTD</t>
        </is>
      </c>
      <c r="W1700" s="30" t="inlineStr">
        <is>
          <t>Recive bill and GRN already</t>
        </is>
      </c>
      <c r="X1700" s="5" t="inlineStr">
        <is>
          <t>GRN2526-0006056</t>
        </is>
      </c>
      <c r="Y1700" s="3" t="n">
        <v>46004</v>
      </c>
      <c r="Z1700" s="23" t="n"/>
      <c r="AA1700" s="17">
        <f>IF(RawDataGenPO[[#This Row],[Date Gen PO]]="","",RawDataGenPO[[#This Row],[Date recive bill]]-RawDataGenPO[[#This Row],[Date Gen PO]])</f>
        <v/>
      </c>
      <c r="AB1700" s="16">
        <f>IF(RawDataGenPO[[#This Row],[GRN-PO date]]&gt;RawDataGenPO[[#This Row],[Lead time delivery (day)]],"over deliverry","Ontime")</f>
        <v/>
      </c>
      <c r="AC1700" s="22" t="n"/>
    </row>
    <row r="1701" ht="15" customHeight="1">
      <c r="A1701" s="5">
        <f>ROW()-ROW(RawDataGenPO[[#Headers],[No.]])</f>
        <v/>
      </c>
      <c r="B1701" s="7" t="inlineStr">
        <is>
          <t>Expent  cost</t>
        </is>
      </c>
      <c r="C1701" s="281" t="n"/>
      <c r="F1701" s="281" t="n">
        <v>45978</v>
      </c>
      <c r="G1701" s="5" t="inlineStr">
        <is>
          <t>PR2526-03303</t>
        </is>
      </c>
      <c r="H1701" s="5" t="inlineStr">
        <is>
          <t>PO2526-04675</t>
        </is>
      </c>
      <c r="I1701" s="286" t="n">
        <v>45985</v>
      </c>
      <c r="J1701" s="26" t="n"/>
      <c r="K1701" s="20" t="n">
        <v>30</v>
      </c>
      <c r="L1701" s="5" t="inlineStr">
        <is>
          <t>SFST81000048</t>
        </is>
      </c>
      <c r="M1701" s="7" t="inlineStr">
        <is>
          <t>Cooling machine for PD line</t>
        </is>
      </c>
      <c r="N1701" s="7" t="inlineStr">
        <is>
          <t>Cooling  part</t>
        </is>
      </c>
      <c r="O1701" s="11" t="n">
        <v>6</v>
      </c>
      <c r="P1701" s="10" t="inlineStr">
        <is>
          <t>"Harris", weld 45%</t>
        </is>
      </c>
      <c r="Q1701" s="277" t="n">
        <v>2</v>
      </c>
      <c r="R1701" s="5" t="inlineStr">
        <is>
          <t>PCS.</t>
        </is>
      </c>
      <c r="S1701" s="284">
        <f>RawDataGenPO[[#This Row],[Total price]]/RawDataGenPO[[#This Row],[Qty'']]</f>
        <v/>
      </c>
      <c r="T1701" s="278" t="n">
        <v>4440</v>
      </c>
      <c r="U1701" s="291" t="n"/>
      <c r="V1701" s="7" t="inlineStr">
        <is>
          <t>V1000310 - BOONBAWORN ENGINEERING CO., LTD</t>
        </is>
      </c>
      <c r="W1701" s="30" t="inlineStr">
        <is>
          <t>Recive bill and GRN already</t>
        </is>
      </c>
      <c r="X1701" s="5" t="inlineStr">
        <is>
          <t>GRN2526-0006056</t>
        </is>
      </c>
      <c r="Y1701" s="3" t="n">
        <v>46004</v>
      </c>
      <c r="Z1701" s="23" t="n"/>
      <c r="AA1701" s="17">
        <f>IF(RawDataGenPO[[#This Row],[Date Gen PO]]="","",RawDataGenPO[[#This Row],[Date recive bill]]-RawDataGenPO[[#This Row],[Date Gen PO]])</f>
        <v/>
      </c>
      <c r="AB1701" s="16">
        <f>IF(RawDataGenPO[[#This Row],[GRN-PO date]]&gt;RawDataGenPO[[#This Row],[Lead time delivery (day)]],"over deliverry","Ontime")</f>
        <v/>
      </c>
      <c r="AC1701" s="22" t="n"/>
    </row>
    <row r="1702" ht="15" customHeight="1">
      <c r="A1702" s="5">
        <f>ROW()-ROW(RawDataGenPO[[#Headers],[No.]])</f>
        <v/>
      </c>
      <c r="B1702" s="7" t="inlineStr">
        <is>
          <t>Expent  cost</t>
        </is>
      </c>
      <c r="C1702" s="281" t="n"/>
      <c r="F1702" s="281" t="n">
        <v>45978</v>
      </c>
      <c r="G1702" s="5" t="inlineStr">
        <is>
          <t>PR2526-03303</t>
        </is>
      </c>
      <c r="H1702" s="5" t="inlineStr">
        <is>
          <t>PO2526-04674</t>
        </is>
      </c>
      <c r="I1702" s="286" t="n">
        <v>45985</v>
      </c>
      <c r="J1702" s="26" t="n"/>
      <c r="K1702" s="20" t="n">
        <v>30</v>
      </c>
      <c r="L1702" s="5" t="inlineStr">
        <is>
          <t>SFST81000048</t>
        </is>
      </c>
      <c r="M1702" s="7" t="inlineStr">
        <is>
          <t>Cooling machine for PD line</t>
        </is>
      </c>
      <c r="N1702" s="7" t="inlineStr">
        <is>
          <t>Cooling  part</t>
        </is>
      </c>
      <c r="O1702" s="11" t="n">
        <v>7</v>
      </c>
      <c r="P1702" s="10" t="inlineStr">
        <is>
          <t>"Harris", welding rod 35%</t>
        </is>
      </c>
      <c r="Q1702" s="277" t="n">
        <v>2</v>
      </c>
      <c r="R1702" s="5" t="inlineStr">
        <is>
          <t>PCS.</t>
        </is>
      </c>
      <c r="S1702" s="284">
        <f>RawDataGenPO[[#This Row],[Total price]]/RawDataGenPO[[#This Row],[Qty'']]</f>
        <v/>
      </c>
      <c r="T1702" s="278" t="n">
        <v>19000</v>
      </c>
      <c r="U1702" s="291" t="n"/>
      <c r="V1702" s="7" t="inlineStr">
        <is>
          <t>V1000109 - Coolconnection Co., Ltd</t>
        </is>
      </c>
      <c r="W1702" s="30" t="inlineStr">
        <is>
          <t>Recive bill and GRN already</t>
        </is>
      </c>
      <c r="X1702" s="5" t="inlineStr">
        <is>
          <t>GRN2526-0005724</t>
        </is>
      </c>
      <c r="Y1702" s="3" t="n">
        <v>45992</v>
      </c>
      <c r="Z1702" s="23" t="n"/>
      <c r="AA1702" s="17">
        <f>IF(RawDataGenPO[[#This Row],[Date Gen PO]]="","",RawDataGenPO[[#This Row],[Date recive bill]]-RawDataGenPO[[#This Row],[Date Gen PO]])</f>
        <v/>
      </c>
      <c r="AB1702" s="16">
        <f>IF(RawDataGenPO[[#This Row],[GRN-PO date]]&gt;RawDataGenPO[[#This Row],[Lead time delivery (day)]],"over deliverry","Ontime")</f>
        <v/>
      </c>
      <c r="AC1702" s="22" t="n"/>
    </row>
    <row r="1703" ht="15" customHeight="1">
      <c r="A1703" s="5">
        <f>ROW()-ROW(RawDataGenPO[[#Headers],[No.]])</f>
        <v/>
      </c>
      <c r="B1703" s="7" t="inlineStr">
        <is>
          <t>Expent  cost</t>
        </is>
      </c>
      <c r="C1703" s="281" t="n"/>
      <c r="F1703" s="281" t="n">
        <v>45978</v>
      </c>
      <c r="G1703" s="5" t="inlineStr">
        <is>
          <t>PR2526-03303</t>
        </is>
      </c>
      <c r="H1703" s="5" t="inlineStr">
        <is>
          <t>PO2526-04675</t>
        </is>
      </c>
      <c r="I1703" s="286" t="n">
        <v>45985</v>
      </c>
      <c r="J1703" s="26" t="n"/>
      <c r="K1703" s="20" t="n">
        <v>30</v>
      </c>
      <c r="L1703" s="5" t="inlineStr">
        <is>
          <t>SFST81000048</t>
        </is>
      </c>
      <c r="M1703" s="7" t="inlineStr">
        <is>
          <t>Cooling machine for PD line</t>
        </is>
      </c>
      <c r="N1703" s="7" t="inlineStr">
        <is>
          <t>Cooling  part</t>
        </is>
      </c>
      <c r="O1703" s="11" t="n">
        <v>8</v>
      </c>
      <c r="P1703" s="10" t="inlineStr">
        <is>
          <t>Harris welding rod 5%</t>
        </is>
      </c>
      <c r="Q1703" s="277" t="n">
        <v>2</v>
      </c>
      <c r="R1703" s="5" t="inlineStr">
        <is>
          <t>PCS.</t>
        </is>
      </c>
      <c r="S1703" s="284">
        <f>RawDataGenPO[[#This Row],[Total price]]/RawDataGenPO[[#This Row],[Qty'']]</f>
        <v/>
      </c>
      <c r="T1703" s="278" t="n">
        <v>3996</v>
      </c>
      <c r="U1703" s="291" t="n"/>
      <c r="V1703" s="7" t="inlineStr">
        <is>
          <t>V1000310 - BOONBAWORN ENGINEERING CO., LTD</t>
        </is>
      </c>
      <c r="W1703" s="30" t="inlineStr">
        <is>
          <t>Recive bill and GRN already</t>
        </is>
      </c>
      <c r="X1703" s="5" t="inlineStr">
        <is>
          <t>GRN2526-0006056</t>
        </is>
      </c>
      <c r="Y1703" s="3" t="n">
        <v>46004</v>
      </c>
      <c r="Z1703" s="23" t="n"/>
      <c r="AA1703" s="17">
        <f>IF(RawDataGenPO[[#This Row],[Date Gen PO]]="","",RawDataGenPO[[#This Row],[Date recive bill]]-RawDataGenPO[[#This Row],[Date Gen PO]])</f>
        <v/>
      </c>
      <c r="AB1703" s="16">
        <f>IF(RawDataGenPO[[#This Row],[GRN-PO date]]&gt;RawDataGenPO[[#This Row],[Lead time delivery (day)]],"over deliverry","Ontime")</f>
        <v/>
      </c>
      <c r="AC1703" s="22" t="n"/>
    </row>
    <row r="1704" ht="15" customHeight="1">
      <c r="A1704" s="5">
        <f>ROW()-ROW(RawDataGenPO[[#Headers],[No.]])</f>
        <v/>
      </c>
      <c r="B1704" s="7" t="inlineStr">
        <is>
          <t>Expent  cost</t>
        </is>
      </c>
      <c r="C1704" s="281" t="n"/>
      <c r="F1704" s="281" t="n">
        <v>45979</v>
      </c>
      <c r="G1704" s="5" t="inlineStr">
        <is>
          <t>PR2526-03303</t>
        </is>
      </c>
      <c r="H1704" s="5" t="inlineStr">
        <is>
          <t>PO2526-04675</t>
        </is>
      </c>
      <c r="I1704" s="286" t="n">
        <v>45985</v>
      </c>
      <c r="J1704" s="26" t="n"/>
      <c r="K1704" s="20" t="n">
        <v>30</v>
      </c>
      <c r="L1704" s="5" t="inlineStr">
        <is>
          <t>SFST81000048</t>
        </is>
      </c>
      <c r="M1704" s="7" t="inlineStr">
        <is>
          <t>Cooling machine for PD line</t>
        </is>
      </c>
      <c r="N1704" s="7" t="inlineStr">
        <is>
          <t>Cooling  part</t>
        </is>
      </c>
      <c r="O1704" s="11" t="n">
        <v>9</v>
      </c>
      <c r="P1704" s="10" t="inlineStr">
        <is>
          <t>"Harris", weld</t>
        </is>
      </c>
      <c r="Q1704" s="277" t="n">
        <v>1</v>
      </c>
      <c r="R1704" s="5" t="inlineStr">
        <is>
          <t>PCS.</t>
        </is>
      </c>
      <c r="S1704" s="284">
        <f>RawDataGenPO[[#This Row],[Total price]]/RawDataGenPO[[#This Row],[Qty'']]</f>
        <v/>
      </c>
      <c r="T1704" s="278" t="n">
        <v>450</v>
      </c>
      <c r="U1704" s="291" t="n"/>
      <c r="V1704" s="7" t="inlineStr">
        <is>
          <t>V1000310 - BOONBAWORN ENGINEERING CO., LTD</t>
        </is>
      </c>
      <c r="W1704" s="30" t="inlineStr">
        <is>
          <t>Recive bill and GRN already</t>
        </is>
      </c>
      <c r="X1704" s="5" t="inlineStr">
        <is>
          <t>GRN2526-0006056</t>
        </is>
      </c>
      <c r="Y1704" s="3" t="n">
        <v>46004</v>
      </c>
      <c r="Z1704" s="23" t="n"/>
      <c r="AA1704" s="17">
        <f>IF(RawDataGenPO[[#This Row],[Date Gen PO]]="","",RawDataGenPO[[#This Row],[Date recive bill]]-RawDataGenPO[[#This Row],[Date Gen PO]])</f>
        <v/>
      </c>
      <c r="AB1704" s="16">
        <f>IF(RawDataGenPO[[#This Row],[GRN-PO date]]&gt;RawDataGenPO[[#This Row],[Lead time delivery (day)]],"over deliverry","Ontime")</f>
        <v/>
      </c>
      <c r="AC1704" s="22" t="n"/>
    </row>
    <row r="1705" ht="15" customHeight="1">
      <c r="A1705" s="5">
        <f>ROW()-ROW(RawDataGenPO[[#Headers],[No.]])</f>
        <v/>
      </c>
      <c r="B1705" s="7" t="inlineStr">
        <is>
          <t>Expent  cost</t>
        </is>
      </c>
      <c r="C1705" s="281" t="n"/>
      <c r="F1705" s="281" t="n">
        <v>45979</v>
      </c>
      <c r="G1705" s="5" t="inlineStr">
        <is>
          <t>PR2526-03303</t>
        </is>
      </c>
      <c r="H1705" s="5" t="inlineStr">
        <is>
          <t>PO2526-04675</t>
        </is>
      </c>
      <c r="I1705" s="286" t="n">
        <v>45985</v>
      </c>
      <c r="J1705" s="26" t="n"/>
      <c r="K1705" s="20" t="n">
        <v>30</v>
      </c>
      <c r="L1705" s="5" t="inlineStr">
        <is>
          <t>SFST81000048</t>
        </is>
      </c>
      <c r="M1705" s="7" t="inlineStr">
        <is>
          <t>Cooling machine for PD line</t>
        </is>
      </c>
      <c r="N1705" s="7" t="inlineStr">
        <is>
          <t>Cooling  part</t>
        </is>
      </c>
      <c r="O1705" s="11" t="n">
        <v>10</v>
      </c>
      <c r="P1705" s="10" t="inlineStr">
        <is>
          <t>Reduce coupling copper 1-5/8" x 1-3/8"</t>
        </is>
      </c>
      <c r="Q1705" s="277" t="n">
        <v>3</v>
      </c>
      <c r="R1705" s="5" t="inlineStr">
        <is>
          <t>PCS.</t>
        </is>
      </c>
      <c r="S1705" s="284">
        <f>RawDataGenPO[[#This Row],[Total price]]/RawDataGenPO[[#This Row],[Qty'']]</f>
        <v/>
      </c>
      <c r="T1705" s="278" t="n">
        <v>339</v>
      </c>
      <c r="U1705" s="291" t="n"/>
      <c r="V1705" s="7" t="inlineStr">
        <is>
          <t>V1000310 - BOONBAWORN ENGINEERING CO., LTD</t>
        </is>
      </c>
      <c r="W1705" s="30" t="inlineStr">
        <is>
          <t>Recive bill and GRN already</t>
        </is>
      </c>
      <c r="X1705" s="5" t="inlineStr">
        <is>
          <t>GRN2526-0006056</t>
        </is>
      </c>
      <c r="Y1705" s="3" t="n">
        <v>46004</v>
      </c>
      <c r="Z1705" s="23" t="n"/>
      <c r="AA1705" s="17">
        <f>IF(RawDataGenPO[[#This Row],[Date Gen PO]]="","",RawDataGenPO[[#This Row],[Date recive bill]]-RawDataGenPO[[#This Row],[Date Gen PO]])</f>
        <v/>
      </c>
      <c r="AB1705" s="16">
        <f>IF(RawDataGenPO[[#This Row],[GRN-PO date]]&gt;RawDataGenPO[[#This Row],[Lead time delivery (day)]],"over deliverry","Ontime")</f>
        <v/>
      </c>
      <c r="AC1705" s="22" t="n"/>
    </row>
    <row r="1706" ht="45" customHeight="1">
      <c r="A1706" s="5">
        <f>ROW()-ROW(RawDataGenPO[[#Headers],[No.]])</f>
        <v/>
      </c>
      <c r="B1706" s="7" t="inlineStr">
        <is>
          <t>Expent  cost</t>
        </is>
      </c>
      <c r="C1706" s="281" t="n"/>
      <c r="F1706" s="281" t="n">
        <v>45979</v>
      </c>
      <c r="G1706" s="5" t="inlineStr">
        <is>
          <t>PR2526-03304</t>
        </is>
      </c>
      <c r="H1706" s="5" t="inlineStr">
        <is>
          <t>PO2526-04682</t>
        </is>
      </c>
      <c r="I1706" s="286" t="n">
        <v>45985</v>
      </c>
      <c r="J1706" s="26" t="n"/>
      <c r="K1706" s="20" t="n">
        <v>60</v>
      </c>
      <c r="L1706" s="5" t="inlineStr">
        <is>
          <t>SFST81000048</t>
        </is>
      </c>
      <c r="M1706" s="7" t="inlineStr">
        <is>
          <t>Tool and Equipment PD M/C</t>
        </is>
      </c>
      <c r="N1706" s="7" t="inlineStr">
        <is>
          <t>Machine Spare part</t>
        </is>
      </c>
      <c r="O1706" s="11" t="n">
        <v>1</v>
      </c>
      <c r="P1706" s="10" t="inlineStr">
        <is>
          <t>Nuova Fima, Pressure Gauge measuring
threadbrassyellowX 1/4"
NPT typesize 2.5", PG60-6BAR MODEL SOL1-PG60-16 bar</t>
        </is>
      </c>
      <c r="Q1706" s="277" t="n">
        <v>6</v>
      </c>
      <c r="R1706" s="5" t="inlineStr">
        <is>
          <t>PCS.</t>
        </is>
      </c>
      <c r="S1706" s="284">
        <f>RawDataGenPO[[#This Row],[Total price]]/RawDataGenPO[[#This Row],[Qty'']]</f>
        <v/>
      </c>
      <c r="T1706" s="278" t="n">
        <v>3426</v>
      </c>
      <c r="U1706" s="291" t="n"/>
      <c r="V1706" s="7" t="inlineStr">
        <is>
          <t>V1000481 - Company JW Tech Ltd.</t>
        </is>
      </c>
      <c r="W1706" s="30" t="inlineStr">
        <is>
          <t>Recive bill and GRN already</t>
        </is>
      </c>
      <c r="X1706" s="5" t="inlineStr">
        <is>
          <t>GRN2526-0005918</t>
        </is>
      </c>
      <c r="Y1706" s="3" t="n">
        <v>46003</v>
      </c>
      <c r="Z1706" s="23" t="n"/>
      <c r="AA1706" s="17">
        <f>IF(RawDataGenPO[[#This Row],[Date Gen PO]]="","",RawDataGenPO[[#This Row],[Date recive bill]]-RawDataGenPO[[#This Row],[Date Gen PO]])</f>
        <v/>
      </c>
      <c r="AB1706" s="16">
        <f>IF(RawDataGenPO[[#This Row],[GRN-PO date]]&gt;RawDataGenPO[[#This Row],[Lead time delivery (day)]],"over deliverry","Ontime")</f>
        <v/>
      </c>
      <c r="AC1706" s="22" t="n"/>
    </row>
    <row r="1707" ht="15" customHeight="1">
      <c r="A1707" s="5">
        <f>ROW()-ROW(RawDataGenPO[[#Headers],[No.]])</f>
        <v/>
      </c>
      <c r="B1707" s="7" t="inlineStr">
        <is>
          <t>Expent  cost</t>
        </is>
      </c>
      <c r="C1707" s="281" t="n"/>
      <c r="F1707" s="281" t="n">
        <v>45979</v>
      </c>
      <c r="G1707" s="5" t="inlineStr">
        <is>
          <t>PR2526-03305</t>
        </is>
      </c>
      <c r="H1707" s="5" t="inlineStr">
        <is>
          <t>PO2526-04683</t>
        </is>
      </c>
      <c r="I1707" s="286" t="n">
        <v>45985</v>
      </c>
      <c r="J1707" s="26" t="n"/>
      <c r="K1707" s="20" t="n">
        <v>120</v>
      </c>
      <c r="L1707" s="5" t="inlineStr">
        <is>
          <t>SFST81000048</t>
        </is>
      </c>
      <c r="M1707" s="7" t="inlineStr">
        <is>
          <t>PD Machine</t>
        </is>
      </c>
      <c r="N1707" s="7" t="inlineStr">
        <is>
          <t>Vegetable Dicing Machine  Robot coupe CL-50 No.1</t>
        </is>
      </c>
      <c r="O1707" s="11" t="n">
        <v>1</v>
      </c>
      <c r="P1707" s="10" t="inlineStr">
        <is>
          <t>ROBOT COUPE" MOTOR H50 (CL50) PART NO 31148</t>
        </is>
      </c>
      <c r="Q1707" s="277" t="n">
        <v>2</v>
      </c>
      <c r="R1707" s="5" t="inlineStr">
        <is>
          <t>PCS.</t>
        </is>
      </c>
      <c r="S1707" s="284">
        <f>RawDataGenPO[[#This Row],[Total price]]/RawDataGenPO[[#This Row],[Qty'']]</f>
        <v/>
      </c>
      <c r="T1707" s="278" t="n">
        <v>29000</v>
      </c>
      <c r="U1707" s="291" t="n"/>
      <c r="V1707" s="7" t="inlineStr">
        <is>
          <t>V1000105 - Company WW W Ltd.</t>
        </is>
      </c>
      <c r="W1707" s="30" t="inlineStr">
        <is>
          <t>Recive bill and GRN already</t>
        </is>
      </c>
      <c r="X1707" s="5" t="inlineStr">
        <is>
          <t>GRN2526-0006765</t>
        </is>
      </c>
      <c r="Y1707" s="3" t="n">
        <v>46030</v>
      </c>
      <c r="Z1707" s="23" t="n"/>
      <c r="AA1707" s="17">
        <f>IF(RawDataGenPO[[#This Row],[Date Gen PO]]="","",RawDataGenPO[[#This Row],[Date recive bill]]-RawDataGenPO[[#This Row],[Date Gen PO]])</f>
        <v/>
      </c>
      <c r="AB1707" s="16">
        <f>IF(RawDataGenPO[[#This Row],[GRN-PO date]]&gt;RawDataGenPO[[#This Row],[Lead time delivery (day)]],"over deliverry","Ontime")</f>
        <v/>
      </c>
      <c r="AC1707" s="22" t="n"/>
    </row>
    <row r="1708" ht="15" customHeight="1">
      <c r="A1708" s="5">
        <f>ROW()-ROW(RawDataGenPO[[#Headers],[No.]])</f>
        <v/>
      </c>
      <c r="B1708" s="7" t="inlineStr">
        <is>
          <t>Expent  cost</t>
        </is>
      </c>
      <c r="C1708" s="281" t="n"/>
      <c r="F1708" s="281" t="n">
        <v>45979</v>
      </c>
      <c r="G1708" s="5" t="inlineStr">
        <is>
          <t>PR2526-03306</t>
        </is>
      </c>
      <c r="H1708" s="5" t="inlineStr">
        <is>
          <t>PO2526-04721</t>
        </is>
      </c>
      <c r="I1708" s="286" t="n">
        <v>45992</v>
      </c>
      <c r="J1708" s="26" t="n"/>
      <c r="K1708" s="20" t="n">
        <v>60</v>
      </c>
      <c r="L1708" s="5" t="inlineStr">
        <is>
          <t>SFST81000050</t>
        </is>
      </c>
      <c r="M1708" s="7" t="inlineStr">
        <is>
          <t>Consumable part for MN</t>
        </is>
      </c>
      <c r="N1708" s="7" t="inlineStr">
        <is>
          <t>Consumable part</t>
        </is>
      </c>
      <c r="O1708" s="11" t="n">
        <v>1</v>
      </c>
      <c r="P1708" s="10" t="inlineStr">
        <is>
          <t>tabletchemical DPD no.1 "Lovibond"</t>
        </is>
      </c>
      <c r="Q1708" s="277" t="n">
        <v>10</v>
      </c>
      <c r="R1708" s="5" t="inlineStr">
        <is>
          <t>BOX.</t>
        </is>
      </c>
      <c r="S1708" s="284">
        <f>RawDataGenPO[[#This Row],[Total price]]/RawDataGenPO[[#This Row],[Qty'']]</f>
        <v/>
      </c>
      <c r="T1708" s="278" t="n">
        <v>12300</v>
      </c>
      <c r="U1708" s="291" t="n"/>
      <c r="V1708" s="7" t="inlineStr">
        <is>
          <t>V1000210 - U.P. MARKETING GENERAL SUPPLY CO., LTD.</t>
        </is>
      </c>
      <c r="W1708" s="30" t="inlineStr">
        <is>
          <t>Recive bill and GRN already</t>
        </is>
      </c>
      <c r="X1708" s="5" t="inlineStr">
        <is>
          <t>GRN2526-0006207</t>
        </is>
      </c>
      <c r="Y1708" s="3" t="n">
        <v>46009</v>
      </c>
      <c r="Z1708" s="23" t="n"/>
      <c r="AA1708" s="17">
        <f>IF(RawDataGenPO[[#This Row],[Date Gen PO]]="","",RawDataGenPO[[#This Row],[Date recive bill]]-RawDataGenPO[[#This Row],[Date Gen PO]])</f>
        <v/>
      </c>
      <c r="AB1708" s="16">
        <f>IF(RawDataGenPO[[#This Row],[GRN-PO date]]&gt;RawDataGenPO[[#This Row],[Lead time delivery (day)]],"over deliverry","Ontime")</f>
        <v/>
      </c>
      <c r="AC1708" s="22" t="n"/>
    </row>
    <row r="1709" ht="15" customHeight="1">
      <c r="A1709" s="5">
        <f>ROW()-ROW(RawDataGenPO[[#Headers],[No.]])</f>
        <v/>
      </c>
      <c r="B1709" s="7" t="inlineStr">
        <is>
          <t>Expent  cost</t>
        </is>
      </c>
      <c r="C1709" s="281" t="n"/>
      <c r="F1709" s="281" t="n">
        <v>45979</v>
      </c>
      <c r="G1709" s="5" t="inlineStr">
        <is>
          <t>PR2526-03307</t>
        </is>
      </c>
      <c r="H1709" s="5" t="inlineStr">
        <is>
          <t>PO2526-04699</t>
        </is>
      </c>
      <c r="I1709" s="286" t="n">
        <v>45987</v>
      </c>
      <c r="J1709" s="26" t="n"/>
      <c r="K1709" s="20" t="n">
        <v>30</v>
      </c>
      <c r="L1709" s="5" t="inlineStr">
        <is>
          <t>SFST34000121</t>
        </is>
      </c>
      <c r="M1709" s="7" t="inlineStr">
        <is>
          <t>Consumable part for MN</t>
        </is>
      </c>
      <c r="N1709" s="7" t="inlineStr">
        <is>
          <t>Consumable part</t>
        </is>
      </c>
      <c r="O1709" s="11" t="n">
        <v>1</v>
      </c>
      <c r="P1709" s="10" t="inlineStr">
        <is>
          <t>cable tieblack 6 inch 100 line (Cable Tie black 6" 100 stra</t>
        </is>
      </c>
      <c r="Q1709" s="277" t="n">
        <v>4</v>
      </c>
      <c r="R1709" s="5" t="inlineStr">
        <is>
          <t>PCS.</t>
        </is>
      </c>
      <c r="S1709" s="284">
        <f>RawDataGenPO[[#This Row],[Total price]]/RawDataGenPO[[#This Row],[Qty'']]</f>
        <v/>
      </c>
      <c r="T1709" s="278" t="n">
        <v>160</v>
      </c>
      <c r="U1709" s="291" t="n"/>
      <c r="V1709" s="7" t="inlineStr">
        <is>
          <t>V1000306 - Inter Supply (1992) Co., Ltd.</t>
        </is>
      </c>
      <c r="W1709" s="30" t="inlineStr">
        <is>
          <t>Recive bill and GRN already</t>
        </is>
      </c>
      <c r="X1709" s="5" t="inlineStr">
        <is>
          <t>GRN2526-0005795</t>
        </is>
      </c>
      <c r="Y1709" s="3" t="n">
        <v>45994</v>
      </c>
      <c r="Z1709" s="23" t="n"/>
      <c r="AA1709" s="17">
        <f>IF(RawDataGenPO[[#This Row],[Date Gen PO]]="","",RawDataGenPO[[#This Row],[Date recive bill]]-RawDataGenPO[[#This Row],[Date Gen PO]])</f>
        <v/>
      </c>
      <c r="AB1709" s="16">
        <f>IF(RawDataGenPO[[#This Row],[GRN-PO date]]&gt;RawDataGenPO[[#This Row],[Lead time delivery (day)]],"over deliverry","Ontime")</f>
        <v/>
      </c>
      <c r="AC1709" s="22" t="n"/>
    </row>
    <row r="1710" ht="15" customHeight="1">
      <c r="A1710" s="5">
        <f>ROW()-ROW(RawDataGenPO[[#Headers],[No.]])</f>
        <v/>
      </c>
      <c r="B1710" s="7" t="inlineStr">
        <is>
          <t>Expent  cost</t>
        </is>
      </c>
      <c r="C1710" s="281" t="n"/>
      <c r="F1710" s="281" t="n">
        <v>45979</v>
      </c>
      <c r="G1710" s="5" t="inlineStr">
        <is>
          <t>PR2526-03307</t>
        </is>
      </c>
      <c r="H1710" s="5" t="inlineStr">
        <is>
          <t>PO2526-04699</t>
        </is>
      </c>
      <c r="I1710" s="286" t="n">
        <v>45987</v>
      </c>
      <c r="J1710" s="26" t="n"/>
      <c r="K1710" s="20" t="n">
        <v>30</v>
      </c>
      <c r="L1710" s="5" t="inlineStr">
        <is>
          <t>SFST34000122</t>
        </is>
      </c>
      <c r="M1710" s="7" t="inlineStr">
        <is>
          <t>Consumable part for MN</t>
        </is>
      </c>
      <c r="N1710" s="7" t="inlineStr">
        <is>
          <t>Consumable part</t>
        </is>
      </c>
      <c r="O1710" s="11" t="n">
        <v>2</v>
      </c>
      <c r="P1710" s="10" t="inlineStr">
        <is>
          <t>cable tieblack 8 inch 100 line (Cable Tie black 8" 100 stra</t>
        </is>
      </c>
      <c r="Q1710" s="277" t="n">
        <v>4</v>
      </c>
      <c r="R1710" s="5" t="inlineStr">
        <is>
          <t>PCS.</t>
        </is>
      </c>
      <c r="S1710" s="284">
        <f>RawDataGenPO[[#This Row],[Total price]]/RawDataGenPO[[#This Row],[Qty'']]</f>
        <v/>
      </c>
      <c r="T1710" s="278" t="n">
        <v>200</v>
      </c>
      <c r="U1710" s="291" t="n"/>
      <c r="V1710" s="7" t="inlineStr">
        <is>
          <t>V1000306 - Inter Supply (1992) Co., Ltd.</t>
        </is>
      </c>
      <c r="W1710" s="30" t="inlineStr">
        <is>
          <t>Recive bill and GRN already</t>
        </is>
      </c>
      <c r="X1710" s="5" t="inlineStr">
        <is>
          <t>GRN2526-0005795</t>
        </is>
      </c>
      <c r="Y1710" s="3" t="n">
        <v>45994</v>
      </c>
      <c r="Z1710" s="23" t="n"/>
      <c r="AA1710" s="17">
        <f>IF(RawDataGenPO[[#This Row],[Date Gen PO]]="","",RawDataGenPO[[#This Row],[Date recive bill]]-RawDataGenPO[[#This Row],[Date Gen PO]])</f>
        <v/>
      </c>
      <c r="AB1710" s="16">
        <f>IF(RawDataGenPO[[#This Row],[GRN-PO date]]&gt;RawDataGenPO[[#This Row],[Lead time delivery (day)]],"over deliverry","Ontime")</f>
        <v/>
      </c>
      <c r="AC1710" s="22" t="n"/>
    </row>
    <row r="1711" ht="15" customHeight="1">
      <c r="A1711" s="5">
        <f>ROW()-ROW(RawDataGenPO[[#Headers],[No.]])</f>
        <v/>
      </c>
      <c r="B1711" s="7" t="inlineStr">
        <is>
          <t>Expent  cost</t>
        </is>
      </c>
      <c r="C1711" s="281" t="n"/>
      <c r="F1711" s="281" t="n">
        <v>45979</v>
      </c>
      <c r="G1711" s="5" t="inlineStr">
        <is>
          <t>PR2526-03307</t>
        </is>
      </c>
      <c r="H1711" s="5" t="inlineStr">
        <is>
          <t>PO2526-04699</t>
        </is>
      </c>
      <c r="I1711" s="286" t="n">
        <v>45987</v>
      </c>
      <c r="J1711" s="26" t="n"/>
      <c r="K1711" s="20" t="n">
        <v>30</v>
      </c>
      <c r="L1711" s="5" t="inlineStr">
        <is>
          <t>SFST34000123</t>
        </is>
      </c>
      <c r="M1711" s="7" t="inlineStr">
        <is>
          <t>Consumable part for MN</t>
        </is>
      </c>
      <c r="N1711" s="7" t="inlineStr">
        <is>
          <t>Consumable part</t>
        </is>
      </c>
      <c r="O1711" s="11" t="n">
        <v>3</v>
      </c>
      <c r="P1711" s="10" t="inlineStr">
        <is>
          <t>cable tieblack 10 inch 100 line (Cable Tie black 10" 100 st</t>
        </is>
      </c>
      <c r="Q1711" s="277" t="n">
        <v>4</v>
      </c>
      <c r="R1711" s="5" t="inlineStr">
        <is>
          <t>PCS.</t>
        </is>
      </c>
      <c r="S1711" s="284">
        <f>RawDataGenPO[[#This Row],[Total price]]/RawDataGenPO[[#This Row],[Qty'']]</f>
        <v/>
      </c>
      <c r="T1711" s="278" t="n">
        <v>340</v>
      </c>
      <c r="U1711" s="291" t="n"/>
      <c r="V1711" s="7" t="inlineStr">
        <is>
          <t>V1000306 - Inter Supply (1992) Co., Ltd.</t>
        </is>
      </c>
      <c r="W1711" s="30" t="inlineStr">
        <is>
          <t>Recive bill and GRN already</t>
        </is>
      </c>
      <c r="X1711" s="5" t="inlineStr">
        <is>
          <t>GRN2526-0005795</t>
        </is>
      </c>
      <c r="Y1711" s="3" t="n">
        <v>45994</v>
      </c>
      <c r="Z1711" s="23" t="n"/>
      <c r="AA1711" s="17">
        <f>IF(RawDataGenPO[[#This Row],[Date Gen PO]]="","",RawDataGenPO[[#This Row],[Date recive bill]]-RawDataGenPO[[#This Row],[Date Gen PO]])</f>
        <v/>
      </c>
      <c r="AB1711" s="16">
        <f>IF(RawDataGenPO[[#This Row],[GRN-PO date]]&gt;RawDataGenPO[[#This Row],[Lead time delivery (day)]],"over deliverry","Ontime")</f>
        <v/>
      </c>
      <c r="AC1711" s="22" t="n"/>
    </row>
    <row r="1712" ht="15" customHeight="1">
      <c r="A1712" s="5">
        <f>ROW()-ROW(RawDataGenPO[[#Headers],[No.]])</f>
        <v/>
      </c>
      <c r="B1712" s="7" t="inlineStr">
        <is>
          <t>Expent  cost</t>
        </is>
      </c>
      <c r="C1712" s="281" t="n"/>
      <c r="F1712" s="281" t="n">
        <v>45979</v>
      </c>
      <c r="G1712" s="5" t="inlineStr">
        <is>
          <t>PR2526-03307</t>
        </is>
      </c>
      <c r="H1712" s="5" t="inlineStr">
        <is>
          <t>PO2526-04699</t>
        </is>
      </c>
      <c r="I1712" s="286" t="n">
        <v>45987</v>
      </c>
      <c r="J1712" s="26" t="n"/>
      <c r="K1712" s="20" t="n">
        <v>30</v>
      </c>
      <c r="L1712" s="5" t="inlineStr">
        <is>
          <t>SFST34000124</t>
        </is>
      </c>
      <c r="M1712" s="7" t="inlineStr">
        <is>
          <t>Consumable part for MN</t>
        </is>
      </c>
      <c r="N1712" s="7" t="inlineStr">
        <is>
          <t>Consumable part</t>
        </is>
      </c>
      <c r="O1712" s="11" t="n">
        <v>4</v>
      </c>
      <c r="P1712" s="10" t="inlineStr">
        <is>
          <t>cable tieblack 12 inch 100 line (Cable Tie black 12" 100 st</t>
        </is>
      </c>
      <c r="Q1712" s="277" t="n">
        <v>4</v>
      </c>
      <c r="R1712" s="5" t="inlineStr">
        <is>
          <t>PCS.</t>
        </is>
      </c>
      <c r="S1712" s="284">
        <f>RawDataGenPO[[#This Row],[Total price]]/RawDataGenPO[[#This Row],[Qty'']]</f>
        <v/>
      </c>
      <c r="T1712" s="278" t="n">
        <v>360</v>
      </c>
      <c r="U1712" s="291" t="n"/>
      <c r="V1712" s="7" t="inlineStr">
        <is>
          <t>V1000306 - Inter Supply (1992) Co., Ltd.</t>
        </is>
      </c>
      <c r="W1712" s="30" t="inlineStr">
        <is>
          <t>Recive bill and GRN already</t>
        </is>
      </c>
      <c r="X1712" s="5" t="inlineStr">
        <is>
          <t>GRN2526-0005795</t>
        </is>
      </c>
      <c r="Y1712" s="3" t="n">
        <v>45994</v>
      </c>
      <c r="Z1712" s="23" t="n"/>
      <c r="AA1712" s="17">
        <f>IF(RawDataGenPO[[#This Row],[Date Gen PO]]="","",RawDataGenPO[[#This Row],[Date recive bill]]-RawDataGenPO[[#This Row],[Date Gen PO]])</f>
        <v/>
      </c>
      <c r="AB1712" s="16">
        <f>IF(RawDataGenPO[[#This Row],[GRN-PO date]]&gt;RawDataGenPO[[#This Row],[Lead time delivery (day)]],"over deliverry","Ontime")</f>
        <v/>
      </c>
      <c r="AC1712" s="22" t="n"/>
    </row>
    <row r="1713" ht="15" customHeight="1">
      <c r="A1713" s="5">
        <f>ROW()-ROW(RawDataGenPO[[#Headers],[No.]])</f>
        <v/>
      </c>
      <c r="B1713" s="7" t="inlineStr">
        <is>
          <t>Expent  cost</t>
        </is>
      </c>
      <c r="C1713" s="281" t="n"/>
      <c r="F1713" s="281" t="n">
        <v>45982</v>
      </c>
      <c r="G1713" s="5" t="inlineStr">
        <is>
          <t>PR2526-03367</t>
        </is>
      </c>
      <c r="H1713" s="5" t="inlineStr">
        <is>
          <t>PO2526-04724</t>
        </is>
      </c>
      <c r="I1713" s="286" t="n">
        <v>45992</v>
      </c>
      <c r="K1713" s="20" t="n">
        <v>30</v>
      </c>
      <c r="L1713" s="5" t="inlineStr">
        <is>
          <t>SFST81000048</t>
        </is>
      </c>
      <c r="M1713" s="7" t="inlineStr">
        <is>
          <t>PD Machine</t>
        </is>
      </c>
      <c r="N1713" s="7" t="inlineStr">
        <is>
          <t>Combi oven No.3</t>
        </is>
      </c>
      <c r="O1713" s="11" t="n">
        <v>1</v>
      </c>
      <c r="P1713" s="10" t="inlineStr">
        <is>
          <t>42.00.273P Pump PCB</t>
        </is>
      </c>
      <c r="Q1713" s="277" t="n">
        <v>1</v>
      </c>
      <c r="R1713" s="5" t="inlineStr">
        <is>
          <t>PCS.</t>
        </is>
      </c>
      <c r="S1713" s="284">
        <f>RawDataGenPO[[#This Row],[Total price]]/RawDataGenPO[[#This Row],[Qty'']]</f>
        <v/>
      </c>
      <c r="T1713" s="278" t="n">
        <v>3000</v>
      </c>
      <c r="V1713" s="7" t="inlineStr">
        <is>
          <t>V1000460 - FIX EVOLUTION CO., LTD.</t>
        </is>
      </c>
      <c r="W1713" s="30" t="inlineStr">
        <is>
          <t>Recive bill and GRN already</t>
        </is>
      </c>
      <c r="X1713" s="5" t="inlineStr">
        <is>
          <t>GRN2526-0005796</t>
        </is>
      </c>
      <c r="Y1713" s="3" t="n">
        <v>45994</v>
      </c>
      <c r="Z1713" s="23" t="n"/>
      <c r="AA1713" s="17">
        <f>IF(RawDataGenPO[[#This Row],[Date Gen PO]]="","",RawDataGenPO[[#This Row],[Date recive bill]]-RawDataGenPO[[#This Row],[Date Gen PO]])</f>
        <v/>
      </c>
      <c r="AB1713" s="16">
        <f>IF(RawDataGenPO[[#This Row],[GRN-PO date]]&gt;RawDataGenPO[[#This Row],[Lead time delivery (day)]],"over deliverry","Ontime")</f>
        <v/>
      </c>
      <c r="AC1713" s="22" t="n"/>
    </row>
    <row r="1714" ht="15" customHeight="1">
      <c r="A1714" s="5">
        <f>ROW()-ROW(RawDataGenPO[[#Headers],[No.]])</f>
        <v/>
      </c>
      <c r="B1714" s="7" t="inlineStr">
        <is>
          <t>Expent  cost</t>
        </is>
      </c>
      <c r="C1714" s="281" t="n"/>
      <c r="F1714" s="281" t="n">
        <v>45982</v>
      </c>
      <c r="G1714" s="5" t="inlineStr">
        <is>
          <t>PR2526-03367</t>
        </is>
      </c>
      <c r="H1714" s="5" t="inlineStr">
        <is>
          <t>PO2526-04724</t>
        </is>
      </c>
      <c r="I1714" s="286" t="n">
        <v>45992</v>
      </c>
      <c r="K1714" s="20" t="n">
        <v>30</v>
      </c>
      <c r="L1714" s="5" t="inlineStr">
        <is>
          <t>SFST81000048</t>
        </is>
      </c>
      <c r="M1714" s="7" t="inlineStr">
        <is>
          <t>PD Machine</t>
        </is>
      </c>
      <c r="N1714" s="7" t="inlineStr">
        <is>
          <t>Combi oven No.3</t>
        </is>
      </c>
      <c r="O1714" s="11" t="n">
        <v>2</v>
      </c>
      <c r="P1714" s="10" t="inlineStr">
        <is>
          <t>Service Charge</t>
        </is>
      </c>
      <c r="Q1714" s="277" t="n">
        <v>1</v>
      </c>
      <c r="R1714" s="5" t="inlineStr">
        <is>
          <t>PCS.</t>
        </is>
      </c>
      <c r="S1714" s="284">
        <f>RawDataGenPO[[#This Row],[Total price]]/RawDataGenPO[[#This Row],[Qty'']]</f>
        <v/>
      </c>
      <c r="T1714" s="278" t="n">
        <v>2000</v>
      </c>
      <c r="V1714" s="7" t="inlineStr">
        <is>
          <t>V1000460 - FIX EVOLUTION CO., LTD.</t>
        </is>
      </c>
      <c r="W1714" s="30" t="inlineStr">
        <is>
          <t>Recive bill and GRN already</t>
        </is>
      </c>
      <c r="X1714" s="5" t="inlineStr">
        <is>
          <t>GRN2526-0005796</t>
        </is>
      </c>
      <c r="Y1714" s="3" t="n">
        <v>45994</v>
      </c>
      <c r="Z1714" s="23" t="n"/>
      <c r="AA1714" s="17">
        <f>IF(RawDataGenPO[[#This Row],[Date Gen PO]]="","",RawDataGenPO[[#This Row],[Date recive bill]]-RawDataGenPO[[#This Row],[Date Gen PO]])</f>
        <v/>
      </c>
      <c r="AB1714" s="16">
        <f>IF(RawDataGenPO[[#This Row],[GRN-PO date]]&gt;RawDataGenPO[[#This Row],[Lead time delivery (day)]],"over deliverry","Ontime")</f>
        <v/>
      </c>
      <c r="AC1714" s="22" t="n"/>
    </row>
    <row r="1715" ht="15" customHeight="1">
      <c r="A1715" s="5">
        <f>ROW()-ROW(RawDataGenPO[[#Headers],[No.]])</f>
        <v/>
      </c>
      <c r="B1715" s="7" t="inlineStr">
        <is>
          <t>Expent  cost</t>
        </is>
      </c>
      <c r="C1715" s="281" t="n"/>
      <c r="F1715" s="281" t="n">
        <v>45982</v>
      </c>
      <c r="G1715" s="5" t="inlineStr">
        <is>
          <t>PR2526-03367</t>
        </is>
      </c>
      <c r="H1715" s="5" t="inlineStr">
        <is>
          <t>PO2526-04724</t>
        </is>
      </c>
      <c r="I1715" s="286" t="n">
        <v>45992</v>
      </c>
      <c r="K1715" s="20" t="n">
        <v>30</v>
      </c>
      <c r="L1715" s="5" t="inlineStr">
        <is>
          <t>SFST81000048</t>
        </is>
      </c>
      <c r="M1715" s="7" t="inlineStr">
        <is>
          <t>PD Machine</t>
        </is>
      </c>
      <c r="N1715" s="7" t="inlineStr">
        <is>
          <t>Combi oven No.3</t>
        </is>
      </c>
      <c r="O1715" s="11" t="n">
        <v>3</v>
      </c>
      <c r="P1715" s="10" t="inlineStr">
        <is>
          <t>Service chargeexternalhandW (OTwork)</t>
        </is>
      </c>
      <c r="Q1715" s="277" t="n">
        <v>1</v>
      </c>
      <c r="R1715" s="5" t="inlineStr">
        <is>
          <t>PCS.</t>
        </is>
      </c>
      <c r="S1715" s="284">
        <f>RawDataGenPO[[#This Row],[Total price]]/RawDataGenPO[[#This Row],[Qty'']]</f>
        <v/>
      </c>
      <c r="T1715" s="278" t="n">
        <v>16800</v>
      </c>
      <c r="V1715" s="7" t="inlineStr">
        <is>
          <t>V1000460 - FIX EVOLUTION CO., LTD.</t>
        </is>
      </c>
      <c r="W1715" s="30" t="inlineStr">
        <is>
          <t>Recive bill and GRN already</t>
        </is>
      </c>
      <c r="X1715" s="5" t="inlineStr">
        <is>
          <t>GRN2526-0005796</t>
        </is>
      </c>
      <c r="Y1715" s="3" t="n">
        <v>45994</v>
      </c>
      <c r="Z1715" s="23" t="n"/>
      <c r="AA1715" s="17">
        <f>IF(RawDataGenPO[[#This Row],[Date Gen PO]]="","",RawDataGenPO[[#This Row],[Date recive bill]]-RawDataGenPO[[#This Row],[Date Gen PO]])</f>
        <v/>
      </c>
      <c r="AB1715" s="16">
        <f>IF(RawDataGenPO[[#This Row],[GRN-PO date]]&gt;RawDataGenPO[[#This Row],[Lead time delivery (day)]],"over deliverry","Ontime")</f>
        <v/>
      </c>
      <c r="AC1715" s="22" t="n"/>
    </row>
    <row r="1716" ht="15" customHeight="1">
      <c r="A1716" s="5">
        <f>ROW()-ROW(RawDataGenPO[[#Headers],[No.]])</f>
        <v/>
      </c>
      <c r="B1716" s="7" t="inlineStr">
        <is>
          <t>CAPEX  (Budget)</t>
        </is>
      </c>
      <c r="C1716" s="281" t="n"/>
      <c r="F1716" s="281" t="n">
        <v>45982</v>
      </c>
      <c r="G1716" s="5" t="inlineStr">
        <is>
          <t>PR2526-03416</t>
        </is>
      </c>
      <c r="H1716" s="5" t="inlineStr">
        <is>
          <t xml:space="preserve">PO2526-04710 </t>
        </is>
      </c>
      <c r="I1716" s="286" t="n">
        <v>45992</v>
      </c>
      <c r="J1716" s="26" t="n"/>
      <c r="K1716" s="20" t="n">
        <v>60</v>
      </c>
      <c r="L1716" s="5" t="inlineStr">
        <is>
          <t>SFST82000007</t>
        </is>
      </c>
      <c r="M1716" s="7" t="inlineStr">
        <is>
          <t>Safety equipment</t>
        </is>
      </c>
      <c r="N1716" s="7" t="inlineStr">
        <is>
          <t>Safety equipment</t>
        </is>
      </c>
      <c r="O1716" s="11" t="n">
        <v>1</v>
      </c>
      <c r="P1716" s="10" t="inlineStr">
        <is>
          <t>cabinetsetfire-fighting ( 120 x 50 x 150 cm.)</t>
        </is>
      </c>
      <c r="Q1716" s="277" t="n">
        <v>1</v>
      </c>
      <c r="R1716" s="5" t="inlineStr">
        <is>
          <t>PCS.</t>
        </is>
      </c>
      <c r="S1716" s="284">
        <f>RawDataGenPO[[#This Row],[Total price]]/RawDataGenPO[[#This Row],[Qty'']]</f>
        <v/>
      </c>
      <c r="T1716" s="278" t="n">
        <v>13700</v>
      </c>
      <c r="U1716" s="291" t="n"/>
      <c r="V1716" s="7" t="inlineStr">
        <is>
          <t>V1000556 - Team Safety Sales Co., Ltd.</t>
        </is>
      </c>
      <c r="W1716" s="30" t="inlineStr">
        <is>
          <t>Recive bill and GRN already</t>
        </is>
      </c>
      <c r="X1716" s="5" t="inlineStr">
        <is>
          <t>GRN2526-0006102</t>
        </is>
      </c>
      <c r="Z1716" s="23" t="n"/>
      <c r="AA1716" s="17">
        <f>IF(RawDataGenPO[[#This Row],[Date Gen PO]]="","",RawDataGenPO[[#This Row],[Date recive bill]]-RawDataGenPO[[#This Row],[Date Gen PO]])</f>
        <v/>
      </c>
      <c r="AB1716" s="16">
        <f>IF(RawDataGenPO[[#This Row],[GRN-PO date]]&gt;RawDataGenPO[[#This Row],[Lead time delivery (day)]],"over deliverry","Ontime")</f>
        <v/>
      </c>
      <c r="AC1716" s="22" t="n"/>
    </row>
    <row r="1717" ht="15" customHeight="1">
      <c r="A1717" s="5">
        <f>ROW()-ROW(RawDataGenPO[[#Headers],[No.]])</f>
        <v/>
      </c>
      <c r="B1717" s="7" t="inlineStr">
        <is>
          <t>CAPEX  (Budget)</t>
        </is>
      </c>
      <c r="C1717" s="281" t="n"/>
      <c r="F1717" s="281" t="n">
        <v>45982</v>
      </c>
      <c r="G1717" s="5" t="inlineStr">
        <is>
          <t>PR2526-03416</t>
        </is>
      </c>
      <c r="H1717" s="5" t="inlineStr">
        <is>
          <t xml:space="preserve">PO2526-04710 </t>
        </is>
      </c>
      <c r="I1717" s="286" t="n">
        <v>45992</v>
      </c>
      <c r="J1717" s="26" t="n"/>
      <c r="K1717" s="20" t="n">
        <v>60</v>
      </c>
      <c r="L1717" s="5" t="inlineStr">
        <is>
          <t>SFST82000007</t>
        </is>
      </c>
      <c r="M1717" s="7" t="inlineStr">
        <is>
          <t>Safety equipment</t>
        </is>
      </c>
      <c r="N1717" s="7" t="inlineStr">
        <is>
          <t>Safety equipment</t>
        </is>
      </c>
      <c r="O1717" s="11" t="n">
        <v>2</v>
      </c>
      <c r="P1717" s="10" t="inlineStr">
        <is>
          <t>setfire-fighting standardexternal (m) set + hood + gloves + round + boots</t>
        </is>
      </c>
      <c r="Q1717" s="277" t="n">
        <v>1</v>
      </c>
      <c r="R1717" s="5" t="inlineStr">
        <is>
          <t>PCS.</t>
        </is>
      </c>
      <c r="S1717" s="284">
        <f>RawDataGenPO[[#This Row],[Total price]]/RawDataGenPO[[#This Row],[Qty'']]</f>
        <v/>
      </c>
      <c r="T1717" s="278" t="n">
        <v>18000</v>
      </c>
      <c r="U1717" s="291" t="n"/>
      <c r="V1717" s="7" t="inlineStr">
        <is>
          <t>V1000556 - Team Safety Sales Co., Ltd.</t>
        </is>
      </c>
      <c r="W1717" s="30" t="inlineStr">
        <is>
          <t>Recive bill and GRN already</t>
        </is>
      </c>
      <c r="X1717" s="5" t="inlineStr">
        <is>
          <t>GRN2526-0006102</t>
        </is>
      </c>
      <c r="Z1717" s="23" t="n"/>
      <c r="AA1717" s="17">
        <f>IF(RawDataGenPO[[#This Row],[Date Gen PO]]="","",RawDataGenPO[[#This Row],[Date recive bill]]-RawDataGenPO[[#This Row],[Date Gen PO]])</f>
        <v/>
      </c>
      <c r="AB1717" s="16">
        <f>IF(RawDataGenPO[[#This Row],[GRN-PO date]]&gt;RawDataGenPO[[#This Row],[Lead time delivery (day)]],"over deliverry","Ontime")</f>
        <v/>
      </c>
      <c r="AC1717" s="22" t="n"/>
    </row>
    <row r="1718" ht="15" customHeight="1">
      <c r="A1718" s="5">
        <f>ROW()-ROW(RawDataGenPO[[#Headers],[No.]])</f>
        <v/>
      </c>
      <c r="B1718" s="7" t="inlineStr">
        <is>
          <t>CAPEX  (Budget)</t>
        </is>
      </c>
      <c r="C1718" s="281" t="n"/>
      <c r="F1718" s="281" t="n">
        <v>45982</v>
      </c>
      <c r="G1718" s="5" t="inlineStr">
        <is>
          <t>PR2526-03416</t>
        </is>
      </c>
      <c r="H1718" s="5" t="inlineStr">
        <is>
          <t xml:space="preserve">PO2526-04710 </t>
        </is>
      </c>
      <c r="I1718" s="286" t="n">
        <v>45992</v>
      </c>
      <c r="J1718" s="26" t="n"/>
      <c r="K1718" s="20" t="n">
        <v>60</v>
      </c>
      <c r="L1718" s="5" t="inlineStr">
        <is>
          <t>SFST82000007</t>
        </is>
      </c>
      <c r="M1718" s="7" t="inlineStr">
        <is>
          <t>Safety equipment</t>
        </is>
      </c>
      <c r="N1718" s="7" t="inlineStr">
        <is>
          <t>Safety equipment</t>
        </is>
      </c>
      <c r="O1718" s="11" t="n">
        <v>3</v>
      </c>
      <c r="P1718" s="10" t="inlineStr">
        <is>
          <t>headwaterfire-fighting typem</t>
        </is>
      </c>
      <c r="Q1718" s="277" t="n">
        <v>1</v>
      </c>
      <c r="R1718" s="5" t="inlineStr">
        <is>
          <t>PCS.</t>
        </is>
      </c>
      <c r="S1718" s="284">
        <f>RawDataGenPO[[#This Row],[Total price]]/RawDataGenPO[[#This Row],[Qty'']]</f>
        <v/>
      </c>
      <c r="T1718" s="278" t="n">
        <v>7500</v>
      </c>
      <c r="U1718" s="291" t="n"/>
      <c r="V1718" s="7" t="inlineStr">
        <is>
          <t>V1000556 - Team Safety Sales Co., Ltd.</t>
        </is>
      </c>
      <c r="W1718" s="30" t="inlineStr">
        <is>
          <t>Recive bill and GRN already</t>
        </is>
      </c>
      <c r="X1718" s="5" t="inlineStr">
        <is>
          <t>GRN2526-0006102</t>
        </is>
      </c>
      <c r="Z1718" s="23" t="n"/>
      <c r="AA1718" s="17">
        <f>IF(RawDataGenPO[[#This Row],[Date Gen PO]]="","",RawDataGenPO[[#This Row],[Date recive bill]]-RawDataGenPO[[#This Row],[Date Gen PO]])</f>
        <v/>
      </c>
      <c r="AB1718" s="16">
        <f>IF(RawDataGenPO[[#This Row],[GRN-PO date]]&gt;RawDataGenPO[[#This Row],[Lead time delivery (day)]],"over deliverry","Ontime")</f>
        <v/>
      </c>
      <c r="AC1718" s="22" t="n"/>
    </row>
    <row r="1719" ht="15" customHeight="1">
      <c r="A1719" s="5">
        <f>ROW()-ROW(RawDataGenPO[[#Headers],[No.]])</f>
        <v/>
      </c>
      <c r="B1719" s="7" t="inlineStr">
        <is>
          <t>CAPEX  (Budget)</t>
        </is>
      </c>
      <c r="C1719" s="281" t="n"/>
      <c r="F1719" s="281" t="n">
        <v>45982</v>
      </c>
      <c r="G1719" s="5" t="inlineStr">
        <is>
          <t>PR2526-03416</t>
        </is>
      </c>
      <c r="H1719" s="5" t="inlineStr">
        <is>
          <t xml:space="preserve">PO2526-04710 </t>
        </is>
      </c>
      <c r="I1719" s="286" t="n">
        <v>45992</v>
      </c>
      <c r="J1719" s="26" t="n"/>
      <c r="K1719" s="20" t="n">
        <v>60</v>
      </c>
      <c r="L1719" s="5" t="inlineStr">
        <is>
          <t>SFST82000007</t>
        </is>
      </c>
      <c r="M1719" s="7" t="inlineStr">
        <is>
          <t>Safety equipment</t>
        </is>
      </c>
      <c r="N1719" s="7" t="inlineStr">
        <is>
          <t>Safety equipment</t>
        </is>
      </c>
      <c r="O1719" s="11" t="n">
        <v>4</v>
      </c>
      <c r="P1719" s="10" t="inlineStr">
        <is>
          <t>model BW7300A</t>
        </is>
      </c>
      <c r="Q1719" s="277" t="n">
        <v>1</v>
      </c>
      <c r="R1719" s="5" t="inlineStr">
        <is>
          <t>PCS.</t>
        </is>
      </c>
      <c r="S1719" s="284">
        <f>RawDataGenPO[[#This Row],[Total price]]/RawDataGenPO[[#This Row],[Qty'']]</f>
        <v/>
      </c>
      <c r="T1719" s="278" t="n">
        <v>2500</v>
      </c>
      <c r="U1719" s="291" t="n"/>
      <c r="V1719" s="7" t="inlineStr">
        <is>
          <t>V1000556 - Team Safety Sales Co., Ltd.</t>
        </is>
      </c>
      <c r="W1719" s="30" t="inlineStr">
        <is>
          <t>Recive bill and GRN already</t>
        </is>
      </c>
      <c r="X1719" s="5" t="inlineStr">
        <is>
          <t>GRN2526-0006102</t>
        </is>
      </c>
      <c r="Z1719" s="23" t="n"/>
      <c r="AA1719" s="17">
        <f>IF(RawDataGenPO[[#This Row],[Date Gen PO]]="","",RawDataGenPO[[#This Row],[Date recive bill]]-RawDataGenPO[[#This Row],[Date Gen PO]])</f>
        <v/>
      </c>
      <c r="AB1719" s="16">
        <f>IF(RawDataGenPO[[#This Row],[GRN-PO date]]&gt;RawDataGenPO[[#This Row],[Lead time delivery (day)]],"over deliverry","Ontime")</f>
        <v/>
      </c>
      <c r="AC1719" s="22" t="n"/>
    </row>
    <row r="1720" ht="15" customHeight="1">
      <c r="A1720" s="5">
        <f>ROW()-ROW(RawDataGenPO[[#Headers],[No.]])</f>
        <v/>
      </c>
      <c r="B1720" s="7" t="inlineStr">
        <is>
          <t>CAPEX  (Budget)</t>
        </is>
      </c>
      <c r="C1720" s="281" t="n"/>
      <c r="F1720" s="372" t="n">
        <v>45982</v>
      </c>
      <c r="G1720" s="5" t="inlineStr">
        <is>
          <t>PR2526-03416</t>
        </is>
      </c>
      <c r="H1720" s="5" t="inlineStr">
        <is>
          <t xml:space="preserve">PO2526-04710 </t>
        </is>
      </c>
      <c r="I1720" s="286" t="n">
        <v>45992</v>
      </c>
      <c r="J1720" s="26" t="n"/>
      <c r="K1720" s="20" t="n">
        <v>60</v>
      </c>
      <c r="L1720" s="5" t="inlineStr">
        <is>
          <t>SFST82000007</t>
        </is>
      </c>
      <c r="M1720" s="7" t="inlineStr">
        <is>
          <t>Safety equipment</t>
        </is>
      </c>
      <c r="N1720" s="7" t="inlineStr">
        <is>
          <t>Safety equipment</t>
        </is>
      </c>
      <c r="O1720" s="11" t="n">
        <v>5</v>
      </c>
      <c r="P1720" s="10" t="inlineStr">
        <is>
          <t>setfire-fighting standardexternal (m) set + hood + gloves + round + boots</t>
        </is>
      </c>
      <c r="Q1720" s="277" t="n">
        <v>1</v>
      </c>
      <c r="R1720" s="5" t="inlineStr">
        <is>
          <t>PCS.</t>
        </is>
      </c>
      <c r="S1720" s="284">
        <f>RawDataGenPO[[#This Row],[Total price]]/RawDataGenPO[[#This Row],[Qty'']]</f>
        <v/>
      </c>
      <c r="T1720" s="278" t="n">
        <v>18000</v>
      </c>
      <c r="U1720" s="291" t="n"/>
      <c r="V1720" s="7" t="inlineStr">
        <is>
          <t>V1000556 - Team Safety Sales Co., Ltd.</t>
        </is>
      </c>
      <c r="W1720" s="30" t="inlineStr">
        <is>
          <t>Recive bill and GRN already</t>
        </is>
      </c>
      <c r="X1720" s="5" t="inlineStr">
        <is>
          <t>GRN2526-0006102</t>
        </is>
      </c>
      <c r="Z1720" s="23" t="n"/>
      <c r="AA1720" s="17">
        <f>IF(RawDataGenPO[[#This Row],[Date Gen PO]]="","",RawDataGenPO[[#This Row],[Date recive bill]]-RawDataGenPO[[#This Row],[Date Gen PO]])</f>
        <v/>
      </c>
      <c r="AB1720" s="16">
        <f>IF(RawDataGenPO[[#This Row],[GRN-PO date]]&gt;RawDataGenPO[[#This Row],[Lead time delivery (day)]],"over deliverry","Ontime")</f>
        <v/>
      </c>
      <c r="AC1720" s="22" t="n"/>
    </row>
    <row r="1721" ht="15" customHeight="1">
      <c r="A1721" s="5">
        <f>ROW()-ROW(RawDataGenPO[[#Headers],[No.]])</f>
        <v/>
      </c>
      <c r="B1721" s="7" t="inlineStr">
        <is>
          <t>CAPEX  (Budget)</t>
        </is>
      </c>
      <c r="C1721" s="281" t="n"/>
      <c r="F1721" s="281" t="n">
        <v>45982</v>
      </c>
      <c r="G1721" s="5" t="inlineStr">
        <is>
          <t>PR2526-03416</t>
        </is>
      </c>
      <c r="H1721" s="5" t="inlineStr">
        <is>
          <t xml:space="preserve">PO2526-04710 </t>
        </is>
      </c>
      <c r="I1721" s="286" t="n">
        <v>45992</v>
      </c>
      <c r="J1721" s="26" t="n"/>
      <c r="K1721" s="20" t="n">
        <v>60</v>
      </c>
      <c r="L1721" s="5" t="inlineStr">
        <is>
          <t>SFST82000007</t>
        </is>
      </c>
      <c r="M1721" s="7" t="inlineStr">
        <is>
          <t>Safety equipment</t>
        </is>
      </c>
      <c r="N1721" s="7" t="inlineStr">
        <is>
          <t>Safety equipment</t>
        </is>
      </c>
      <c r="O1721" s="11" t="n">
        <v>6</v>
      </c>
      <c r="P1721" s="10" t="inlineStr">
        <is>
          <t>setfire-fighting standardexternal (m) set + hood + gloves + round + boots</t>
        </is>
      </c>
      <c r="Q1721" s="277" t="n">
        <v>1</v>
      </c>
      <c r="R1721" s="5" t="inlineStr">
        <is>
          <t>PCS.</t>
        </is>
      </c>
      <c r="S1721" s="284">
        <f>RawDataGenPO[[#This Row],[Total price]]/RawDataGenPO[[#This Row],[Qty'']]</f>
        <v/>
      </c>
      <c r="T1721" s="278" t="n">
        <v>18000</v>
      </c>
      <c r="U1721" s="291" t="n"/>
      <c r="V1721" s="7" t="inlineStr">
        <is>
          <t>V1000556 - Team Safety Sales Co., Ltd.</t>
        </is>
      </c>
      <c r="W1721" s="30" t="inlineStr">
        <is>
          <t>Recive bill and GRN already</t>
        </is>
      </c>
      <c r="X1721" s="5" t="inlineStr">
        <is>
          <t>GRN2526-0006102</t>
        </is>
      </c>
      <c r="Z1721" s="23" t="n"/>
      <c r="AA1721" s="17">
        <f>IF(RawDataGenPO[[#This Row],[Date Gen PO]]="","",RawDataGenPO[[#This Row],[Date recive bill]]-RawDataGenPO[[#This Row],[Date Gen PO]])</f>
        <v/>
      </c>
      <c r="AB1721" s="16">
        <f>IF(RawDataGenPO[[#This Row],[GRN-PO date]]&gt;RawDataGenPO[[#This Row],[Lead time delivery (day)]],"over deliverry","Ontime")</f>
        <v/>
      </c>
      <c r="AC1721" s="22" t="n"/>
    </row>
    <row r="1722" ht="15" customHeight="1">
      <c r="A1722" s="5">
        <f>ROW()-ROW(RawDataGenPO[[#Headers],[No.]])</f>
        <v/>
      </c>
      <c r="B1722" s="7" t="inlineStr">
        <is>
          <t>CAPEX  (Budget)</t>
        </is>
      </c>
      <c r="C1722" s="281" t="n"/>
      <c r="F1722" s="281" t="n">
        <v>45982</v>
      </c>
      <c r="G1722" s="5" t="inlineStr">
        <is>
          <t>PR2526-03416</t>
        </is>
      </c>
      <c r="H1722" s="5" t="inlineStr">
        <is>
          <t xml:space="preserve">PO2526-04710 </t>
        </is>
      </c>
      <c r="I1722" s="286" t="n">
        <v>45992</v>
      </c>
      <c r="J1722" s="26" t="n"/>
      <c r="K1722" s="20" t="n">
        <v>60</v>
      </c>
      <c r="L1722" s="5" t="inlineStr">
        <is>
          <t>SFST82000007</t>
        </is>
      </c>
      <c r="M1722" s="7" t="inlineStr">
        <is>
          <t>Safety equipment</t>
        </is>
      </c>
      <c r="N1722" s="7" t="inlineStr">
        <is>
          <t>Safety equipment</t>
        </is>
      </c>
      <c r="O1722" s="11" t="n">
        <v>7</v>
      </c>
      <c r="P1722" s="10" t="inlineStr">
        <is>
          <t>setfire-fighting standardexternal (m) set + hood + gloves + round + boots</t>
        </is>
      </c>
      <c r="Q1722" s="277" t="n">
        <v>1</v>
      </c>
      <c r="R1722" s="5" t="inlineStr">
        <is>
          <t>PCS.</t>
        </is>
      </c>
      <c r="S1722" s="284">
        <f>RawDataGenPO[[#This Row],[Total price]]/RawDataGenPO[[#This Row],[Qty'']]</f>
        <v/>
      </c>
      <c r="T1722" s="278" t="n">
        <v>18000</v>
      </c>
      <c r="U1722" s="291" t="n"/>
      <c r="V1722" s="7" t="inlineStr">
        <is>
          <t>V1000556 - Team Safety Sales Co., Ltd.</t>
        </is>
      </c>
      <c r="W1722" s="30" t="inlineStr">
        <is>
          <t>Recive bill and GRN already</t>
        </is>
      </c>
      <c r="X1722" s="5" t="inlineStr">
        <is>
          <t>GRN2526-0006102</t>
        </is>
      </c>
      <c r="Z1722" s="23" t="n"/>
      <c r="AA1722" s="17">
        <f>IF(RawDataGenPO[[#This Row],[Date Gen PO]]="","",RawDataGenPO[[#This Row],[Date recive bill]]-RawDataGenPO[[#This Row],[Date Gen PO]])</f>
        <v/>
      </c>
      <c r="AB1722" s="16">
        <f>IF(RawDataGenPO[[#This Row],[GRN-PO date]]&gt;RawDataGenPO[[#This Row],[Lead time delivery (day)]],"over deliverry","Ontime")</f>
        <v/>
      </c>
      <c r="AC1722" s="22" t="n"/>
    </row>
    <row r="1723" ht="15" customHeight="1">
      <c r="A1723" s="5">
        <f>ROW()-ROW(RawDataGenPO[[#Headers],[No.]])</f>
        <v/>
      </c>
      <c r="B1723" s="7" t="inlineStr">
        <is>
          <t>CAPEX  (Budget)</t>
        </is>
      </c>
      <c r="C1723" s="281" t="n"/>
      <c r="F1723" s="281" t="n">
        <v>45982</v>
      </c>
      <c r="G1723" s="5" t="inlineStr">
        <is>
          <t>PR2526-03416</t>
        </is>
      </c>
      <c r="H1723" s="5" t="inlineStr">
        <is>
          <t xml:space="preserve">PO2526-04710 </t>
        </is>
      </c>
      <c r="I1723" s="286" t="n">
        <v>45992</v>
      </c>
      <c r="J1723" s="26" t="n"/>
      <c r="K1723" s="20" t="n">
        <v>60</v>
      </c>
      <c r="L1723" s="5" t="inlineStr">
        <is>
          <t>SFST82000007</t>
        </is>
      </c>
      <c r="M1723" s="7" t="inlineStr">
        <is>
          <t>Safety equipment</t>
        </is>
      </c>
      <c r="N1723" s="7" t="inlineStr">
        <is>
          <t>Safety equipment</t>
        </is>
      </c>
      <c r="O1723" s="11" t="n">
        <v>8</v>
      </c>
      <c r="P1723" s="10" t="inlineStr">
        <is>
          <t>setfire-fighting standardexternal (m) set + hood + gloves + round + boots</t>
        </is>
      </c>
      <c r="Q1723" s="277" t="n">
        <v>1</v>
      </c>
      <c r="R1723" s="5" t="inlineStr">
        <is>
          <t>PCS.</t>
        </is>
      </c>
      <c r="S1723" s="284">
        <f>RawDataGenPO[[#This Row],[Total price]]/RawDataGenPO[[#This Row],[Qty'']]</f>
        <v/>
      </c>
      <c r="T1723" s="278" t="n">
        <v>18000</v>
      </c>
      <c r="U1723" s="291" t="n"/>
      <c r="V1723" s="7" t="inlineStr">
        <is>
          <t>V1000556 - Team Safety Sales Co., Ltd.</t>
        </is>
      </c>
      <c r="W1723" s="30" t="inlineStr">
        <is>
          <t>Recive bill and GRN already</t>
        </is>
      </c>
      <c r="X1723" s="5" t="inlineStr">
        <is>
          <t>GRN2526-0006102</t>
        </is>
      </c>
      <c r="Z1723" s="23" t="n"/>
      <c r="AA1723" s="17">
        <f>IF(RawDataGenPO[[#This Row],[Date Gen PO]]="","",RawDataGenPO[[#This Row],[Date recive bill]]-RawDataGenPO[[#This Row],[Date Gen PO]])</f>
        <v/>
      </c>
      <c r="AB1723" s="16">
        <f>IF(RawDataGenPO[[#This Row],[GRN-PO date]]&gt;RawDataGenPO[[#This Row],[Lead time delivery (day)]],"over deliverry","Ontime")</f>
        <v/>
      </c>
      <c r="AC1723" s="22" t="n"/>
    </row>
    <row r="1724" ht="15" customHeight="1">
      <c r="A1724" s="5">
        <f>ROW()-ROW(RawDataGenPO[[#Headers],[No.]])</f>
        <v/>
      </c>
      <c r="B1724" s="7" t="inlineStr">
        <is>
          <t>CAPEX  (Budget)</t>
        </is>
      </c>
      <c r="C1724" s="281" t="n"/>
      <c r="F1724" s="281" t="n">
        <v>45982</v>
      </c>
      <c r="G1724" s="5" t="inlineStr">
        <is>
          <t>PR2526-03416</t>
        </is>
      </c>
      <c r="H1724" s="5" t="inlineStr">
        <is>
          <t xml:space="preserve">PO2526-04710 </t>
        </is>
      </c>
      <c r="I1724" s="286" t="n">
        <v>45992</v>
      </c>
      <c r="J1724" s="26" t="n"/>
      <c r="K1724" s="20" t="n">
        <v>60</v>
      </c>
      <c r="L1724" s="5" t="inlineStr">
        <is>
          <t>SFST82000007</t>
        </is>
      </c>
      <c r="M1724" s="7" t="inlineStr">
        <is>
          <t>Safety equipment</t>
        </is>
      </c>
      <c r="N1724" s="7" t="inlineStr">
        <is>
          <t>Safety equipment</t>
        </is>
      </c>
      <c r="O1724" s="11" t="n">
        <v>9</v>
      </c>
      <c r="P1724" s="10" t="inlineStr">
        <is>
          <t>model BW7300A</t>
        </is>
      </c>
      <c r="Q1724" s="277" t="n">
        <v>1</v>
      </c>
      <c r="R1724" s="5" t="inlineStr">
        <is>
          <t>PCS.</t>
        </is>
      </c>
      <c r="S1724" s="284">
        <f>RawDataGenPO[[#This Row],[Total price]]/RawDataGenPO[[#This Row],[Qty'']]</f>
        <v/>
      </c>
      <c r="T1724" s="278" t="n">
        <v>2500</v>
      </c>
      <c r="U1724" s="291" t="n"/>
      <c r="V1724" s="7" t="inlineStr">
        <is>
          <t>V1000556 - Team Safety Sales Co., Ltd.</t>
        </is>
      </c>
      <c r="W1724" s="30" t="inlineStr">
        <is>
          <t>Recive bill and GRN already</t>
        </is>
      </c>
      <c r="X1724" s="5" t="inlineStr">
        <is>
          <t>GRN2526-0006102</t>
        </is>
      </c>
      <c r="Z1724" s="23" t="n"/>
      <c r="AA1724" s="17">
        <f>IF(RawDataGenPO[[#This Row],[Date Gen PO]]="","",RawDataGenPO[[#This Row],[Date recive bill]]-RawDataGenPO[[#This Row],[Date Gen PO]])</f>
        <v/>
      </c>
      <c r="AB1724" s="16">
        <f>IF(RawDataGenPO[[#This Row],[GRN-PO date]]&gt;RawDataGenPO[[#This Row],[Lead time delivery (day)]],"over deliverry","Ontime")</f>
        <v/>
      </c>
      <c r="AC1724" s="22" t="n"/>
    </row>
    <row r="1725" ht="30" customHeight="1">
      <c r="A1725" s="5">
        <f>ROW()-ROW(RawDataGenPO[[#Headers],[No.]])</f>
        <v/>
      </c>
      <c r="B1725" s="29" t="inlineStr">
        <is>
          <t>Expent  cost</t>
        </is>
      </c>
      <c r="C1725" s="373" t="n"/>
      <c r="D1725" s="374" t="n"/>
      <c r="E1725" s="374" t="n"/>
      <c r="F1725" s="281" t="n">
        <v>45986</v>
      </c>
      <c r="G1725" s="26" t="inlineStr">
        <is>
          <t>PR2526-03420</t>
        </is>
      </c>
      <c r="H1725" s="26" t="inlineStr">
        <is>
          <t>PO2526-04701</t>
        </is>
      </c>
      <c r="I1725" s="365" t="n">
        <v>45987</v>
      </c>
      <c r="J1725" s="26" t="n"/>
      <c r="K1725" s="44" t="n">
        <v>60</v>
      </c>
      <c r="L1725" s="26" t="inlineStr">
        <is>
          <t>SFST81000048</t>
        </is>
      </c>
      <c r="M1725" s="29" t="inlineStr">
        <is>
          <t>PD Machine</t>
        </is>
      </c>
      <c r="N1725" s="29" t="inlineStr">
        <is>
          <t>Machine Spare part</t>
        </is>
      </c>
      <c r="O1725" s="43" t="n">
        <v>1</v>
      </c>
      <c r="P1725" s="42" t="inlineStr">
        <is>
          <t>"TAIYI" Belt Cutting Machine Model: TS-168 S/N: 10-049PP
"TAIYI" TS-170-2WSET Two Wing Blade Set For TS-168</t>
        </is>
      </c>
      <c r="Q1725" s="323" t="n">
        <v>1</v>
      </c>
      <c r="R1725" s="26" t="inlineStr">
        <is>
          <t>SET</t>
        </is>
      </c>
      <c r="S1725" s="292">
        <f>RawDataGenPO[[#This Row],[Total price]]/RawDataGenPO[[#This Row],[Qty'']]</f>
        <v/>
      </c>
      <c r="T1725" s="324" t="n">
        <v>20000</v>
      </c>
      <c r="U1725" s="325" t="n"/>
      <c r="V1725" s="29" t="inlineStr">
        <is>
          <t>V1000452 - SRIPIPAT ENGINEERING CO.,LTD.</t>
        </is>
      </c>
      <c r="W1725" s="30" t="inlineStr">
        <is>
          <t>Recive bill and GRN already</t>
        </is>
      </c>
      <c r="X1725" s="26" t="inlineStr">
        <is>
          <t>GRN2526-0006428</t>
        </is>
      </c>
      <c r="Y1725" s="23" t="n">
        <v>46013</v>
      </c>
      <c r="Z1725" s="23" t="n"/>
      <c r="AA1725" s="37">
        <f>IF(RawDataGenPO[[#This Row],[Date Gen PO]]="","",RawDataGenPO[[#This Row],[Date recive bill]]-RawDataGenPO[[#This Row],[Date Gen PO]])</f>
        <v/>
      </c>
      <c r="AB1725" s="36">
        <f>IF(RawDataGenPO[[#This Row],[GRN-PO date]]&gt;RawDataGenPO[[#This Row],[Lead time delivery (day)]],"over deliverry","Ontime")</f>
        <v/>
      </c>
      <c r="AC1725" s="35" t="n"/>
    </row>
    <row r="1726" ht="15" customHeight="1">
      <c r="A1726" s="5">
        <f>ROW()-ROW(RawDataGenPO[[#Headers],[No.]])</f>
        <v/>
      </c>
      <c r="B1726" s="29" t="inlineStr">
        <is>
          <t>Expent  cost</t>
        </is>
      </c>
      <c r="C1726" s="373" t="n"/>
      <c r="D1726" s="374" t="n"/>
      <c r="E1726" s="374" t="n"/>
      <c r="F1726" s="281" t="n">
        <v>45986</v>
      </c>
      <c r="G1726" s="5" t="inlineStr">
        <is>
          <t>PR2526-03421</t>
        </is>
      </c>
      <c r="H1726" s="5" t="inlineStr">
        <is>
          <t>PO2526-04711</t>
        </is>
      </c>
      <c r="I1726" s="286" t="n">
        <v>45988</v>
      </c>
      <c r="J1726" s="26" t="n"/>
      <c r="K1726" s="20" t="n">
        <v>60</v>
      </c>
      <c r="L1726" s="26" t="inlineStr">
        <is>
          <t>SFST81000048</t>
        </is>
      </c>
      <c r="M1726" s="29" t="inlineStr">
        <is>
          <t>PD Machine</t>
        </is>
      </c>
      <c r="N1726" s="29" t="inlineStr">
        <is>
          <t>Machine Spare part</t>
        </is>
      </c>
      <c r="O1726" s="11" t="n">
        <v>1</v>
      </c>
      <c r="P1726" s="10" t="inlineStr">
        <is>
          <t>ABB TF-42-10 Thermal Overload Relay 1NO+1NC, 3P, (7.60-10.00A)</t>
        </is>
      </c>
      <c r="Q1726" s="277" t="n">
        <v>2</v>
      </c>
      <c r="R1726" s="5" t="inlineStr">
        <is>
          <t>PCS.</t>
        </is>
      </c>
      <c r="S1726" s="284">
        <f>RawDataGenPO[[#This Row],[Total price]]/RawDataGenPO[[#This Row],[Qty'']]</f>
        <v/>
      </c>
      <c r="T1726" s="278" t="n">
        <v>1018</v>
      </c>
      <c r="U1726" s="291" t="n"/>
      <c r="V1726" s="7" t="inlineStr">
        <is>
          <t>V1000481 - Company JW Tech Ltd.</t>
        </is>
      </c>
      <c r="W1726" s="30" t="inlineStr">
        <is>
          <t>Recive bill and GRN already</t>
        </is>
      </c>
      <c r="X1726" s="5" t="inlineStr">
        <is>
          <t>GRN2526-0005917</t>
        </is>
      </c>
      <c r="Y1726" s="3" t="n">
        <v>46003</v>
      </c>
      <c r="Z1726" s="23" t="n"/>
      <c r="AA1726" s="17">
        <f>IF(RawDataGenPO[[#This Row],[Date Gen PO]]="","",RawDataGenPO[[#This Row],[Date recive bill]]-RawDataGenPO[[#This Row],[Date Gen PO]])</f>
        <v/>
      </c>
      <c r="AB1726" s="16">
        <f>IF(RawDataGenPO[[#This Row],[GRN-PO date]]&gt;RawDataGenPO[[#This Row],[Lead time delivery (day)]],"over deliverry","Ontime")</f>
        <v/>
      </c>
      <c r="AC1726" s="22" t="n"/>
    </row>
    <row r="1727" ht="15" customHeight="1">
      <c r="A1727" s="5">
        <f>ROW()-ROW(RawDataGenPO[[#Headers],[No.]])</f>
        <v/>
      </c>
      <c r="B1727" s="29" t="inlineStr">
        <is>
          <t>Expent  cost</t>
        </is>
      </c>
      <c r="C1727" s="373" t="n"/>
      <c r="D1727" s="374" t="n"/>
      <c r="E1727" s="374" t="n"/>
      <c r="F1727" s="281" t="n">
        <v>45986</v>
      </c>
      <c r="G1727" s="5" t="inlineStr">
        <is>
          <t>PR2526-03421</t>
        </is>
      </c>
      <c r="H1727" s="5" t="inlineStr">
        <is>
          <t>PO2526-04711</t>
        </is>
      </c>
      <c r="I1727" s="286" t="n">
        <v>45988</v>
      </c>
      <c r="J1727" s="26" t="n"/>
      <c r="K1727" s="20" t="n">
        <v>60</v>
      </c>
      <c r="L1727" s="26" t="inlineStr">
        <is>
          <t>SFST81000048</t>
        </is>
      </c>
      <c r="M1727" s="29" t="inlineStr">
        <is>
          <t>PD Machine</t>
        </is>
      </c>
      <c r="N1727" s="29" t="inlineStr">
        <is>
          <t>Machine Spare part</t>
        </is>
      </c>
      <c r="O1727" s="11" t="n">
        <v>2</v>
      </c>
      <c r="P1727" s="10" t="inlineStr">
        <is>
          <t>ABB TF-42-0.55 Thermal Overload Relay 3P, (0.41 -0.55A)</t>
        </is>
      </c>
      <c r="Q1727" s="277" t="n">
        <v>2</v>
      </c>
      <c r="R1727" s="5" t="inlineStr">
        <is>
          <t>PCS.</t>
        </is>
      </c>
      <c r="S1727" s="284">
        <f>RawDataGenPO[[#This Row],[Total price]]/RawDataGenPO[[#This Row],[Qty'']]</f>
        <v/>
      </c>
      <c r="T1727" s="278" t="n">
        <v>1170</v>
      </c>
      <c r="U1727" s="291" t="n"/>
      <c r="V1727" s="7" t="inlineStr">
        <is>
          <t>V1000481 - Company JW Tech Ltd.</t>
        </is>
      </c>
      <c r="W1727" s="30" t="inlineStr">
        <is>
          <t>Recive bill and GRN already</t>
        </is>
      </c>
      <c r="X1727" s="5" t="inlineStr">
        <is>
          <t>GRN2526-0005917</t>
        </is>
      </c>
      <c r="Y1727" s="3" t="n">
        <v>46003</v>
      </c>
      <c r="Z1727" s="23" t="n"/>
      <c r="AA1727" s="17">
        <f>IF(RawDataGenPO[[#This Row],[Date Gen PO]]="","",RawDataGenPO[[#This Row],[Date recive bill]]-RawDataGenPO[[#This Row],[Date Gen PO]])</f>
        <v/>
      </c>
      <c r="AB1727" s="16">
        <f>IF(RawDataGenPO[[#This Row],[GRN-PO date]]&gt;RawDataGenPO[[#This Row],[Lead time delivery (day)]],"over deliverry","Ontime")</f>
        <v/>
      </c>
      <c r="AC1727" s="22" t="n"/>
    </row>
    <row r="1728" ht="15" customHeight="1">
      <c r="A1728" s="5">
        <f>ROW()-ROW(RawDataGenPO[[#Headers],[No.]])</f>
        <v/>
      </c>
      <c r="B1728" s="29" t="inlineStr">
        <is>
          <t>Expent  cost</t>
        </is>
      </c>
      <c r="C1728" s="373" t="n"/>
      <c r="D1728" s="374" t="n"/>
      <c r="E1728" s="374" t="n"/>
      <c r="F1728" s="281" t="n">
        <v>45986</v>
      </c>
      <c r="G1728" s="5" t="inlineStr">
        <is>
          <t>PR2526-03421</t>
        </is>
      </c>
      <c r="H1728" s="5" t="inlineStr">
        <is>
          <t>PO2526-04712</t>
        </is>
      </c>
      <c r="I1728" s="286" t="n">
        <v>45988</v>
      </c>
      <c r="J1728" s="26" t="n"/>
      <c r="K1728" s="20" t="n">
        <v>60</v>
      </c>
      <c r="L1728" s="26" t="inlineStr">
        <is>
          <t>SFST81000048</t>
        </is>
      </c>
      <c r="M1728" s="29" t="inlineStr">
        <is>
          <t>PD Machine</t>
        </is>
      </c>
      <c r="N1728" s="29" t="inlineStr">
        <is>
          <t>Machine Spare part</t>
        </is>
      </c>
      <c r="O1728" s="11" t="n">
        <v>3</v>
      </c>
      <c r="P1728" s="10" t="inlineStr">
        <is>
          <t>Abb Contactor AX18-30-10, Coil 24Vac.</t>
        </is>
      </c>
      <c r="Q1728" s="277" t="n">
        <v>4</v>
      </c>
      <c r="R1728" s="5" t="inlineStr">
        <is>
          <t>PCS.</t>
        </is>
      </c>
      <c r="S1728" s="284">
        <f>RawDataGenPO[[#This Row],[Total price]]/RawDataGenPO[[#This Row],[Qty'']]</f>
        <v/>
      </c>
      <c r="T1728" s="278" t="n">
        <v>5920</v>
      </c>
      <c r="U1728" s="291" t="n"/>
      <c r="V1728" s="7" t="inlineStr">
        <is>
          <t>V1000840 - S.Q. &amp; CO CO., LTD</t>
        </is>
      </c>
      <c r="W1728" s="30" t="inlineStr">
        <is>
          <t>Recive bill and GRN already</t>
        </is>
      </c>
      <c r="X1728" s="5" t="inlineStr">
        <is>
          <t>GRN2526-0005915</t>
        </is>
      </c>
      <c r="Y1728" s="3" t="n">
        <v>46003</v>
      </c>
      <c r="Z1728" s="23" t="n"/>
      <c r="AA1728" s="17">
        <f>IF(RawDataGenPO[[#This Row],[Date Gen PO]]="","",RawDataGenPO[[#This Row],[Date recive bill]]-RawDataGenPO[[#This Row],[Date Gen PO]])</f>
        <v/>
      </c>
      <c r="AB1728" s="16">
        <f>IF(RawDataGenPO[[#This Row],[GRN-PO date]]&gt;RawDataGenPO[[#This Row],[Lead time delivery (day)]],"over deliverry","Ontime")</f>
        <v/>
      </c>
      <c r="AC1728" s="22" t="n"/>
    </row>
    <row r="1729" ht="15" customHeight="1">
      <c r="A1729" s="5">
        <f>ROW()-ROW(RawDataGenPO[[#Headers],[No.]])</f>
        <v/>
      </c>
      <c r="B1729" s="29" t="inlineStr">
        <is>
          <t>Expent  cost</t>
        </is>
      </c>
      <c r="C1729" s="373" t="n"/>
      <c r="D1729" s="374" t="n"/>
      <c r="E1729" s="374" t="n"/>
      <c r="F1729" s="281" t="n">
        <v>45988</v>
      </c>
      <c r="G1729" s="5" t="inlineStr">
        <is>
          <t>PR2526-03470</t>
        </is>
      </c>
      <c r="H1729" s="5" t="inlineStr">
        <is>
          <t>PO2526-04950</t>
        </is>
      </c>
      <c r="I1729" s="286" t="n">
        <v>45997</v>
      </c>
      <c r="J1729" s="26" t="n"/>
      <c r="K1729" s="20" t="n">
        <v>30</v>
      </c>
      <c r="L1729" s="26" t="inlineStr">
        <is>
          <t>SFST81000048</t>
        </is>
      </c>
      <c r="M1729" s="29" t="inlineStr">
        <is>
          <t>PD Machine</t>
        </is>
      </c>
      <c r="N1729" s="7" t="inlineStr">
        <is>
          <t>X-Ray machine No.1</t>
        </is>
      </c>
      <c r="O1729" s="11" t="n">
        <v>1</v>
      </c>
      <c r="P1729" s="10" t="inlineStr">
        <is>
          <t>Service charge for checking X-Ray error</t>
        </is>
      </c>
      <c r="Q1729" s="277" t="n">
        <v>1</v>
      </c>
      <c r="R1729" s="5" t="inlineStr">
        <is>
          <t>JOB.</t>
        </is>
      </c>
      <c r="S1729" s="284">
        <f>RawDataGenPO[[#This Row],[Total price]]/RawDataGenPO[[#This Row],[Qty'']]</f>
        <v/>
      </c>
      <c r="T1729" s="278" t="n">
        <v>6500</v>
      </c>
      <c r="U1729" s="291" t="n"/>
      <c r="V1729" s="7" t="inlineStr">
        <is>
          <t>V1000097 - ISHIDA (THAILAND) CO.,LTD.</t>
        </is>
      </c>
      <c r="W1729" s="30" t="inlineStr">
        <is>
          <t>Recive bill and GRN already</t>
        </is>
      </c>
      <c r="X1729" s="5" t="inlineStr">
        <is>
          <t>GRN2526-0006624</t>
        </is>
      </c>
      <c r="Y1729" s="3" t="n">
        <v>46027</v>
      </c>
      <c r="Z1729" s="23" t="n"/>
      <c r="AA1729" s="17">
        <f>IF(RawDataGenPO[[#This Row],[Date Gen PO]]="","",RawDataGenPO[[#This Row],[Date recive bill]]-RawDataGenPO[[#This Row],[Date Gen PO]])</f>
        <v/>
      </c>
      <c r="AB1729" s="16">
        <f>IF(RawDataGenPO[[#This Row],[GRN-PO date]]&gt;RawDataGenPO[[#This Row],[Lead time delivery (day)]],"over deliverry","Ontime")</f>
        <v/>
      </c>
      <c r="AC1729" s="22" t="n"/>
    </row>
    <row r="1730" ht="15" customHeight="1">
      <c r="A1730" s="5">
        <f>ROW()-ROW(RawDataGenPO[[#Headers],[No.]])</f>
        <v/>
      </c>
      <c r="B1730" s="29" t="inlineStr">
        <is>
          <t>Expent  cost</t>
        </is>
      </c>
      <c r="C1730" s="373" t="n"/>
      <c r="D1730" s="374" t="n"/>
      <c r="E1730" s="374" t="n"/>
      <c r="F1730" s="281" t="n">
        <v>45994</v>
      </c>
      <c r="G1730" s="5" t="inlineStr">
        <is>
          <t>PR2526-03553</t>
        </is>
      </c>
      <c r="H1730" s="5" t="inlineStr">
        <is>
          <t xml:space="preserve">PO2526-05003 </t>
        </is>
      </c>
      <c r="I1730" s="286" t="n">
        <v>46008</v>
      </c>
      <c r="J1730" s="26" t="n"/>
      <c r="K1730" s="20" t="n">
        <v>30</v>
      </c>
      <c r="L1730" s="5" t="inlineStr">
        <is>
          <t>SFST81000009</t>
        </is>
      </c>
      <c r="M1730" s="7" t="inlineStr">
        <is>
          <t>Consumable part for MN</t>
        </is>
      </c>
      <c r="N1730" s="7" t="inlineStr">
        <is>
          <t>Consumable part</t>
        </is>
      </c>
      <c r="O1730" s="11" t="n">
        <v>1</v>
      </c>
      <c r="P1730" s="10" t="inlineStr">
        <is>
          <t>elbow 90 degree size 2 inch</t>
        </is>
      </c>
      <c r="Q1730" s="277" t="n">
        <v>6</v>
      </c>
      <c r="R1730" s="5" t="inlineStr">
        <is>
          <t>PCS.</t>
        </is>
      </c>
      <c r="S1730" s="284">
        <f>RawDataGenPO[[#This Row],[Total price]]/RawDataGenPO[[#This Row],[Qty'']]</f>
        <v/>
      </c>
      <c r="T1730" s="278" t="n">
        <v>18</v>
      </c>
      <c r="U1730" s="291" t="n"/>
      <c r="V1730" s="7" t="inlineStr">
        <is>
          <t>V1000840 - S.Q. &amp; CO CO., LTD</t>
        </is>
      </c>
      <c r="W1730" s="30" t="inlineStr">
        <is>
          <t>Recive bill and GRN already</t>
        </is>
      </c>
      <c r="X1730" s="5" t="inlineStr">
        <is>
          <t>GRN2526-0006400</t>
        </is>
      </c>
      <c r="Y1730" s="3" t="n">
        <v>46013</v>
      </c>
      <c r="Z1730" s="23" t="n"/>
      <c r="AA1730" s="17">
        <f>IF(RawDataGenPO[[#This Row],[Date Gen PO]]="","",RawDataGenPO[[#This Row],[Date recive bill]]-RawDataGenPO[[#This Row],[Date Gen PO]])</f>
        <v/>
      </c>
      <c r="AB1730" s="16">
        <f>IF(RawDataGenPO[[#This Row],[GRN-PO date]]&gt;RawDataGenPO[[#This Row],[Lead time delivery (day)]],"over deliverry","Ontime")</f>
        <v/>
      </c>
      <c r="AC1730" s="22" t="n"/>
    </row>
    <row r="1731" ht="15" customHeight="1">
      <c r="A1731" s="5">
        <f>ROW()-ROW(RawDataGenPO[[#Headers],[No.]])</f>
        <v/>
      </c>
      <c r="B1731" s="29" t="inlineStr">
        <is>
          <t>Expent  cost</t>
        </is>
      </c>
      <c r="C1731" s="373" t="n"/>
      <c r="D1731" s="374" t="n"/>
      <c r="E1731" s="374" t="n"/>
      <c r="F1731" s="281" t="n">
        <v>45994</v>
      </c>
      <c r="G1731" s="5" t="inlineStr">
        <is>
          <t>PR2526-03553</t>
        </is>
      </c>
      <c r="H1731" s="5" t="inlineStr">
        <is>
          <t xml:space="preserve">PO2526-05003 </t>
        </is>
      </c>
      <c r="I1731" s="286" t="n">
        <v>46008</v>
      </c>
      <c r="J1731" s="26" t="n"/>
      <c r="K1731" s="20" t="n">
        <v>30</v>
      </c>
      <c r="L1731" s="5" t="inlineStr">
        <is>
          <t>SFST81000009</t>
        </is>
      </c>
      <c r="M1731" s="7" t="inlineStr">
        <is>
          <t>Consumable part for MN</t>
        </is>
      </c>
      <c r="N1731" s="7" t="inlineStr">
        <is>
          <t>Consumable part</t>
        </is>
      </c>
      <c r="O1731" s="11" t="n">
        <v>2</v>
      </c>
      <c r="P1731" s="10" t="inlineStr">
        <is>
          <t>elbow 90 female threadsize 1/2 inch</t>
        </is>
      </c>
      <c r="Q1731" s="277" t="n">
        <v>10</v>
      </c>
      <c r="R1731" s="5" t="inlineStr">
        <is>
          <t>PCS.</t>
        </is>
      </c>
      <c r="S1731" s="284">
        <f>RawDataGenPO[[#This Row],[Total price]]/RawDataGenPO[[#This Row],[Qty'']]</f>
        <v/>
      </c>
      <c r="T1731" s="278" t="n">
        <v>60</v>
      </c>
      <c r="U1731" s="291" t="n"/>
      <c r="V1731" s="7" t="inlineStr">
        <is>
          <t>V1000840 - S.Q. &amp; CO CO., LTD</t>
        </is>
      </c>
      <c r="W1731" s="30" t="inlineStr">
        <is>
          <t>Recive bill and GRN already</t>
        </is>
      </c>
      <c r="X1731" s="5" t="inlineStr">
        <is>
          <t>GRN2526-0006400</t>
        </is>
      </c>
      <c r="Y1731" s="3" t="n">
        <v>46013</v>
      </c>
      <c r="Z1731" s="23" t="n"/>
      <c r="AA1731" s="17">
        <f>IF(RawDataGenPO[[#This Row],[Date Gen PO]]="","",RawDataGenPO[[#This Row],[Date recive bill]]-RawDataGenPO[[#This Row],[Date Gen PO]])</f>
        <v/>
      </c>
      <c r="AB1731" s="16">
        <f>IF(RawDataGenPO[[#This Row],[GRN-PO date]]&gt;RawDataGenPO[[#This Row],[Lead time delivery (day)]],"over deliverry","Ontime")</f>
        <v/>
      </c>
      <c r="AC1731" s="22" t="n"/>
    </row>
    <row r="1732" ht="15" customHeight="1">
      <c r="A1732" s="5">
        <f>ROW()-ROW(RawDataGenPO[[#Headers],[No.]])</f>
        <v/>
      </c>
      <c r="B1732" s="29" t="inlineStr">
        <is>
          <t>Expent  cost</t>
        </is>
      </c>
      <c r="C1732" s="373" t="n"/>
      <c r="D1732" s="374" t="n"/>
      <c r="E1732" s="374" t="n"/>
      <c r="F1732" s="281" t="n">
        <v>45994</v>
      </c>
      <c r="G1732" s="5" t="inlineStr">
        <is>
          <t>PR2526-03553</t>
        </is>
      </c>
      <c r="H1732" s="5" t="inlineStr">
        <is>
          <t xml:space="preserve">PO2526-05003 </t>
        </is>
      </c>
      <c r="I1732" s="286" t="n">
        <v>46008</v>
      </c>
      <c r="J1732" s="26" t="n"/>
      <c r="K1732" s="20" t="n">
        <v>30</v>
      </c>
      <c r="L1732" s="5" t="inlineStr">
        <is>
          <t>SFST81000009</t>
        </is>
      </c>
      <c r="M1732" s="7" t="inlineStr">
        <is>
          <t>Consumable part for MN</t>
        </is>
      </c>
      <c r="N1732" s="7" t="inlineStr">
        <is>
          <t>Consumable part</t>
        </is>
      </c>
      <c r="O1732" s="11" t="n">
        <v>3</v>
      </c>
      <c r="P1732" s="10" t="inlineStr">
        <is>
          <t>tapm 1/2 inch (4 buhn)</t>
        </is>
      </c>
      <c r="Q1732" s="277" t="n">
        <v>6</v>
      </c>
      <c r="R1732" s="5" t="inlineStr">
        <is>
          <t>PCS.</t>
        </is>
      </c>
      <c r="S1732" s="284">
        <f>RawDataGenPO[[#This Row],[Total price]]/RawDataGenPO[[#This Row],[Qty'']]</f>
        <v/>
      </c>
      <c r="T1732" s="278" t="n">
        <v>1290</v>
      </c>
      <c r="U1732" s="291" t="n"/>
      <c r="V1732" s="7" t="inlineStr">
        <is>
          <t>V1000840 - S.Q. &amp; CO CO., LTD</t>
        </is>
      </c>
      <c r="W1732" s="30" t="inlineStr">
        <is>
          <t>Recive bill and GRN already</t>
        </is>
      </c>
      <c r="X1732" s="5" t="inlineStr">
        <is>
          <t>GRN2526-0006400</t>
        </is>
      </c>
      <c r="Y1732" s="3" t="n">
        <v>46013</v>
      </c>
      <c r="Z1732" s="23" t="n"/>
      <c r="AA1732" s="17">
        <f>IF(RawDataGenPO[[#This Row],[Date Gen PO]]="","",RawDataGenPO[[#This Row],[Date recive bill]]-RawDataGenPO[[#This Row],[Date Gen PO]])</f>
        <v/>
      </c>
      <c r="AB1732" s="16">
        <f>IF(RawDataGenPO[[#This Row],[GRN-PO date]]&gt;RawDataGenPO[[#This Row],[Lead time delivery (day)]],"over deliverry","Ontime")</f>
        <v/>
      </c>
      <c r="AC1732" s="22" t="n"/>
    </row>
    <row r="1733" ht="15" customHeight="1">
      <c r="A1733" s="5">
        <f>ROW()-ROW(RawDataGenPO[[#Headers],[No.]])</f>
        <v/>
      </c>
      <c r="B1733" s="29" t="inlineStr">
        <is>
          <t>Expent  cost</t>
        </is>
      </c>
      <c r="C1733" s="373" t="n"/>
      <c r="D1733" s="374" t="n"/>
      <c r="E1733" s="374" t="n"/>
      <c r="F1733" s="281" t="n">
        <v>45994</v>
      </c>
      <c r="G1733" s="5" t="inlineStr">
        <is>
          <t>PR2526-03553</t>
        </is>
      </c>
      <c r="H1733" s="5" t="inlineStr">
        <is>
          <t xml:space="preserve">PO2526-05003 </t>
        </is>
      </c>
      <c r="I1733" s="286" t="n">
        <v>46008</v>
      </c>
      <c r="J1733" s="26" t="n"/>
      <c r="K1733" s="20" t="n">
        <v>30</v>
      </c>
      <c r="L1733" s="5" t="inlineStr">
        <is>
          <t>SFST81000009</t>
        </is>
      </c>
      <c r="M1733" s="7" t="inlineStr">
        <is>
          <t>Consumable part for MN</t>
        </is>
      </c>
      <c r="N1733" s="7" t="inlineStr">
        <is>
          <t>Consumable part</t>
        </is>
      </c>
      <c r="O1733" s="11" t="n">
        <v>4</v>
      </c>
      <c r="P1733" s="10" t="inlineStr">
        <is>
          <t>fittingstraight couplingfemale thread PVC size 1 inch</t>
        </is>
      </c>
      <c r="Q1733" s="277" t="n">
        <v>6</v>
      </c>
      <c r="R1733" s="5" t="inlineStr">
        <is>
          <t>PCS.</t>
        </is>
      </c>
      <c r="S1733" s="284">
        <f>RawDataGenPO[[#This Row],[Total price]]/RawDataGenPO[[#This Row],[Qty'']]</f>
        <v/>
      </c>
      <c r="T1733" s="278" t="n">
        <v>48</v>
      </c>
      <c r="U1733" s="291" t="n"/>
      <c r="V1733" s="7" t="inlineStr">
        <is>
          <t>V1000840 - S.Q. &amp; CO CO., LTD</t>
        </is>
      </c>
      <c r="W1733" s="30" t="inlineStr">
        <is>
          <t>Recive bill and GRN already</t>
        </is>
      </c>
      <c r="X1733" s="5" t="inlineStr">
        <is>
          <t>GRN2526-0006400</t>
        </is>
      </c>
      <c r="Y1733" s="3" t="n">
        <v>46013</v>
      </c>
      <c r="Z1733" s="23" t="n"/>
      <c r="AA1733" s="17">
        <f>IF(RawDataGenPO[[#This Row],[Date Gen PO]]="","",RawDataGenPO[[#This Row],[Date recive bill]]-RawDataGenPO[[#This Row],[Date Gen PO]])</f>
        <v/>
      </c>
      <c r="AB1733" s="16">
        <f>IF(RawDataGenPO[[#This Row],[GRN-PO date]]&gt;RawDataGenPO[[#This Row],[Lead time delivery (day)]],"over deliverry","Ontime")</f>
        <v/>
      </c>
      <c r="AC1733" s="22" t="n"/>
    </row>
    <row r="1734" ht="15" customHeight="1">
      <c r="A1734" s="5">
        <f>ROW()-ROW(RawDataGenPO[[#Headers],[No.]])</f>
        <v/>
      </c>
      <c r="B1734" s="29" t="inlineStr">
        <is>
          <t>Expent  cost</t>
        </is>
      </c>
      <c r="C1734" s="373" t="n"/>
      <c r="D1734" s="374" t="n"/>
      <c r="E1734" s="374" t="n"/>
      <c r="F1734" s="281" t="n">
        <v>45994</v>
      </c>
      <c r="G1734" s="5" t="inlineStr">
        <is>
          <t>PR2526-03553</t>
        </is>
      </c>
      <c r="H1734" s="5" t="inlineStr">
        <is>
          <t xml:space="preserve">PO2526-05003 </t>
        </is>
      </c>
      <c r="I1734" s="286" t="n">
        <v>46008</v>
      </c>
      <c r="J1734" s="26" t="n"/>
      <c r="K1734" s="20" t="n">
        <v>30</v>
      </c>
      <c r="L1734" s="5" t="inlineStr">
        <is>
          <t>SFST81000009</t>
        </is>
      </c>
      <c r="M1734" s="7" t="inlineStr">
        <is>
          <t>Consumable part for MN</t>
        </is>
      </c>
      <c r="N1734" s="7" t="inlineStr">
        <is>
          <t>Consumable part</t>
        </is>
      </c>
      <c r="O1734" s="11" t="n">
        <v>5</v>
      </c>
      <c r="P1734" s="10" t="inlineStr">
        <is>
          <t>fittingstraight couplingfemale thread PVC size 1.1/2 inch</t>
        </is>
      </c>
      <c r="Q1734" s="277" t="n">
        <v>6</v>
      </c>
      <c r="R1734" s="5" t="inlineStr">
        <is>
          <t>PCS.</t>
        </is>
      </c>
      <c r="S1734" s="284">
        <f>RawDataGenPO[[#This Row],[Total price]]/RawDataGenPO[[#This Row],[Qty'']]</f>
        <v/>
      </c>
      <c r="T1734" s="278" t="n">
        <v>108</v>
      </c>
      <c r="U1734" s="291" t="n"/>
      <c r="V1734" s="7" t="inlineStr">
        <is>
          <t>V1000840 - S.Q. &amp; CO CO., LTD</t>
        </is>
      </c>
      <c r="W1734" s="30" t="inlineStr">
        <is>
          <t>Recive bill and GRN already</t>
        </is>
      </c>
      <c r="X1734" s="5" t="inlineStr">
        <is>
          <t>GRN2526-0006400</t>
        </is>
      </c>
      <c r="Y1734" s="3" t="n">
        <v>46013</v>
      </c>
      <c r="Z1734" s="23" t="n"/>
      <c r="AA1734" s="17">
        <f>IF(RawDataGenPO[[#This Row],[Date Gen PO]]="","",RawDataGenPO[[#This Row],[Date recive bill]]-RawDataGenPO[[#This Row],[Date Gen PO]])</f>
        <v/>
      </c>
      <c r="AB1734" s="16">
        <f>IF(RawDataGenPO[[#This Row],[GRN-PO date]]&gt;RawDataGenPO[[#This Row],[Lead time delivery (day)]],"over deliverry","Ontime")</f>
        <v/>
      </c>
      <c r="AC1734" s="22" t="n"/>
    </row>
    <row r="1735" ht="15" customHeight="1">
      <c r="A1735" s="5">
        <f>ROW()-ROW(RawDataGenPO[[#Headers],[No.]])</f>
        <v/>
      </c>
      <c r="B1735" s="29" t="inlineStr">
        <is>
          <t>Expent  cost</t>
        </is>
      </c>
      <c r="C1735" s="373" t="n"/>
      <c r="D1735" s="374" t="n"/>
      <c r="E1735" s="374" t="n"/>
      <c r="F1735" s="281" t="n">
        <v>45994</v>
      </c>
      <c r="G1735" s="5" t="inlineStr">
        <is>
          <t>PR2526-03553</t>
        </is>
      </c>
      <c r="H1735" s="5" t="inlineStr">
        <is>
          <t xml:space="preserve">PO2526-05003 </t>
        </is>
      </c>
      <c r="I1735" s="286" t="n">
        <v>46008</v>
      </c>
      <c r="J1735" s="26" t="n"/>
      <c r="K1735" s="20" t="n">
        <v>30</v>
      </c>
      <c r="L1735" s="5" t="inlineStr">
        <is>
          <t>SFST81000009</t>
        </is>
      </c>
      <c r="M1735" s="7" t="inlineStr">
        <is>
          <t>Consumable part for MN</t>
        </is>
      </c>
      <c r="N1735" s="7" t="inlineStr">
        <is>
          <t>Consumable part</t>
        </is>
      </c>
      <c r="O1735" s="11" t="n">
        <v>6</v>
      </c>
      <c r="P1735" s="10" t="inlineStr">
        <is>
          <t>fittingstraight coupling size 3 inch</t>
        </is>
      </c>
      <c r="Q1735" s="277" t="n">
        <v>4</v>
      </c>
      <c r="R1735" s="5" t="inlineStr">
        <is>
          <t>PCS.</t>
        </is>
      </c>
      <c r="S1735" s="284">
        <f>RawDataGenPO[[#This Row],[Total price]]/RawDataGenPO[[#This Row],[Qty'']]</f>
        <v/>
      </c>
      <c r="T1735" s="278" t="n">
        <v>204</v>
      </c>
      <c r="U1735" s="291" t="n"/>
      <c r="V1735" s="7" t="inlineStr">
        <is>
          <t>V1000840 - S.Q. &amp; CO CO., LTD</t>
        </is>
      </c>
      <c r="W1735" s="30" t="inlineStr">
        <is>
          <t>Recive bill and GRN already</t>
        </is>
      </c>
      <c r="X1735" s="5" t="inlineStr">
        <is>
          <t>GRN2526-0006400</t>
        </is>
      </c>
      <c r="Y1735" s="3" t="n">
        <v>46013</v>
      </c>
      <c r="Z1735" s="23" t="n"/>
      <c r="AA1735" s="17">
        <f>IF(RawDataGenPO[[#This Row],[Date Gen PO]]="","",RawDataGenPO[[#This Row],[Date recive bill]]-RawDataGenPO[[#This Row],[Date Gen PO]])</f>
        <v/>
      </c>
      <c r="AB1735" s="16">
        <f>IF(RawDataGenPO[[#This Row],[GRN-PO date]]&gt;RawDataGenPO[[#This Row],[Lead time delivery (day)]],"over deliverry","Ontime")</f>
        <v/>
      </c>
      <c r="AC1735" s="22" t="n"/>
    </row>
    <row r="1736" ht="15" customHeight="1">
      <c r="A1736" s="5">
        <f>ROW()-ROW(RawDataGenPO[[#Headers],[No.]])</f>
        <v/>
      </c>
      <c r="B1736" s="29" t="inlineStr">
        <is>
          <t>Expent  cost</t>
        </is>
      </c>
      <c r="C1736" s="373" t="n"/>
      <c r="D1736" s="374" t="n"/>
      <c r="E1736" s="374" t="n"/>
      <c r="F1736" s="281" t="n">
        <v>45994</v>
      </c>
      <c r="G1736" s="5" t="inlineStr">
        <is>
          <t>PR2526-03553</t>
        </is>
      </c>
      <c r="H1736" s="5" t="inlineStr">
        <is>
          <t xml:space="preserve">PO2526-05003 </t>
        </is>
      </c>
      <c r="I1736" s="286" t="n">
        <v>46008</v>
      </c>
      <c r="J1736" s="26" t="n"/>
      <c r="K1736" s="20" t="n">
        <v>30</v>
      </c>
      <c r="L1736" s="5" t="inlineStr">
        <is>
          <t>SFST81000009</t>
        </is>
      </c>
      <c r="M1736" s="7" t="inlineStr">
        <is>
          <t>Consumable part for MN</t>
        </is>
      </c>
      <c r="N1736" s="7" t="inlineStr">
        <is>
          <t>Consumable part</t>
        </is>
      </c>
      <c r="O1736" s="11" t="n">
        <v>7</v>
      </c>
      <c r="P1736" s="10" t="inlineStr">
        <is>
          <t>fittingstraight coupling size 2 inch</t>
        </is>
      </c>
      <c r="Q1736" s="277" t="n">
        <v>6</v>
      </c>
      <c r="R1736" s="5" t="inlineStr">
        <is>
          <t>PCS.</t>
        </is>
      </c>
      <c r="S1736" s="284">
        <f>RawDataGenPO[[#This Row],[Total price]]/RawDataGenPO[[#This Row],[Qty'']]</f>
        <v/>
      </c>
      <c r="T1736" s="278" t="n">
        <v>114</v>
      </c>
      <c r="U1736" s="291" t="n"/>
      <c r="V1736" s="7" t="inlineStr">
        <is>
          <t>V1000840 - S.Q. &amp; CO CO., LTD</t>
        </is>
      </c>
      <c r="W1736" s="30" t="inlineStr">
        <is>
          <t>Recive bill and GRN already</t>
        </is>
      </c>
      <c r="X1736" s="5" t="inlineStr">
        <is>
          <t>GRN2526-0006400</t>
        </is>
      </c>
      <c r="Y1736" s="3" t="n">
        <v>46013</v>
      </c>
      <c r="Z1736" s="23" t="n"/>
      <c r="AA1736" s="17">
        <f>IF(RawDataGenPO[[#This Row],[Date Gen PO]]="","",RawDataGenPO[[#This Row],[Date recive bill]]-RawDataGenPO[[#This Row],[Date Gen PO]])</f>
        <v/>
      </c>
      <c r="AB1736" s="16">
        <f>IF(RawDataGenPO[[#This Row],[GRN-PO date]]&gt;RawDataGenPO[[#This Row],[Lead time delivery (day)]],"over deliverry","Ontime")</f>
        <v/>
      </c>
      <c r="AC1736" s="22" t="n"/>
    </row>
    <row r="1737" ht="15" customHeight="1">
      <c r="A1737" s="5">
        <f>ROW()-ROW(RawDataGenPO[[#Headers],[No.]])</f>
        <v/>
      </c>
      <c r="B1737" s="29" t="inlineStr">
        <is>
          <t>Expent  cost</t>
        </is>
      </c>
      <c r="C1737" s="373" t="n"/>
      <c r="D1737" s="374" t="n"/>
      <c r="E1737" s="374" t="n"/>
      <c r="F1737" s="281" t="n">
        <v>45994</v>
      </c>
      <c r="G1737" s="5" t="inlineStr">
        <is>
          <t>PR2526-03553</t>
        </is>
      </c>
      <c r="H1737" s="5" t="inlineStr">
        <is>
          <t xml:space="preserve">PO2526-05003 </t>
        </is>
      </c>
      <c r="I1737" s="286" t="n">
        <v>46008</v>
      </c>
      <c r="J1737" s="26" t="n"/>
      <c r="K1737" s="20" t="n">
        <v>30</v>
      </c>
      <c r="L1737" s="5" t="inlineStr">
        <is>
          <t>SFST81000009</t>
        </is>
      </c>
      <c r="M1737" s="7" t="inlineStr">
        <is>
          <t>Consumable part for MN</t>
        </is>
      </c>
      <c r="N1737" s="7" t="inlineStr">
        <is>
          <t>Consumable part</t>
        </is>
      </c>
      <c r="O1737" s="11" t="n">
        <v>8</v>
      </c>
      <c r="P1737" s="10" t="inlineStr">
        <is>
          <t>fittingreducing 1 inch reducing 1/2 inch</t>
        </is>
      </c>
      <c r="Q1737" s="277" t="n">
        <v>4</v>
      </c>
      <c r="R1737" s="5" t="inlineStr">
        <is>
          <t>PCS.</t>
        </is>
      </c>
      <c r="S1737" s="284">
        <f>RawDataGenPO[[#This Row],[Total price]]/RawDataGenPO[[#This Row],[Qty'']]</f>
        <v/>
      </c>
      <c r="T1737" s="278" t="n">
        <v>28</v>
      </c>
      <c r="U1737" s="291" t="n"/>
      <c r="V1737" s="7" t="inlineStr">
        <is>
          <t>V1000840 - S.Q. &amp; CO CO., LTD</t>
        </is>
      </c>
      <c r="W1737" s="30" t="inlineStr">
        <is>
          <t>Recive bill and GRN already</t>
        </is>
      </c>
      <c r="X1737" s="5" t="inlineStr">
        <is>
          <t>GRN2526-0006400</t>
        </is>
      </c>
      <c r="Y1737" s="3" t="n">
        <v>46013</v>
      </c>
      <c r="Z1737" s="23" t="n"/>
      <c r="AA1737" s="17">
        <f>IF(RawDataGenPO[[#This Row],[Date Gen PO]]="","",RawDataGenPO[[#This Row],[Date recive bill]]-RawDataGenPO[[#This Row],[Date Gen PO]])</f>
        <v/>
      </c>
      <c r="AB1737" s="16">
        <f>IF(RawDataGenPO[[#This Row],[GRN-PO date]]&gt;RawDataGenPO[[#This Row],[Lead time delivery (day)]],"over deliverry","Ontime")</f>
        <v/>
      </c>
      <c r="AC1737" s="22" t="n"/>
    </row>
    <row r="1738" ht="15" customHeight="1">
      <c r="A1738" s="5">
        <f>ROW()-ROW(RawDataGenPO[[#Headers],[No.]])</f>
        <v/>
      </c>
      <c r="B1738" s="29" t="inlineStr">
        <is>
          <t>Expent  cost</t>
        </is>
      </c>
      <c r="C1738" s="373" t="n"/>
      <c r="D1738" s="374" t="n"/>
      <c r="E1738" s="374" t="n"/>
      <c r="F1738" s="281" t="n">
        <v>45994</v>
      </c>
      <c r="G1738" s="5" t="inlineStr">
        <is>
          <t>PR2526-03553</t>
        </is>
      </c>
      <c r="H1738" s="5" t="inlineStr">
        <is>
          <t xml:space="preserve">PO2526-05003 </t>
        </is>
      </c>
      <c r="I1738" s="286" t="n">
        <v>46008</v>
      </c>
      <c r="J1738" s="26" t="n"/>
      <c r="K1738" s="20" t="n">
        <v>30</v>
      </c>
      <c r="L1738" s="5" t="inlineStr">
        <is>
          <t>SFST81000009</t>
        </is>
      </c>
      <c r="M1738" s="7" t="inlineStr">
        <is>
          <t>Consumable part for MN</t>
        </is>
      </c>
      <c r="N1738" s="7" t="inlineStr">
        <is>
          <t>Consumable part</t>
        </is>
      </c>
      <c r="O1738" s="11" t="n">
        <v>9</v>
      </c>
      <c r="P1738" s="10" t="inlineStr">
        <is>
          <t>fittingreducing 3 inch reducing 2.1/2 inch</t>
        </is>
      </c>
      <c r="Q1738" s="277" t="n">
        <v>4</v>
      </c>
      <c r="R1738" s="5" t="inlineStr">
        <is>
          <t>PCS.</t>
        </is>
      </c>
      <c r="S1738" s="284">
        <f>RawDataGenPO[[#This Row],[Total price]]/RawDataGenPO[[#This Row],[Qty'']]</f>
        <v/>
      </c>
      <c r="T1738" s="278" t="n">
        <v>272</v>
      </c>
      <c r="U1738" s="291" t="n"/>
      <c r="V1738" s="7" t="inlineStr">
        <is>
          <t>V1000840 - S.Q. &amp; CO CO., LTD</t>
        </is>
      </c>
      <c r="W1738" s="30" t="inlineStr">
        <is>
          <t>Recive bill and GRN already</t>
        </is>
      </c>
      <c r="X1738" s="5" t="inlineStr">
        <is>
          <t>GRN2526-0006400</t>
        </is>
      </c>
      <c r="Y1738" s="3" t="n">
        <v>46013</v>
      </c>
      <c r="Z1738" s="23" t="n"/>
      <c r="AA1738" s="17">
        <f>IF(RawDataGenPO[[#This Row],[Date Gen PO]]="","",RawDataGenPO[[#This Row],[Date recive bill]]-RawDataGenPO[[#This Row],[Date Gen PO]])</f>
        <v/>
      </c>
      <c r="AB1738" s="16">
        <f>IF(RawDataGenPO[[#This Row],[GRN-PO date]]&gt;RawDataGenPO[[#This Row],[Lead time delivery (day)]],"over deliverry","Ontime")</f>
        <v/>
      </c>
      <c r="AC1738" s="22" t="n"/>
    </row>
    <row r="1739" ht="15" customHeight="1">
      <c r="A1739" s="5">
        <f>ROW()-ROW(RawDataGenPO[[#Headers],[No.]])</f>
        <v/>
      </c>
      <c r="B1739" s="29" t="inlineStr">
        <is>
          <t>Expent  cost</t>
        </is>
      </c>
      <c r="C1739" s="373" t="n"/>
      <c r="D1739" s="374" t="n"/>
      <c r="E1739" s="374" t="n"/>
      <c r="F1739" s="281" t="n">
        <v>45994</v>
      </c>
      <c r="G1739" s="5" t="inlineStr">
        <is>
          <t>PR2526-03553</t>
        </is>
      </c>
      <c r="H1739" s="5" t="inlineStr">
        <is>
          <t xml:space="preserve">PO2526-05003 </t>
        </is>
      </c>
      <c r="I1739" s="286" t="n">
        <v>46008</v>
      </c>
      <c r="J1739" s="26" t="n"/>
      <c r="K1739" s="20" t="n">
        <v>30</v>
      </c>
      <c r="L1739" s="5" t="inlineStr">
        <is>
          <t>SFST81000009</t>
        </is>
      </c>
      <c r="M1739" s="7" t="inlineStr">
        <is>
          <t>Consumable part for MN</t>
        </is>
      </c>
      <c r="N1739" s="7" t="inlineStr">
        <is>
          <t>Consumable part</t>
        </is>
      </c>
      <c r="O1739" s="11" t="n">
        <v>10</v>
      </c>
      <c r="P1739" s="10" t="inlineStr">
        <is>
          <t>ball valve PVC size 1 inch</t>
        </is>
      </c>
      <c r="Q1739" s="277" t="n">
        <v>4</v>
      </c>
      <c r="R1739" s="5" t="inlineStr">
        <is>
          <t>PCS.</t>
        </is>
      </c>
      <c r="S1739" s="284">
        <f>RawDataGenPO[[#This Row],[Total price]]/RawDataGenPO[[#This Row],[Qty'']]</f>
        <v/>
      </c>
      <c r="T1739" s="278" t="n">
        <v>236</v>
      </c>
      <c r="U1739" s="291" t="n"/>
      <c r="V1739" s="7" t="inlineStr">
        <is>
          <t>V1000840 - S.Q. &amp; CO CO., LTD</t>
        </is>
      </c>
      <c r="W1739" s="30" t="inlineStr">
        <is>
          <t>Recive bill and GRN already</t>
        </is>
      </c>
      <c r="X1739" s="5" t="inlineStr">
        <is>
          <t>GRN2526-0006400</t>
        </is>
      </c>
      <c r="Y1739" s="3" t="n">
        <v>46013</v>
      </c>
      <c r="Z1739" s="23" t="n"/>
      <c r="AA1739" s="17">
        <f>IF(RawDataGenPO[[#This Row],[Date Gen PO]]="","",RawDataGenPO[[#This Row],[Date recive bill]]-RawDataGenPO[[#This Row],[Date Gen PO]])</f>
        <v/>
      </c>
      <c r="AB1739" s="16">
        <f>IF(RawDataGenPO[[#This Row],[GRN-PO date]]&gt;RawDataGenPO[[#This Row],[Lead time delivery (day)]],"over deliverry","Ontime")</f>
        <v/>
      </c>
      <c r="AC1739" s="22" t="n"/>
    </row>
    <row r="1740" ht="15" customHeight="1">
      <c r="A1740" s="5">
        <f>ROW()-ROW(RawDataGenPO[[#Headers],[No.]])</f>
        <v/>
      </c>
      <c r="B1740" s="29" t="inlineStr">
        <is>
          <t>Expent  cost</t>
        </is>
      </c>
      <c r="C1740" s="373" t="n"/>
      <c r="D1740" s="374" t="n"/>
      <c r="E1740" s="374" t="n"/>
      <c r="F1740" s="281" t="n">
        <v>45994</v>
      </c>
      <c r="G1740" s="5" t="inlineStr">
        <is>
          <t>PR2526-03553</t>
        </is>
      </c>
      <c r="H1740" s="5" t="inlineStr">
        <is>
          <t xml:space="preserve">PO2526-05003 </t>
        </is>
      </c>
      <c r="I1740" s="286" t="n">
        <v>46008</v>
      </c>
      <c r="J1740" s="26" t="n"/>
      <c r="K1740" s="20" t="n">
        <v>30</v>
      </c>
      <c r="L1740" s="5" t="inlineStr">
        <is>
          <t>SFST81000009</t>
        </is>
      </c>
      <c r="M1740" s="7" t="inlineStr">
        <is>
          <t>Consumable part for MN</t>
        </is>
      </c>
      <c r="N1740" s="7" t="inlineStr">
        <is>
          <t>Consumable part</t>
        </is>
      </c>
      <c r="O1740" s="11" t="n">
        <v>11</v>
      </c>
      <c r="P1740" s="10" t="inlineStr">
        <is>
          <t>ball valve PVC size 1.1/2 inch</t>
        </is>
      </c>
      <c r="Q1740" s="277" t="n">
        <v>4</v>
      </c>
      <c r="R1740" s="5" t="inlineStr">
        <is>
          <t>PCS.</t>
        </is>
      </c>
      <c r="S1740" s="284">
        <f>RawDataGenPO[[#This Row],[Total price]]/RawDataGenPO[[#This Row],[Qty'']]</f>
        <v/>
      </c>
      <c r="T1740" s="278" t="n">
        <v>540</v>
      </c>
      <c r="U1740" s="291" t="n"/>
      <c r="V1740" s="7" t="inlineStr">
        <is>
          <t>V1000840 - S.Q. &amp; CO CO., LTD</t>
        </is>
      </c>
      <c r="W1740" s="30" t="inlineStr">
        <is>
          <t>Recive bill and GRN already</t>
        </is>
      </c>
      <c r="X1740" s="5" t="inlineStr">
        <is>
          <t>GRN2526-0006400</t>
        </is>
      </c>
      <c r="Y1740" s="3" t="n">
        <v>46013</v>
      </c>
      <c r="Z1740" s="23" t="n"/>
      <c r="AA1740" s="17">
        <f>IF(RawDataGenPO[[#This Row],[Date Gen PO]]="","",RawDataGenPO[[#This Row],[Date recive bill]]-RawDataGenPO[[#This Row],[Date Gen PO]])</f>
        <v/>
      </c>
      <c r="AB1740" s="16">
        <f>IF(RawDataGenPO[[#This Row],[GRN-PO date]]&gt;RawDataGenPO[[#This Row],[Lead time delivery (day)]],"over deliverry","Ontime")</f>
        <v/>
      </c>
      <c r="AC1740" s="22" t="n"/>
    </row>
    <row r="1741" ht="15" customHeight="1">
      <c r="A1741" s="5">
        <f>ROW()-ROW(RawDataGenPO[[#Headers],[No.]])</f>
        <v/>
      </c>
      <c r="B1741" s="29" t="inlineStr">
        <is>
          <t>Expent  cost</t>
        </is>
      </c>
      <c r="C1741" s="373" t="n"/>
      <c r="D1741" s="374" t="n"/>
      <c r="E1741" s="374" t="n"/>
      <c r="F1741" s="281" t="n">
        <v>45994</v>
      </c>
      <c r="G1741" s="5" t="inlineStr">
        <is>
          <t>PR2526-03553</t>
        </is>
      </c>
      <c r="H1741" s="5" t="inlineStr">
        <is>
          <t xml:space="preserve">PO2526-05003 </t>
        </is>
      </c>
      <c r="I1741" s="286" t="n">
        <v>46008</v>
      </c>
      <c r="J1741" s="26" t="n"/>
      <c r="K1741" s="20" t="n">
        <v>30</v>
      </c>
      <c r="L1741" s="5" t="inlineStr">
        <is>
          <t>SFST81000009</t>
        </is>
      </c>
      <c r="M1741" s="7" t="inlineStr">
        <is>
          <t>Consumable part for MN</t>
        </is>
      </c>
      <c r="N1741" s="7" t="inlineStr">
        <is>
          <t>Consumable part</t>
        </is>
      </c>
      <c r="O1741" s="11" t="n">
        <v>12</v>
      </c>
      <c r="P1741" s="10" t="inlineStr">
        <is>
          <t>ball valve PVC size 2 inch</t>
        </is>
      </c>
      <c r="Q1741" s="277" t="n">
        <v>4</v>
      </c>
      <c r="R1741" s="5" t="inlineStr">
        <is>
          <t>PCS.</t>
        </is>
      </c>
      <c r="S1741" s="284">
        <f>RawDataGenPO[[#This Row],[Total price]]/RawDataGenPO[[#This Row],[Qty'']]</f>
        <v/>
      </c>
      <c r="T1741" s="278" t="n">
        <v>700</v>
      </c>
      <c r="U1741" s="291" t="n"/>
      <c r="V1741" s="7" t="inlineStr">
        <is>
          <t>V1000840 - S.Q. &amp; CO CO., LTD</t>
        </is>
      </c>
      <c r="W1741" s="30" t="inlineStr">
        <is>
          <t>Recive bill and GRN already</t>
        </is>
      </c>
      <c r="X1741" s="5" t="inlineStr">
        <is>
          <t>GRN2526-0006400</t>
        </is>
      </c>
      <c r="Y1741" s="3" t="n">
        <v>46013</v>
      </c>
      <c r="Z1741" s="23" t="n"/>
      <c r="AA1741" s="17">
        <f>IF(RawDataGenPO[[#This Row],[Date Gen PO]]="","",RawDataGenPO[[#This Row],[Date recive bill]]-RawDataGenPO[[#This Row],[Date Gen PO]])</f>
        <v/>
      </c>
      <c r="AB1741" s="16">
        <f>IF(RawDataGenPO[[#This Row],[GRN-PO date]]&gt;RawDataGenPO[[#This Row],[Lead time delivery (day)]],"over deliverry","Ontime")</f>
        <v/>
      </c>
      <c r="AC1741" s="22" t="n"/>
    </row>
    <row r="1742" ht="15" customHeight="1">
      <c r="A1742" s="5">
        <f>ROW()-ROW(RawDataGenPO[[#Headers],[No.]])</f>
        <v/>
      </c>
      <c r="B1742" s="29" t="inlineStr">
        <is>
          <t>Expent  cost</t>
        </is>
      </c>
      <c r="C1742" s="373" t="n"/>
      <c r="D1742" s="374" t="n"/>
      <c r="E1742" s="374" t="n"/>
      <c r="F1742" s="281" t="n">
        <v>45994</v>
      </c>
      <c r="G1742" s="5" t="inlineStr">
        <is>
          <t>PR2526-03553</t>
        </is>
      </c>
      <c r="H1742" s="5" t="inlineStr">
        <is>
          <t xml:space="preserve">PO2526-05003 </t>
        </is>
      </c>
      <c r="I1742" s="286" t="n">
        <v>46008</v>
      </c>
      <c r="J1742" s="26" t="n"/>
      <c r="K1742" s="20" t="n">
        <v>30</v>
      </c>
      <c r="L1742" s="5" t="inlineStr">
        <is>
          <t>SFST81000009</t>
        </is>
      </c>
      <c r="M1742" s="7" t="inlineStr">
        <is>
          <t>Consumable part for MN</t>
        </is>
      </c>
      <c r="N1742" s="7" t="inlineStr">
        <is>
          <t>Consumable part</t>
        </is>
      </c>
      <c r="O1742" s="11" t="n">
        <v>13</v>
      </c>
      <c r="P1742" s="10" t="inlineStr">
        <is>
          <t>PVC pipe size 3 inch length 4 m.</t>
        </is>
      </c>
      <c r="Q1742" s="277" t="n">
        <v>2</v>
      </c>
      <c r="R1742" s="5" t="inlineStr">
        <is>
          <t>PCS.</t>
        </is>
      </c>
      <c r="S1742" s="284">
        <f>RawDataGenPO[[#This Row],[Total price]]/RawDataGenPO[[#This Row],[Qty'']]</f>
        <v/>
      </c>
      <c r="T1742" s="278" t="n">
        <v>1220</v>
      </c>
      <c r="U1742" s="291" t="n"/>
      <c r="V1742" s="7" t="inlineStr">
        <is>
          <t>V1000840 - S.Q. &amp; CO CO., LTD</t>
        </is>
      </c>
      <c r="W1742" s="30" t="inlineStr">
        <is>
          <t>Recive bill and GRN already</t>
        </is>
      </c>
      <c r="X1742" s="5" t="inlineStr">
        <is>
          <t>GRN2526-0006400</t>
        </is>
      </c>
      <c r="Y1742" s="3" t="n">
        <v>46013</v>
      </c>
      <c r="Z1742" s="23" t="n"/>
      <c r="AA1742" s="17">
        <f>IF(RawDataGenPO[[#This Row],[Date Gen PO]]="","",RawDataGenPO[[#This Row],[Date recive bill]]-RawDataGenPO[[#This Row],[Date Gen PO]])</f>
        <v/>
      </c>
      <c r="AB1742" s="16">
        <f>IF(RawDataGenPO[[#This Row],[GRN-PO date]]&gt;RawDataGenPO[[#This Row],[Lead time delivery (day)]],"over deliverry","Ontime")</f>
        <v/>
      </c>
      <c r="AC1742" s="22" t="n"/>
    </row>
    <row r="1743" ht="15" customHeight="1">
      <c r="A1743" s="5">
        <f>ROW()-ROW(RawDataGenPO[[#Headers],[No.]])</f>
        <v/>
      </c>
      <c r="B1743" s="29" t="inlineStr">
        <is>
          <t>Expent  cost</t>
        </is>
      </c>
      <c r="C1743" s="373" t="n"/>
      <c r="D1743" s="374" t="n"/>
      <c r="E1743" s="374" t="n"/>
      <c r="F1743" s="281" t="n">
        <v>45994</v>
      </c>
      <c r="G1743" s="5" t="inlineStr">
        <is>
          <t>PR2526-03553</t>
        </is>
      </c>
      <c r="H1743" s="5" t="inlineStr">
        <is>
          <t xml:space="preserve">PO2526-05003 </t>
        </is>
      </c>
      <c r="I1743" s="286" t="n">
        <v>46008</v>
      </c>
      <c r="J1743" s="26" t="n"/>
      <c r="K1743" s="20" t="n">
        <v>30</v>
      </c>
      <c r="L1743" s="5" t="inlineStr">
        <is>
          <t>SFST81000009</t>
        </is>
      </c>
      <c r="M1743" s="7" t="inlineStr">
        <is>
          <t>Consumable part for MN</t>
        </is>
      </c>
      <c r="N1743" s="7" t="inlineStr">
        <is>
          <t>Consumable part</t>
        </is>
      </c>
      <c r="O1743" s="11" t="n">
        <v>14</v>
      </c>
      <c r="P1743" s="10" t="inlineStr">
        <is>
          <t>PVC pipe size 2 inch length 4 m.</t>
        </is>
      </c>
      <c r="Q1743" s="277" t="n">
        <v>2</v>
      </c>
      <c r="R1743" s="5" t="inlineStr">
        <is>
          <t>PCS.</t>
        </is>
      </c>
      <c r="S1743" s="284">
        <f>RawDataGenPO[[#This Row],[Total price]]/RawDataGenPO[[#This Row],[Qty'']]</f>
        <v/>
      </c>
      <c r="T1743" s="278" t="n">
        <v>540</v>
      </c>
      <c r="U1743" s="291" t="n"/>
      <c r="V1743" s="7" t="inlineStr">
        <is>
          <t>V1000840 - S.Q. &amp; CO CO., LTD</t>
        </is>
      </c>
      <c r="W1743" s="30" t="inlineStr">
        <is>
          <t>Recive bill and GRN already</t>
        </is>
      </c>
      <c r="X1743" s="5" t="inlineStr">
        <is>
          <t>GRN2526-0006400</t>
        </is>
      </c>
      <c r="Y1743" s="3" t="n">
        <v>46013</v>
      </c>
      <c r="Z1743" s="23" t="n"/>
      <c r="AA1743" s="17">
        <f>IF(RawDataGenPO[[#This Row],[Date Gen PO]]="","",RawDataGenPO[[#This Row],[Date recive bill]]-RawDataGenPO[[#This Row],[Date Gen PO]])</f>
        <v/>
      </c>
      <c r="AB1743" s="16">
        <f>IF(RawDataGenPO[[#This Row],[GRN-PO date]]&gt;RawDataGenPO[[#This Row],[Lead time delivery (day)]],"over deliverry","Ontime")</f>
        <v/>
      </c>
      <c r="AC1743" s="22" t="n"/>
    </row>
    <row r="1744" ht="15" customHeight="1">
      <c r="A1744" s="5">
        <f>ROW()-ROW(RawDataGenPO[[#Headers],[No.]])</f>
        <v/>
      </c>
      <c r="B1744" s="29" t="inlineStr">
        <is>
          <t>Expent  cost</t>
        </is>
      </c>
      <c r="C1744" s="373" t="n"/>
      <c r="D1744" s="374" t="n"/>
      <c r="E1744" s="374" t="n"/>
      <c r="F1744" s="281" t="n">
        <v>45994</v>
      </c>
      <c r="G1744" s="5" t="inlineStr">
        <is>
          <t>PR2526-03553</t>
        </is>
      </c>
      <c r="H1744" s="5" t="inlineStr">
        <is>
          <t xml:space="preserve">PO2526-05003 </t>
        </is>
      </c>
      <c r="I1744" s="286" t="n">
        <v>46008</v>
      </c>
      <c r="J1744" s="26" t="n"/>
      <c r="K1744" s="20" t="n">
        <v>30</v>
      </c>
      <c r="L1744" s="5" t="inlineStr">
        <is>
          <t>SFST81000009</t>
        </is>
      </c>
      <c r="M1744" s="7" t="inlineStr">
        <is>
          <t>Consumable part for MN</t>
        </is>
      </c>
      <c r="N1744" s="7" t="inlineStr">
        <is>
          <t>Consumable part</t>
        </is>
      </c>
      <c r="O1744" s="11" t="n">
        <v>15</v>
      </c>
      <c r="P1744" s="10" t="inlineStr">
        <is>
          <t>PVC pipe size 2.1/2 inch length 4 m.</t>
        </is>
      </c>
      <c r="Q1744" s="277" t="n">
        <v>2</v>
      </c>
      <c r="R1744" s="5" t="inlineStr">
        <is>
          <t>PCS.</t>
        </is>
      </c>
      <c r="S1744" s="284">
        <f>RawDataGenPO[[#This Row],[Total price]]/RawDataGenPO[[#This Row],[Qty'']]</f>
        <v/>
      </c>
      <c r="T1744" s="278" t="n">
        <v>870</v>
      </c>
      <c r="U1744" s="291" t="n"/>
      <c r="V1744" s="7" t="inlineStr">
        <is>
          <t>V1000840 - S.Q. &amp; CO CO., LTD</t>
        </is>
      </c>
      <c r="W1744" s="30" t="inlineStr">
        <is>
          <t>Recive bill and GRN already</t>
        </is>
      </c>
      <c r="X1744" s="5" t="inlineStr">
        <is>
          <t>GRN2526-0006400</t>
        </is>
      </c>
      <c r="Y1744" s="3" t="n">
        <v>46013</v>
      </c>
      <c r="Z1744" s="23" t="n"/>
      <c r="AA1744" s="17">
        <f>IF(RawDataGenPO[[#This Row],[Date Gen PO]]="","",RawDataGenPO[[#This Row],[Date recive bill]]-RawDataGenPO[[#This Row],[Date Gen PO]])</f>
        <v/>
      </c>
      <c r="AB1744" s="16">
        <f>IF(RawDataGenPO[[#This Row],[GRN-PO date]]&gt;RawDataGenPO[[#This Row],[Lead time delivery (day)]],"over deliverry","Ontime")</f>
        <v/>
      </c>
      <c r="AC1744" s="22" t="n"/>
    </row>
    <row r="1745" ht="15" customHeight="1">
      <c r="A1745" s="5">
        <f>ROW()-ROW(RawDataGenPO[[#Headers],[No.]])</f>
        <v/>
      </c>
      <c r="B1745" s="29" t="inlineStr">
        <is>
          <t>Expent  cost</t>
        </is>
      </c>
      <c r="C1745" s="373" t="n"/>
      <c r="D1745" s="374" t="n"/>
      <c r="E1745" s="374" t="n"/>
      <c r="F1745" s="281" t="n">
        <v>45994</v>
      </c>
      <c r="G1745" s="5" t="inlineStr">
        <is>
          <t>PR2526-03553</t>
        </is>
      </c>
      <c r="H1745" s="5" t="inlineStr">
        <is>
          <t xml:space="preserve">PO2526-05003 </t>
        </is>
      </c>
      <c r="I1745" s="286" t="n">
        <v>46008</v>
      </c>
      <c r="J1745" s="26" t="n"/>
      <c r="K1745" s="20" t="n">
        <v>30</v>
      </c>
      <c r="L1745" s="5" t="inlineStr">
        <is>
          <t>SFST81000009</t>
        </is>
      </c>
      <c r="M1745" s="7" t="inlineStr">
        <is>
          <t>Consumable part for MN</t>
        </is>
      </c>
      <c r="N1745" s="7" t="inlineStr">
        <is>
          <t>Consumable part</t>
        </is>
      </c>
      <c r="O1745" s="11" t="n">
        <v>16</v>
      </c>
      <c r="P1745" s="10" t="inlineStr">
        <is>
          <t>PVC pipe size 1.1/2 inch length 4 m.</t>
        </is>
      </c>
      <c r="Q1745" s="277" t="n">
        <v>4</v>
      </c>
      <c r="R1745" s="5" t="inlineStr">
        <is>
          <t>PCS.</t>
        </is>
      </c>
      <c r="S1745" s="284">
        <f>RawDataGenPO[[#This Row],[Total price]]/RawDataGenPO[[#This Row],[Qty'']]</f>
        <v/>
      </c>
      <c r="T1745" s="278" t="n">
        <v>720</v>
      </c>
      <c r="U1745" s="291" t="n"/>
      <c r="V1745" s="7" t="inlineStr">
        <is>
          <t>V1000840 - S.Q. &amp; CO CO., LTD</t>
        </is>
      </c>
      <c r="W1745" s="30" t="inlineStr">
        <is>
          <t>Recive bill and GRN already</t>
        </is>
      </c>
      <c r="X1745" s="5" t="inlineStr">
        <is>
          <t>GRN2526-0006400</t>
        </is>
      </c>
      <c r="Y1745" s="3" t="n">
        <v>46013</v>
      </c>
      <c r="Z1745" s="23" t="n"/>
      <c r="AA1745" s="17">
        <f>IF(RawDataGenPO[[#This Row],[Date Gen PO]]="","",RawDataGenPO[[#This Row],[Date recive bill]]-RawDataGenPO[[#This Row],[Date Gen PO]])</f>
        <v/>
      </c>
      <c r="AB1745" s="16">
        <f>IF(RawDataGenPO[[#This Row],[GRN-PO date]]&gt;RawDataGenPO[[#This Row],[Lead time delivery (day)]],"over deliverry","Ontime")</f>
        <v/>
      </c>
      <c r="AC1745" s="22" t="n"/>
    </row>
    <row r="1746" ht="15" customHeight="1">
      <c r="A1746" s="5">
        <f>ROW()-ROW(RawDataGenPO[[#Headers],[No.]])</f>
        <v/>
      </c>
      <c r="B1746" s="29" t="inlineStr">
        <is>
          <t>Expent  cost</t>
        </is>
      </c>
      <c r="C1746" s="373" t="n"/>
      <c r="D1746" s="374" t="n"/>
      <c r="E1746" s="374" t="n"/>
      <c r="F1746" s="281" t="n">
        <v>45994</v>
      </c>
      <c r="G1746" s="5" t="inlineStr">
        <is>
          <t>PR2526-03553</t>
        </is>
      </c>
      <c r="H1746" s="5" t="inlineStr">
        <is>
          <t xml:space="preserve">PO2526-05003 </t>
        </is>
      </c>
      <c r="I1746" s="286" t="n">
        <v>46008</v>
      </c>
      <c r="J1746" s="26" t="n"/>
      <c r="K1746" s="20" t="n">
        <v>30</v>
      </c>
      <c r="L1746" s="5" t="inlineStr">
        <is>
          <t>SFST81000009</t>
        </is>
      </c>
      <c r="M1746" s="7" t="inlineStr">
        <is>
          <t>Consumable part for MN</t>
        </is>
      </c>
      <c r="N1746" s="7" t="inlineStr">
        <is>
          <t>Consumable part</t>
        </is>
      </c>
      <c r="O1746" s="11" t="n">
        <v>17</v>
      </c>
      <c r="P1746" s="10" t="inlineStr">
        <is>
          <t>PVC pipe size 1/2 inch length 4 m.</t>
        </is>
      </c>
      <c r="Q1746" s="277" t="n">
        <v>10</v>
      </c>
      <c r="R1746" s="5" t="inlineStr">
        <is>
          <t>PCS.</t>
        </is>
      </c>
      <c r="S1746" s="284">
        <f>RawDataGenPO[[#This Row],[Total price]]/RawDataGenPO[[#This Row],[Qty'']]</f>
        <v/>
      </c>
      <c r="T1746" s="278" t="n">
        <v>570</v>
      </c>
      <c r="U1746" s="291" t="n"/>
      <c r="V1746" s="7" t="inlineStr">
        <is>
          <t>V1000840 - S.Q. &amp; CO CO., LTD</t>
        </is>
      </c>
      <c r="W1746" s="30" t="inlineStr">
        <is>
          <t>Recive bill and GRN already</t>
        </is>
      </c>
      <c r="X1746" s="5" t="inlineStr">
        <is>
          <t>GRN2526-0006400</t>
        </is>
      </c>
      <c r="Y1746" s="3" t="n">
        <v>46013</v>
      </c>
      <c r="Z1746" s="23" t="n"/>
      <c r="AA1746" s="17">
        <f>IF(RawDataGenPO[[#This Row],[Date Gen PO]]="","",RawDataGenPO[[#This Row],[Date recive bill]]-RawDataGenPO[[#This Row],[Date Gen PO]])</f>
        <v/>
      </c>
      <c r="AB1746" s="16">
        <f>IF(RawDataGenPO[[#This Row],[GRN-PO date]]&gt;RawDataGenPO[[#This Row],[Lead time delivery (day)]],"over deliverry","Ontime")</f>
        <v/>
      </c>
      <c r="AC1746" s="22" t="n"/>
    </row>
    <row r="1747" ht="15" customHeight="1">
      <c r="A1747" s="5">
        <f>ROW()-ROW(RawDataGenPO[[#Headers],[No.]])</f>
        <v/>
      </c>
      <c r="B1747" s="29" t="inlineStr">
        <is>
          <t>Expent  cost</t>
        </is>
      </c>
      <c r="C1747" s="373" t="n"/>
      <c r="D1747" s="374" t="n"/>
      <c r="E1747" s="374" t="n"/>
      <c r="F1747" s="281" t="n">
        <v>45994</v>
      </c>
      <c r="G1747" s="5" t="inlineStr">
        <is>
          <t>PR2526-03554</t>
        </is>
      </c>
      <c r="H1747" s="5" t="inlineStr">
        <is>
          <t>PO2526-05004</t>
        </is>
      </c>
      <c r="I1747" s="286" t="n">
        <v>46008</v>
      </c>
      <c r="J1747" s="26" t="n"/>
      <c r="K1747" s="20" t="n">
        <v>30</v>
      </c>
      <c r="L1747" s="5" t="inlineStr">
        <is>
          <t>SFST81000009</t>
        </is>
      </c>
      <c r="M1747" s="7" t="inlineStr">
        <is>
          <t>Consumable part for MN</t>
        </is>
      </c>
      <c r="N1747" s="7" t="inlineStr">
        <is>
          <t>Consumable part</t>
        </is>
      </c>
      <c r="O1747" s="11" t="n">
        <v>1</v>
      </c>
      <c r="P1747" s="10" t="inlineStr">
        <is>
          <t>screwdrill pointhead WAFER coatedPhillips No.8-18x1" (1box/1000pcs)</t>
        </is>
      </c>
      <c r="Q1747" s="277" t="n">
        <v>2</v>
      </c>
      <c r="R1747" s="5" t="inlineStr">
        <is>
          <t>BOX.</t>
        </is>
      </c>
      <c r="S1747" s="284">
        <f>RawDataGenPO[[#This Row],[Total price]]/RawDataGenPO[[#This Row],[Qty'']]</f>
        <v/>
      </c>
      <c r="T1747" s="278" t="n">
        <v>1260</v>
      </c>
      <c r="U1747" s="291" t="n"/>
      <c r="V1747" s="7" t="inlineStr">
        <is>
          <t>V1000840 - S.Q. &amp; CO CO., LTD</t>
        </is>
      </c>
      <c r="W1747" s="30" t="inlineStr">
        <is>
          <t>Recive bill and GRN already</t>
        </is>
      </c>
      <c r="X1747" s="5" t="inlineStr">
        <is>
          <t>GRN2526-0006401</t>
        </is>
      </c>
      <c r="Y1747" s="3" t="n">
        <v>46013</v>
      </c>
      <c r="Z1747" s="23" t="n"/>
      <c r="AA1747" s="17">
        <f>IF(RawDataGenPO[[#This Row],[Date Gen PO]]="","",RawDataGenPO[[#This Row],[Date recive bill]]-RawDataGenPO[[#This Row],[Date Gen PO]])</f>
        <v/>
      </c>
      <c r="AB1747" s="16">
        <f>IF(RawDataGenPO[[#This Row],[GRN-PO date]]&gt;RawDataGenPO[[#This Row],[Lead time delivery (day)]],"over deliverry","Ontime")</f>
        <v/>
      </c>
      <c r="AC1747" s="22" t="n"/>
    </row>
    <row r="1748" ht="30" customHeight="1">
      <c r="A1748" s="5">
        <f>ROW()-ROW(RawDataGenPO[[#Headers],[No.]])</f>
        <v/>
      </c>
      <c r="B1748" s="29" t="inlineStr">
        <is>
          <t>Expent  cost</t>
        </is>
      </c>
      <c r="C1748" s="373" t="n"/>
      <c r="D1748" s="374" t="n"/>
      <c r="E1748" s="374" t="n"/>
      <c r="F1748" s="281" t="n">
        <v>45994</v>
      </c>
      <c r="G1748" s="5" t="inlineStr">
        <is>
          <t>PR2526-03554</t>
        </is>
      </c>
      <c r="H1748" s="5" t="inlineStr">
        <is>
          <t>PO2526-05004</t>
        </is>
      </c>
      <c r="I1748" s="286" t="n">
        <v>46008</v>
      </c>
      <c r="J1748" s="26" t="n"/>
      <c r="K1748" s="20" t="n">
        <v>30</v>
      </c>
      <c r="L1748" s="5" t="inlineStr">
        <is>
          <t>SFST81000009</t>
        </is>
      </c>
      <c r="M1748" s="7" t="inlineStr">
        <is>
          <t>Consumable part for MN</t>
        </is>
      </c>
      <c r="N1748" s="7" t="inlineStr">
        <is>
          <t>Consumable part</t>
        </is>
      </c>
      <c r="O1748" s="11" t="n">
        <v>2</v>
      </c>
      <c r="P1748" s="10" t="inlineStr">
        <is>
          <t>bolt screw head hex with washer+spring+pcsfemale stainless steel 304 threadmm M3*25</t>
        </is>
      </c>
      <c r="Q1748" s="277" t="n">
        <v>40</v>
      </c>
      <c r="R1748" s="5" t="inlineStr">
        <is>
          <t>PCS.</t>
        </is>
      </c>
      <c r="S1748" s="284">
        <f>RawDataGenPO[[#This Row],[Total price]]/RawDataGenPO[[#This Row],[Qty'']]</f>
        <v/>
      </c>
      <c r="T1748" s="278" t="n">
        <v>600</v>
      </c>
      <c r="U1748" s="291" t="n"/>
      <c r="V1748" s="7" t="inlineStr">
        <is>
          <t>V1000840 - S.Q. &amp; CO CO., LTD</t>
        </is>
      </c>
      <c r="W1748" s="30" t="inlineStr">
        <is>
          <t>Recive bill and GRN already</t>
        </is>
      </c>
      <c r="X1748" s="5" t="inlineStr">
        <is>
          <t>GRN2526-0006401</t>
        </is>
      </c>
      <c r="Y1748" s="3" t="n">
        <v>46013</v>
      </c>
      <c r="Z1748" s="23" t="n"/>
      <c r="AA1748" s="17">
        <f>IF(RawDataGenPO[[#This Row],[Date Gen PO]]="","",RawDataGenPO[[#This Row],[Date recive bill]]-RawDataGenPO[[#This Row],[Date Gen PO]])</f>
        <v/>
      </c>
      <c r="AB1748" s="16">
        <f>IF(RawDataGenPO[[#This Row],[GRN-PO date]]&gt;RawDataGenPO[[#This Row],[Lead time delivery (day)]],"over deliverry","Ontime")</f>
        <v/>
      </c>
      <c r="AC1748" s="22" t="n"/>
    </row>
    <row r="1749" ht="30" customHeight="1">
      <c r="A1749" s="5">
        <f>ROW()-ROW(RawDataGenPO[[#Headers],[No.]])</f>
        <v/>
      </c>
      <c r="B1749" s="29" t="inlineStr">
        <is>
          <t>Expent  cost</t>
        </is>
      </c>
      <c r="C1749" s="373" t="n"/>
      <c r="D1749" s="374" t="n"/>
      <c r="E1749" s="374" t="n"/>
      <c r="F1749" s="281" t="n">
        <v>45994</v>
      </c>
      <c r="G1749" s="5" t="inlineStr">
        <is>
          <t>PR2526-03554</t>
        </is>
      </c>
      <c r="H1749" s="5" t="inlineStr">
        <is>
          <t>PO2526-05004</t>
        </is>
      </c>
      <c r="I1749" s="286" t="n">
        <v>46008</v>
      </c>
      <c r="J1749" s="26" t="n"/>
      <c r="K1749" s="20" t="n">
        <v>30</v>
      </c>
      <c r="L1749" s="5" t="inlineStr">
        <is>
          <t>SFST81000009</t>
        </is>
      </c>
      <c r="M1749" s="7" t="inlineStr">
        <is>
          <t>Consumable part for MN</t>
        </is>
      </c>
      <c r="N1749" s="7" t="inlineStr">
        <is>
          <t>Consumable part</t>
        </is>
      </c>
      <c r="O1749" s="11" t="n">
        <v>3</v>
      </c>
      <c r="P1749" s="10" t="inlineStr">
        <is>
          <t>bolt screw head hex with washer+spring+pcsfemale stainless steel 304 threadmm M3*35</t>
        </is>
      </c>
      <c r="Q1749" s="277" t="n">
        <v>40</v>
      </c>
      <c r="R1749" s="5" t="inlineStr">
        <is>
          <t>PCS.</t>
        </is>
      </c>
      <c r="S1749" s="284">
        <f>RawDataGenPO[[#This Row],[Total price]]/RawDataGenPO[[#This Row],[Qty'']]</f>
        <v/>
      </c>
      <c r="T1749" s="278" t="n">
        <v>720</v>
      </c>
      <c r="U1749" s="291" t="n"/>
      <c r="V1749" s="7" t="inlineStr">
        <is>
          <t>V1000840 - S.Q. &amp; CO CO., LTD</t>
        </is>
      </c>
      <c r="W1749" s="30" t="inlineStr">
        <is>
          <t>Recive bill and GRN already</t>
        </is>
      </c>
      <c r="X1749" s="5" t="inlineStr">
        <is>
          <t>GRN2526-0006401</t>
        </is>
      </c>
      <c r="Y1749" s="3" t="n">
        <v>46013</v>
      </c>
      <c r="Z1749" s="23" t="n"/>
      <c r="AA1749" s="17">
        <f>IF(RawDataGenPO[[#This Row],[Date Gen PO]]="","",RawDataGenPO[[#This Row],[Date recive bill]]-RawDataGenPO[[#This Row],[Date Gen PO]])</f>
        <v/>
      </c>
      <c r="AB1749" s="16">
        <f>IF(RawDataGenPO[[#This Row],[GRN-PO date]]&gt;RawDataGenPO[[#This Row],[Lead time delivery (day)]],"over deliverry","Ontime")</f>
        <v/>
      </c>
      <c r="AC1749" s="22" t="n"/>
    </row>
    <row r="1750" ht="30" customHeight="1">
      <c r="A1750" s="5">
        <f>ROW()-ROW(RawDataGenPO[[#Headers],[No.]])</f>
        <v/>
      </c>
      <c r="B1750" s="29" t="inlineStr">
        <is>
          <t>Expent  cost</t>
        </is>
      </c>
      <c r="C1750" s="373" t="n"/>
      <c r="D1750" s="374" t="n"/>
      <c r="E1750" s="374" t="n"/>
      <c r="F1750" s="281" t="n">
        <v>45994</v>
      </c>
      <c r="G1750" s="5" t="inlineStr">
        <is>
          <t>PR2526-03554</t>
        </is>
      </c>
      <c r="H1750" s="5" t="inlineStr">
        <is>
          <t>PO2526-05004</t>
        </is>
      </c>
      <c r="I1750" s="286" t="n">
        <v>46008</v>
      </c>
      <c r="J1750" s="26" t="n"/>
      <c r="K1750" s="20" t="n">
        <v>30</v>
      </c>
      <c r="L1750" s="5" t="inlineStr">
        <is>
          <t>SFST81000009</t>
        </is>
      </c>
      <c r="M1750" s="7" t="inlineStr">
        <is>
          <t>Consumable part for MN</t>
        </is>
      </c>
      <c r="N1750" s="7" t="inlineStr">
        <is>
          <t>Consumable part</t>
        </is>
      </c>
      <c r="O1750" s="11" t="n">
        <v>4</v>
      </c>
      <c r="P1750" s="10" t="inlineStr">
        <is>
          <t>bolt screw head hex with washer+spring+pcsfemale stainless steel 304 threadmm M4*25</t>
        </is>
      </c>
      <c r="Q1750" s="277" t="n">
        <v>40</v>
      </c>
      <c r="R1750" s="5" t="inlineStr">
        <is>
          <t>PCS.</t>
        </is>
      </c>
      <c r="S1750" s="284">
        <f>RawDataGenPO[[#This Row],[Total price]]/RawDataGenPO[[#This Row],[Qty'']]</f>
        <v/>
      </c>
      <c r="T1750" s="278" t="n">
        <v>200</v>
      </c>
      <c r="U1750" s="291" t="n"/>
      <c r="V1750" s="7" t="inlineStr">
        <is>
          <t>V1000840 - S.Q. &amp; CO CO., LTD</t>
        </is>
      </c>
      <c r="W1750" s="30" t="inlineStr">
        <is>
          <t>Recive bill and GRN already</t>
        </is>
      </c>
      <c r="X1750" s="5" t="inlineStr">
        <is>
          <t>GRN2526-0006401</t>
        </is>
      </c>
      <c r="Y1750" s="3" t="n">
        <v>46013</v>
      </c>
      <c r="Z1750" s="23" t="n"/>
      <c r="AA1750" s="17">
        <f>IF(RawDataGenPO[[#This Row],[Date Gen PO]]="","",RawDataGenPO[[#This Row],[Date recive bill]]-RawDataGenPO[[#This Row],[Date Gen PO]])</f>
        <v/>
      </c>
      <c r="AB1750" s="16">
        <f>IF(RawDataGenPO[[#This Row],[GRN-PO date]]&gt;RawDataGenPO[[#This Row],[Lead time delivery (day)]],"over deliverry","Ontime")</f>
        <v/>
      </c>
      <c r="AC1750" s="22" t="n"/>
    </row>
    <row r="1751" ht="30" customHeight="1">
      <c r="A1751" s="5">
        <f>ROW()-ROW(RawDataGenPO[[#Headers],[No.]])</f>
        <v/>
      </c>
      <c r="B1751" s="29" t="inlineStr">
        <is>
          <t>Expent  cost</t>
        </is>
      </c>
      <c r="C1751" s="373" t="n"/>
      <c r="D1751" s="374" t="n"/>
      <c r="E1751" s="374" t="n"/>
      <c r="F1751" s="281" t="n">
        <v>45994</v>
      </c>
      <c r="G1751" s="5" t="inlineStr">
        <is>
          <t>PR2526-03554</t>
        </is>
      </c>
      <c r="H1751" s="5" t="inlineStr">
        <is>
          <t>PO2526-05004</t>
        </is>
      </c>
      <c r="I1751" s="286" t="n">
        <v>46008</v>
      </c>
      <c r="J1751" s="26" t="n"/>
      <c r="K1751" s="20" t="n">
        <v>30</v>
      </c>
      <c r="L1751" s="5" t="inlineStr">
        <is>
          <t>SFST81000009</t>
        </is>
      </c>
      <c r="M1751" s="7" t="inlineStr">
        <is>
          <t>Consumable part for MN</t>
        </is>
      </c>
      <c r="N1751" s="7" t="inlineStr">
        <is>
          <t>Consumable part</t>
        </is>
      </c>
      <c r="O1751" s="11" t="n">
        <v>5</v>
      </c>
      <c r="P1751" s="10" t="inlineStr">
        <is>
          <t>bolt screw head hex with washer+spring+pcsfemale stainless steel 304 threadmm M4*35</t>
        </is>
      </c>
      <c r="Q1751" s="277" t="n">
        <v>40</v>
      </c>
      <c r="R1751" s="5" t="inlineStr">
        <is>
          <t>PCS.</t>
        </is>
      </c>
      <c r="S1751" s="284">
        <f>RawDataGenPO[[#This Row],[Total price]]/RawDataGenPO[[#This Row],[Qty'']]</f>
        <v/>
      </c>
      <c r="T1751" s="278" t="n">
        <v>240</v>
      </c>
      <c r="U1751" s="291" t="n"/>
      <c r="V1751" s="7" t="inlineStr">
        <is>
          <t>V1000840 - S.Q. &amp; CO CO., LTD</t>
        </is>
      </c>
      <c r="W1751" s="30" t="inlineStr">
        <is>
          <t>Recive bill and GRN already</t>
        </is>
      </c>
      <c r="X1751" s="5" t="inlineStr">
        <is>
          <t>GRN2526-0006401</t>
        </is>
      </c>
      <c r="Y1751" s="3" t="n">
        <v>46013</v>
      </c>
      <c r="Z1751" s="23" t="n"/>
      <c r="AA1751" s="17">
        <f>IF(RawDataGenPO[[#This Row],[Date Gen PO]]="","",RawDataGenPO[[#This Row],[Date recive bill]]-RawDataGenPO[[#This Row],[Date Gen PO]])</f>
        <v/>
      </c>
      <c r="AB1751" s="16">
        <f>IF(RawDataGenPO[[#This Row],[GRN-PO date]]&gt;RawDataGenPO[[#This Row],[Lead time delivery (day)]],"over deliverry","Ontime")</f>
        <v/>
      </c>
      <c r="AC1751" s="22" t="n"/>
    </row>
    <row r="1752" ht="30" customHeight="1">
      <c r="A1752" s="5">
        <f>ROW()-ROW(RawDataGenPO[[#Headers],[No.]])</f>
        <v/>
      </c>
      <c r="B1752" s="29" t="inlineStr">
        <is>
          <t>Expent  cost</t>
        </is>
      </c>
      <c r="C1752" s="373" t="n"/>
      <c r="D1752" s="374" t="n"/>
      <c r="E1752" s="374" t="n"/>
      <c r="F1752" s="281" t="n">
        <v>45994</v>
      </c>
      <c r="G1752" s="5" t="inlineStr">
        <is>
          <t>PR2526-03554</t>
        </is>
      </c>
      <c r="H1752" s="5" t="inlineStr">
        <is>
          <t>PO2526-05004</t>
        </is>
      </c>
      <c r="I1752" s="286" t="n">
        <v>46008</v>
      </c>
      <c r="J1752" s="26" t="n"/>
      <c r="K1752" s="20" t="n">
        <v>30</v>
      </c>
      <c r="L1752" s="5" t="inlineStr">
        <is>
          <t>SFST81000009</t>
        </is>
      </c>
      <c r="M1752" s="7" t="inlineStr">
        <is>
          <t>Consumable part for MN</t>
        </is>
      </c>
      <c r="N1752" s="7" t="inlineStr">
        <is>
          <t>Consumable part</t>
        </is>
      </c>
      <c r="O1752" s="11" t="n">
        <v>6</v>
      </c>
      <c r="P1752" s="10" t="inlineStr">
        <is>
          <t>bolt screw head hex with washer+spring+pcsfemale stainless steel 304 threadmm M5*25</t>
        </is>
      </c>
      <c r="Q1752" s="277" t="n">
        <v>40</v>
      </c>
      <c r="R1752" s="5" t="inlineStr">
        <is>
          <t>PCS.</t>
        </is>
      </c>
      <c r="S1752" s="284">
        <f>RawDataGenPO[[#This Row],[Total price]]/RawDataGenPO[[#This Row],[Qty'']]</f>
        <v/>
      </c>
      <c r="T1752" s="278" t="n">
        <v>240</v>
      </c>
      <c r="U1752" s="291" t="n"/>
      <c r="V1752" s="7" t="inlineStr">
        <is>
          <t>V1000840 - S.Q. &amp; CO CO., LTD</t>
        </is>
      </c>
      <c r="W1752" s="30" t="inlineStr">
        <is>
          <t>Recive bill and GRN already</t>
        </is>
      </c>
      <c r="X1752" s="5" t="inlineStr">
        <is>
          <t>GRN2526-0006401</t>
        </is>
      </c>
      <c r="Y1752" s="3" t="n">
        <v>46013</v>
      </c>
      <c r="Z1752" s="23" t="n"/>
      <c r="AA1752" s="17">
        <f>IF(RawDataGenPO[[#This Row],[Date Gen PO]]="","",RawDataGenPO[[#This Row],[Date recive bill]]-RawDataGenPO[[#This Row],[Date Gen PO]])</f>
        <v/>
      </c>
      <c r="AB1752" s="16">
        <f>IF(RawDataGenPO[[#This Row],[GRN-PO date]]&gt;RawDataGenPO[[#This Row],[Lead time delivery (day)]],"over deliverry","Ontime")</f>
        <v/>
      </c>
      <c r="AC1752" s="22" t="n"/>
    </row>
    <row r="1753" ht="30" customHeight="1">
      <c r="A1753" s="5">
        <f>ROW()-ROW(RawDataGenPO[[#Headers],[No.]])</f>
        <v/>
      </c>
      <c r="B1753" s="29" t="inlineStr">
        <is>
          <t>Expent  cost</t>
        </is>
      </c>
      <c r="C1753" s="373" t="n"/>
      <c r="D1753" s="374" t="n"/>
      <c r="E1753" s="374" t="n"/>
      <c r="F1753" s="281" t="n">
        <v>45994</v>
      </c>
      <c r="G1753" s="5" t="inlineStr">
        <is>
          <t>PR2526-03554</t>
        </is>
      </c>
      <c r="H1753" s="5" t="inlineStr">
        <is>
          <t>PO2526-05004</t>
        </is>
      </c>
      <c r="I1753" s="286" t="n">
        <v>46008</v>
      </c>
      <c r="J1753" s="26" t="n"/>
      <c r="K1753" s="20" t="n">
        <v>30</v>
      </c>
      <c r="L1753" s="5" t="inlineStr">
        <is>
          <t>SFST81000009</t>
        </is>
      </c>
      <c r="M1753" s="7" t="inlineStr">
        <is>
          <t>Consumable part for MN</t>
        </is>
      </c>
      <c r="N1753" s="7" t="inlineStr">
        <is>
          <t>Consumable part</t>
        </is>
      </c>
      <c r="O1753" s="11" t="n">
        <v>7</v>
      </c>
      <c r="P1753" s="10" t="inlineStr">
        <is>
          <t>bolt screw head hex with washer+spring+pcsfemale stainless steel 304 threadmm M5*35</t>
        </is>
      </c>
      <c r="Q1753" s="277" t="n">
        <v>40</v>
      </c>
      <c r="R1753" s="5" t="inlineStr">
        <is>
          <t>PCS.</t>
        </is>
      </c>
      <c r="S1753" s="284">
        <f>RawDataGenPO[[#This Row],[Total price]]/RawDataGenPO[[#This Row],[Qty'']]</f>
        <v/>
      </c>
      <c r="T1753" s="278" t="n">
        <v>280</v>
      </c>
      <c r="U1753" s="291" t="n"/>
      <c r="V1753" s="7" t="inlineStr">
        <is>
          <t>V1000840 - S.Q. &amp; CO CO., LTD</t>
        </is>
      </c>
      <c r="W1753" s="30" t="inlineStr">
        <is>
          <t>Recive bill and GRN already</t>
        </is>
      </c>
      <c r="X1753" s="5" t="inlineStr">
        <is>
          <t>GRN2526-0006401</t>
        </is>
      </c>
      <c r="Y1753" s="3" t="n">
        <v>46013</v>
      </c>
      <c r="Z1753" s="23" t="n"/>
      <c r="AA1753" s="17">
        <f>IF(RawDataGenPO[[#This Row],[Date Gen PO]]="","",RawDataGenPO[[#This Row],[Date recive bill]]-RawDataGenPO[[#This Row],[Date Gen PO]])</f>
        <v/>
      </c>
      <c r="AB1753" s="16">
        <f>IF(RawDataGenPO[[#This Row],[GRN-PO date]]&gt;RawDataGenPO[[#This Row],[Lead time delivery (day)]],"over deliverry","Ontime")</f>
        <v/>
      </c>
      <c r="AC1753" s="22" t="n"/>
    </row>
    <row r="1754" ht="30" customHeight="1">
      <c r="A1754" s="5">
        <f>ROW()-ROW(RawDataGenPO[[#Headers],[No.]])</f>
        <v/>
      </c>
      <c r="B1754" s="29" t="inlineStr">
        <is>
          <t>Expent  cost</t>
        </is>
      </c>
      <c r="C1754" s="373" t="n"/>
      <c r="D1754" s="374" t="n"/>
      <c r="E1754" s="374" t="n"/>
      <c r="F1754" s="281" t="n">
        <v>45994</v>
      </c>
      <c r="G1754" s="5" t="inlineStr">
        <is>
          <t>PR2526-03554</t>
        </is>
      </c>
      <c r="H1754" s="5" t="inlineStr">
        <is>
          <t>PO2526-05004</t>
        </is>
      </c>
      <c r="I1754" s="286" t="n">
        <v>46008</v>
      </c>
      <c r="J1754" s="26" t="n"/>
      <c r="K1754" s="20" t="n">
        <v>30</v>
      </c>
      <c r="L1754" s="5" t="inlineStr">
        <is>
          <t>SFST81000009</t>
        </is>
      </c>
      <c r="M1754" s="7" t="inlineStr">
        <is>
          <t>Consumable part for MN</t>
        </is>
      </c>
      <c r="N1754" s="7" t="inlineStr">
        <is>
          <t>Consumable part</t>
        </is>
      </c>
      <c r="O1754" s="11" t="n">
        <v>8</v>
      </c>
      <c r="P1754" s="10" t="inlineStr">
        <is>
          <t>bolt screw head hex with washer+spring+pcsfemale stainless steel 304 threadmm M10*40</t>
        </is>
      </c>
      <c r="Q1754" s="277" t="n">
        <v>40</v>
      </c>
      <c r="R1754" s="5" t="inlineStr">
        <is>
          <t>PCS.</t>
        </is>
      </c>
      <c r="S1754" s="284">
        <f>RawDataGenPO[[#This Row],[Total price]]/RawDataGenPO[[#This Row],[Qty'']]</f>
        <v/>
      </c>
      <c r="T1754" s="278" t="n">
        <v>720</v>
      </c>
      <c r="U1754" s="291" t="n"/>
      <c r="V1754" s="7" t="inlineStr">
        <is>
          <t>V1000840 - S.Q. &amp; CO CO., LTD</t>
        </is>
      </c>
      <c r="W1754" s="30" t="inlineStr">
        <is>
          <t>Recive bill and GRN already</t>
        </is>
      </c>
      <c r="X1754" s="5" t="inlineStr">
        <is>
          <t>GRN2526-0006401</t>
        </is>
      </c>
      <c r="Y1754" s="3" t="n">
        <v>46013</v>
      </c>
      <c r="Z1754" s="23" t="n"/>
      <c r="AA1754" s="17">
        <f>IF(RawDataGenPO[[#This Row],[Date Gen PO]]="","",RawDataGenPO[[#This Row],[Date recive bill]]-RawDataGenPO[[#This Row],[Date Gen PO]])</f>
        <v/>
      </c>
      <c r="AB1754" s="16">
        <f>IF(RawDataGenPO[[#This Row],[GRN-PO date]]&gt;RawDataGenPO[[#This Row],[Lead time delivery (day)]],"over deliverry","Ontime")</f>
        <v/>
      </c>
      <c r="AC1754" s="22" t="n"/>
    </row>
    <row r="1755" ht="30" customHeight="1">
      <c r="A1755" s="5">
        <f>ROW()-ROW(RawDataGenPO[[#Headers],[No.]])</f>
        <v/>
      </c>
      <c r="B1755" s="29" t="inlineStr">
        <is>
          <t>Expent  cost</t>
        </is>
      </c>
      <c r="C1755" s="373" t="n"/>
      <c r="D1755" s="374" t="n"/>
      <c r="E1755" s="374" t="n"/>
      <c r="F1755" s="281" t="n">
        <v>45994</v>
      </c>
      <c r="G1755" s="5" t="inlineStr">
        <is>
          <t>PR2526-03554</t>
        </is>
      </c>
      <c r="H1755" s="5" t="inlineStr">
        <is>
          <t>PO2526-05004</t>
        </is>
      </c>
      <c r="I1755" s="286" t="n">
        <v>46008</v>
      </c>
      <c r="J1755" s="26" t="n"/>
      <c r="K1755" s="20" t="n">
        <v>30</v>
      </c>
      <c r="L1755" s="5" t="inlineStr">
        <is>
          <t>SFST81000009</t>
        </is>
      </c>
      <c r="M1755" s="7" t="inlineStr">
        <is>
          <t>Consumable part for MN</t>
        </is>
      </c>
      <c r="N1755" s="7" t="inlineStr">
        <is>
          <t>Consumable part</t>
        </is>
      </c>
      <c r="O1755" s="11" t="n">
        <v>9</v>
      </c>
      <c r="P1755" s="10" t="inlineStr">
        <is>
          <t>bolt screw head hex with washer+spring+pcsfemale stainless steel 304 threadmm M10*65</t>
        </is>
      </c>
      <c r="Q1755" s="277" t="n">
        <v>40</v>
      </c>
      <c r="R1755" s="5" t="inlineStr">
        <is>
          <t>PCS.</t>
        </is>
      </c>
      <c r="S1755" s="284">
        <f>RawDataGenPO[[#This Row],[Total price]]/RawDataGenPO[[#This Row],[Qty'']]</f>
        <v/>
      </c>
      <c r="T1755" s="278" t="n">
        <v>840</v>
      </c>
      <c r="U1755" s="291" t="n"/>
      <c r="V1755" s="7" t="inlineStr">
        <is>
          <t>V1000840 - S.Q. &amp; CO CO., LTD</t>
        </is>
      </c>
      <c r="W1755" s="30" t="inlineStr">
        <is>
          <t>Recive bill and GRN already</t>
        </is>
      </c>
      <c r="X1755" s="5" t="inlineStr">
        <is>
          <t>GRN2526-0006401</t>
        </is>
      </c>
      <c r="Y1755" s="3" t="n">
        <v>46013</v>
      </c>
      <c r="Z1755" s="23" t="n"/>
      <c r="AA1755" s="17">
        <f>IF(RawDataGenPO[[#This Row],[Date Gen PO]]="","",RawDataGenPO[[#This Row],[Date recive bill]]-RawDataGenPO[[#This Row],[Date Gen PO]])</f>
        <v/>
      </c>
      <c r="AB1755" s="16">
        <f>IF(RawDataGenPO[[#This Row],[GRN-PO date]]&gt;RawDataGenPO[[#This Row],[Lead time delivery (day)]],"over deliverry","Ontime")</f>
        <v/>
      </c>
      <c r="AC1755" s="22" t="n"/>
    </row>
    <row r="1756" ht="30" customHeight="1">
      <c r="A1756" s="5">
        <f>ROW()-ROW(RawDataGenPO[[#Headers],[No.]])</f>
        <v/>
      </c>
      <c r="B1756" s="29" t="inlineStr">
        <is>
          <t>Expent  cost</t>
        </is>
      </c>
      <c r="C1756" s="373" t="n"/>
      <c r="D1756" s="374" t="n"/>
      <c r="E1756" s="374" t="n"/>
      <c r="F1756" s="281" t="n">
        <v>45994</v>
      </c>
      <c r="G1756" s="5" t="inlineStr">
        <is>
          <t>PR2526-03554</t>
        </is>
      </c>
      <c r="H1756" s="5" t="inlineStr">
        <is>
          <t>PO2526-05004</t>
        </is>
      </c>
      <c r="I1756" s="286" t="n">
        <v>46008</v>
      </c>
      <c r="J1756" s="26" t="n"/>
      <c r="K1756" s="20" t="n">
        <v>30</v>
      </c>
      <c r="L1756" s="5" t="inlineStr">
        <is>
          <t>SFST81000009</t>
        </is>
      </c>
      <c r="M1756" s="7" t="inlineStr">
        <is>
          <t>Consumable part for MN</t>
        </is>
      </c>
      <c r="N1756" s="7" t="inlineStr">
        <is>
          <t>Consumable part</t>
        </is>
      </c>
      <c r="O1756" s="11" t="n">
        <v>10</v>
      </c>
      <c r="P1756" s="10" t="inlineStr">
        <is>
          <t>bolt screw head hex with washer+spring+pcsfemale stainless steel 304 threadmm M12*40</t>
        </is>
      </c>
      <c r="Q1756" s="277" t="n">
        <v>40</v>
      </c>
      <c r="R1756" s="5" t="inlineStr">
        <is>
          <t>PCS.</t>
        </is>
      </c>
      <c r="S1756" s="284">
        <f>RawDataGenPO[[#This Row],[Total price]]/RawDataGenPO[[#This Row],[Qty'']]</f>
        <v/>
      </c>
      <c r="T1756" s="278" t="n">
        <v>1080</v>
      </c>
      <c r="U1756" s="291" t="n"/>
      <c r="V1756" s="7" t="inlineStr">
        <is>
          <t>V1000840 - S.Q. &amp; CO CO., LTD</t>
        </is>
      </c>
      <c r="W1756" s="30" t="inlineStr">
        <is>
          <t>Recive bill and GRN already</t>
        </is>
      </c>
      <c r="X1756" s="5" t="inlineStr">
        <is>
          <t>GRN2526-0006401</t>
        </is>
      </c>
      <c r="Y1756" s="3" t="n">
        <v>46013</v>
      </c>
      <c r="Z1756" s="23" t="n"/>
      <c r="AA1756" s="17">
        <f>IF(RawDataGenPO[[#This Row],[Date Gen PO]]="","",RawDataGenPO[[#This Row],[Date recive bill]]-RawDataGenPO[[#This Row],[Date Gen PO]])</f>
        <v/>
      </c>
      <c r="AB1756" s="16">
        <f>IF(RawDataGenPO[[#This Row],[GRN-PO date]]&gt;RawDataGenPO[[#This Row],[Lead time delivery (day)]],"over deliverry","Ontime")</f>
        <v/>
      </c>
      <c r="AC1756" s="22" t="n"/>
    </row>
    <row r="1757" ht="30" customHeight="1">
      <c r="A1757" s="5">
        <f>ROW()-ROW(RawDataGenPO[[#Headers],[No.]])</f>
        <v/>
      </c>
      <c r="B1757" s="29" t="inlineStr">
        <is>
          <t>Expent  cost</t>
        </is>
      </c>
      <c r="C1757" s="373" t="n"/>
      <c r="D1757" s="374" t="n"/>
      <c r="E1757" s="374" t="n"/>
      <c r="F1757" s="281" t="n">
        <v>45994</v>
      </c>
      <c r="G1757" s="5" t="inlineStr">
        <is>
          <t>PR2526-03554</t>
        </is>
      </c>
      <c r="H1757" s="5" t="inlineStr">
        <is>
          <t>PO2526-05004</t>
        </is>
      </c>
      <c r="I1757" s="286" t="n">
        <v>46008</v>
      </c>
      <c r="J1757" s="26" t="n"/>
      <c r="K1757" s="20" t="n">
        <v>30</v>
      </c>
      <c r="L1757" s="5" t="inlineStr">
        <is>
          <t>SFST81000009</t>
        </is>
      </c>
      <c r="M1757" s="7" t="inlineStr">
        <is>
          <t>Consumable part for MN</t>
        </is>
      </c>
      <c r="N1757" s="7" t="inlineStr">
        <is>
          <t>Consumable part</t>
        </is>
      </c>
      <c r="O1757" s="11" t="n">
        <v>11</v>
      </c>
      <c r="P1757" s="10" t="inlineStr">
        <is>
          <t>bolt screw head hex with washer+spring+pcsfemale stainless steel 304 threadmm M12*60</t>
        </is>
      </c>
      <c r="Q1757" s="277" t="n">
        <v>40</v>
      </c>
      <c r="R1757" s="5" t="inlineStr">
        <is>
          <t>PCS.</t>
        </is>
      </c>
      <c r="S1757" s="284">
        <f>RawDataGenPO[[#This Row],[Total price]]/RawDataGenPO[[#This Row],[Qty'']]</f>
        <v/>
      </c>
      <c r="T1757" s="278" t="n">
        <v>1080</v>
      </c>
      <c r="U1757" s="291" t="n"/>
      <c r="V1757" s="7" t="inlineStr">
        <is>
          <t>V1000840 - S.Q. &amp; CO CO., LTD</t>
        </is>
      </c>
      <c r="W1757" s="30" t="inlineStr">
        <is>
          <t>Recive bill and GRN already</t>
        </is>
      </c>
      <c r="X1757" s="5" t="inlineStr">
        <is>
          <t>GRN2526-0006401</t>
        </is>
      </c>
      <c r="Y1757" s="3" t="n">
        <v>46013</v>
      </c>
      <c r="Z1757" s="23" t="n"/>
      <c r="AA1757" s="17">
        <f>IF(RawDataGenPO[[#This Row],[Date Gen PO]]="","",RawDataGenPO[[#This Row],[Date recive bill]]-RawDataGenPO[[#This Row],[Date Gen PO]])</f>
        <v/>
      </c>
      <c r="AB1757" s="16">
        <f>IF(RawDataGenPO[[#This Row],[GRN-PO date]]&gt;RawDataGenPO[[#This Row],[Lead time delivery (day)]],"over deliverry","Ontime")</f>
        <v/>
      </c>
      <c r="AC1757" s="22" t="n"/>
    </row>
    <row r="1758" ht="15" customHeight="1">
      <c r="A1758" s="5">
        <f>ROW()-ROW(RawDataGenPO[[#Headers],[No.]])</f>
        <v/>
      </c>
      <c r="B1758" s="29" t="inlineStr">
        <is>
          <t>Expent  cost</t>
        </is>
      </c>
      <c r="C1758" s="373" t="n"/>
      <c r="D1758" s="374" t="n"/>
      <c r="E1758" s="374" t="n"/>
      <c r="F1758" s="281" t="n">
        <v>45994</v>
      </c>
      <c r="G1758" s="5" t="inlineStr">
        <is>
          <t>PR2526-03555</t>
        </is>
      </c>
      <c r="H1758" s="5" t="inlineStr">
        <is>
          <t>PO2526-05005</t>
        </is>
      </c>
      <c r="I1758" s="286" t="n">
        <v>46008</v>
      </c>
      <c r="J1758" s="26" t="n"/>
      <c r="K1758" s="20" t="n">
        <v>60</v>
      </c>
      <c r="L1758" s="26" t="inlineStr">
        <is>
          <t>SFST81000048</t>
        </is>
      </c>
      <c r="M1758" s="7" t="inlineStr">
        <is>
          <t>PD Machine</t>
        </is>
      </c>
      <c r="N1758" s="7" t="inlineStr">
        <is>
          <t>Tool and Equipment</t>
        </is>
      </c>
      <c r="O1758" s="11" t="n">
        <v>1</v>
      </c>
      <c r="P1758" s="10" t="inlineStr">
        <is>
          <t>22008 Timer Assembly (S4)</t>
        </is>
      </c>
      <c r="Q1758" s="277" t="n">
        <v>1</v>
      </c>
      <c r="R1758" s="5" t="inlineStr">
        <is>
          <t>PCS.</t>
        </is>
      </c>
      <c r="S1758" s="284">
        <f>RawDataGenPO[[#This Row],[Total price]]/RawDataGenPO[[#This Row],[Qty'']]</f>
        <v/>
      </c>
      <c r="T1758" s="278" t="n">
        <v>1900</v>
      </c>
      <c r="U1758" s="291" t="n"/>
      <c r="V1758" s="7" t="inlineStr">
        <is>
          <t>V1000452 - SRIPIPAT ENGINEERING CO.,LTD.</t>
        </is>
      </c>
      <c r="W1758" s="30" t="inlineStr">
        <is>
          <t>Recive bill and GRN already</t>
        </is>
      </c>
      <c r="X1758" s="5" t="inlineStr">
        <is>
          <t>GRN2526-0007606</t>
        </is>
      </c>
      <c r="Y1758" s="3" t="n">
        <v>46055</v>
      </c>
      <c r="Z1758" s="23" t="n"/>
      <c r="AA1758" s="17">
        <f>IF(RawDataGenPO[[#This Row],[Date Gen PO]]="","",RawDataGenPO[[#This Row],[Date recive bill]]-RawDataGenPO[[#This Row],[Date Gen PO]])</f>
        <v/>
      </c>
      <c r="AB1758" s="16">
        <f>IF(RawDataGenPO[[#This Row],[GRN-PO date]]&gt;RawDataGenPO[[#This Row],[Lead time delivery (day)]],"over deliverry","Ontime")</f>
        <v/>
      </c>
      <c r="AC1758" s="22" t="n"/>
    </row>
    <row r="1759" ht="15" customHeight="1">
      <c r="A1759" s="5">
        <f>ROW()-ROW(RawDataGenPO[[#Headers],[No.]])</f>
        <v/>
      </c>
      <c r="B1759" s="29" t="inlineStr">
        <is>
          <t>Expent  cost</t>
        </is>
      </c>
      <c r="C1759" s="373" t="n"/>
      <c r="D1759" s="374" t="n"/>
      <c r="E1759" s="374" t="n"/>
      <c r="F1759" s="281" t="n">
        <v>45994</v>
      </c>
      <c r="G1759" s="5" t="inlineStr">
        <is>
          <t>PR2526-03556</t>
        </is>
      </c>
      <c r="H1759" s="5" t="inlineStr">
        <is>
          <t>PO2526-05015</t>
        </is>
      </c>
      <c r="I1759" s="286" t="n">
        <v>46007</v>
      </c>
      <c r="J1759" s="26" t="n"/>
      <c r="K1759" s="20" t="n">
        <v>60</v>
      </c>
      <c r="L1759" s="26" t="inlineStr">
        <is>
          <t>SFST81000048</t>
        </is>
      </c>
      <c r="M1759" s="7" t="inlineStr">
        <is>
          <t>PD Machine</t>
        </is>
      </c>
      <c r="N1759" s="7" t="inlineStr">
        <is>
          <t>Hood No.1</t>
        </is>
      </c>
      <c r="O1759" s="11" t="n">
        <v>1</v>
      </c>
      <c r="P1759" s="10" t="inlineStr">
        <is>
          <t>Steam Bratt Pan No.1: Sep25/Jan 26</t>
        </is>
      </c>
      <c r="Q1759" s="277" t="n">
        <v>2</v>
      </c>
      <c r="R1759" s="5" t="inlineStr">
        <is>
          <t>job.</t>
        </is>
      </c>
      <c r="S1759" s="284">
        <f>RawDataGenPO[[#This Row],[Total price]]/RawDataGenPO[[#This Row],[Qty'']]</f>
        <v/>
      </c>
      <c r="T1759" s="278" t="n">
        <v>18000</v>
      </c>
      <c r="U1759" s="291" t="n"/>
      <c r="V1759" s="7" t="inlineStr">
        <is>
          <t>V1000799 - LALIN CLEAN TECH CO., LTD.</t>
        </is>
      </c>
      <c r="W1759" s="30" t="inlineStr">
        <is>
          <t xml:space="preserve">Waitting Supplier transportation </t>
        </is>
      </c>
      <c r="Z1759" s="23" t="n"/>
      <c r="AA1759" s="17">
        <f>IF(RawDataGenPO[[#This Row],[Date Gen PO]]="","",RawDataGenPO[[#This Row],[Date recive bill]]-RawDataGenPO[[#This Row],[Date Gen PO]])</f>
        <v/>
      </c>
      <c r="AB1759" s="16">
        <f>IF(RawDataGenPO[[#This Row],[GRN-PO date]]&gt;RawDataGenPO[[#This Row],[Lead time delivery (day)]],"over deliverry","Ontime")</f>
        <v/>
      </c>
      <c r="AC1759" s="22" t="n"/>
    </row>
    <row r="1760" ht="15" customHeight="1">
      <c r="A1760" s="5">
        <f>ROW()-ROW(RawDataGenPO[[#Headers],[No.]])</f>
        <v/>
      </c>
      <c r="B1760" s="29" t="inlineStr">
        <is>
          <t>Expent  cost</t>
        </is>
      </c>
      <c r="C1760" s="373" t="n"/>
      <c r="D1760" s="374" t="n"/>
      <c r="E1760" s="374" t="n"/>
      <c r="F1760" s="281" t="n">
        <v>45994</v>
      </c>
      <c r="G1760" s="5" t="inlineStr">
        <is>
          <t>PR2526-03556</t>
        </is>
      </c>
      <c r="H1760" s="5" t="inlineStr">
        <is>
          <t>PO2526-05015</t>
        </is>
      </c>
      <c r="I1760" s="286" t="n">
        <v>46007</v>
      </c>
      <c r="J1760" s="26" t="n"/>
      <c r="K1760" s="20" t="n">
        <v>60</v>
      </c>
      <c r="L1760" s="26" t="inlineStr">
        <is>
          <t>SFST81000048</t>
        </is>
      </c>
      <c r="M1760" s="7" t="inlineStr">
        <is>
          <t>PD Machine</t>
        </is>
      </c>
      <c r="N1760" s="7" t="inlineStr">
        <is>
          <t>Hood No.2</t>
        </is>
      </c>
      <c r="O1760" s="11" t="n">
        <v>2</v>
      </c>
      <c r="P1760" s="10" t="inlineStr">
        <is>
          <t>Deep Pan fryer No.1: Jan26</t>
        </is>
      </c>
      <c r="Q1760" s="277" t="n">
        <v>1</v>
      </c>
      <c r="R1760" s="5" t="inlineStr">
        <is>
          <t>job.</t>
        </is>
      </c>
      <c r="S1760" s="284">
        <f>RawDataGenPO[[#This Row],[Total price]]/RawDataGenPO[[#This Row],[Qty'']]</f>
        <v/>
      </c>
      <c r="T1760" s="278" t="n">
        <v>9000</v>
      </c>
      <c r="U1760" s="291" t="n"/>
      <c r="V1760" s="7" t="inlineStr">
        <is>
          <t>V1000799 - LALIN CLEAN TECH CO., LTD.</t>
        </is>
      </c>
      <c r="W1760" s="30" t="inlineStr">
        <is>
          <t xml:space="preserve">Waitting Supplier transportation </t>
        </is>
      </c>
      <c r="Z1760" s="23" t="n"/>
      <c r="AA1760" s="17">
        <f>IF(RawDataGenPO[[#This Row],[Date Gen PO]]="","",RawDataGenPO[[#This Row],[Date recive bill]]-RawDataGenPO[[#This Row],[Date Gen PO]])</f>
        <v/>
      </c>
      <c r="AB1760" s="16">
        <f>IF(RawDataGenPO[[#This Row],[GRN-PO date]]&gt;RawDataGenPO[[#This Row],[Lead time delivery (day)]],"over deliverry","Ontime")</f>
        <v/>
      </c>
      <c r="AC1760" s="22" t="n"/>
    </row>
    <row r="1761" ht="15" customHeight="1">
      <c r="A1761" s="5">
        <f>ROW()-ROW(RawDataGenPO[[#Headers],[No.]])</f>
        <v/>
      </c>
      <c r="B1761" s="29" t="inlineStr">
        <is>
          <t>Expent  cost</t>
        </is>
      </c>
      <c r="C1761" s="373" t="n"/>
      <c r="D1761" s="374" t="n"/>
      <c r="E1761" s="374" t="n"/>
      <c r="F1761" s="281" t="n">
        <v>45994</v>
      </c>
      <c r="G1761" s="5" t="inlineStr">
        <is>
          <t>PR2526-03556</t>
        </is>
      </c>
      <c r="H1761" s="5" t="inlineStr">
        <is>
          <t>PO2526-05015</t>
        </is>
      </c>
      <c r="I1761" s="286" t="n">
        <v>46007</v>
      </c>
      <c r="J1761" s="26" t="n"/>
      <c r="K1761" s="20" t="n">
        <v>60</v>
      </c>
      <c r="L1761" s="26" t="inlineStr">
        <is>
          <t>SFST81000048</t>
        </is>
      </c>
      <c r="M1761" s="7" t="inlineStr">
        <is>
          <t>PD Machine</t>
        </is>
      </c>
      <c r="N1761" s="7" t="inlineStr">
        <is>
          <t>Hood No.3</t>
        </is>
      </c>
      <c r="O1761" s="11" t="n">
        <v>3</v>
      </c>
      <c r="P1761" s="10" t="inlineStr">
        <is>
          <t>Round Bratt pan No.1: Nov25</t>
        </is>
      </c>
      <c r="Q1761" s="277" t="n">
        <v>1</v>
      </c>
      <c r="R1761" s="5" t="inlineStr">
        <is>
          <t>job.</t>
        </is>
      </c>
      <c r="S1761" s="284">
        <f>RawDataGenPO[[#This Row],[Total price]]/RawDataGenPO[[#This Row],[Qty'']]</f>
        <v/>
      </c>
      <c r="T1761" s="278" t="n">
        <v>9000</v>
      </c>
      <c r="U1761" s="291" t="n"/>
      <c r="V1761" s="7" t="inlineStr">
        <is>
          <t>V1000799 - LALIN CLEAN TECH CO., LTD.</t>
        </is>
      </c>
      <c r="W1761" s="30" t="inlineStr">
        <is>
          <t xml:space="preserve">Waitting Supplier transportation </t>
        </is>
      </c>
      <c r="Z1761" s="23" t="n"/>
      <c r="AA1761" s="17">
        <f>IF(RawDataGenPO[[#This Row],[Date Gen PO]]="","",RawDataGenPO[[#This Row],[Date recive bill]]-RawDataGenPO[[#This Row],[Date Gen PO]])</f>
        <v/>
      </c>
      <c r="AB1761" s="16">
        <f>IF(RawDataGenPO[[#This Row],[GRN-PO date]]&gt;RawDataGenPO[[#This Row],[Lead time delivery (day)]],"over deliverry","Ontime")</f>
        <v/>
      </c>
      <c r="AC1761" s="22" t="n"/>
    </row>
    <row r="1762" ht="15" customHeight="1">
      <c r="A1762" s="5">
        <f>ROW()-ROW(RawDataGenPO[[#Headers],[No.]])</f>
        <v/>
      </c>
      <c r="B1762" s="29" t="inlineStr">
        <is>
          <t>Expent  cost</t>
        </is>
      </c>
      <c r="C1762" s="373" t="n"/>
      <c r="D1762" s="374" t="n"/>
      <c r="E1762" s="374" t="n"/>
      <c r="F1762" s="281" t="n">
        <v>45994</v>
      </c>
      <c r="G1762" s="5" t="inlineStr">
        <is>
          <t>PR2526-03556</t>
        </is>
      </c>
      <c r="H1762" s="5" t="inlineStr">
        <is>
          <t>PO2526-05015</t>
        </is>
      </c>
      <c r="I1762" s="286" t="n">
        <v>46007</v>
      </c>
      <c r="J1762" s="26" t="n"/>
      <c r="K1762" s="20" t="n">
        <v>60</v>
      </c>
      <c r="L1762" s="26" t="inlineStr">
        <is>
          <t>SFST81000048</t>
        </is>
      </c>
      <c r="M1762" s="7" t="inlineStr">
        <is>
          <t>PD Machine</t>
        </is>
      </c>
      <c r="N1762" s="7" t="inlineStr">
        <is>
          <t>Hood No.4</t>
        </is>
      </c>
      <c r="O1762" s="11" t="n">
        <v>4</v>
      </c>
      <c r="P1762" s="10" t="inlineStr">
        <is>
          <t>Stam Bratt Pan No.3: Sep25/Jan 26</t>
        </is>
      </c>
      <c r="Q1762" s="277" t="n">
        <v>2</v>
      </c>
      <c r="R1762" s="5" t="inlineStr">
        <is>
          <t>job.</t>
        </is>
      </c>
      <c r="S1762" s="284">
        <f>RawDataGenPO[[#This Row],[Total price]]/RawDataGenPO[[#This Row],[Qty'']]</f>
        <v/>
      </c>
      <c r="T1762" s="278" t="n">
        <v>18000</v>
      </c>
      <c r="U1762" s="291" t="n"/>
      <c r="V1762" s="7" t="inlineStr">
        <is>
          <t>V1000799 - LALIN CLEAN TECH CO., LTD.</t>
        </is>
      </c>
      <c r="W1762" s="30" t="inlineStr">
        <is>
          <t xml:space="preserve">Waitting Supplier transportation </t>
        </is>
      </c>
      <c r="Z1762" s="23" t="n"/>
      <c r="AA1762" s="17">
        <f>IF(RawDataGenPO[[#This Row],[Date Gen PO]]="","",RawDataGenPO[[#This Row],[Date recive bill]]-RawDataGenPO[[#This Row],[Date Gen PO]])</f>
        <v/>
      </c>
      <c r="AB1762" s="16">
        <f>IF(RawDataGenPO[[#This Row],[GRN-PO date]]&gt;RawDataGenPO[[#This Row],[Lead time delivery (day)]],"over deliverry","Ontime")</f>
        <v/>
      </c>
      <c r="AC1762" s="22" t="n"/>
    </row>
    <row r="1763" ht="15" customHeight="1">
      <c r="A1763" s="5">
        <f>ROW()-ROW(RawDataGenPO[[#Headers],[No.]])</f>
        <v/>
      </c>
      <c r="B1763" s="29" t="inlineStr">
        <is>
          <t>Expent  cost</t>
        </is>
      </c>
      <c r="C1763" s="373" t="n"/>
      <c r="D1763" s="374" t="n"/>
      <c r="E1763" s="374" t="n"/>
      <c r="F1763" s="281" t="n">
        <v>45994</v>
      </c>
      <c r="G1763" s="5" t="inlineStr">
        <is>
          <t>PR2526-03556</t>
        </is>
      </c>
      <c r="H1763" s="5" t="inlineStr">
        <is>
          <t>PO2526-05015</t>
        </is>
      </c>
      <c r="I1763" s="286" t="n">
        <v>46007</v>
      </c>
      <c r="J1763" s="26" t="n"/>
      <c r="K1763" s="20" t="n">
        <v>60</v>
      </c>
      <c r="L1763" s="26" t="inlineStr">
        <is>
          <t>SFST81000048</t>
        </is>
      </c>
      <c r="M1763" s="7" t="inlineStr">
        <is>
          <t>PD Machine</t>
        </is>
      </c>
      <c r="N1763" s="7" t="inlineStr">
        <is>
          <t>Hood No.5</t>
        </is>
      </c>
      <c r="O1763" s="11" t="n">
        <v>5</v>
      </c>
      <c r="P1763" s="10" t="inlineStr">
        <is>
          <t>Cast Iron Bratt Pan: Nov25</t>
        </is>
      </c>
      <c r="Q1763" s="277" t="n">
        <v>1</v>
      </c>
      <c r="R1763" s="5" t="inlineStr">
        <is>
          <t>job.</t>
        </is>
      </c>
      <c r="S1763" s="284">
        <f>RawDataGenPO[[#This Row],[Total price]]/RawDataGenPO[[#This Row],[Qty'']]</f>
        <v/>
      </c>
      <c r="T1763" s="278" t="n">
        <v>9000</v>
      </c>
      <c r="U1763" s="291" t="n"/>
      <c r="V1763" s="7" t="inlineStr">
        <is>
          <t>V1000799 - LALIN CLEAN TECH CO., LTD.</t>
        </is>
      </c>
      <c r="W1763" s="30" t="inlineStr">
        <is>
          <t xml:space="preserve">Waitting Supplier transportation </t>
        </is>
      </c>
      <c r="Z1763" s="23" t="n"/>
      <c r="AA1763" s="17">
        <f>IF(RawDataGenPO[[#This Row],[Date Gen PO]]="","",RawDataGenPO[[#This Row],[Date recive bill]]-RawDataGenPO[[#This Row],[Date Gen PO]])</f>
        <v/>
      </c>
      <c r="AB1763" s="16">
        <f>IF(RawDataGenPO[[#This Row],[GRN-PO date]]&gt;RawDataGenPO[[#This Row],[Lead time delivery (day)]],"over deliverry","Ontime")</f>
        <v/>
      </c>
      <c r="AC1763" s="22" t="n"/>
    </row>
    <row r="1764" ht="15" customHeight="1">
      <c r="A1764" s="5">
        <f>ROW()-ROW(RawDataGenPO[[#Headers],[No.]])</f>
        <v/>
      </c>
      <c r="B1764" s="29" t="inlineStr">
        <is>
          <t>Expent  cost</t>
        </is>
      </c>
      <c r="C1764" s="373" t="n"/>
      <c r="D1764" s="374" t="n"/>
      <c r="E1764" s="374" t="n"/>
      <c r="F1764" s="281" t="n">
        <v>45994</v>
      </c>
      <c r="G1764" s="5" t="inlineStr">
        <is>
          <t>PR2526-03556</t>
        </is>
      </c>
      <c r="H1764" s="5" t="inlineStr">
        <is>
          <t>PO2526-05015</t>
        </is>
      </c>
      <c r="I1764" s="286" t="n">
        <v>46007</v>
      </c>
      <c r="J1764" s="26" t="n"/>
      <c r="K1764" s="20" t="n">
        <v>60</v>
      </c>
      <c r="L1764" s="26" t="inlineStr">
        <is>
          <t>SFST81000048</t>
        </is>
      </c>
      <c r="M1764" s="7" t="inlineStr">
        <is>
          <t>PD Machine</t>
        </is>
      </c>
      <c r="N1764" s="7" t="inlineStr">
        <is>
          <t>Hood No.6</t>
        </is>
      </c>
      <c r="O1764" s="11" t="n">
        <v>6</v>
      </c>
      <c r="P1764" s="10" t="inlineStr">
        <is>
          <t>Steam Bratt Pan No.2: Sep25/Jan 26</t>
        </is>
      </c>
      <c r="Q1764" s="277" t="n">
        <v>2</v>
      </c>
      <c r="R1764" s="5" t="inlineStr">
        <is>
          <t>job.</t>
        </is>
      </c>
      <c r="S1764" s="284">
        <f>RawDataGenPO[[#This Row],[Total price]]/RawDataGenPO[[#This Row],[Qty'']]</f>
        <v/>
      </c>
      <c r="T1764" s="278" t="n">
        <v>18000</v>
      </c>
      <c r="U1764" s="291" t="n"/>
      <c r="V1764" s="7" t="inlineStr">
        <is>
          <t>V1000799 - LALIN CLEAN TECH CO., LTD.</t>
        </is>
      </c>
      <c r="W1764" s="30" t="inlineStr">
        <is>
          <t xml:space="preserve">Waitting Supplier transportation </t>
        </is>
      </c>
      <c r="Z1764" s="23" t="n"/>
      <c r="AA1764" s="17">
        <f>IF(RawDataGenPO[[#This Row],[Date Gen PO]]="","",RawDataGenPO[[#This Row],[Date recive bill]]-RawDataGenPO[[#This Row],[Date Gen PO]])</f>
        <v/>
      </c>
      <c r="AB1764" s="16">
        <f>IF(RawDataGenPO[[#This Row],[GRN-PO date]]&gt;RawDataGenPO[[#This Row],[Lead time delivery (day)]],"over deliverry","Ontime")</f>
        <v/>
      </c>
      <c r="AC1764" s="22" t="n"/>
    </row>
    <row r="1765" ht="15" customHeight="1">
      <c r="A1765" s="5">
        <f>ROW()-ROW(RawDataGenPO[[#Headers],[No.]])</f>
        <v/>
      </c>
      <c r="B1765" s="29" t="inlineStr">
        <is>
          <t>Expent  cost</t>
        </is>
      </c>
      <c r="C1765" s="373" t="n"/>
      <c r="D1765" s="374" t="n"/>
      <c r="E1765" s="374" t="n"/>
      <c r="F1765" s="281" t="n">
        <v>45994</v>
      </c>
      <c r="G1765" s="5" t="inlineStr">
        <is>
          <t>PR2526-03556</t>
        </is>
      </c>
      <c r="H1765" s="5" t="inlineStr">
        <is>
          <t>PO2526-05015</t>
        </is>
      </c>
      <c r="I1765" s="286" t="n">
        <v>46007</v>
      </c>
      <c r="J1765" s="26" t="n"/>
      <c r="K1765" s="20" t="n">
        <v>60</v>
      </c>
      <c r="L1765" s="26" t="inlineStr">
        <is>
          <t>SFST81000048</t>
        </is>
      </c>
      <c r="M1765" s="7" t="inlineStr">
        <is>
          <t>PD Machine</t>
        </is>
      </c>
      <c r="N1765" s="7" t="inlineStr">
        <is>
          <t>Hood No.7</t>
        </is>
      </c>
      <c r="O1765" s="11" t="n">
        <v>7</v>
      </c>
      <c r="P1765" s="10" t="inlineStr">
        <is>
          <t>Combi Oven No.2-3: Dec25</t>
        </is>
      </c>
      <c r="Q1765" s="277" t="n">
        <v>1</v>
      </c>
      <c r="R1765" s="5" t="inlineStr">
        <is>
          <t>job.</t>
        </is>
      </c>
      <c r="S1765" s="284">
        <f>RawDataGenPO[[#This Row],[Total price]]/RawDataGenPO[[#This Row],[Qty'']]</f>
        <v/>
      </c>
      <c r="T1765" s="278" t="n">
        <v>9000</v>
      </c>
      <c r="U1765" s="291" t="n"/>
      <c r="V1765" s="7" t="inlineStr">
        <is>
          <t>V1000799 - LALIN CLEAN TECH CO., LTD.</t>
        </is>
      </c>
      <c r="W1765" s="30" t="inlineStr">
        <is>
          <t xml:space="preserve">Waitting Supplier transportation </t>
        </is>
      </c>
      <c r="Z1765" s="23" t="n"/>
      <c r="AA1765" s="17">
        <f>IF(RawDataGenPO[[#This Row],[Date Gen PO]]="","",RawDataGenPO[[#This Row],[Date recive bill]]-RawDataGenPO[[#This Row],[Date Gen PO]])</f>
        <v/>
      </c>
      <c r="AB1765" s="16">
        <f>IF(RawDataGenPO[[#This Row],[GRN-PO date]]&gt;RawDataGenPO[[#This Row],[Lead time delivery (day)]],"over deliverry","Ontime")</f>
        <v/>
      </c>
      <c r="AC1765" s="22" t="n"/>
    </row>
    <row r="1766" ht="15" customHeight="1">
      <c r="A1766" s="5">
        <f>ROW()-ROW(RawDataGenPO[[#Headers],[No.]])</f>
        <v/>
      </c>
      <c r="B1766" s="29" t="inlineStr">
        <is>
          <t>Expent  cost</t>
        </is>
      </c>
      <c r="C1766" s="373" t="n"/>
      <c r="D1766" s="374" t="n"/>
      <c r="E1766" s="374" t="n"/>
      <c r="F1766" s="281" t="n">
        <v>45994</v>
      </c>
      <c r="G1766" s="5" t="inlineStr">
        <is>
          <t>PR2526-03556</t>
        </is>
      </c>
      <c r="H1766" s="5" t="inlineStr">
        <is>
          <t>PO2526-05015</t>
        </is>
      </c>
      <c r="I1766" s="286" t="n">
        <v>46007</v>
      </c>
      <c r="J1766" s="26" t="n"/>
      <c r="K1766" s="20" t="n">
        <v>60</v>
      </c>
      <c r="L1766" s="26" t="inlineStr">
        <is>
          <t>SFST81000048</t>
        </is>
      </c>
      <c r="M1766" s="7" t="inlineStr">
        <is>
          <t>PD Machine</t>
        </is>
      </c>
      <c r="N1766" s="7" t="inlineStr">
        <is>
          <t>Hood No.8</t>
        </is>
      </c>
      <c r="O1766" s="11" t="n">
        <v>8</v>
      </c>
      <c r="P1766" s="10" t="inlineStr">
        <is>
          <t>Combi Oven No.1: Dec25</t>
        </is>
      </c>
      <c r="Q1766" s="277" t="n">
        <v>1</v>
      </c>
      <c r="R1766" s="5" t="inlineStr">
        <is>
          <t>job.</t>
        </is>
      </c>
      <c r="S1766" s="284">
        <f>RawDataGenPO[[#This Row],[Total price]]/RawDataGenPO[[#This Row],[Qty'']]</f>
        <v/>
      </c>
      <c r="T1766" s="278" t="n">
        <v>9000</v>
      </c>
      <c r="U1766" s="291" t="n"/>
      <c r="V1766" s="7" t="inlineStr">
        <is>
          <t>V1000799 - LALIN CLEAN TECH CO., LTD.</t>
        </is>
      </c>
      <c r="W1766" s="30" t="inlineStr">
        <is>
          <t xml:space="preserve">Waitting Supplier transportation </t>
        </is>
      </c>
      <c r="Z1766" s="23" t="n"/>
      <c r="AA1766" s="17">
        <f>IF(RawDataGenPO[[#This Row],[Date Gen PO]]="","",RawDataGenPO[[#This Row],[Date recive bill]]-RawDataGenPO[[#This Row],[Date Gen PO]])</f>
        <v/>
      </c>
      <c r="AB1766" s="16">
        <f>IF(RawDataGenPO[[#This Row],[GRN-PO date]]&gt;RawDataGenPO[[#This Row],[Lead time delivery (day)]],"over deliverry","Ontime")</f>
        <v/>
      </c>
      <c r="AC1766" s="22" t="n"/>
    </row>
    <row r="1767" ht="15" customHeight="1">
      <c r="A1767" s="5">
        <f>ROW()-ROW(RawDataGenPO[[#Headers],[No.]])</f>
        <v/>
      </c>
      <c r="B1767" s="29" t="inlineStr">
        <is>
          <t>Expent  cost</t>
        </is>
      </c>
      <c r="C1767" s="373" t="n"/>
      <c r="D1767" s="374" t="n"/>
      <c r="E1767" s="374" t="n"/>
      <c r="F1767" s="281" t="n">
        <v>45994</v>
      </c>
      <c r="G1767" s="5" t="inlineStr">
        <is>
          <t>PR2526-03556</t>
        </is>
      </c>
      <c r="H1767" s="5" t="inlineStr">
        <is>
          <t>PO2526-05015</t>
        </is>
      </c>
      <c r="I1767" s="286" t="n">
        <v>46007</v>
      </c>
      <c r="J1767" s="26" t="n"/>
      <c r="K1767" s="20" t="n">
        <v>60</v>
      </c>
      <c r="L1767" s="26" t="inlineStr">
        <is>
          <t>SFST81000048</t>
        </is>
      </c>
      <c r="M1767" s="7" t="inlineStr">
        <is>
          <t>PD Machine</t>
        </is>
      </c>
      <c r="N1767" s="7" t="inlineStr">
        <is>
          <t>Hood No.1</t>
        </is>
      </c>
      <c r="O1767" s="11" t="n">
        <v>9</v>
      </c>
      <c r="P1767" s="10" t="inlineStr">
        <is>
          <t>Combi Oven No.4: Dec25</t>
        </is>
      </c>
      <c r="Q1767" s="277" t="n">
        <v>1</v>
      </c>
      <c r="R1767" s="5" t="inlineStr">
        <is>
          <t>job.</t>
        </is>
      </c>
      <c r="S1767" s="284">
        <f>RawDataGenPO[[#This Row],[Total price]]/RawDataGenPO[[#This Row],[Qty'']]</f>
        <v/>
      </c>
      <c r="T1767" s="278" t="n">
        <v>9000</v>
      </c>
      <c r="U1767" s="291" t="n"/>
      <c r="V1767" s="7" t="inlineStr">
        <is>
          <t>V1000799 - LALIN CLEAN TECH CO., LTD.</t>
        </is>
      </c>
      <c r="W1767" s="30" t="inlineStr">
        <is>
          <t xml:space="preserve">Waitting Supplier transportation </t>
        </is>
      </c>
      <c r="Z1767" s="23" t="n"/>
      <c r="AA1767" s="17">
        <f>IF(RawDataGenPO[[#This Row],[Date Gen PO]]="","",RawDataGenPO[[#This Row],[Date recive bill]]-RawDataGenPO[[#This Row],[Date Gen PO]])</f>
        <v/>
      </c>
      <c r="AB1767" s="16">
        <f>IF(RawDataGenPO[[#This Row],[GRN-PO date]]&gt;RawDataGenPO[[#This Row],[Lead time delivery (day)]],"over deliverry","Ontime")</f>
        <v/>
      </c>
      <c r="AC1767" s="22" t="n"/>
    </row>
    <row r="1768" ht="15" customHeight="1">
      <c r="A1768" s="5">
        <f>ROW()-ROW(RawDataGenPO[[#Headers],[No.]])</f>
        <v/>
      </c>
      <c r="B1768" s="29" t="inlineStr">
        <is>
          <t>Expent  cost</t>
        </is>
      </c>
      <c r="C1768" s="373" t="n"/>
      <c r="D1768" s="374" t="n"/>
      <c r="E1768" s="374" t="n"/>
      <c r="F1768" s="281" t="n">
        <v>45994</v>
      </c>
      <c r="G1768" s="5" t="inlineStr">
        <is>
          <t>PR2526-03556</t>
        </is>
      </c>
      <c r="H1768" s="5" t="inlineStr">
        <is>
          <t>PO2526-05015</t>
        </is>
      </c>
      <c r="I1768" s="286" t="n">
        <v>46007</v>
      </c>
      <c r="J1768" s="26" t="n"/>
      <c r="K1768" s="20" t="n">
        <v>60</v>
      </c>
      <c r="L1768" s="26" t="inlineStr">
        <is>
          <t>SFST81000048</t>
        </is>
      </c>
      <c r="M1768" s="7" t="inlineStr">
        <is>
          <t>PD Machine</t>
        </is>
      </c>
      <c r="N1768" s="7" t="inlineStr">
        <is>
          <t>Hood No.2</t>
        </is>
      </c>
      <c r="O1768" s="11" t="n">
        <v>10</v>
      </c>
      <c r="P1768" s="10" t="inlineStr">
        <is>
          <t>Fryer No.2-3: Sep25/Dec25/Mar26</t>
        </is>
      </c>
      <c r="Q1768" s="277" t="n">
        <v>3</v>
      </c>
      <c r="R1768" s="5" t="inlineStr">
        <is>
          <t>job.</t>
        </is>
      </c>
      <c r="S1768" s="284">
        <f>RawDataGenPO[[#This Row],[Total price]]/RawDataGenPO[[#This Row],[Qty'']]</f>
        <v/>
      </c>
      <c r="T1768" s="278" t="n">
        <v>27000</v>
      </c>
      <c r="U1768" s="291" t="n"/>
      <c r="V1768" s="7" t="inlineStr">
        <is>
          <t>V1000799 - LALIN CLEAN TECH CO., LTD.</t>
        </is>
      </c>
      <c r="W1768" s="30" t="inlineStr">
        <is>
          <t xml:space="preserve">Waitting Supplier transportation </t>
        </is>
      </c>
      <c r="Z1768" s="23" t="n"/>
      <c r="AA1768" s="17">
        <f>IF(RawDataGenPO[[#This Row],[Date Gen PO]]="","",RawDataGenPO[[#This Row],[Date recive bill]]-RawDataGenPO[[#This Row],[Date Gen PO]])</f>
        <v/>
      </c>
      <c r="AB1768" s="16">
        <f>IF(RawDataGenPO[[#This Row],[GRN-PO date]]&gt;RawDataGenPO[[#This Row],[Lead time delivery (day)]],"over deliverry","Ontime")</f>
        <v/>
      </c>
      <c r="AC1768" s="22" t="n"/>
    </row>
    <row r="1769" ht="15" customHeight="1">
      <c r="A1769" s="5">
        <f>ROW()-ROW(RawDataGenPO[[#Headers],[No.]])</f>
        <v/>
      </c>
      <c r="B1769" s="29" t="inlineStr">
        <is>
          <t>Expent  cost</t>
        </is>
      </c>
      <c r="C1769" s="373" t="n"/>
      <c r="D1769" s="374" t="n"/>
      <c r="E1769" s="374" t="n"/>
      <c r="F1769" s="281" t="n">
        <v>45994</v>
      </c>
      <c r="G1769" s="5" t="inlineStr">
        <is>
          <t>PR2526-03556</t>
        </is>
      </c>
      <c r="H1769" s="5" t="inlineStr">
        <is>
          <t>PO2526-05015</t>
        </is>
      </c>
      <c r="I1769" s="286" t="n">
        <v>46007</v>
      </c>
      <c r="J1769" s="26" t="n"/>
      <c r="K1769" s="20" t="n">
        <v>60</v>
      </c>
      <c r="L1769" s="26" t="inlineStr">
        <is>
          <t>SFST81000048</t>
        </is>
      </c>
      <c r="M1769" s="7" t="inlineStr">
        <is>
          <t>PD Machine</t>
        </is>
      </c>
      <c r="N1769" s="7" t="inlineStr">
        <is>
          <t>Hood No.3</t>
        </is>
      </c>
      <c r="O1769" s="11" t="n">
        <v>11</v>
      </c>
      <c r="P1769" s="10" t="inlineStr">
        <is>
          <t>Frame grill: Nov25</t>
        </is>
      </c>
      <c r="Q1769" s="277" t="n">
        <v>1</v>
      </c>
      <c r="R1769" s="5" t="inlineStr">
        <is>
          <t>job.</t>
        </is>
      </c>
      <c r="S1769" s="284">
        <f>RawDataGenPO[[#This Row],[Total price]]/RawDataGenPO[[#This Row],[Qty'']]</f>
        <v/>
      </c>
      <c r="T1769" s="278" t="n">
        <v>9000</v>
      </c>
      <c r="U1769" s="291" t="n"/>
      <c r="V1769" s="7" t="inlineStr">
        <is>
          <t>V1000799 - LALIN CLEAN TECH CO., LTD.</t>
        </is>
      </c>
      <c r="W1769" s="30" t="inlineStr">
        <is>
          <t xml:space="preserve">Waitting Supplier transportation </t>
        </is>
      </c>
      <c r="Z1769" s="23" t="n"/>
      <c r="AA1769" s="17">
        <f>IF(RawDataGenPO[[#This Row],[Date Gen PO]]="","",RawDataGenPO[[#This Row],[Date recive bill]]-RawDataGenPO[[#This Row],[Date Gen PO]])</f>
        <v/>
      </c>
      <c r="AB1769" s="16">
        <f>IF(RawDataGenPO[[#This Row],[GRN-PO date]]&gt;RawDataGenPO[[#This Row],[Lead time delivery (day)]],"over deliverry","Ontime")</f>
        <v/>
      </c>
      <c r="AC1769" s="22" t="n"/>
    </row>
    <row r="1770" ht="15" customHeight="1">
      <c r="A1770" s="5">
        <f>ROW()-ROW(RawDataGenPO[[#Headers],[No.]])</f>
        <v/>
      </c>
      <c r="B1770" s="29" t="inlineStr">
        <is>
          <t>Expent  cost</t>
        </is>
      </c>
      <c r="C1770" s="373" t="n"/>
      <c r="D1770" s="374" t="n"/>
      <c r="E1770" s="374" t="n"/>
      <c r="F1770" s="281" t="n">
        <v>45994</v>
      </c>
      <c r="G1770" s="5" t="inlineStr">
        <is>
          <t>PR2526-03556</t>
        </is>
      </c>
      <c r="H1770" s="5" t="inlineStr">
        <is>
          <t>PO2526-05015</t>
        </is>
      </c>
      <c r="I1770" s="286" t="n">
        <v>46007</v>
      </c>
      <c r="J1770" s="26" t="n"/>
      <c r="K1770" s="20" t="n">
        <v>60</v>
      </c>
      <c r="L1770" s="26" t="inlineStr">
        <is>
          <t>SFST81000048</t>
        </is>
      </c>
      <c r="M1770" s="7" t="inlineStr">
        <is>
          <t>PD Machine</t>
        </is>
      </c>
      <c r="N1770" s="7" t="inlineStr">
        <is>
          <t>Hood No.4</t>
        </is>
      </c>
      <c r="O1770" s="11" t="n">
        <v>12</v>
      </c>
      <c r="P1770" s="10" t="inlineStr">
        <is>
          <t>Front steam Box No 1&amp;2 (Hight risk): Nov25</t>
        </is>
      </c>
      <c r="Q1770" s="277" t="n">
        <v>1</v>
      </c>
      <c r="R1770" s="5" t="inlineStr">
        <is>
          <t>job.</t>
        </is>
      </c>
      <c r="S1770" s="284">
        <f>RawDataGenPO[[#This Row],[Total price]]/RawDataGenPO[[#This Row],[Qty'']]</f>
        <v/>
      </c>
      <c r="T1770" s="278" t="n">
        <v>9000</v>
      </c>
      <c r="U1770" s="291" t="n"/>
      <c r="V1770" s="7" t="inlineStr">
        <is>
          <t>V1000799 - LALIN CLEAN TECH CO., LTD.</t>
        </is>
      </c>
      <c r="W1770" s="30" t="inlineStr">
        <is>
          <t xml:space="preserve">Waitting Supplier transportation </t>
        </is>
      </c>
      <c r="Z1770" s="23" t="n"/>
      <c r="AA1770" s="17">
        <f>IF(RawDataGenPO[[#This Row],[Date Gen PO]]="","",RawDataGenPO[[#This Row],[Date recive bill]]-RawDataGenPO[[#This Row],[Date Gen PO]])</f>
        <v/>
      </c>
      <c r="AB1770" s="16">
        <f>IF(RawDataGenPO[[#This Row],[GRN-PO date]]&gt;RawDataGenPO[[#This Row],[Lead time delivery (day)]],"over deliverry","Ontime")</f>
        <v/>
      </c>
      <c r="AC1770" s="22" t="n"/>
    </row>
    <row r="1771" ht="30" customHeight="1">
      <c r="A1771" s="5">
        <f>ROW()-ROW(RawDataGenPO[[#Headers],[No.]])</f>
        <v/>
      </c>
      <c r="B1771" s="29" t="inlineStr">
        <is>
          <t>Expent  cost</t>
        </is>
      </c>
      <c r="C1771" s="373" t="n"/>
      <c r="D1771" s="374" t="n"/>
      <c r="E1771" s="374" t="n"/>
      <c r="F1771" s="281" t="n">
        <v>45994</v>
      </c>
      <c r="G1771" s="5" t="inlineStr">
        <is>
          <t>PR2526-03563</t>
        </is>
      </c>
      <c r="H1771" s="5" t="inlineStr">
        <is>
          <t xml:space="preserve">PO2526-05006 </t>
        </is>
      </c>
      <c r="I1771" s="286" t="n">
        <v>46008</v>
      </c>
      <c r="J1771" s="26" t="n"/>
      <c r="K1771" s="20" t="n">
        <v>60</v>
      </c>
      <c r="L1771" s="26" t="inlineStr">
        <is>
          <t>SFST81000048</t>
        </is>
      </c>
      <c r="M1771" s="7" t="inlineStr">
        <is>
          <t>Tool and Equipment  Engineering</t>
        </is>
      </c>
      <c r="N1771" s="7" t="inlineStr">
        <is>
          <t>Water system jobs</t>
        </is>
      </c>
      <c r="O1771" s="11" t="n">
        <v>1</v>
      </c>
      <c r="P1771" s="10" t="inlineStr">
        <is>
          <t>Replace Shaft Pump
CR 10-22</t>
        </is>
      </c>
      <c r="Q1771" s="277" t="n">
        <v>1</v>
      </c>
      <c r="R1771" s="5" t="inlineStr">
        <is>
          <t>PCS.</t>
        </is>
      </c>
      <c r="S1771" s="284">
        <f>RawDataGenPO[[#This Row],[Total price]]/RawDataGenPO[[#This Row],[Qty'']]</f>
        <v/>
      </c>
      <c r="T1771" s="278" t="n">
        <v>8075</v>
      </c>
      <c r="U1771" s="291" t="n"/>
      <c r="V1771" s="7" t="inlineStr">
        <is>
          <t>V1000790 - WEE SERVICE 2024 CO., LTD.</t>
        </is>
      </c>
      <c r="W1771" s="30" t="inlineStr">
        <is>
          <t>Recive bill and GRN already</t>
        </is>
      </c>
      <c r="X1771" s="5" t="inlineStr">
        <is>
          <t>GRN2526-0006767</t>
        </is>
      </c>
      <c r="Y1771" s="3" t="n">
        <v>46030</v>
      </c>
      <c r="Z1771" s="23" t="n"/>
      <c r="AA1771" s="17">
        <f>IF(RawDataGenPO[[#This Row],[Date Gen PO]]="","",RawDataGenPO[[#This Row],[Date recive bill]]-RawDataGenPO[[#This Row],[Date Gen PO]])</f>
        <v/>
      </c>
      <c r="AB1771" s="16">
        <f>IF(RawDataGenPO[[#This Row],[GRN-PO date]]&gt;RawDataGenPO[[#This Row],[Lead time delivery (day)]],"over deliverry","Ontime")</f>
        <v/>
      </c>
      <c r="AC1771" s="22" t="n"/>
    </row>
    <row r="1772" ht="30" customHeight="1">
      <c r="A1772" s="5">
        <f>ROW()-ROW(RawDataGenPO[[#Headers],[No.]])</f>
        <v/>
      </c>
      <c r="B1772" s="29" t="inlineStr">
        <is>
          <t>Expent  cost</t>
        </is>
      </c>
      <c r="C1772" s="373" t="n"/>
      <c r="D1772" s="374" t="n"/>
      <c r="E1772" s="374" t="n"/>
      <c r="F1772" s="281" t="n">
        <v>45994</v>
      </c>
      <c r="G1772" s="5" t="inlineStr">
        <is>
          <t>PR2526-03563</t>
        </is>
      </c>
      <c r="H1772" s="5" t="inlineStr">
        <is>
          <t xml:space="preserve">PO2526-05006 </t>
        </is>
      </c>
      <c r="I1772" s="286" t="n">
        <v>46008</v>
      </c>
      <c r="J1772" s="26" t="n"/>
      <c r="K1772" s="20" t="n">
        <v>60</v>
      </c>
      <c r="L1772" s="5" t="inlineStr">
        <is>
          <t>SFST81000048</t>
        </is>
      </c>
      <c r="M1772" s="7" t="inlineStr">
        <is>
          <t>Tool and Equipment  Engineering</t>
        </is>
      </c>
      <c r="N1772" s="7" t="inlineStr">
        <is>
          <t>Water system jobs</t>
        </is>
      </c>
      <c r="O1772" s="11" t="n">
        <v>2</v>
      </c>
      <c r="P1772" s="10" t="inlineStr">
        <is>
          <t>Replace Impeller
- 1 piece</t>
        </is>
      </c>
      <c r="Q1772" s="277" t="n">
        <v>1</v>
      </c>
      <c r="R1772" s="5" t="inlineStr">
        <is>
          <t>PCS.</t>
        </is>
      </c>
      <c r="S1772" s="284">
        <f>RawDataGenPO[[#This Row],[Total price]]/RawDataGenPO[[#This Row],[Qty'']]</f>
        <v/>
      </c>
      <c r="T1772" s="278" t="n">
        <v>3325</v>
      </c>
      <c r="U1772" s="291" t="n"/>
      <c r="V1772" s="7" t="inlineStr">
        <is>
          <t>V1000790 - WEE SERVICE 2024 CO., LTD.</t>
        </is>
      </c>
      <c r="W1772" s="30" t="inlineStr">
        <is>
          <t>Recive bill and GRN already</t>
        </is>
      </c>
      <c r="X1772" s="5" t="inlineStr">
        <is>
          <t>GRN2526-0006767</t>
        </is>
      </c>
      <c r="Y1772" s="3" t="n">
        <v>46030</v>
      </c>
      <c r="Z1772" s="23" t="n"/>
      <c r="AA1772" s="17">
        <f>IF(RawDataGenPO[[#This Row],[Date Gen PO]]="","",RawDataGenPO[[#This Row],[Date recive bill]]-RawDataGenPO[[#This Row],[Date Gen PO]])</f>
        <v/>
      </c>
      <c r="AB1772" s="16">
        <f>IF(RawDataGenPO[[#This Row],[GRN-PO date]]&gt;RawDataGenPO[[#This Row],[Lead time delivery (day)]],"over deliverry","Ontime")</f>
        <v/>
      </c>
      <c r="AC1772" s="22" t="n"/>
    </row>
    <row r="1773" ht="30" customHeight="1">
      <c r="A1773" s="5">
        <f>ROW()-ROW(RawDataGenPO[[#Headers],[No.]])</f>
        <v/>
      </c>
      <c r="B1773" s="29" t="inlineStr">
        <is>
          <t>Expent  cost</t>
        </is>
      </c>
      <c r="C1773" s="373" t="n"/>
      <c r="D1773" s="374" t="n"/>
      <c r="E1773" s="374" t="n"/>
      <c r="F1773" s="281" t="n">
        <v>45994</v>
      </c>
      <c r="G1773" s="5" t="inlineStr">
        <is>
          <t>PR2526-03564</t>
        </is>
      </c>
      <c r="H1773" s="5" t="inlineStr">
        <is>
          <t>PO2526-05009</t>
        </is>
      </c>
      <c r="I1773" s="286" t="n">
        <v>46008</v>
      </c>
      <c r="J1773" s="26" t="n"/>
      <c r="K1773" s="20" t="n">
        <v>60</v>
      </c>
      <c r="L1773" s="5" t="inlineStr">
        <is>
          <t>SFST81000048</t>
        </is>
      </c>
      <c r="M1773" s="7" t="inlineStr">
        <is>
          <t>PD Machine</t>
        </is>
      </c>
      <c r="N1773" s="7" t="inlineStr">
        <is>
          <t>Combi oven No.2</t>
        </is>
      </c>
      <c r="O1773" s="11" t="n">
        <v>1</v>
      </c>
      <c r="P1773" s="10" t="inlineStr">
        <is>
          <t>Rational Door Gasket SCC202
20.00.399P</t>
        </is>
      </c>
      <c r="Q1773" s="277" t="n">
        <v>2</v>
      </c>
      <c r="R1773" s="5" t="inlineStr">
        <is>
          <t>PCS.</t>
        </is>
      </c>
      <c r="S1773" s="284">
        <f>RawDataGenPO[[#This Row],[Total price]]/RawDataGenPO[[#This Row],[Qty'']]</f>
        <v/>
      </c>
      <c r="T1773" s="278" t="n">
        <v>13500</v>
      </c>
      <c r="U1773" s="291" t="n"/>
      <c r="V1773" s="7" t="inlineStr">
        <is>
          <t>V1000460 - FIX EVOLUTION CO., LTD.</t>
        </is>
      </c>
      <c r="W1773" s="30" t="inlineStr">
        <is>
          <t>Recive bill and GRN already</t>
        </is>
      </c>
      <c r="X1773" s="5" t="inlineStr">
        <is>
          <t>GRN2526-0006766</t>
        </is>
      </c>
      <c r="Y1773" s="3" t="n">
        <v>46030</v>
      </c>
      <c r="Z1773" s="23" t="n"/>
      <c r="AA1773" s="17">
        <f>IF(RawDataGenPO[[#This Row],[Date Gen PO]]="","",RawDataGenPO[[#This Row],[Date recive bill]]-RawDataGenPO[[#This Row],[Date Gen PO]])</f>
        <v/>
      </c>
      <c r="AB1773" s="16">
        <f>IF(RawDataGenPO[[#This Row],[GRN-PO date]]&gt;RawDataGenPO[[#This Row],[Lead time delivery (day)]],"over deliverry","Ontime")</f>
        <v/>
      </c>
      <c r="AC1773" s="22" t="n"/>
    </row>
    <row r="1774" ht="30" customHeight="1">
      <c r="A1774" s="5">
        <f>ROW()-ROW(RawDataGenPO[[#Headers],[No.]])</f>
        <v/>
      </c>
      <c r="B1774" s="29" t="inlineStr">
        <is>
          <t>Expent  cost</t>
        </is>
      </c>
      <c r="C1774" s="373" t="n"/>
      <c r="D1774" s="374" t="n"/>
      <c r="E1774" s="374" t="n"/>
      <c r="F1774" s="281" t="n">
        <v>45994</v>
      </c>
      <c r="G1774" s="5" t="inlineStr">
        <is>
          <t>PR2526-03564</t>
        </is>
      </c>
      <c r="H1774" s="50" t="inlineStr">
        <is>
          <t>PO2526-05009</t>
        </is>
      </c>
      <c r="I1774" s="286" t="n">
        <v>46008</v>
      </c>
      <c r="J1774" s="26" t="n"/>
      <c r="K1774" s="20" t="n">
        <v>60</v>
      </c>
      <c r="L1774" s="5" t="inlineStr">
        <is>
          <t>SFST81000048</t>
        </is>
      </c>
      <c r="M1774" s="7" t="inlineStr">
        <is>
          <t>PD Machine</t>
        </is>
      </c>
      <c r="N1774" s="7" t="inlineStr">
        <is>
          <t>Combi oven No.2</t>
        </is>
      </c>
      <c r="O1774" s="11" t="n">
        <v>2</v>
      </c>
      <c r="P1774" s="10" t="inlineStr">
        <is>
          <t>Rational Gasket - Mobile Oven Rack 202
87.01.545S</t>
        </is>
      </c>
      <c r="Q1774" s="277" t="n">
        <v>2</v>
      </c>
      <c r="R1774" s="5" t="inlineStr">
        <is>
          <t>PCS.</t>
        </is>
      </c>
      <c r="S1774" s="284">
        <f>RawDataGenPO[[#This Row],[Total price]]/RawDataGenPO[[#This Row],[Qty'']]</f>
        <v/>
      </c>
      <c r="T1774" s="278" t="n">
        <v>5940</v>
      </c>
      <c r="U1774" s="291" t="n"/>
      <c r="V1774" s="7" t="inlineStr">
        <is>
          <t>V1000460 - FIX EVOLUTION CO., LTD.</t>
        </is>
      </c>
      <c r="W1774" s="30" t="inlineStr">
        <is>
          <t>Recive bill and GRN already</t>
        </is>
      </c>
      <c r="X1774" s="5" t="inlineStr">
        <is>
          <t>GRN2526-0006766,GRN2526-0008175</t>
        </is>
      </c>
      <c r="Y1774" s="3" t="n">
        <v>46030</v>
      </c>
      <c r="Z1774" s="23" t="n"/>
      <c r="AA1774" s="17">
        <f>IF(RawDataGenPO[[#This Row],[Date Gen PO]]="","",RawDataGenPO[[#This Row],[Date recive bill]]-RawDataGenPO[[#This Row],[Date Gen PO]])</f>
        <v/>
      </c>
      <c r="AB1774" s="16">
        <f>IF(RawDataGenPO[[#This Row],[GRN-PO date]]&gt;RawDataGenPO[[#This Row],[Lead time delivery (day)]],"over deliverry","Ontime")</f>
        <v/>
      </c>
      <c r="AC1774" s="22" t="n"/>
    </row>
    <row r="1775" ht="15" customHeight="1">
      <c r="A1775" s="5">
        <f>ROW()-ROW(RawDataGenPO[[#Headers],[No.]])</f>
        <v/>
      </c>
      <c r="B1775" s="29" t="inlineStr">
        <is>
          <t>Expent  cost</t>
        </is>
      </c>
      <c r="C1775" s="373" t="n"/>
      <c r="D1775" s="374" t="n"/>
      <c r="E1775" s="374" t="n"/>
      <c r="F1775" s="281" t="n">
        <v>45994</v>
      </c>
      <c r="G1775" s="5" t="inlineStr">
        <is>
          <t>PR2526-03465</t>
        </is>
      </c>
      <c r="H1775" s="5" t="inlineStr">
        <is>
          <t xml:space="preserve">PO2526-05024 </t>
        </is>
      </c>
      <c r="I1775" s="286" t="n">
        <v>45973</v>
      </c>
      <c r="J1775" s="26" t="n"/>
      <c r="K1775" s="20" t="n">
        <v>60</v>
      </c>
      <c r="L1775" s="5" t="inlineStr">
        <is>
          <t>SFST34000190</t>
        </is>
      </c>
      <c r="M1775" s="7" t="inlineStr">
        <is>
          <t>Consumable part for MN</t>
        </is>
      </c>
      <c r="N1775" s="7" t="inlineStr">
        <is>
          <t>Consumable part</t>
        </is>
      </c>
      <c r="O1775" s="11" t="n">
        <v>1</v>
      </c>
      <c r="P1775" s="10" t="inlineStr">
        <is>
          <t>setnotWmfilter</t>
        </is>
      </c>
      <c r="Q1775" s="277" t="n">
        <v>5</v>
      </c>
      <c r="R1775" s="5" t="inlineStr">
        <is>
          <t>PCS.</t>
        </is>
      </c>
      <c r="S1775" s="284">
        <f>RawDataGenPO[[#This Row],[Total price]]/RawDataGenPO[[#This Row],[Qty'']]</f>
        <v/>
      </c>
      <c r="T1775" s="278" t="n">
        <v>4000</v>
      </c>
      <c r="U1775" s="291" t="n"/>
      <c r="V1775" s="7" t="inlineStr">
        <is>
          <t>V1000878 - ROJANAPAT ENGINEERING CO., LTD</t>
        </is>
      </c>
      <c r="W1775" s="30" t="inlineStr">
        <is>
          <t>Recive bill and GRN already</t>
        </is>
      </c>
      <c r="X1775" s="5" t="inlineStr">
        <is>
          <t>GRN2526-0006461</t>
        </is>
      </c>
      <c r="Y1775" s="3" t="n">
        <v>46014</v>
      </c>
      <c r="Z1775" s="23" t="n"/>
      <c r="AA1775" s="17">
        <f>IF(RawDataGenPO[[#This Row],[Date Gen PO]]="","",RawDataGenPO[[#This Row],[Date recive bill]]-RawDataGenPO[[#This Row],[Date Gen PO]])</f>
        <v/>
      </c>
      <c r="AB1775" s="16">
        <f>IF(RawDataGenPO[[#This Row],[GRN-PO date]]&gt;RawDataGenPO[[#This Row],[Lead time delivery (day)]],"over deliverry","Ontime")</f>
        <v/>
      </c>
      <c r="AC1775" s="22" t="n"/>
    </row>
    <row r="1776" ht="15" customHeight="1">
      <c r="A1776" s="5">
        <f>ROW()-ROW(RawDataGenPO[[#Headers],[No.]])</f>
        <v/>
      </c>
      <c r="B1776" s="29" t="inlineStr">
        <is>
          <t>Expent  cost</t>
        </is>
      </c>
      <c r="C1776" s="373" t="n"/>
      <c r="D1776" s="374" t="n"/>
      <c r="E1776" s="374" t="n"/>
      <c r="F1776" s="281" t="n">
        <v>45994</v>
      </c>
      <c r="G1776" s="5" t="inlineStr">
        <is>
          <t>PR2526-03465</t>
        </is>
      </c>
      <c r="H1776" s="5" t="inlineStr">
        <is>
          <t xml:space="preserve">PO2526-05024 </t>
        </is>
      </c>
      <c r="I1776" s="286" t="n">
        <v>45973</v>
      </c>
      <c r="J1776" s="26" t="n"/>
      <c r="K1776" s="20" t="n">
        <v>60</v>
      </c>
      <c r="L1776" s="5" t="inlineStr">
        <is>
          <t>SFST34000192</t>
        </is>
      </c>
      <c r="M1776" s="7" t="inlineStr">
        <is>
          <t>Consumable part for MN</t>
        </is>
      </c>
      <c r="N1776" s="7" t="inlineStr">
        <is>
          <t>Consumable part</t>
        </is>
      </c>
      <c r="O1776" s="11" t="n">
        <v>2</v>
      </c>
      <c r="P1776" s="10" t="inlineStr">
        <is>
          <t>Housing dark blue- 10" Brass 4 buhn setnotWm Fast Flow</t>
        </is>
      </c>
      <c r="Q1776" s="277" t="n">
        <v>5</v>
      </c>
      <c r="R1776" s="5" t="inlineStr">
        <is>
          <t>PCS.</t>
        </is>
      </c>
      <c r="S1776" s="284">
        <f>RawDataGenPO[[#This Row],[Total price]]/RawDataGenPO[[#This Row],[Qty'']]</f>
        <v/>
      </c>
      <c r="T1776" s="278" t="n">
        <v>3250</v>
      </c>
      <c r="U1776" s="291" t="n"/>
      <c r="V1776" s="7" t="inlineStr">
        <is>
          <t>V1000878 - ROJANAPAT ENGINEERING CO., LTD</t>
        </is>
      </c>
      <c r="W1776" s="30" t="inlineStr">
        <is>
          <t>Recive bill and GRN already</t>
        </is>
      </c>
      <c r="X1776" s="5" t="inlineStr">
        <is>
          <t>GRN2526-0006461</t>
        </is>
      </c>
      <c r="Y1776" s="3" t="n">
        <v>46014</v>
      </c>
      <c r="Z1776" s="23" t="n"/>
      <c r="AA1776" s="17">
        <f>IF(RawDataGenPO[[#This Row],[Date Gen PO]]="","",RawDataGenPO[[#This Row],[Date recive bill]]-RawDataGenPO[[#This Row],[Date Gen PO]])</f>
        <v/>
      </c>
      <c r="AB1776" s="16">
        <f>IF(RawDataGenPO[[#This Row],[GRN-PO date]]&gt;RawDataGenPO[[#This Row],[Lead time delivery (day)]],"over deliverry","Ontime")</f>
        <v/>
      </c>
      <c r="AC1776" s="22" t="n"/>
    </row>
    <row r="1777" ht="15" customHeight="1">
      <c r="A1777" s="5">
        <f>ROW()-ROW(RawDataGenPO[[#Headers],[No.]])</f>
        <v/>
      </c>
      <c r="B1777" s="29" t="inlineStr">
        <is>
          <t>Expent  cost</t>
        </is>
      </c>
      <c r="C1777" s="373" t="n"/>
      <c r="D1777" s="374" t="n"/>
      <c r="E1777" s="374" t="n"/>
      <c r="F1777" s="281" t="n">
        <v>45994</v>
      </c>
      <c r="G1777" s="5" t="inlineStr">
        <is>
          <t>PR2526-03465</t>
        </is>
      </c>
      <c r="H1777" s="5" t="inlineStr">
        <is>
          <t xml:space="preserve">PO2526-05024 </t>
        </is>
      </c>
      <c r="I1777" s="286" t="n">
        <v>45973</v>
      </c>
      <c r="J1777" s="26" t="n"/>
      <c r="K1777" s="20" t="n">
        <v>120</v>
      </c>
      <c r="L1777" s="5" t="inlineStr">
        <is>
          <t>SFST34000193</t>
        </is>
      </c>
      <c r="M1777" s="7" t="inlineStr">
        <is>
          <t>Consumable part for MN</t>
        </is>
      </c>
      <c r="N1777" s="7" t="inlineStr">
        <is>
          <t>Consumable part</t>
        </is>
      </c>
      <c r="O1777" s="11" t="n">
        <v>3</v>
      </c>
      <c r="P1777" s="10" t="inlineStr">
        <is>
          <t>Housing dark blue 20" Brass3/4' setnotWmfilter Fast Flow</t>
        </is>
      </c>
      <c r="Q1777" s="277" t="n">
        <v>5</v>
      </c>
      <c r="R1777" s="5" t="inlineStr">
        <is>
          <t>PCS.</t>
        </is>
      </c>
      <c r="S1777" s="284">
        <f>RawDataGenPO[[#This Row],[Total price]]/RawDataGenPO[[#This Row],[Qty'']]</f>
        <v/>
      </c>
      <c r="T1777" s="278" t="n">
        <v>2750</v>
      </c>
      <c r="U1777" s="291" t="n"/>
      <c r="V1777" s="7" t="inlineStr">
        <is>
          <t>V1000878 - ROJANAPAT ENGINEERING CO., LTD</t>
        </is>
      </c>
      <c r="W1777" s="30" t="inlineStr">
        <is>
          <t>Recive bill and GRN already</t>
        </is>
      </c>
      <c r="X1777" s="5" t="inlineStr">
        <is>
          <t>GRN2526-0009207</t>
        </is>
      </c>
      <c r="Y1777" s="3" t="n">
        <v>46100</v>
      </c>
      <c r="Z1777" s="23" t="n"/>
      <c r="AA1777" s="17">
        <f>IF(RawDataGenPO[[#This Row],[Date Gen PO]]="","",RawDataGenPO[[#This Row],[Date recive bill]]-RawDataGenPO[[#This Row],[Date Gen PO]])</f>
        <v/>
      </c>
      <c r="AB1777" s="16">
        <f>IF(RawDataGenPO[[#This Row],[GRN-PO date]]&gt;RawDataGenPO[[#This Row],[Lead time delivery (day)]],"over deliverry","Ontime")</f>
        <v/>
      </c>
      <c r="AC1777" s="22" t="n"/>
    </row>
    <row r="1778" ht="15" customHeight="1">
      <c r="A1778" s="5">
        <f>ROW()-ROW(RawDataGenPO[[#Headers],[No.]])</f>
        <v/>
      </c>
      <c r="B1778" s="29" t="inlineStr">
        <is>
          <t>Expent  cost</t>
        </is>
      </c>
      <c r="C1778" s="373" t="n"/>
      <c r="D1778" s="374" t="n"/>
      <c r="E1778" s="374" t="n"/>
      <c r="F1778" s="281" t="n">
        <v>45994</v>
      </c>
      <c r="G1778" s="5" t="inlineStr">
        <is>
          <t>PR2526-03465</t>
        </is>
      </c>
      <c r="H1778" s="5" t="inlineStr">
        <is>
          <t xml:space="preserve">PO2526-05024 </t>
        </is>
      </c>
      <c r="I1778" s="286" t="n">
        <v>45973</v>
      </c>
      <c r="J1778" s="26" t="n"/>
      <c r="K1778" s="20" t="n">
        <v>60</v>
      </c>
      <c r="L1778" s="5" t="inlineStr">
        <is>
          <t>SFST34000194</t>
        </is>
      </c>
      <c r="M1778" s="7" t="inlineStr">
        <is>
          <t>Consumable part for MN</t>
        </is>
      </c>
      <c r="N1778" s="7" t="inlineStr">
        <is>
          <t>Consumable part</t>
        </is>
      </c>
      <c r="O1778" s="11" t="n">
        <v>4</v>
      </c>
      <c r="P1778" s="10" t="inlineStr">
        <is>
          <t>Housing dark blue 20" Brass 4 buhn</t>
        </is>
      </c>
      <c r="Q1778" s="277" t="n">
        <v>5</v>
      </c>
      <c r="R1778" s="5" t="inlineStr">
        <is>
          <t>PCS.</t>
        </is>
      </c>
      <c r="S1778" s="284">
        <f>RawDataGenPO[[#This Row],[Total price]]/RawDataGenPO[[#This Row],[Qty'']]</f>
        <v/>
      </c>
      <c r="T1778" s="278" t="n">
        <v>2700</v>
      </c>
      <c r="U1778" s="291" t="n"/>
      <c r="V1778" s="7" t="inlineStr">
        <is>
          <t>V1000878 - ROJANAPAT ENGINEERING CO., LTD</t>
        </is>
      </c>
      <c r="W1778" s="30" t="inlineStr">
        <is>
          <t>Recive bill and GRN already</t>
        </is>
      </c>
      <c r="X1778" s="5" t="inlineStr">
        <is>
          <t>GRN2526-0006461</t>
        </is>
      </c>
      <c r="Y1778" s="3" t="n">
        <v>46014</v>
      </c>
      <c r="Z1778" s="23" t="n"/>
      <c r="AA1778" s="17">
        <f>IF(RawDataGenPO[[#This Row],[Date Gen PO]]="","",RawDataGenPO[[#This Row],[Date recive bill]]-RawDataGenPO[[#This Row],[Date Gen PO]])</f>
        <v/>
      </c>
      <c r="AB1778" s="16">
        <f>IF(RawDataGenPO[[#This Row],[GRN-PO date]]&gt;RawDataGenPO[[#This Row],[Lead time delivery (day)]],"over deliverry","Ontime")</f>
        <v/>
      </c>
      <c r="AC1778" s="22" t="n"/>
    </row>
    <row r="1779" ht="45" customHeight="1">
      <c r="A1779" s="5">
        <f>ROW()-ROW(RawDataGenPO[[#Headers],[No.]])</f>
        <v/>
      </c>
      <c r="B1779" s="29" t="inlineStr">
        <is>
          <t>Expent  cost</t>
        </is>
      </c>
      <c r="C1779" s="373" t="n"/>
      <c r="D1779" s="374" t="n"/>
      <c r="E1779" s="374" t="n"/>
      <c r="F1779" s="281" t="n">
        <v>45994</v>
      </c>
      <c r="G1779" s="5" t="inlineStr">
        <is>
          <t>PR2526-03569</t>
        </is>
      </c>
      <c r="H1779" s="5" t="inlineStr">
        <is>
          <t>PO2526-05008</t>
        </is>
      </c>
      <c r="I1779" s="286" t="n">
        <v>46008</v>
      </c>
      <c r="J1779" s="26" t="n"/>
      <c r="K1779" s="20" t="n">
        <v>30</v>
      </c>
      <c r="L1779" s="5" t="inlineStr">
        <is>
          <t>SFST81000048</t>
        </is>
      </c>
      <c r="M1779" s="7" t="inlineStr">
        <is>
          <t>PD Machine</t>
        </is>
      </c>
      <c r="N1779" s="7" t="inlineStr">
        <is>
          <t>X-Ray No.2</t>
        </is>
      </c>
      <c r="O1779" s="11" t="n">
        <v>1</v>
      </c>
      <c r="P1779" s="10" t="inlineStr">
        <is>
          <t>UNIBAND BRAND" CONVEYOR BELT TYPE: UP6/W ENDLESS
SIZE: 280 MM. x 1630 MM. x 0.8 MM.
machineWmeasuring No-2</t>
        </is>
      </c>
      <c r="Q1779" s="277" t="n">
        <v>1</v>
      </c>
      <c r="R1779" s="5" t="inlineStr">
        <is>
          <t>PCS.</t>
        </is>
      </c>
      <c r="S1779" s="284">
        <f>RawDataGenPO[[#This Row],[Total price]]/RawDataGenPO[[#This Row],[Qty'']]</f>
        <v/>
      </c>
      <c r="T1779" s="278" t="n">
        <v>1500</v>
      </c>
      <c r="U1779" s="291" t="n"/>
      <c r="V1779" s="7" t="inlineStr">
        <is>
          <t>V1000256 - ADVANTAGE INTER BELT CO.,LTD.</t>
        </is>
      </c>
      <c r="W1779" s="30" t="inlineStr">
        <is>
          <t>Recive bill and GRN already</t>
        </is>
      </c>
      <c r="X1779" s="5" t="inlineStr">
        <is>
          <t>GRN2526-0006407</t>
        </is>
      </c>
      <c r="Y1779" s="3" t="n">
        <v>46013</v>
      </c>
      <c r="Z1779" s="23" t="n"/>
      <c r="AA1779" s="17">
        <f>IF(RawDataGenPO[[#This Row],[Date Gen PO]]="","",RawDataGenPO[[#This Row],[Date recive bill]]-RawDataGenPO[[#This Row],[Date Gen PO]])</f>
        <v/>
      </c>
      <c r="AB1779" s="16">
        <f>IF(RawDataGenPO[[#This Row],[GRN-PO date]]&gt;RawDataGenPO[[#This Row],[Lead time delivery (day)]],"over deliverry","Ontime")</f>
        <v/>
      </c>
      <c r="AC1779" s="22" t="n"/>
    </row>
    <row r="1780" ht="45" customHeight="1">
      <c r="A1780" s="5">
        <f>ROW()-ROW(RawDataGenPO[[#Headers],[No.]])</f>
        <v/>
      </c>
      <c r="B1780" s="29" t="inlineStr">
        <is>
          <t>Expent  cost</t>
        </is>
      </c>
      <c r="C1780" s="373" t="n"/>
      <c r="D1780" s="374" t="n"/>
      <c r="E1780" s="374" t="n"/>
      <c r="F1780" s="281" t="n">
        <v>45994</v>
      </c>
      <c r="G1780" s="5" t="inlineStr">
        <is>
          <t>PR2526-03569</t>
        </is>
      </c>
      <c r="H1780" s="5" t="inlineStr">
        <is>
          <t>PO2526-05008</t>
        </is>
      </c>
      <c r="I1780" s="286" t="n">
        <v>46008</v>
      </c>
      <c r="J1780" s="26" t="n"/>
      <c r="K1780" s="20" t="n">
        <v>30</v>
      </c>
      <c r="L1780" s="5" t="inlineStr">
        <is>
          <t>SFST81000048</t>
        </is>
      </c>
      <c r="M1780" s="7" t="inlineStr">
        <is>
          <t>PD Machine</t>
        </is>
      </c>
      <c r="N1780" s="7" t="inlineStr">
        <is>
          <t>X-Ray No.2</t>
        </is>
      </c>
      <c r="O1780" s="11" t="n">
        <v>2</v>
      </c>
      <c r="P1780" s="10" t="inlineStr">
        <is>
          <t>UNIBAND BRAND" CONVEYOR BELT TYPE: UP7/W ENDLESS
SIZE: 230 MM. x 725 MM. x 0.8 MM.
machine No-2</t>
        </is>
      </c>
      <c r="Q1780" s="277" t="n">
        <v>1</v>
      </c>
      <c r="R1780" s="5" t="inlineStr">
        <is>
          <t>PCS.</t>
        </is>
      </c>
      <c r="S1780" s="284">
        <f>RawDataGenPO[[#This Row],[Total price]]/RawDataGenPO[[#This Row],[Qty'']]</f>
        <v/>
      </c>
      <c r="T1780" s="278" t="n">
        <v>600</v>
      </c>
      <c r="U1780" s="291" t="n"/>
      <c r="V1780" s="7" t="inlineStr">
        <is>
          <t>V1000256 - ADVANTAGE INTER BELT CO.,LTD.</t>
        </is>
      </c>
      <c r="W1780" s="30" t="inlineStr">
        <is>
          <t>Recive bill and GRN already</t>
        </is>
      </c>
      <c r="X1780" s="5" t="inlineStr">
        <is>
          <t>GRN2526-0006407</t>
        </is>
      </c>
      <c r="Y1780" s="3" t="n">
        <v>46013</v>
      </c>
      <c r="Z1780" s="23" t="n"/>
      <c r="AA1780" s="17">
        <f>IF(RawDataGenPO[[#This Row],[Date Gen PO]]="","",RawDataGenPO[[#This Row],[Date recive bill]]-RawDataGenPO[[#This Row],[Date Gen PO]])</f>
        <v/>
      </c>
      <c r="AB1780" s="16">
        <f>IF(RawDataGenPO[[#This Row],[GRN-PO date]]&gt;RawDataGenPO[[#This Row],[Lead time delivery (day)]],"over deliverry","Ontime")</f>
        <v/>
      </c>
      <c r="AC1780" s="22" t="n"/>
    </row>
    <row r="1781" ht="15" customHeight="1">
      <c r="A1781" s="5">
        <f>ROW()-ROW(RawDataGenPO[[#Headers],[No.]])</f>
        <v/>
      </c>
      <c r="B1781" s="29" t="inlineStr">
        <is>
          <t>Expent  cost</t>
        </is>
      </c>
      <c r="C1781" s="373" t="n"/>
      <c r="D1781" s="374" t="n"/>
      <c r="E1781" s="374" t="n"/>
      <c r="F1781" s="281" t="n">
        <v>45995</v>
      </c>
      <c r="G1781" s="5" t="inlineStr">
        <is>
          <t>PR2526-03599</t>
        </is>
      </c>
      <c r="H1781" s="5" t="inlineStr">
        <is>
          <t>PO2526-05074</t>
        </is>
      </c>
      <c r="I1781" s="286" t="n">
        <v>46007</v>
      </c>
      <c r="J1781" s="26" t="n"/>
      <c r="K1781" s="20" t="n">
        <v>30</v>
      </c>
      <c r="L1781" s="5" t="inlineStr">
        <is>
          <t>SFST11000256</t>
        </is>
      </c>
      <c r="M1781" s="7" t="inlineStr">
        <is>
          <t>Consumable part for MN</t>
        </is>
      </c>
      <c r="N1781" s="7" t="inlineStr">
        <is>
          <t>Consumable part</t>
        </is>
      </c>
      <c r="O1781" s="11" t="n">
        <v>1</v>
      </c>
      <c r="P1781" s="10" t="inlineStr">
        <is>
          <t>Bio Solution 1 lit</t>
        </is>
      </c>
      <c r="Q1781" s="277" t="n">
        <v>4</v>
      </c>
      <c r="R1781" s="5" t="inlineStr">
        <is>
          <t>BOT.</t>
        </is>
      </c>
      <c r="S1781" s="284">
        <f>RawDataGenPO[[#This Row],[Total price]]/RawDataGenPO[[#This Row],[Qty'']]</f>
        <v/>
      </c>
      <c r="T1781" s="278" t="n">
        <v>2600</v>
      </c>
      <c r="U1781" s="291" t="n"/>
      <c r="V1781" s="7" t="inlineStr">
        <is>
          <t>V1000206 - TECHMAN (THAILAND) CO.,LTD.</t>
        </is>
      </c>
      <c r="W1781" s="30" t="inlineStr">
        <is>
          <t>Recive bill and GRN already</t>
        </is>
      </c>
      <c r="X1781" s="5" t="inlineStr">
        <is>
          <t>GRN2526-0006429</t>
        </is>
      </c>
      <c r="Y1781" s="3" t="n">
        <v>46013</v>
      </c>
      <c r="Z1781" s="23" t="n"/>
      <c r="AA1781" s="17">
        <f>IF(RawDataGenPO[[#This Row],[Date Gen PO]]="","",RawDataGenPO[[#This Row],[Date recive bill]]-RawDataGenPO[[#This Row],[Date Gen PO]])</f>
        <v/>
      </c>
      <c r="AB1781" s="16">
        <f>IF(RawDataGenPO[[#This Row],[GRN-PO date]]&gt;RawDataGenPO[[#This Row],[Lead time delivery (day)]],"over deliverry","Ontime")</f>
        <v/>
      </c>
      <c r="AC1781" s="22" t="n"/>
    </row>
    <row r="1782" ht="15" customHeight="1">
      <c r="A1782" s="5">
        <f>ROW()-ROW(RawDataGenPO[[#Headers],[No.]])</f>
        <v/>
      </c>
      <c r="B1782" s="29" t="inlineStr">
        <is>
          <t>Expent  cost</t>
        </is>
      </c>
      <c r="C1782" s="373" t="n"/>
      <c r="D1782" s="374" t="n"/>
      <c r="E1782" s="374" t="n"/>
      <c r="F1782" s="281" t="n">
        <v>45995</v>
      </c>
      <c r="G1782" s="5" t="inlineStr">
        <is>
          <t>PR2526-03610</t>
        </is>
      </c>
      <c r="H1782" s="5" t="inlineStr">
        <is>
          <t>PO2526-05010</t>
        </is>
      </c>
      <c r="I1782" s="286" t="n">
        <v>46008</v>
      </c>
      <c r="J1782" s="26" t="n"/>
      <c r="K1782" s="20" t="n">
        <v>30</v>
      </c>
      <c r="L1782" s="5" t="inlineStr">
        <is>
          <t>SFST81000009</t>
        </is>
      </c>
      <c r="M1782" s="7" t="inlineStr">
        <is>
          <t>Consumable part for MN</t>
        </is>
      </c>
      <c r="N1782" s="7" t="inlineStr">
        <is>
          <t>Consumable part</t>
        </is>
      </c>
      <c r="O1782" s="11" t="n">
        <v>1</v>
      </c>
      <c r="P1782" s="10" t="inlineStr">
        <is>
          <t>Diamond 2 valve type panelsW 2 W</t>
        </is>
      </c>
      <c r="Q1782" s="277" t="n">
        <v>4</v>
      </c>
      <c r="R1782" s="5" t="inlineStr">
        <is>
          <t>PCS.</t>
        </is>
      </c>
      <c r="S1782" s="284">
        <f>RawDataGenPO[[#This Row],[Total price]]/RawDataGenPO[[#This Row],[Qty'']]</f>
        <v/>
      </c>
      <c r="T1782" s="278" t="n">
        <v>5720</v>
      </c>
      <c r="U1782" s="291" t="n"/>
      <c r="V1782" s="7" t="inlineStr">
        <is>
          <t>V1000306 - Inter Supply (1992) Co., Ltd.</t>
        </is>
      </c>
      <c r="W1782" s="30" t="inlineStr">
        <is>
          <t>Recive bill and GRN already</t>
        </is>
      </c>
      <c r="X1782" s="5" t="inlineStr">
        <is>
          <t>GRN2526-0006620</t>
        </is>
      </c>
      <c r="Y1782" s="3" t="n">
        <v>46027</v>
      </c>
      <c r="Z1782" s="23" t="n"/>
      <c r="AA1782" s="17">
        <f>IF(RawDataGenPO[[#This Row],[Date Gen PO]]="","",RawDataGenPO[[#This Row],[Date recive bill]]-RawDataGenPO[[#This Row],[Date Gen PO]])</f>
        <v/>
      </c>
      <c r="AB1782" s="16">
        <f>IF(RawDataGenPO[[#This Row],[GRN-PO date]]&gt;RawDataGenPO[[#This Row],[Lead time delivery (day)]],"over deliverry","Ontime")</f>
        <v/>
      </c>
      <c r="AC1782" s="22" t="n"/>
    </row>
    <row r="1783" ht="15" customHeight="1">
      <c r="A1783" s="5">
        <f>ROW()-ROW(RawDataGenPO[[#Headers],[No.]])</f>
        <v/>
      </c>
      <c r="B1783" s="29" t="inlineStr">
        <is>
          <t>Expent  cost</t>
        </is>
      </c>
      <c r="C1783" s="373" t="n"/>
      <c r="D1783" s="374" t="n"/>
      <c r="E1783" s="374" t="n"/>
      <c r="F1783" s="281" t="n">
        <v>45995</v>
      </c>
      <c r="G1783" s="5" t="inlineStr">
        <is>
          <t>PR2526-03610</t>
        </is>
      </c>
      <c r="H1783" s="5" t="inlineStr">
        <is>
          <t>PO2526-05010</t>
        </is>
      </c>
      <c r="I1783" s="286" t="n">
        <v>46008</v>
      </c>
      <c r="J1783" s="26" t="n"/>
      <c r="K1783" s="20" t="n">
        <v>30</v>
      </c>
      <c r="L1783" s="5" t="inlineStr">
        <is>
          <t>SFST81000009</t>
        </is>
      </c>
      <c r="M1783" s="7" t="inlineStr">
        <is>
          <t>Consumable part for MN</t>
        </is>
      </c>
      <c r="N1783" s="7" t="inlineStr">
        <is>
          <t>Consumable part</t>
        </is>
      </c>
      <c r="O1783" s="11" t="n">
        <v>2</v>
      </c>
      <c r="P1783" s="10" t="inlineStr">
        <is>
          <t>Diamond 2 valve typenot panelsW 2 W</t>
        </is>
      </c>
      <c r="Q1783" s="277" t="n">
        <v>4</v>
      </c>
      <c r="R1783" s="5" t="inlineStr">
        <is>
          <t>PCS.</t>
        </is>
      </c>
      <c r="S1783" s="284">
        <f>RawDataGenPO[[#This Row],[Total price]]/RawDataGenPO[[#This Row],[Qty'']]</f>
        <v/>
      </c>
      <c r="T1783" s="278" t="n">
        <v>6200</v>
      </c>
      <c r="U1783" s="291" t="n"/>
      <c r="V1783" s="7" t="inlineStr">
        <is>
          <t>V1000306 - Inter Supply (1992) Co., Ltd.</t>
        </is>
      </c>
      <c r="W1783" s="30" t="inlineStr">
        <is>
          <t>Recive bill and GRN already</t>
        </is>
      </c>
      <c r="X1783" s="5" t="inlineStr">
        <is>
          <t>GRN2526-0006620</t>
        </is>
      </c>
      <c r="Y1783" s="3" t="n">
        <v>46027</v>
      </c>
      <c r="Z1783" s="23" t="n"/>
      <c r="AA1783" s="17">
        <f>IF(RawDataGenPO[[#This Row],[Date Gen PO]]="","",RawDataGenPO[[#This Row],[Date recive bill]]-RawDataGenPO[[#This Row],[Date Gen PO]])</f>
        <v/>
      </c>
      <c r="AB1783" s="16">
        <f>IF(RawDataGenPO[[#This Row],[GRN-PO date]]&gt;RawDataGenPO[[#This Row],[Lead time delivery (day)]],"over deliverry","Ontime")</f>
        <v/>
      </c>
      <c r="AC1783" s="22" t="n"/>
    </row>
    <row r="1784" ht="15" customHeight="1">
      <c r="A1784" s="5">
        <f>ROW()-ROW(RawDataGenPO[[#Headers],[No.]])</f>
        <v/>
      </c>
      <c r="B1784" s="29" t="inlineStr">
        <is>
          <t>Expent  cost</t>
        </is>
      </c>
      <c r="C1784" s="373" t="n"/>
      <c r="D1784" s="374" t="n"/>
      <c r="E1784" s="374" t="n"/>
      <c r="F1784" s="281" t="n">
        <v>45995</v>
      </c>
      <c r="G1784" s="5" t="inlineStr">
        <is>
          <t>PR2526-03611</t>
        </is>
      </c>
      <c r="H1784" s="5" t="inlineStr">
        <is>
          <t>PO2526-05011</t>
        </is>
      </c>
      <c r="I1784" s="286" t="n">
        <v>46008</v>
      </c>
      <c r="J1784" s="26" t="n"/>
      <c r="K1784" s="20" t="n">
        <v>30</v>
      </c>
      <c r="L1784" s="5" t="inlineStr">
        <is>
          <t>SFST81000009</t>
        </is>
      </c>
      <c r="M1784" s="7" t="inlineStr">
        <is>
          <t>Consumable part for MN</t>
        </is>
      </c>
      <c r="N1784" s="7" t="inlineStr">
        <is>
          <t>Consumable part</t>
        </is>
      </c>
      <c r="O1784" s="11" t="n">
        <v>1</v>
      </c>
      <c r="P1784" s="10" t="inlineStr">
        <is>
          <t>piperound1/2inch stainless steel304 SCH10 length6m Steam Pipe</t>
        </is>
      </c>
      <c r="Q1784" s="277" t="n">
        <v>4</v>
      </c>
      <c r="R1784" s="5" t="inlineStr">
        <is>
          <t>PCS.</t>
        </is>
      </c>
      <c r="S1784" s="284">
        <f>RawDataGenPO[[#This Row],[Total price]]/RawDataGenPO[[#This Row],[Qty'']]</f>
        <v/>
      </c>
      <c r="T1784" s="278" t="n">
        <v>2860</v>
      </c>
      <c r="U1784" s="291" t="n"/>
      <c r="V1784" s="7" t="inlineStr">
        <is>
          <t>V1000307 - M.C.K.STEEL CENTER CO., LTD.</t>
        </is>
      </c>
      <c r="W1784" s="30" t="inlineStr">
        <is>
          <t>Recive bill and GRN already</t>
        </is>
      </c>
      <c r="X1784" s="5" t="inlineStr">
        <is>
          <t>GRN2526-0006622</t>
        </is>
      </c>
      <c r="Y1784" s="3" t="n">
        <v>46027</v>
      </c>
      <c r="Z1784" s="23" t="n"/>
      <c r="AA1784" s="17">
        <f>IF(RawDataGenPO[[#This Row],[Date Gen PO]]="","",RawDataGenPO[[#This Row],[Date recive bill]]-RawDataGenPO[[#This Row],[Date Gen PO]])</f>
        <v/>
      </c>
      <c r="AB1784" s="16">
        <f>IF(RawDataGenPO[[#This Row],[GRN-PO date]]&gt;RawDataGenPO[[#This Row],[Lead time delivery (day)]],"over deliverry","Ontime")</f>
        <v/>
      </c>
      <c r="AC1784" s="22" t="n"/>
    </row>
    <row r="1785" ht="15" customHeight="1">
      <c r="A1785" s="5">
        <f>ROW()-ROW(RawDataGenPO[[#Headers],[No.]])</f>
        <v/>
      </c>
      <c r="B1785" s="29" t="inlineStr">
        <is>
          <t>Expent  cost</t>
        </is>
      </c>
      <c r="C1785" s="373" t="n"/>
      <c r="D1785" s="374" t="n"/>
      <c r="E1785" s="374" t="n"/>
      <c r="F1785" s="281" t="n">
        <v>45995</v>
      </c>
      <c r="G1785" s="5" t="inlineStr">
        <is>
          <t>PR2526-03611</t>
        </is>
      </c>
      <c r="H1785" s="5" t="inlineStr">
        <is>
          <t>PO2526-05011</t>
        </is>
      </c>
      <c r="I1785" s="286" t="n">
        <v>46008</v>
      </c>
      <c r="J1785" s="26" t="n"/>
      <c r="K1785" s="20" t="n">
        <v>30</v>
      </c>
      <c r="L1785" s="5" t="inlineStr">
        <is>
          <t>SFST81000009</t>
        </is>
      </c>
      <c r="M1785" s="7" t="inlineStr">
        <is>
          <t>Consumable part for MN</t>
        </is>
      </c>
      <c r="N1785" s="7" t="inlineStr">
        <is>
          <t>Consumable part</t>
        </is>
      </c>
      <c r="O1785" s="11" t="n">
        <v>2</v>
      </c>
      <c r="P1785" s="10" t="inlineStr">
        <is>
          <t>piperound1-1/4inch stainless steel304 SCH10 length6m Steam Pipe</t>
        </is>
      </c>
      <c r="Q1785" s="277" t="n">
        <v>2</v>
      </c>
      <c r="R1785" s="5" t="inlineStr">
        <is>
          <t>PCS.</t>
        </is>
      </c>
      <c r="S1785" s="284">
        <f>RawDataGenPO[[#This Row],[Total price]]/RawDataGenPO[[#This Row],[Qty'']]</f>
        <v/>
      </c>
      <c r="T1785" s="278" t="n">
        <v>2910</v>
      </c>
      <c r="U1785" s="291" t="n"/>
      <c r="V1785" s="7" t="inlineStr">
        <is>
          <t>V1000307 - M.C.K.STEEL CENTER CO., LTD.</t>
        </is>
      </c>
      <c r="W1785" s="30" t="inlineStr">
        <is>
          <t>Recive bill and GRN already</t>
        </is>
      </c>
      <c r="X1785" s="5" t="inlineStr">
        <is>
          <t>GRN2526-0006622</t>
        </is>
      </c>
      <c r="Y1785" s="3" t="n">
        <v>46027</v>
      </c>
      <c r="Z1785" s="23" t="n"/>
      <c r="AA1785" s="17">
        <f>IF(RawDataGenPO[[#This Row],[Date Gen PO]]="","",RawDataGenPO[[#This Row],[Date recive bill]]-RawDataGenPO[[#This Row],[Date Gen PO]])</f>
        <v/>
      </c>
      <c r="AB1785" s="16">
        <f>IF(RawDataGenPO[[#This Row],[GRN-PO date]]&gt;RawDataGenPO[[#This Row],[Lead time delivery (day)]],"over deliverry","Ontime")</f>
        <v/>
      </c>
      <c r="AC1785" s="22" t="n"/>
    </row>
    <row r="1786" ht="15" customHeight="1">
      <c r="A1786" s="5">
        <f>ROW()-ROW(RawDataGenPO[[#Headers],[No.]])</f>
        <v/>
      </c>
      <c r="B1786" s="29" t="inlineStr">
        <is>
          <t>Expent  cost</t>
        </is>
      </c>
      <c r="C1786" s="373" t="n"/>
      <c r="D1786" s="374" t="n"/>
      <c r="E1786" s="374" t="n"/>
      <c r="F1786" s="281" t="n">
        <v>45995</v>
      </c>
      <c r="G1786" s="5" t="inlineStr">
        <is>
          <t>PR2526-03611</t>
        </is>
      </c>
      <c r="H1786" s="5" t="inlineStr">
        <is>
          <t>PO2526-05011</t>
        </is>
      </c>
      <c r="I1786" s="286" t="n">
        <v>46008</v>
      </c>
      <c r="J1786" s="26" t="n"/>
      <c r="K1786" s="20" t="n">
        <v>30</v>
      </c>
      <c r="L1786" s="5" t="inlineStr">
        <is>
          <t>SFST81000009</t>
        </is>
      </c>
      <c r="M1786" s="7" t="inlineStr">
        <is>
          <t>Consumable part for MN</t>
        </is>
      </c>
      <c r="N1786" s="7" t="inlineStr">
        <is>
          <t>Consumable part</t>
        </is>
      </c>
      <c r="O1786" s="11" t="n">
        <v>3</v>
      </c>
      <c r="P1786" s="10" t="inlineStr">
        <is>
          <t>piperound1-1/2inch stainless steel304 SCH10 length6m Steam Pipe</t>
        </is>
      </c>
      <c r="Q1786" s="277" t="n">
        <v>2</v>
      </c>
      <c r="R1786" s="5" t="inlineStr">
        <is>
          <t>PCS.</t>
        </is>
      </c>
      <c r="S1786" s="284">
        <f>RawDataGenPO[[#This Row],[Total price]]/RawDataGenPO[[#This Row],[Qty'']]</f>
        <v/>
      </c>
      <c r="T1786" s="278" t="n">
        <v>3420</v>
      </c>
      <c r="U1786" s="291" t="n"/>
      <c r="V1786" s="7" t="inlineStr">
        <is>
          <t>V1000307 - M.C.K.STEEL CENTER CO., LTD.</t>
        </is>
      </c>
      <c r="W1786" s="30" t="inlineStr">
        <is>
          <t>Recive bill and GRN already</t>
        </is>
      </c>
      <c r="X1786" s="5" t="inlineStr">
        <is>
          <t>GRN2526-0006622</t>
        </is>
      </c>
      <c r="Y1786" s="3" t="n">
        <v>46027</v>
      </c>
      <c r="Z1786" s="23" t="n"/>
      <c r="AA1786" s="17">
        <f>IF(RawDataGenPO[[#This Row],[Date Gen PO]]="","",RawDataGenPO[[#This Row],[Date recive bill]]-RawDataGenPO[[#This Row],[Date Gen PO]])</f>
        <v/>
      </c>
      <c r="AB1786" s="16">
        <f>IF(RawDataGenPO[[#This Row],[GRN-PO date]]&gt;RawDataGenPO[[#This Row],[Lead time delivery (day)]],"over deliverry","Ontime")</f>
        <v/>
      </c>
      <c r="AC1786" s="22" t="n"/>
    </row>
    <row r="1787" ht="15" customHeight="1">
      <c r="A1787" s="5">
        <f>ROW()-ROW(RawDataGenPO[[#Headers],[No.]])</f>
        <v/>
      </c>
      <c r="B1787" s="29" t="inlineStr">
        <is>
          <t>Expent  cost</t>
        </is>
      </c>
      <c r="C1787" s="373" t="n"/>
      <c r="D1787" s="374" t="n"/>
      <c r="E1787" s="374" t="n"/>
      <c r="F1787" s="281" t="n">
        <v>45995</v>
      </c>
      <c r="G1787" s="5" t="inlineStr">
        <is>
          <t>PR2526-03611</t>
        </is>
      </c>
      <c r="H1787" s="5" t="inlineStr">
        <is>
          <t>PO2526-05011</t>
        </is>
      </c>
      <c r="I1787" s="286" t="n">
        <v>46008</v>
      </c>
      <c r="J1787" s="26" t="n"/>
      <c r="K1787" s="20" t="n">
        <v>30</v>
      </c>
      <c r="L1787" s="5" t="inlineStr">
        <is>
          <t>SFST81000009</t>
        </is>
      </c>
      <c r="M1787" s="7" t="inlineStr">
        <is>
          <t>Consumable part for MN</t>
        </is>
      </c>
      <c r="N1787" s="7" t="inlineStr">
        <is>
          <t>Consumable part</t>
        </is>
      </c>
      <c r="O1787" s="11" t="n">
        <v>4</v>
      </c>
      <c r="P1787" s="10" t="inlineStr">
        <is>
          <t>Stainless steel box tube, SS304, 1/2X1/2" thick 1mm</t>
        </is>
      </c>
      <c r="Q1787" s="277" t="n">
        <v>5</v>
      </c>
      <c r="R1787" s="5" t="inlineStr">
        <is>
          <t>PCS.</t>
        </is>
      </c>
      <c r="S1787" s="284">
        <f>RawDataGenPO[[#This Row],[Total price]]/RawDataGenPO[[#This Row],[Qty'']]</f>
        <v/>
      </c>
      <c r="T1787" s="278" t="n">
        <v>1450</v>
      </c>
      <c r="U1787" s="291" t="n"/>
      <c r="V1787" s="7" t="inlineStr">
        <is>
          <t>V1000307 - M.C.K.STEEL CENTER CO., LTD.</t>
        </is>
      </c>
      <c r="W1787" s="30" t="inlineStr">
        <is>
          <t>Recive bill and GRN already</t>
        </is>
      </c>
      <c r="X1787" s="5" t="inlineStr">
        <is>
          <t>GRN2526-0006622</t>
        </is>
      </c>
      <c r="Y1787" s="3" t="n">
        <v>46027</v>
      </c>
      <c r="Z1787" s="23" t="n"/>
      <c r="AA1787" s="17">
        <f>IF(RawDataGenPO[[#This Row],[Date Gen PO]]="","",RawDataGenPO[[#This Row],[Date recive bill]]-RawDataGenPO[[#This Row],[Date Gen PO]])</f>
        <v/>
      </c>
      <c r="AB1787" s="16">
        <f>IF(RawDataGenPO[[#This Row],[GRN-PO date]]&gt;RawDataGenPO[[#This Row],[Lead time delivery (day)]],"over deliverry","Ontime")</f>
        <v/>
      </c>
      <c r="AC1787" s="22" t="n"/>
    </row>
    <row r="1788" ht="15" customHeight="1">
      <c r="A1788" s="5">
        <f>ROW()-ROW(RawDataGenPO[[#Headers],[No.]])</f>
        <v/>
      </c>
      <c r="B1788" s="29" t="inlineStr">
        <is>
          <t>Expent  cost</t>
        </is>
      </c>
      <c r="C1788" s="373" t="n"/>
      <c r="D1788" s="374" t="n"/>
      <c r="E1788" s="374" t="n"/>
      <c r="F1788" s="281" t="n">
        <v>45995</v>
      </c>
      <c r="G1788" s="5" t="inlineStr">
        <is>
          <t>PR2526-03611</t>
        </is>
      </c>
      <c r="H1788" s="5" t="inlineStr">
        <is>
          <t>PO2526-05011</t>
        </is>
      </c>
      <c r="I1788" s="286" t="n">
        <v>46008</v>
      </c>
      <c r="J1788" s="26" t="n"/>
      <c r="K1788" s="20" t="n">
        <v>30</v>
      </c>
      <c r="L1788" s="5" t="inlineStr">
        <is>
          <t>SFST81000009</t>
        </is>
      </c>
      <c r="M1788" s="7" t="inlineStr">
        <is>
          <t>Consumable part for MN</t>
        </is>
      </c>
      <c r="N1788" s="7" t="inlineStr">
        <is>
          <t>Consumable part</t>
        </is>
      </c>
      <c r="O1788" s="11" t="n">
        <v>5</v>
      </c>
      <c r="P1788" s="10" t="inlineStr">
        <is>
          <t>Stainless steel box tube SS304, 1/2X1/2" thick 1.5 mm</t>
        </is>
      </c>
      <c r="Q1788" s="277" t="n">
        <v>5</v>
      </c>
      <c r="R1788" s="5" t="inlineStr">
        <is>
          <t>PCS.</t>
        </is>
      </c>
      <c r="S1788" s="284">
        <f>RawDataGenPO[[#This Row],[Total price]]/RawDataGenPO[[#This Row],[Qty'']]</f>
        <v/>
      </c>
      <c r="T1788" s="278" t="n">
        <v>3100</v>
      </c>
      <c r="U1788" s="291" t="n"/>
      <c r="V1788" s="7" t="inlineStr">
        <is>
          <t>V1000307 - M.C.K.STEEL CENTER CO., LTD.</t>
        </is>
      </c>
      <c r="W1788" s="30" t="inlineStr">
        <is>
          <t>Recive bill and GRN already</t>
        </is>
      </c>
      <c r="X1788" s="5" t="inlineStr">
        <is>
          <t>GRN2526-0006622</t>
        </is>
      </c>
      <c r="Y1788" s="3" t="n">
        <v>46027</v>
      </c>
      <c r="Z1788" s="23" t="n"/>
      <c r="AA1788" s="17">
        <f>IF(RawDataGenPO[[#This Row],[Date Gen PO]]="","",RawDataGenPO[[#This Row],[Date recive bill]]-RawDataGenPO[[#This Row],[Date Gen PO]])</f>
        <v/>
      </c>
      <c r="AB1788" s="16">
        <f>IF(RawDataGenPO[[#This Row],[GRN-PO date]]&gt;RawDataGenPO[[#This Row],[Lead time delivery (day)]],"over deliverry","Ontime")</f>
        <v/>
      </c>
      <c r="AC1788" s="22" t="n"/>
    </row>
    <row r="1789" ht="15" customHeight="1">
      <c r="A1789" s="5">
        <f>ROW()-ROW(RawDataGenPO[[#Headers],[No.]])</f>
        <v/>
      </c>
      <c r="B1789" s="29" t="inlineStr">
        <is>
          <t>Expent  cost</t>
        </is>
      </c>
      <c r="C1789" s="373" t="n"/>
      <c r="D1789" s="374" t="n"/>
      <c r="E1789" s="374" t="n"/>
      <c r="F1789" s="281" t="n">
        <v>45995</v>
      </c>
      <c r="G1789" s="5" t="inlineStr">
        <is>
          <t>PR2526-03611</t>
        </is>
      </c>
      <c r="H1789" s="5" t="inlineStr">
        <is>
          <t>PO2526-05011</t>
        </is>
      </c>
      <c r="I1789" s="286" t="n">
        <v>46008</v>
      </c>
      <c r="J1789" s="26" t="n"/>
      <c r="K1789" s="20" t="n">
        <v>30</v>
      </c>
      <c r="L1789" s="5" t="inlineStr">
        <is>
          <t>SFST81000009</t>
        </is>
      </c>
      <c r="M1789" s="7" t="inlineStr">
        <is>
          <t>Consumable part for MN</t>
        </is>
      </c>
      <c r="N1789" s="7" t="inlineStr">
        <is>
          <t>Consumable part</t>
        </is>
      </c>
      <c r="O1789" s="11" t="n">
        <v>6</v>
      </c>
      <c r="P1789" s="10" t="inlineStr">
        <is>
          <t>Stainless steel box tube SS304, 1 X1 " thick 2 mm</t>
        </is>
      </c>
      <c r="Q1789" s="277" t="n">
        <v>5</v>
      </c>
      <c r="R1789" s="5" t="inlineStr">
        <is>
          <t>PCS.</t>
        </is>
      </c>
      <c r="S1789" s="284">
        <f>RawDataGenPO[[#This Row],[Total price]]/RawDataGenPO[[#This Row],[Qty'']]</f>
        <v/>
      </c>
      <c r="T1789" s="278" t="n">
        <v>4000</v>
      </c>
      <c r="U1789" s="291" t="n"/>
      <c r="V1789" s="7" t="inlineStr">
        <is>
          <t>V1000307 - M.C.K.STEEL CENTER CO., LTD.</t>
        </is>
      </c>
      <c r="W1789" s="30" t="inlineStr">
        <is>
          <t>Recive bill and GRN already</t>
        </is>
      </c>
      <c r="X1789" s="5" t="inlineStr">
        <is>
          <t>GRN2526-0006622</t>
        </is>
      </c>
      <c r="Y1789" s="3" t="n">
        <v>46027</v>
      </c>
      <c r="Z1789" s="23" t="n"/>
      <c r="AA1789" s="17">
        <f>IF(RawDataGenPO[[#This Row],[Date Gen PO]]="","",RawDataGenPO[[#This Row],[Date recive bill]]-RawDataGenPO[[#This Row],[Date Gen PO]])</f>
        <v/>
      </c>
      <c r="AB1789" s="16">
        <f>IF(RawDataGenPO[[#This Row],[GRN-PO date]]&gt;RawDataGenPO[[#This Row],[Lead time delivery (day)]],"over deliverry","Ontime")</f>
        <v/>
      </c>
      <c r="AC1789" s="22" t="n"/>
    </row>
    <row r="1790" ht="15" customHeight="1">
      <c r="A1790" s="5">
        <f>ROW()-ROW(RawDataGenPO[[#Headers],[No.]])</f>
        <v/>
      </c>
      <c r="B1790" s="29" t="inlineStr">
        <is>
          <t>Expent  cost</t>
        </is>
      </c>
      <c r="C1790" s="373" t="n"/>
      <c r="D1790" s="374" t="n"/>
      <c r="E1790" s="374" t="n"/>
      <c r="F1790" s="281" t="n">
        <v>45995</v>
      </c>
      <c r="G1790" s="5" t="inlineStr">
        <is>
          <t>PR2526-03612</t>
        </is>
      </c>
      <c r="H1790" s="5" t="inlineStr">
        <is>
          <t>PO2526-05012</t>
        </is>
      </c>
      <c r="I1790" s="286" t="n">
        <v>46008</v>
      </c>
      <c r="J1790" s="26" t="n"/>
      <c r="K1790" s="20" t="n">
        <v>30</v>
      </c>
      <c r="L1790" s="5" t="inlineStr">
        <is>
          <t>SFST81000009</t>
        </is>
      </c>
      <c r="M1790" s="7" t="inlineStr">
        <is>
          <t>Consumable part for MN</t>
        </is>
      </c>
      <c r="N1790" s="7" t="inlineStr">
        <is>
          <t>Consumable part</t>
        </is>
      </c>
      <c r="O1790" s="11" t="n">
        <v>1</v>
      </c>
      <c r="P1790" s="10" t="inlineStr">
        <is>
          <t>tapm mstainless steel DUSS model L6 sizethread 1/2 inch</t>
        </is>
      </c>
      <c r="Q1790" s="277" t="n">
        <v>10</v>
      </c>
      <c r="R1790" s="5" t="inlineStr">
        <is>
          <t>PCS.</t>
        </is>
      </c>
      <c r="S1790" s="284">
        <f>RawDataGenPO[[#This Row],[Total price]]/RawDataGenPO[[#This Row],[Qty'']]</f>
        <v/>
      </c>
      <c r="T1790" s="278" t="n">
        <v>1750</v>
      </c>
      <c r="U1790" s="291" t="n"/>
      <c r="V1790" s="7" t="inlineStr">
        <is>
          <t>V1000306 - Inter Supply (1992) Co., Ltd.</t>
        </is>
      </c>
      <c r="W1790" s="30" t="inlineStr">
        <is>
          <t>Recive bill and GRN already</t>
        </is>
      </c>
      <c r="X1790" s="5" t="inlineStr">
        <is>
          <t>GRN2526-0006403,GRN2526-0006621</t>
        </is>
      </c>
      <c r="Y1790" s="3" t="n">
        <v>46013</v>
      </c>
      <c r="Z1790" s="23" t="n"/>
      <c r="AA1790" s="17">
        <f>IF(RawDataGenPO[[#This Row],[Date Gen PO]]="","",RawDataGenPO[[#This Row],[Date recive bill]]-RawDataGenPO[[#This Row],[Date Gen PO]])</f>
        <v/>
      </c>
      <c r="AB1790" s="16">
        <f>IF(RawDataGenPO[[#This Row],[GRN-PO date]]&gt;RawDataGenPO[[#This Row],[Lead time delivery (day)]],"over deliverry","Ontime")</f>
        <v/>
      </c>
      <c r="AC1790" s="22" t="n"/>
    </row>
    <row r="1791" ht="15" customHeight="1">
      <c r="A1791" s="5">
        <f>ROW()-ROW(RawDataGenPO[[#Headers],[No.]])</f>
        <v/>
      </c>
      <c r="B1791" s="29" t="inlineStr">
        <is>
          <t>Expent  cost</t>
        </is>
      </c>
      <c r="C1791" s="373" t="n"/>
      <c r="D1791" s="374" t="n"/>
      <c r="E1791" s="374" t="n"/>
      <c r="F1791" s="281" t="n">
        <v>45995</v>
      </c>
      <c r="G1791" s="5" t="inlineStr">
        <is>
          <t xml:space="preserve">PR2526-03613 </t>
        </is>
      </c>
      <c r="H1791" s="5" t="inlineStr">
        <is>
          <t>PO2526-05013</t>
        </is>
      </c>
      <c r="I1791" s="286" t="n">
        <v>46008</v>
      </c>
      <c r="J1791" s="26" t="n"/>
      <c r="K1791" s="20" t="n">
        <v>60</v>
      </c>
      <c r="L1791" s="5" t="inlineStr">
        <is>
          <t>SFST81000048</t>
        </is>
      </c>
      <c r="M1791" s="7" t="inlineStr">
        <is>
          <t>PD Machine</t>
        </is>
      </c>
      <c r="N1791" s="7" t="inlineStr">
        <is>
          <t>Can Opener No.1</t>
        </is>
      </c>
      <c r="O1791" s="11" t="n">
        <v>1</v>
      </c>
      <c r="P1791" s="10" t="inlineStr">
        <is>
          <t>Traveling Charge</t>
        </is>
      </c>
      <c r="Q1791" s="277" t="n">
        <v>1</v>
      </c>
      <c r="R1791" s="5" t="inlineStr">
        <is>
          <t>JOB.</t>
        </is>
      </c>
      <c r="S1791" s="284">
        <f>RawDataGenPO[[#This Row],[Total price]]/RawDataGenPO[[#This Row],[Qty'']]</f>
        <v/>
      </c>
      <c r="T1791" s="278" t="n">
        <v>1000</v>
      </c>
      <c r="U1791" s="291" t="n"/>
      <c r="V1791" s="7" t="inlineStr">
        <is>
          <t>V1000313 - Somerville (Siam) Co., Ltd.</t>
        </is>
      </c>
      <c r="W1791" s="30" t="inlineStr">
        <is>
          <t>Recive bill and GRN already</t>
        </is>
      </c>
      <c r="X1791" s="5" t="inlineStr">
        <is>
          <t>GRN2526-0007101</t>
        </is>
      </c>
      <c r="Y1791" s="3" t="n">
        <v>46039</v>
      </c>
      <c r="Z1791" s="23" t="n"/>
      <c r="AA1791" s="17">
        <f>IF(RawDataGenPO[[#This Row],[Date Gen PO]]="","",RawDataGenPO[[#This Row],[Date recive bill]]-RawDataGenPO[[#This Row],[Date Gen PO]])</f>
        <v/>
      </c>
      <c r="AB1791" s="16">
        <f>IF(RawDataGenPO[[#This Row],[GRN-PO date]]&gt;RawDataGenPO[[#This Row],[Lead time delivery (day)]],"over deliverry","Ontime")</f>
        <v/>
      </c>
      <c r="AC1791" s="22" t="n"/>
    </row>
    <row r="1792" ht="15" customHeight="1">
      <c r="A1792" s="5">
        <f>ROW()-ROW(RawDataGenPO[[#Headers],[No.]])</f>
        <v/>
      </c>
      <c r="B1792" s="29" t="inlineStr">
        <is>
          <t>Expent  cost</t>
        </is>
      </c>
      <c r="C1792" s="373" t="n"/>
      <c r="D1792" s="374" t="n"/>
      <c r="E1792" s="374" t="n"/>
      <c r="F1792" s="281" t="n">
        <v>45995</v>
      </c>
      <c r="G1792" s="5" t="inlineStr">
        <is>
          <t xml:space="preserve">PR2526-03613 </t>
        </is>
      </c>
      <c r="H1792" s="5" t="inlineStr">
        <is>
          <t>PO2526-05013</t>
        </is>
      </c>
      <c r="I1792" s="286" t="n">
        <v>46008</v>
      </c>
      <c r="J1792" s="26" t="n"/>
      <c r="K1792" s="20" t="n">
        <v>60</v>
      </c>
      <c r="L1792" s="5" t="inlineStr">
        <is>
          <t>SFST81000048</t>
        </is>
      </c>
      <c r="M1792" s="7" t="inlineStr">
        <is>
          <t>PD Machine</t>
        </is>
      </c>
      <c r="N1792" s="7" t="inlineStr">
        <is>
          <t>Can Opener No.1</t>
        </is>
      </c>
      <c r="O1792" s="11" t="n">
        <v>2</v>
      </c>
      <c r="P1792" s="10" t="inlineStr">
        <is>
          <t>Labor / Service Charge</t>
        </is>
      </c>
      <c r="Q1792" s="277" t="n">
        <v>1</v>
      </c>
      <c r="R1792" s="5" t="inlineStr">
        <is>
          <t>JOB.</t>
        </is>
      </c>
      <c r="S1792" s="284">
        <f>RawDataGenPO[[#This Row],[Total price]]/RawDataGenPO[[#This Row],[Qty'']]</f>
        <v/>
      </c>
      <c r="T1792" s="278" t="n">
        <v>2000</v>
      </c>
      <c r="U1792" s="291" t="n"/>
      <c r="V1792" s="7" t="inlineStr">
        <is>
          <t>V1000313 - Somerville (Siam) Co., Ltd.</t>
        </is>
      </c>
      <c r="W1792" s="30" t="inlineStr">
        <is>
          <t>Recive bill and GRN already</t>
        </is>
      </c>
      <c r="X1792" s="5" t="inlineStr">
        <is>
          <t>GRN2526-0007101</t>
        </is>
      </c>
      <c r="Y1792" s="3" t="n">
        <v>46039</v>
      </c>
      <c r="Z1792" s="23" t="n"/>
      <c r="AA1792" s="17">
        <f>IF(RawDataGenPO[[#This Row],[Date Gen PO]]="","",RawDataGenPO[[#This Row],[Date recive bill]]-RawDataGenPO[[#This Row],[Date Gen PO]])</f>
        <v/>
      </c>
      <c r="AB1792" s="16">
        <f>IF(RawDataGenPO[[#This Row],[GRN-PO date]]&gt;RawDataGenPO[[#This Row],[Lead time delivery (day)]],"over deliverry","Ontime")</f>
        <v/>
      </c>
      <c r="AC1792" s="22" t="n"/>
    </row>
    <row r="1793" ht="15" customHeight="1">
      <c r="A1793" s="5">
        <f>ROW()-ROW(RawDataGenPO[[#Headers],[No.]])</f>
        <v/>
      </c>
      <c r="B1793" s="29" t="inlineStr">
        <is>
          <t>Expent  cost</t>
        </is>
      </c>
      <c r="C1793" s="373" t="n"/>
      <c r="D1793" s="374" t="n"/>
      <c r="E1793" s="374" t="n"/>
      <c r="F1793" s="281" t="n">
        <v>45995</v>
      </c>
      <c r="G1793" s="5" t="inlineStr">
        <is>
          <t>PR2526-03614</t>
        </is>
      </c>
      <c r="H1793" s="5" t="inlineStr">
        <is>
          <t>PO2526-05016</t>
        </is>
      </c>
      <c r="I1793" s="286" t="n">
        <v>46008</v>
      </c>
      <c r="J1793" s="26" t="n"/>
      <c r="K1793" s="20" t="n">
        <v>30</v>
      </c>
      <c r="L1793" s="5" t="inlineStr">
        <is>
          <t>SFST81000048</t>
        </is>
      </c>
      <c r="M1793" s="7" t="inlineStr">
        <is>
          <t>PD Machine</t>
        </is>
      </c>
      <c r="N1793" s="7" t="inlineStr">
        <is>
          <t>Vegetable Dicing Machine  Robot coupe CL-50 No.1</t>
        </is>
      </c>
      <c r="O1793" s="11" t="n">
        <v>1</v>
      </c>
      <c r="P1793" s="10" t="inlineStr">
        <is>
          <t>belt "OPTIBELT" 5M-450-15MM.</t>
        </is>
      </c>
      <c r="Q1793" s="277" t="n">
        <v>6</v>
      </c>
      <c r="R1793" s="5" t="inlineStr">
        <is>
          <t>PCS.</t>
        </is>
      </c>
      <c r="S1793" s="284">
        <f>RawDataGenPO[[#This Row],[Total price]]/RawDataGenPO[[#This Row],[Qty'']]</f>
        <v/>
      </c>
      <c r="T1793" s="278" t="n">
        <v>1650</v>
      </c>
      <c r="U1793" s="291" t="n"/>
      <c r="V1793" s="7" t="inlineStr">
        <is>
          <t>V1000306 - Inter Supply (1992) Co., Ltd.</t>
        </is>
      </c>
      <c r="W1793" s="30" t="inlineStr">
        <is>
          <t>Recive bill and GRN already</t>
        </is>
      </c>
      <c r="X1793" s="5" t="inlineStr">
        <is>
          <t>GRN2526-0006405</t>
        </is>
      </c>
      <c r="Y1793" s="3" t="n">
        <v>46013</v>
      </c>
      <c r="Z1793" s="23" t="n"/>
      <c r="AA1793" s="17">
        <f>IF(RawDataGenPO[[#This Row],[Date Gen PO]]="","",RawDataGenPO[[#This Row],[Date recive bill]]-RawDataGenPO[[#This Row],[Date Gen PO]])</f>
        <v/>
      </c>
      <c r="AB1793" s="16">
        <f>IF(RawDataGenPO[[#This Row],[GRN-PO date]]&gt;RawDataGenPO[[#This Row],[Lead time delivery (day)]],"over deliverry","Ontime")</f>
        <v/>
      </c>
      <c r="AC1793" s="22" t="n"/>
    </row>
    <row r="1794" ht="15" customHeight="1">
      <c r="A1794" s="5">
        <f>ROW()-ROW(RawDataGenPO[[#Headers],[No.]])</f>
        <v/>
      </c>
      <c r="B1794" s="29" t="inlineStr">
        <is>
          <t>Expent  cost</t>
        </is>
      </c>
      <c r="C1794" s="373" t="n"/>
      <c r="D1794" s="374" t="n"/>
      <c r="E1794" s="374" t="n"/>
      <c r="F1794" s="281" t="n">
        <v>45995</v>
      </c>
      <c r="G1794" s="5" t="inlineStr">
        <is>
          <t>PR2526-03615</t>
        </is>
      </c>
      <c r="H1794" s="5" t="inlineStr">
        <is>
          <t>PO2526-05017</t>
        </is>
      </c>
      <c r="I1794" s="286" t="n">
        <v>46008</v>
      </c>
      <c r="J1794" s="26" t="n"/>
      <c r="K1794" s="20" t="n">
        <v>60</v>
      </c>
      <c r="L1794" s="5" t="inlineStr">
        <is>
          <t>SFST81000048</t>
        </is>
      </c>
      <c r="M1794" s="7" t="inlineStr">
        <is>
          <t>PD Machine</t>
        </is>
      </c>
      <c r="N1794" s="7" t="inlineStr">
        <is>
          <t>Round bratt pan No.1</t>
        </is>
      </c>
      <c r="O1794" s="11" t="n">
        <v>1</v>
      </c>
      <c r="P1794" s="10" t="inlineStr">
        <is>
          <t>Bush Micro Switch Lever Cock</t>
        </is>
      </c>
      <c r="Q1794" s="277" t="n">
        <v>1</v>
      </c>
      <c r="R1794" s="5" t="inlineStr">
        <is>
          <t>PCS.</t>
        </is>
      </c>
      <c r="S1794" s="284">
        <f>RawDataGenPO[[#This Row],[Total price]]/RawDataGenPO[[#This Row],[Qty'']]</f>
        <v/>
      </c>
      <c r="T1794" s="278" t="n">
        <v>3880</v>
      </c>
      <c r="U1794" s="291" t="n"/>
      <c r="V1794" s="7" t="inlineStr">
        <is>
          <t>V1000189 - FPT FOOD PROCESS TECHNOLOGY CO., LTD.</t>
        </is>
      </c>
      <c r="W1794" s="30" t="inlineStr">
        <is>
          <t>Recive bill and GRN already</t>
        </is>
      </c>
      <c r="X1794" s="5" t="inlineStr">
        <is>
          <t>GRN2526-0007924</t>
        </is>
      </c>
      <c r="Y1794" s="3" t="n">
        <v>46063</v>
      </c>
      <c r="Z1794" s="23" t="n"/>
      <c r="AA1794" s="17">
        <f>IF(RawDataGenPO[[#This Row],[Date Gen PO]]="","",RawDataGenPO[[#This Row],[Date recive bill]]-RawDataGenPO[[#This Row],[Date Gen PO]])</f>
        <v/>
      </c>
      <c r="AB1794" s="16">
        <f>IF(RawDataGenPO[[#This Row],[GRN-PO date]]&gt;RawDataGenPO[[#This Row],[Lead time delivery (day)]],"over deliverry","Ontime")</f>
        <v/>
      </c>
      <c r="AC1794" s="22" t="n"/>
    </row>
    <row r="1795" ht="15" customHeight="1">
      <c r="A1795" s="5">
        <f>ROW()-ROW(RawDataGenPO[[#Headers],[No.]])</f>
        <v/>
      </c>
      <c r="B1795" s="29" t="inlineStr">
        <is>
          <t>Expent  cost</t>
        </is>
      </c>
      <c r="C1795" s="373" t="n"/>
      <c r="D1795" s="374" t="n"/>
      <c r="E1795" s="374" t="n"/>
      <c r="F1795" s="281" t="n">
        <v>45995</v>
      </c>
      <c r="G1795" s="5" t="inlineStr">
        <is>
          <t>PR2526-03615</t>
        </is>
      </c>
      <c r="H1795" s="5" t="inlineStr">
        <is>
          <t>PO2526-05017</t>
        </is>
      </c>
      <c r="I1795" s="286" t="n">
        <v>46008</v>
      </c>
      <c r="J1795" s="26" t="n"/>
      <c r="K1795" s="20" t="n">
        <v>60</v>
      </c>
      <c r="L1795" s="5" t="inlineStr">
        <is>
          <t>SFST81000048</t>
        </is>
      </c>
      <c r="M1795" s="7" t="inlineStr">
        <is>
          <t>PD Machine</t>
        </is>
      </c>
      <c r="N1795" s="7" t="inlineStr">
        <is>
          <t>Round bratt pan No.1</t>
        </is>
      </c>
      <c r="O1795" s="11" t="n">
        <v>2</v>
      </c>
      <c r="P1795" s="10" t="inlineStr">
        <is>
          <t>Lock Tap Bush</t>
        </is>
      </c>
      <c r="Q1795" s="277" t="n">
        <v>1</v>
      </c>
      <c r="R1795" s="5" t="inlineStr">
        <is>
          <t>PCS.</t>
        </is>
      </c>
      <c r="S1795" s="284">
        <f>RawDataGenPO[[#This Row],[Total price]]/RawDataGenPO[[#This Row],[Qty'']]</f>
        <v/>
      </c>
      <c r="T1795" s="278" t="n">
        <v>3970</v>
      </c>
      <c r="U1795" s="291" t="n"/>
      <c r="V1795" s="7" t="inlineStr">
        <is>
          <t>V1000189 - FPT FOOD PROCESS TECHNOLOGY CO., LTD.</t>
        </is>
      </c>
      <c r="W1795" s="30" t="inlineStr">
        <is>
          <t>Recive bill and GRN already</t>
        </is>
      </c>
      <c r="X1795" s="5" t="inlineStr">
        <is>
          <t>GRN2526-0007924</t>
        </is>
      </c>
      <c r="Y1795" s="3" t="n">
        <v>46063</v>
      </c>
      <c r="Z1795" s="23" t="n"/>
      <c r="AA1795" s="17">
        <f>IF(RawDataGenPO[[#This Row],[Date Gen PO]]="","",RawDataGenPO[[#This Row],[Date recive bill]]-RawDataGenPO[[#This Row],[Date Gen PO]])</f>
        <v/>
      </c>
      <c r="AB1795" s="16">
        <f>IF(RawDataGenPO[[#This Row],[GRN-PO date]]&gt;RawDataGenPO[[#This Row],[Lead time delivery (day)]],"over deliverry","Ontime")</f>
        <v/>
      </c>
      <c r="AC1795" s="22" t="n"/>
    </row>
    <row r="1796" ht="15" customHeight="1">
      <c r="A1796" s="5">
        <f>ROW()-ROW(RawDataGenPO[[#Headers],[No.]])</f>
        <v/>
      </c>
      <c r="B1796" s="29" t="inlineStr">
        <is>
          <t>Expent  cost</t>
        </is>
      </c>
      <c r="C1796" s="373" t="n"/>
      <c r="D1796" s="374" t="n"/>
      <c r="E1796" s="374" t="n"/>
      <c r="F1796" s="281" t="n">
        <v>45995</v>
      </c>
      <c r="G1796" s="5" t="inlineStr">
        <is>
          <t>PR2526-03615</t>
        </is>
      </c>
      <c r="H1796" s="5" t="inlineStr">
        <is>
          <t>PO2526-05017</t>
        </is>
      </c>
      <c r="I1796" s="286" t="n">
        <v>46008</v>
      </c>
      <c r="J1796" s="26" t="n"/>
      <c r="K1796" s="20" t="n">
        <v>60</v>
      </c>
      <c r="L1796" s="5" t="inlineStr">
        <is>
          <t>SFST81000048</t>
        </is>
      </c>
      <c r="M1796" s="7" t="inlineStr">
        <is>
          <t>PD Machine</t>
        </is>
      </c>
      <c r="N1796" s="7" t="inlineStr">
        <is>
          <t>Round bratt pan No.1</t>
        </is>
      </c>
      <c r="O1796" s="11" t="n">
        <v>3</v>
      </c>
      <c r="P1796" s="10" t="inlineStr">
        <is>
          <t>Round Limit Switch Omron V-153-1A6</t>
        </is>
      </c>
      <c r="Q1796" s="277" t="n">
        <v>2</v>
      </c>
      <c r="R1796" s="5" t="inlineStr">
        <is>
          <t>PCS.</t>
        </is>
      </c>
      <c r="S1796" s="284">
        <f>RawDataGenPO[[#This Row],[Total price]]/RawDataGenPO[[#This Row],[Qty'']]</f>
        <v/>
      </c>
      <c r="T1796" s="278" t="n">
        <v>3080</v>
      </c>
      <c r="U1796" s="291" t="n"/>
      <c r="V1796" s="7" t="inlineStr">
        <is>
          <t>V1000189 - FPT FOOD PROCESS TECHNOLOGY CO., LTD.</t>
        </is>
      </c>
      <c r="W1796" s="30" t="inlineStr">
        <is>
          <t>Recive bill and GRN already</t>
        </is>
      </c>
      <c r="X1796" s="5" t="inlineStr">
        <is>
          <t>GRN2526-0007924</t>
        </is>
      </c>
      <c r="Y1796" s="3" t="n">
        <v>46063</v>
      </c>
      <c r="Z1796" s="23" t="n"/>
      <c r="AA1796" s="17">
        <f>IF(RawDataGenPO[[#This Row],[Date Gen PO]]="","",RawDataGenPO[[#This Row],[Date recive bill]]-RawDataGenPO[[#This Row],[Date Gen PO]])</f>
        <v/>
      </c>
      <c r="AB1796" s="16">
        <f>IF(RawDataGenPO[[#This Row],[GRN-PO date]]&gt;RawDataGenPO[[#This Row],[Lead time delivery (day)]],"over deliverry","Ontime")</f>
        <v/>
      </c>
      <c r="AC1796" s="22" t="n"/>
    </row>
    <row r="1797" ht="15" customHeight="1">
      <c r="A1797" s="5">
        <f>ROW()-ROW(RawDataGenPO[[#Headers],[No.]])</f>
        <v/>
      </c>
      <c r="B1797" s="29" t="inlineStr">
        <is>
          <t>Expent  cost</t>
        </is>
      </c>
      <c r="C1797" s="373" t="n"/>
      <c r="D1797" s="374" t="n"/>
      <c r="E1797" s="374" t="n"/>
      <c r="F1797" s="281" t="n">
        <v>45995</v>
      </c>
      <c r="G1797" s="5" t="inlineStr">
        <is>
          <t>PR2526-03616</t>
        </is>
      </c>
      <c r="H1797" s="5" t="inlineStr">
        <is>
          <t>PO2526-05020</t>
        </is>
      </c>
      <c r="I1797" s="286" t="n">
        <v>46008</v>
      </c>
      <c r="J1797" s="26" t="n"/>
      <c r="K1797" s="20" t="n">
        <v>60</v>
      </c>
      <c r="L1797" s="5" t="inlineStr">
        <is>
          <t>SFST81000048</t>
        </is>
      </c>
      <c r="M1797" s="7" t="inlineStr">
        <is>
          <t>Cooling machine for PD line</t>
        </is>
      </c>
      <c r="N1797" s="7" t="inlineStr">
        <is>
          <t>Condencer Unit No.12</t>
        </is>
      </c>
      <c r="O1797" s="11" t="n">
        <v>1</v>
      </c>
      <c r="P1797" s="10" t="inlineStr">
        <is>
          <t>Suction shutt Valve 1-3/8"</t>
        </is>
      </c>
      <c r="Q1797" s="277" t="n">
        <v>1</v>
      </c>
      <c r="R1797" s="5" t="inlineStr">
        <is>
          <t>EA.</t>
        </is>
      </c>
      <c r="S1797" s="284">
        <f>RawDataGenPO[[#This Row],[Total price]]/RawDataGenPO[[#This Row],[Qty'']]</f>
        <v/>
      </c>
      <c r="T1797" s="278" t="n">
        <v>4500</v>
      </c>
      <c r="U1797" s="291" t="n"/>
      <c r="V1797" s="7" t="inlineStr">
        <is>
          <t>V1000554 - SHANTECH (THAILAND) CO.,LTD.</t>
        </is>
      </c>
      <c r="W1797" s="30" t="inlineStr">
        <is>
          <t>Recive bill and GRN already</t>
        </is>
      </c>
      <c r="X1797" s="5" t="inlineStr">
        <is>
          <t>GRN2526-05020</t>
        </is>
      </c>
      <c r="Y1797" s="3" t="n">
        <v>46044</v>
      </c>
      <c r="Z1797" s="23" t="n"/>
      <c r="AA1797" s="17">
        <f>IF(RawDataGenPO[[#This Row],[Date Gen PO]]="","",RawDataGenPO[[#This Row],[Date recive bill]]-RawDataGenPO[[#This Row],[Date Gen PO]])</f>
        <v/>
      </c>
      <c r="AB1797" s="16">
        <f>IF(RawDataGenPO[[#This Row],[GRN-PO date]]&gt;RawDataGenPO[[#This Row],[Lead time delivery (day)]],"over deliverry","Ontime")</f>
        <v/>
      </c>
      <c r="AC1797" s="22" t="n"/>
    </row>
    <row r="1798" ht="15" customHeight="1">
      <c r="A1798" s="5">
        <f>ROW()-ROW(RawDataGenPO[[#Headers],[No.]])</f>
        <v/>
      </c>
      <c r="B1798" s="29" t="inlineStr">
        <is>
          <t>Expent  cost</t>
        </is>
      </c>
      <c r="C1798" s="373" t="n"/>
      <c r="D1798" s="374" t="n"/>
      <c r="E1798" s="374" t="n"/>
      <c r="F1798" s="281" t="n">
        <v>45995</v>
      </c>
      <c r="G1798" s="5" t="inlineStr">
        <is>
          <t>PR2526-03616</t>
        </is>
      </c>
      <c r="H1798" s="5" t="inlineStr">
        <is>
          <t>PO2526-05020</t>
        </is>
      </c>
      <c r="I1798" s="286" t="n">
        <v>46008</v>
      </c>
      <c r="J1798" s="26" t="n"/>
      <c r="K1798" s="20" t="n">
        <v>60</v>
      </c>
      <c r="L1798" s="5" t="inlineStr">
        <is>
          <t>SFST81000048</t>
        </is>
      </c>
      <c r="M1798" s="7" t="inlineStr">
        <is>
          <t>Cooling machine for PD line</t>
        </is>
      </c>
      <c r="N1798" s="7" t="inlineStr">
        <is>
          <t>Condencer Unit No.12</t>
        </is>
      </c>
      <c r="O1798" s="11" t="n">
        <v>2</v>
      </c>
      <c r="P1798" s="10" t="inlineStr">
        <is>
          <t>equipment</t>
        </is>
      </c>
      <c r="Q1798" s="277" t="n">
        <v>1</v>
      </c>
      <c r="R1798" s="5" t="inlineStr">
        <is>
          <t>LOT</t>
        </is>
      </c>
      <c r="S1798" s="284">
        <f>RawDataGenPO[[#This Row],[Total price]]/RawDataGenPO[[#This Row],[Qty'']]</f>
        <v/>
      </c>
      <c r="T1798" s="278" t="n">
        <v>2000</v>
      </c>
      <c r="U1798" s="291" t="n"/>
      <c r="V1798" s="7" t="inlineStr">
        <is>
          <t>V1000554 - SHANTECH (THAILAND) CO.,LTD.</t>
        </is>
      </c>
      <c r="W1798" s="30" t="inlineStr">
        <is>
          <t>Recive bill and GRN already</t>
        </is>
      </c>
      <c r="X1798" s="5" t="inlineStr">
        <is>
          <t>GRN2526-05020</t>
        </is>
      </c>
      <c r="Y1798" s="3" t="n">
        <v>46044</v>
      </c>
      <c r="Z1798" s="23" t="n"/>
      <c r="AA1798" s="17">
        <f>IF(RawDataGenPO[[#This Row],[Date Gen PO]]="","",RawDataGenPO[[#This Row],[Date recive bill]]-RawDataGenPO[[#This Row],[Date Gen PO]])</f>
        <v/>
      </c>
      <c r="AB1798" s="16">
        <f>IF(RawDataGenPO[[#This Row],[GRN-PO date]]&gt;RawDataGenPO[[#This Row],[Lead time delivery (day)]],"over deliverry","Ontime")</f>
        <v/>
      </c>
      <c r="AC1798" s="22" t="n"/>
    </row>
    <row r="1799" ht="15" customHeight="1">
      <c r="A1799" s="5">
        <f>ROW()-ROW(RawDataGenPO[[#Headers],[No.]])</f>
        <v/>
      </c>
      <c r="B1799" s="29" t="inlineStr">
        <is>
          <t>Expent  cost</t>
        </is>
      </c>
      <c r="C1799" s="373" t="n"/>
      <c r="D1799" s="374" t="n"/>
      <c r="E1799" s="374" t="n"/>
      <c r="F1799" s="281" t="n">
        <v>45995</v>
      </c>
      <c r="G1799" s="5" t="inlineStr">
        <is>
          <t>PR2526-03616</t>
        </is>
      </c>
      <c r="H1799" s="5" t="inlineStr">
        <is>
          <t>PO2526-05020</t>
        </is>
      </c>
      <c r="I1799" s="286" t="n">
        <v>46008</v>
      </c>
      <c r="J1799" s="26" t="n"/>
      <c r="K1799" s="20" t="n">
        <v>60</v>
      </c>
      <c r="L1799" s="5" t="inlineStr">
        <is>
          <t>SFST81000048</t>
        </is>
      </c>
      <c r="M1799" s="7" t="inlineStr">
        <is>
          <t>Cooling machine for PD line</t>
        </is>
      </c>
      <c r="N1799" s="7" t="inlineStr">
        <is>
          <t>Condencer Unit No.12</t>
        </is>
      </c>
      <c r="O1799" s="11" t="n">
        <v>3</v>
      </c>
      <c r="P1799" s="10" t="inlineStr">
        <is>
          <t>Service charge + labor cost</t>
        </is>
      </c>
      <c r="Q1799" s="277" t="n">
        <v>1</v>
      </c>
      <c r="R1799" s="5" t="inlineStr">
        <is>
          <t>job.</t>
        </is>
      </c>
      <c r="S1799" s="284">
        <f>RawDataGenPO[[#This Row],[Total price]]/RawDataGenPO[[#This Row],[Qty'']]</f>
        <v/>
      </c>
      <c r="T1799" s="278" t="n">
        <v>8500</v>
      </c>
      <c r="U1799" s="291" t="n"/>
      <c r="V1799" s="7" t="inlineStr">
        <is>
          <t>V1000554 - SHANTECH (THAILAND) CO.,LTD.</t>
        </is>
      </c>
      <c r="W1799" s="30" t="inlineStr">
        <is>
          <t>Recive bill and GRN already</t>
        </is>
      </c>
      <c r="X1799" s="5" t="inlineStr">
        <is>
          <t>GRN2526-05020</t>
        </is>
      </c>
      <c r="Y1799" s="3" t="n">
        <v>46044</v>
      </c>
      <c r="Z1799" s="23" t="n"/>
      <c r="AA1799" s="17">
        <f>IF(RawDataGenPO[[#This Row],[Date Gen PO]]="","",RawDataGenPO[[#This Row],[Date recive bill]]-RawDataGenPO[[#This Row],[Date Gen PO]])</f>
        <v/>
      </c>
      <c r="AB1799" s="16">
        <f>IF(RawDataGenPO[[#This Row],[GRN-PO date]]&gt;RawDataGenPO[[#This Row],[Lead time delivery (day)]],"over deliverry","Ontime")</f>
        <v/>
      </c>
      <c r="AC1799" s="22" t="n"/>
    </row>
    <row r="1800" ht="15" customHeight="1">
      <c r="A1800" s="5">
        <f>ROW()-ROW(RawDataGenPO[[#Headers],[No.]])</f>
        <v/>
      </c>
      <c r="B1800" s="29" t="inlineStr">
        <is>
          <t>Expent  cost</t>
        </is>
      </c>
      <c r="C1800" s="373" t="n"/>
      <c r="D1800" s="374" t="n"/>
      <c r="E1800" s="374" t="n"/>
      <c r="F1800" s="281" t="n">
        <v>45996</v>
      </c>
      <c r="G1800" s="5" t="inlineStr">
        <is>
          <t>PR2526-03623</t>
        </is>
      </c>
      <c r="H1800" s="5" t="inlineStr">
        <is>
          <t>PO2526-05022</t>
        </is>
      </c>
      <c r="I1800" s="286" t="n">
        <v>46009</v>
      </c>
      <c r="J1800" s="26" t="n"/>
      <c r="K1800" s="20" t="n">
        <v>60</v>
      </c>
      <c r="L1800" s="5" t="inlineStr">
        <is>
          <t>SFST81000048</t>
        </is>
      </c>
      <c r="M1800" s="7" t="inlineStr">
        <is>
          <t>Cooling machine for PD line</t>
        </is>
      </c>
      <c r="N1800" s="7" t="inlineStr">
        <is>
          <t>Condencer Unit No.5</t>
        </is>
      </c>
      <c r="O1800" s="11" t="n">
        <v>1</v>
      </c>
      <c r="P1800" s="10" t="inlineStr">
        <is>
          <t>Rotalock Valve 1-1/8 X1-3/4</t>
        </is>
      </c>
      <c r="Q1800" s="277" t="n">
        <v>4</v>
      </c>
      <c r="R1800" s="5" t="inlineStr">
        <is>
          <t>EA.</t>
        </is>
      </c>
      <c r="S1800" s="284">
        <f>RawDataGenPO[[#This Row],[Total price]]/RawDataGenPO[[#This Row],[Qty'']]</f>
        <v/>
      </c>
      <c r="T1800" s="278" t="n">
        <v>11800</v>
      </c>
      <c r="U1800" s="291" t="n"/>
      <c r="V1800" s="7" t="inlineStr">
        <is>
          <t>V1000654 - A AND B REFRIGERATION CO., LTD.</t>
        </is>
      </c>
      <c r="W1800" s="30" t="inlineStr">
        <is>
          <t xml:space="preserve">Waitting Supplier transportation </t>
        </is>
      </c>
      <c r="Z1800" s="23" t="n"/>
      <c r="AA1800" s="17">
        <f>IF(RawDataGenPO[[#This Row],[Date Gen PO]]="","",RawDataGenPO[[#This Row],[Date recive bill]]-RawDataGenPO[[#This Row],[Date Gen PO]])</f>
        <v/>
      </c>
      <c r="AB1800" s="16">
        <f>IF(RawDataGenPO[[#This Row],[GRN-PO date]]&gt;RawDataGenPO[[#This Row],[Lead time delivery (day)]],"over deliverry","Ontime")</f>
        <v/>
      </c>
      <c r="AC1800" s="22" t="n"/>
    </row>
    <row r="1801" ht="15" customHeight="1">
      <c r="A1801" s="5">
        <f>ROW()-ROW(RawDataGenPO[[#Headers],[No.]])</f>
        <v/>
      </c>
      <c r="B1801" s="29" t="inlineStr">
        <is>
          <t>Expent  cost</t>
        </is>
      </c>
      <c r="C1801" s="373" t="n"/>
      <c r="D1801" s="374" t="n"/>
      <c r="E1801" s="374" t="n"/>
      <c r="F1801" s="281" t="n">
        <v>45996</v>
      </c>
      <c r="G1801" s="5" t="inlineStr">
        <is>
          <t>PR2526-03623</t>
        </is>
      </c>
      <c r="H1801" s="5" t="inlineStr">
        <is>
          <t>PO2526-05022</t>
        </is>
      </c>
      <c r="I1801" s="286" t="n">
        <v>46009</v>
      </c>
      <c r="J1801" s="26" t="n"/>
      <c r="K1801" s="20" t="n">
        <v>60</v>
      </c>
      <c r="L1801" s="5" t="inlineStr">
        <is>
          <t>SFST81000048</t>
        </is>
      </c>
      <c r="M1801" s="7" t="inlineStr">
        <is>
          <t>Cooling machine for PD line</t>
        </is>
      </c>
      <c r="N1801" s="7" t="inlineStr">
        <is>
          <t>Condencer Unit No.6</t>
        </is>
      </c>
      <c r="O1801" s="11" t="n">
        <v>2</v>
      </c>
      <c r="P1801" s="10" t="inlineStr">
        <is>
          <t>Brazelec Silver Brazing Rods Flux Coated #4003U 1.5X500MMZ</t>
        </is>
      </c>
      <c r="Q1801" s="277" t="n">
        <v>4</v>
      </c>
      <c r="R1801" s="5" t="inlineStr">
        <is>
          <t>EA.</t>
        </is>
      </c>
      <c r="S1801" s="284">
        <f>RawDataGenPO[[#This Row],[Total price]]/RawDataGenPO[[#This Row],[Qty'']]</f>
        <v/>
      </c>
      <c r="T1801" s="278" t="n">
        <v>3600</v>
      </c>
      <c r="U1801" s="291" t="n"/>
      <c r="V1801" s="7" t="inlineStr">
        <is>
          <t>V1000654 - A AND B REFRIGERATION CO., LTD.</t>
        </is>
      </c>
      <c r="W1801" s="30" t="inlineStr">
        <is>
          <t xml:space="preserve">Waitting Supplier transportation </t>
        </is>
      </c>
      <c r="Z1801" s="23" t="n"/>
      <c r="AA1801" s="17">
        <f>IF(RawDataGenPO[[#This Row],[Date Gen PO]]="","",RawDataGenPO[[#This Row],[Date recive bill]]-RawDataGenPO[[#This Row],[Date Gen PO]])</f>
        <v/>
      </c>
      <c r="AB1801" s="16">
        <f>IF(RawDataGenPO[[#This Row],[GRN-PO date]]&gt;RawDataGenPO[[#This Row],[Lead time delivery (day)]],"over deliverry","Ontime")</f>
        <v/>
      </c>
      <c r="AC1801" s="22" t="n"/>
    </row>
    <row r="1802" ht="15" customHeight="1">
      <c r="A1802" s="5">
        <f>ROW()-ROW(RawDataGenPO[[#Headers],[No.]])</f>
        <v/>
      </c>
      <c r="B1802" s="29" t="inlineStr">
        <is>
          <t>Expent  cost</t>
        </is>
      </c>
      <c r="C1802" s="373" t="n"/>
      <c r="D1802" s="374" t="n"/>
      <c r="E1802" s="374" t="n"/>
      <c r="F1802" s="281" t="n">
        <v>45996</v>
      </c>
      <c r="G1802" s="5" t="inlineStr">
        <is>
          <t>PR2526-03623</t>
        </is>
      </c>
      <c r="H1802" s="5" t="inlineStr">
        <is>
          <t>PO2526-05022</t>
        </is>
      </c>
      <c r="I1802" s="286" t="n">
        <v>46009</v>
      </c>
      <c r="J1802" s="26" t="n"/>
      <c r="K1802" s="20" t="n">
        <v>60</v>
      </c>
      <c r="L1802" s="5" t="inlineStr">
        <is>
          <t>SFST81000048</t>
        </is>
      </c>
      <c r="M1802" s="7" t="inlineStr">
        <is>
          <t>Cooling machine for PD line</t>
        </is>
      </c>
      <c r="N1802" s="7" t="inlineStr">
        <is>
          <t>Condencer Unit No.5</t>
        </is>
      </c>
      <c r="O1802" s="11" t="n">
        <v>3</v>
      </c>
      <c r="P1802" s="10" t="inlineStr">
        <is>
          <t>equipment m gas welding rod elbowfittingconnectorbrass</t>
        </is>
      </c>
      <c r="Q1802" s="277" t="n">
        <v>1</v>
      </c>
      <c r="R1802" s="5" t="inlineStr">
        <is>
          <t>LOT</t>
        </is>
      </c>
      <c r="S1802" s="284">
        <f>RawDataGenPO[[#This Row],[Total price]]/RawDataGenPO[[#This Row],[Qty'']]</f>
        <v/>
      </c>
      <c r="T1802" s="278" t="n">
        <v>1000</v>
      </c>
      <c r="U1802" s="291" t="n"/>
      <c r="V1802" s="7" t="inlineStr">
        <is>
          <t>V1000654 - A AND B REFRIGERATION CO., LTD.</t>
        </is>
      </c>
      <c r="W1802" s="30" t="inlineStr">
        <is>
          <t xml:space="preserve">Waitting Supplier transportation </t>
        </is>
      </c>
      <c r="Z1802" s="23" t="n"/>
      <c r="AA1802" s="17">
        <f>IF(RawDataGenPO[[#This Row],[Date Gen PO]]="","",RawDataGenPO[[#This Row],[Date recive bill]]-RawDataGenPO[[#This Row],[Date Gen PO]])</f>
        <v/>
      </c>
      <c r="AB1802" s="16">
        <f>IF(RawDataGenPO[[#This Row],[GRN-PO date]]&gt;RawDataGenPO[[#This Row],[Lead time delivery (day)]],"over deliverry","Ontime")</f>
        <v/>
      </c>
      <c r="AC1802" s="22" t="n"/>
    </row>
    <row r="1803" ht="15" customHeight="1">
      <c r="A1803" s="5">
        <f>ROW()-ROW(RawDataGenPO[[#Headers],[No.]])</f>
        <v/>
      </c>
      <c r="B1803" s="29" t="inlineStr">
        <is>
          <t>Expent  cost</t>
        </is>
      </c>
      <c r="C1803" s="373" t="n"/>
      <c r="D1803" s="374" t="n"/>
      <c r="E1803" s="374" t="n"/>
      <c r="F1803" s="281" t="n">
        <v>45996</v>
      </c>
      <c r="G1803" s="5" t="inlineStr">
        <is>
          <t>PR2526-03623</t>
        </is>
      </c>
      <c r="H1803" s="5" t="inlineStr">
        <is>
          <t>PO2526-05022</t>
        </is>
      </c>
      <c r="I1803" s="286" t="n">
        <v>46009</v>
      </c>
      <c r="J1803" s="26" t="n"/>
      <c r="K1803" s="20" t="n">
        <v>60</v>
      </c>
      <c r="L1803" s="5" t="inlineStr">
        <is>
          <t>SFST81000048</t>
        </is>
      </c>
      <c r="M1803" s="7" t="inlineStr">
        <is>
          <t>Cooling machine for PD line</t>
        </is>
      </c>
      <c r="N1803" s="7" t="inlineStr">
        <is>
          <t>Condencer Unit No.6</t>
        </is>
      </c>
      <c r="O1803" s="11" t="n">
        <v>4</v>
      </c>
      <c r="P1803" s="10" t="inlineStr">
        <is>
          <t>Inspection service chargeincluding repair and round-trip travel cost</t>
        </is>
      </c>
      <c r="Q1803" s="277" t="n">
        <v>1</v>
      </c>
      <c r="R1803" s="5" t="inlineStr">
        <is>
          <t>JOB.</t>
        </is>
      </c>
      <c r="S1803" s="284">
        <f>RawDataGenPO[[#This Row],[Total price]]/RawDataGenPO[[#This Row],[Qty'']]</f>
        <v/>
      </c>
      <c r="T1803" s="278" t="n">
        <v>8000</v>
      </c>
      <c r="U1803" s="291" t="n"/>
      <c r="V1803" s="7" t="inlineStr">
        <is>
          <t>V1000654 - A AND B REFRIGERATION CO., LTD.</t>
        </is>
      </c>
      <c r="W1803" s="30" t="inlineStr">
        <is>
          <t xml:space="preserve">Waitting Supplier transportation </t>
        </is>
      </c>
      <c r="Z1803" s="23" t="n"/>
      <c r="AA1803" s="17">
        <f>IF(RawDataGenPO[[#This Row],[Date Gen PO]]="","",RawDataGenPO[[#This Row],[Date recive bill]]-RawDataGenPO[[#This Row],[Date Gen PO]])</f>
        <v/>
      </c>
      <c r="AB1803" s="16">
        <f>IF(RawDataGenPO[[#This Row],[GRN-PO date]]&gt;RawDataGenPO[[#This Row],[Lead time delivery (day)]],"over deliverry","Ontime")</f>
        <v/>
      </c>
      <c r="AC1803" s="22" t="n"/>
    </row>
    <row r="1804" ht="30" customHeight="1">
      <c r="A1804" s="5">
        <f>ROW()-ROW(RawDataGenPO[[#Headers],[No.]])</f>
        <v/>
      </c>
      <c r="B1804" s="29" t="inlineStr">
        <is>
          <t>Expent  cost</t>
        </is>
      </c>
      <c r="C1804" s="373" t="n"/>
      <c r="D1804" s="374" t="n"/>
      <c r="E1804" s="374" t="n"/>
      <c r="F1804" s="281" t="n">
        <v>45996</v>
      </c>
      <c r="G1804" s="5" t="inlineStr">
        <is>
          <t>PR2526-03624</t>
        </is>
      </c>
      <c r="H1804" s="5" t="inlineStr">
        <is>
          <t>PO2526-05019</t>
        </is>
      </c>
      <c r="I1804" s="286" t="n">
        <v>46007</v>
      </c>
      <c r="J1804" s="26" t="n"/>
      <c r="K1804" s="20" t="n">
        <v>60</v>
      </c>
      <c r="L1804" s="5" t="inlineStr">
        <is>
          <t>SFST81000078</t>
        </is>
      </c>
      <c r="M1804" s="7" t="inlineStr">
        <is>
          <t>Civill jobs (Floor-Wall-Celling-roof)</t>
        </is>
      </c>
      <c r="N1804" s="7" t="inlineStr">
        <is>
          <t>Cevil jobs</t>
        </is>
      </c>
      <c r="O1804" s="11" t="n">
        <v>1</v>
      </c>
      <c r="P1804" s="10" t="inlineStr">
        <is>
          <t>installation workandWpipe Steam internalboiler</t>
        </is>
      </c>
      <c r="Q1804" s="277" t="n">
        <v>1</v>
      </c>
      <c r="R1804" s="5" t="inlineStr">
        <is>
          <t>JOB.</t>
        </is>
      </c>
      <c r="S1804" s="284">
        <f>RawDataGenPO[[#This Row],[Total price]]/RawDataGenPO[[#This Row],[Qty'']]</f>
        <v/>
      </c>
      <c r="T1804" s="278" t="n">
        <v>25000</v>
      </c>
      <c r="U1804" s="291" t="n"/>
      <c r="V1804" s="7" t="inlineStr">
        <is>
          <t>V1000865 - TAWANPHOEMPHOON ENGINEERING CO.,LTD.</t>
        </is>
      </c>
      <c r="W1804" s="30" t="inlineStr">
        <is>
          <t>Recive bill and GRN already</t>
        </is>
      </c>
      <c r="X1804" s="5" t="inlineStr">
        <is>
          <t>GRN2526-0008042</t>
        </is>
      </c>
      <c r="Y1804" s="3" t="n">
        <v>46066</v>
      </c>
      <c r="Z1804" s="23" t="n"/>
      <c r="AA1804" s="17">
        <f>IF(RawDataGenPO[[#This Row],[Date Gen PO]]="","",RawDataGenPO[[#This Row],[Date recive bill]]-RawDataGenPO[[#This Row],[Date Gen PO]])</f>
        <v/>
      </c>
      <c r="AB1804" s="16">
        <f>IF(RawDataGenPO[[#This Row],[GRN-PO date]]&gt;RawDataGenPO[[#This Row],[Lead time delivery (day)]],"over deliverry","Ontime")</f>
        <v/>
      </c>
      <c r="AC1804" s="22" t="n"/>
    </row>
    <row r="1805" ht="90" customHeight="1">
      <c r="A1805" s="5">
        <f>ROW()-ROW(RawDataGenPO[[#Headers],[No.]])</f>
        <v/>
      </c>
      <c r="B1805" s="29" t="inlineStr">
        <is>
          <t>Expent  cost</t>
        </is>
      </c>
      <c r="C1805" s="373" t="n"/>
      <c r="D1805" s="374" t="n"/>
      <c r="E1805" s="374" t="n"/>
      <c r="F1805" s="301" t="n">
        <v>45996</v>
      </c>
      <c r="G1805" s="5" t="inlineStr">
        <is>
          <t>PR2526-03624</t>
        </is>
      </c>
      <c r="H1805" s="5" t="inlineStr">
        <is>
          <t>PO2526-05019</t>
        </is>
      </c>
      <c r="I1805" s="286" t="n">
        <v>46007</v>
      </c>
      <c r="J1805" s="26" t="n"/>
      <c r="K1805" s="20" t="n">
        <v>60</v>
      </c>
      <c r="L1805" s="5" t="inlineStr">
        <is>
          <t>SFST81000078</t>
        </is>
      </c>
      <c r="M1805" s="7" t="inlineStr">
        <is>
          <t>Civill jobs (Floor-Wall-Celling-roof)</t>
        </is>
      </c>
      <c r="N1805" s="7" t="inlineStr">
        <is>
          <t>Cevil jobs</t>
        </is>
      </c>
      <c r="O1805" s="11" t="n">
        <v>2</v>
      </c>
      <c r="P1805" s="10" t="inlineStr">
        <is>
          <t>labor costinstall
details
- floorm 112 m
- material Polypropylere A black
- mix UV Stabilizer size 3/4 inch
- inletwork 2 day daySaturday - daySunday</t>
        </is>
      </c>
      <c r="Q1805" s="277" t="n">
        <v>1</v>
      </c>
      <c r="R1805" s="5" t="inlineStr">
        <is>
          <t>JOB.</t>
        </is>
      </c>
      <c r="S1805" s="284">
        <f>RawDataGenPO[[#This Row],[Total price]]/RawDataGenPO[[#This Row],[Qty'']]</f>
        <v/>
      </c>
      <c r="T1805" s="278" t="n">
        <v>10000</v>
      </c>
      <c r="U1805" s="291" t="n"/>
      <c r="V1805" s="7" t="inlineStr">
        <is>
          <t>V1000865 - TAWANPHOEMPHOON ENGINEERING CO.,LTD.</t>
        </is>
      </c>
      <c r="W1805" s="30" t="inlineStr">
        <is>
          <t>Recive bill and GRN already</t>
        </is>
      </c>
      <c r="X1805" s="5" t="inlineStr">
        <is>
          <t>GRN2526-0008042</t>
        </is>
      </c>
      <c r="Y1805" s="3" t="n">
        <v>46066</v>
      </c>
      <c r="Z1805" s="23" t="n"/>
      <c r="AA1805" s="17">
        <f>IF(RawDataGenPO[[#This Row],[Date Gen PO]]="","",RawDataGenPO[[#This Row],[Date recive bill]]-RawDataGenPO[[#This Row],[Date Gen PO]])</f>
        <v/>
      </c>
      <c r="AB1805" s="16">
        <f>IF(RawDataGenPO[[#This Row],[GRN-PO date]]&gt;RawDataGenPO[[#This Row],[Lead time delivery (day)]],"over deliverry","Ontime")</f>
        <v/>
      </c>
      <c r="AC1805" s="22" t="n"/>
    </row>
    <row r="1806" ht="30" customHeight="1">
      <c r="A1806" s="5">
        <f>ROW()-ROW(RawDataGenPO[[#Headers],[No.]])</f>
        <v/>
      </c>
      <c r="B1806" s="29" t="inlineStr">
        <is>
          <t>Expent  cost</t>
        </is>
      </c>
      <c r="C1806" s="373" t="n"/>
      <c r="D1806" s="374" t="n"/>
      <c r="E1806" s="374" t="n"/>
      <c r="F1806" s="301" t="n">
        <v>45996</v>
      </c>
      <c r="G1806" s="5" t="inlineStr">
        <is>
          <t>PR2526-03629</t>
        </is>
      </c>
      <c r="H1806" s="5" t="inlineStr">
        <is>
          <t xml:space="preserve">PO2526-06703 </t>
        </is>
      </c>
      <c r="I1806" s="286" t="n">
        <v>46069</v>
      </c>
      <c r="J1806" s="26" t="n"/>
      <c r="K1806" s="20" t="n">
        <v>60</v>
      </c>
      <c r="L1806" s="5" t="inlineStr">
        <is>
          <t>SFST81000013</t>
        </is>
      </c>
      <c r="M1806" s="7" t="inlineStr">
        <is>
          <t>Annual cost</t>
        </is>
      </c>
      <c r="N1806" s="7" t="inlineStr">
        <is>
          <t>Inspect cost</t>
        </is>
      </c>
      <c r="P1806" s="10" t="inlineStr">
        <is>
          <t>Rental Car 5/12/2025
Rent a truck to transport goods from Stage 1 to</t>
        </is>
      </c>
      <c r="Q1806" s="277" t="n">
        <v>1</v>
      </c>
      <c r="R1806" s="5" t="inlineStr">
        <is>
          <t>JOB.</t>
        </is>
      </c>
      <c r="S1806" s="284">
        <f>RawDataGenPO[[#This Row],[Total price]]/RawDataGenPO[[#This Row],[Qty'']]</f>
        <v/>
      </c>
      <c r="T1806" s="278" t="n">
        <v>2500</v>
      </c>
      <c r="U1806" s="291" t="n"/>
      <c r="V1806" s="7" t="inlineStr">
        <is>
          <t>V1001023 - LEGA CORPORATION CO.,LTD.</t>
        </is>
      </c>
      <c r="W1806" s="30" t="inlineStr">
        <is>
          <t xml:space="preserve">Waitting Supplier transportation </t>
        </is>
      </c>
      <c r="Z1806" s="23" t="n"/>
      <c r="AA1806" s="17">
        <f>IF(RawDataGenPO[[#This Row],[Date Gen PO]]="","",RawDataGenPO[[#This Row],[Date recive bill]]-RawDataGenPO[[#This Row],[Date Gen PO]])</f>
        <v/>
      </c>
      <c r="AB1806" s="16">
        <f>IF(RawDataGenPO[[#This Row],[GRN-PO date]]&gt;RawDataGenPO[[#This Row],[Lead time delivery (day)]],"over deliverry","Ontime")</f>
        <v/>
      </c>
      <c r="AC1806" s="22" t="n"/>
    </row>
    <row r="1807" ht="30" customHeight="1">
      <c r="A1807" s="5">
        <f>ROW()-ROW(RawDataGenPO[[#Headers],[No.]])</f>
        <v/>
      </c>
      <c r="B1807" s="29" t="inlineStr">
        <is>
          <t>Expent  cost</t>
        </is>
      </c>
      <c r="C1807" s="373" t="n"/>
      <c r="D1807" s="374" t="n"/>
      <c r="E1807" s="374" t="n"/>
      <c r="F1807" s="301" t="n">
        <v>45996</v>
      </c>
      <c r="G1807" s="5" t="inlineStr">
        <is>
          <t>PR2526-03633</t>
        </is>
      </c>
      <c r="H1807" s="5" t="inlineStr">
        <is>
          <t>PO2526-05270</t>
        </is>
      </c>
      <c r="I1807" s="286" t="n">
        <v>46009</v>
      </c>
      <c r="J1807" s="26" t="n"/>
      <c r="K1807" s="20" t="n">
        <v>60</v>
      </c>
      <c r="L1807" s="5" t="inlineStr">
        <is>
          <t>SFST81000078</t>
        </is>
      </c>
      <c r="M1807" s="7" t="inlineStr">
        <is>
          <t>PD Machine</t>
        </is>
      </c>
      <c r="N1807" s="7" t="inlineStr">
        <is>
          <t>Bowl Cutter (Chopper) No.1</t>
        </is>
      </c>
      <c r="O1807" s="11" t="n">
        <v>1</v>
      </c>
      <c r="P1807" s="10" t="inlineStr">
        <is>
          <t>Service Charge
Service chargeinletinspection repair Unloader moilleak</t>
        </is>
      </c>
      <c r="Q1807" s="277" t="n">
        <v>1</v>
      </c>
      <c r="R1807" s="5" t="inlineStr">
        <is>
          <t>JOB.</t>
        </is>
      </c>
      <c r="S1807" s="284">
        <f>RawDataGenPO[[#This Row],[Total price]]/RawDataGenPO[[#This Row],[Qty'']]</f>
        <v/>
      </c>
      <c r="T1807" s="278" t="n">
        <v>5900</v>
      </c>
      <c r="U1807" s="291" t="n"/>
      <c r="V1807" s="7" t="inlineStr">
        <is>
          <t>V1000189 - FPT FOOD PROCESS TECHNOLOGY CO., LTD</t>
        </is>
      </c>
      <c r="W1807" s="30" t="inlineStr">
        <is>
          <t xml:space="preserve">Waitting Supplier transportation </t>
        </is>
      </c>
      <c r="Z1807" s="23" t="n"/>
      <c r="AA1807" s="17">
        <f>IF(RawDataGenPO[[#This Row],[Date Gen PO]]="","",RawDataGenPO[[#This Row],[Date recive bill]]-RawDataGenPO[[#This Row],[Date Gen PO]])</f>
        <v/>
      </c>
      <c r="AB1807" s="16">
        <f>IF(RawDataGenPO[[#This Row],[GRN-PO date]]&gt;RawDataGenPO[[#This Row],[Lead time delivery (day)]],"over deliverry","Ontime")</f>
        <v/>
      </c>
      <c r="AC1807" s="22" t="n"/>
    </row>
    <row r="1808" ht="15" customHeight="1">
      <c r="A1808" s="5">
        <f>ROW()-ROW(RawDataGenPO[[#Headers],[No.]])</f>
        <v/>
      </c>
      <c r="B1808" s="29" t="inlineStr">
        <is>
          <t>Expent  cost</t>
        </is>
      </c>
      <c r="C1808" s="373" t="n"/>
      <c r="D1808" s="374" t="n"/>
      <c r="E1808" s="374" t="n"/>
      <c r="F1808" s="301" t="n">
        <v>46002</v>
      </c>
      <c r="G1808" s="5" t="inlineStr">
        <is>
          <t>PR2526-03676</t>
        </is>
      </c>
      <c r="H1808" s="5" t="inlineStr">
        <is>
          <t>PO2526-05044</t>
        </is>
      </c>
      <c r="I1808" s="286" t="n">
        <v>46008</v>
      </c>
      <c r="J1808" s="26" t="n"/>
      <c r="K1808" s="20" t="n">
        <v>60</v>
      </c>
      <c r="L1808" s="5" t="inlineStr">
        <is>
          <t>SFST81000048</t>
        </is>
      </c>
      <c r="M1808" s="7" t="inlineStr">
        <is>
          <t>PD Machine</t>
        </is>
      </c>
      <c r="N1808" s="7" t="inlineStr">
        <is>
          <t>Steam Bratt pan No.1</t>
        </is>
      </c>
      <c r="O1808" s="11" t="n">
        <v>1</v>
      </c>
      <c r="P1808" s="10" t="inlineStr">
        <is>
          <t>Dismantling work-relocate-install Steam Round Bratt Pan No.1</t>
        </is>
      </c>
      <c r="Q1808" s="277" t="n">
        <v>1</v>
      </c>
      <c r="R1808" s="5" t="inlineStr">
        <is>
          <t>JOB.</t>
        </is>
      </c>
      <c r="S1808" s="284">
        <f>RawDataGenPO[[#This Row],[Total price]]/RawDataGenPO[[#This Row],[Qty'']]</f>
        <v/>
      </c>
      <c r="T1808" s="278" t="n">
        <v>95000</v>
      </c>
      <c r="U1808" s="291" t="n"/>
      <c r="V1808" s="7" t="inlineStr">
        <is>
          <t>V1000922 - WORMMEC COMPANY LIMITED</t>
        </is>
      </c>
      <c r="W1808" s="30" t="inlineStr">
        <is>
          <t>Recive bill and GRN already</t>
        </is>
      </c>
      <c r="X1808" s="5" t="inlineStr">
        <is>
          <t>GRN2526-0007788</t>
        </is>
      </c>
      <c r="Y1808" s="3" t="n">
        <v>46058</v>
      </c>
      <c r="Z1808" s="23" t="n"/>
      <c r="AA1808" s="17">
        <f>IF(RawDataGenPO[[#This Row],[Date Gen PO]]="","",RawDataGenPO[[#This Row],[Date recive bill]]-RawDataGenPO[[#This Row],[Date Gen PO]])</f>
        <v/>
      </c>
      <c r="AB1808" s="16">
        <f>IF(RawDataGenPO[[#This Row],[GRN-PO date]]&gt;RawDataGenPO[[#This Row],[Lead time delivery (day)]],"over deliverry","Ontime")</f>
        <v/>
      </c>
      <c r="AC1808" s="22" t="n"/>
    </row>
    <row r="1809" ht="15" customHeight="1">
      <c r="A1809" s="5">
        <f>ROW()-ROW(RawDataGenPO[[#Headers],[No.]])</f>
        <v/>
      </c>
      <c r="B1809" s="29" t="inlineStr">
        <is>
          <t>Expent  cost</t>
        </is>
      </c>
      <c r="C1809" s="373" t="n"/>
      <c r="D1809" s="374" t="n"/>
      <c r="E1809" s="374" t="n"/>
      <c r="F1809" s="301" t="n">
        <v>46002</v>
      </c>
      <c r="G1809" s="5" t="inlineStr">
        <is>
          <t>PR2526-03676</t>
        </is>
      </c>
      <c r="H1809" s="5" t="inlineStr">
        <is>
          <t>PO2526-05044</t>
        </is>
      </c>
      <c r="I1809" s="286" t="n">
        <v>46008</v>
      </c>
      <c r="J1809" s="26" t="n"/>
      <c r="K1809" s="20" t="n">
        <v>60</v>
      </c>
      <c r="L1809" s="5" t="inlineStr">
        <is>
          <t>SFST81000048</t>
        </is>
      </c>
      <c r="M1809" s="7" t="inlineStr">
        <is>
          <t>PD Machine</t>
        </is>
      </c>
      <c r="N1809" s="7" t="inlineStr">
        <is>
          <t>Steam Bratt pan No.1</t>
        </is>
      </c>
      <c r="O1809" s="11" t="n">
        <v>2</v>
      </c>
      <c r="P1809" s="10" t="inlineStr">
        <is>
          <t>Dismantling work-relocate-install Steam Round Bratt Pan No.2</t>
        </is>
      </c>
      <c r="Q1809" s="277" t="n">
        <v>1</v>
      </c>
      <c r="R1809" s="5" t="inlineStr">
        <is>
          <t>JOB.</t>
        </is>
      </c>
      <c r="S1809" s="284">
        <f>RawDataGenPO[[#This Row],[Total price]]/RawDataGenPO[[#This Row],[Qty'']]</f>
        <v/>
      </c>
      <c r="T1809" s="278" t="n">
        <v>32000</v>
      </c>
      <c r="U1809" s="291" t="n"/>
      <c r="V1809" s="7" t="inlineStr">
        <is>
          <t>V1000922 - WORMMEC COMPANY LIMITED</t>
        </is>
      </c>
      <c r="W1809" s="30" t="inlineStr">
        <is>
          <t>Recive bill and GRN already</t>
        </is>
      </c>
      <c r="X1809" s="5" t="inlineStr">
        <is>
          <t>GRN2526-0007788</t>
        </is>
      </c>
      <c r="Y1809" s="3" t="n">
        <v>46058</v>
      </c>
      <c r="Z1809" s="23" t="n"/>
      <c r="AA1809" s="17">
        <f>IF(RawDataGenPO[[#This Row],[Date Gen PO]]="","",RawDataGenPO[[#This Row],[Date recive bill]]-RawDataGenPO[[#This Row],[Date Gen PO]])</f>
        <v/>
      </c>
      <c r="AB1809" s="16">
        <f>IF(RawDataGenPO[[#This Row],[GRN-PO date]]&gt;RawDataGenPO[[#This Row],[Lead time delivery (day)]],"over deliverry","Ontime")</f>
        <v/>
      </c>
      <c r="AC1809" s="22" t="n"/>
    </row>
    <row r="1810" ht="30" customHeight="1">
      <c r="A1810" s="5">
        <f>ROW()-ROW(RawDataGenPO[[#Headers],[No.]])</f>
        <v/>
      </c>
      <c r="B1810" s="29" t="inlineStr">
        <is>
          <t>Expent  cost</t>
        </is>
      </c>
      <c r="C1810" s="373" t="n"/>
      <c r="D1810" s="374" t="n"/>
      <c r="E1810" s="374" t="n"/>
      <c r="F1810" s="301" t="n">
        <v>46002</v>
      </c>
      <c r="G1810" s="5" t="inlineStr">
        <is>
          <t>PR2526-03676</t>
        </is>
      </c>
      <c r="H1810" s="5" t="inlineStr">
        <is>
          <t>PO2526-05044</t>
        </is>
      </c>
      <c r="I1810" s="286" t="n">
        <v>46008</v>
      </c>
      <c r="J1810" s="26" t="n"/>
      <c r="K1810" s="20" t="n">
        <v>60</v>
      </c>
      <c r="L1810" s="5" t="inlineStr">
        <is>
          <t>SFST81000048</t>
        </is>
      </c>
      <c r="M1810" s="7" t="inlineStr">
        <is>
          <t>PD Machine</t>
        </is>
      </c>
      <c r="N1810" s="7" t="inlineStr">
        <is>
          <t>Steam Bratt pan No.1</t>
        </is>
      </c>
      <c r="O1810" s="11" t="n">
        <v>3</v>
      </c>
      <c r="P1810" s="10" t="inlineStr">
        <is>
          <t>On site Service, Transport, Hand Tools, Haevy Tools, and Overhead Profit</t>
        </is>
      </c>
      <c r="Q1810" s="277" t="n">
        <v>1</v>
      </c>
      <c r="R1810" s="5" t="inlineStr">
        <is>
          <t>JOB.</t>
        </is>
      </c>
      <c r="S1810" s="284">
        <f>RawDataGenPO[[#This Row],[Total price]]/RawDataGenPO[[#This Row],[Qty'']]</f>
        <v/>
      </c>
      <c r="T1810" s="278" t="n">
        <v>7500</v>
      </c>
      <c r="U1810" s="291" t="n"/>
      <c r="V1810" s="7" t="inlineStr">
        <is>
          <t>V1000922 - WORMMEC COMPANY LIMITED</t>
        </is>
      </c>
      <c r="W1810" s="30" t="inlineStr">
        <is>
          <t>Recive bill and GRN already</t>
        </is>
      </c>
      <c r="X1810" s="5" t="inlineStr">
        <is>
          <t>GRN2526-0007788</t>
        </is>
      </c>
      <c r="Y1810" s="3" t="n">
        <v>46058</v>
      </c>
      <c r="Z1810" s="23" t="n"/>
      <c r="AA1810" s="17">
        <f>IF(RawDataGenPO[[#This Row],[Date Gen PO]]="","",RawDataGenPO[[#This Row],[Date recive bill]]-RawDataGenPO[[#This Row],[Date Gen PO]])</f>
        <v/>
      </c>
      <c r="AB1810" s="16">
        <f>IF(RawDataGenPO[[#This Row],[GRN-PO date]]&gt;RawDataGenPO[[#This Row],[Lead time delivery (day)]],"over deliverry","Ontime")</f>
        <v/>
      </c>
      <c r="AC1810" s="22" t="n"/>
    </row>
    <row r="1811" ht="15" customHeight="1">
      <c r="A1811" s="5">
        <f>ROW()-ROW(RawDataGenPO[[#Headers],[No.]])</f>
        <v/>
      </c>
      <c r="B1811" s="29" t="inlineStr">
        <is>
          <t>Expent  cost</t>
        </is>
      </c>
      <c r="C1811" s="373" t="n"/>
      <c r="D1811" s="374" t="n"/>
      <c r="E1811" s="374" t="n"/>
      <c r="F1811" s="301" t="n">
        <v>46002</v>
      </c>
      <c r="G1811" s="5" t="inlineStr">
        <is>
          <t>PR2526-03677</t>
        </is>
      </c>
      <c r="H1811" s="5" t="inlineStr">
        <is>
          <t>PO2526-04999</t>
        </is>
      </c>
      <c r="I1811" s="286" t="n">
        <v>46007</v>
      </c>
      <c r="J1811" s="26" t="n"/>
      <c r="K1811" s="20" t="n">
        <v>30</v>
      </c>
      <c r="L1811" s="5" t="inlineStr">
        <is>
          <t>SFST81000078</t>
        </is>
      </c>
      <c r="M1811" s="7" t="inlineStr">
        <is>
          <t>Civill jobs (Floor-Wall-Celling-roof)</t>
        </is>
      </c>
      <c r="N1811" s="7" t="inlineStr">
        <is>
          <t>Cevil jobs</t>
        </is>
      </c>
      <c r="O1811" s="11" t="n">
        <v>1</v>
      </c>
      <c r="P1811" s="10" t="inlineStr">
        <is>
          <t>waterPU coating HF (Part A: 3 KG, Part B: 3 KG)</t>
        </is>
      </c>
      <c r="Q1811" s="277" t="n">
        <v>8</v>
      </c>
      <c r="R1811" s="5" t="inlineStr">
        <is>
          <t>PCS.</t>
        </is>
      </c>
      <c r="S1811" s="284">
        <f>RawDataGenPO[[#This Row],[Total price]]/RawDataGenPO[[#This Row],[Qty'']]</f>
        <v/>
      </c>
      <c r="T1811" s="278" t="n">
        <v>11600</v>
      </c>
      <c r="U1811" s="291" t="n"/>
      <c r="V1811" s="7" t="inlineStr">
        <is>
          <t>V1000198 - APEX ASIA CONSTRUCTION CO.,LTD.</t>
        </is>
      </c>
      <c r="W1811" s="30" t="inlineStr">
        <is>
          <t>Recive bill and GRN already</t>
        </is>
      </c>
      <c r="X1811" s="5" t="inlineStr">
        <is>
          <t>GRN2526-0006321</t>
        </is>
      </c>
      <c r="Y1811" s="3" t="n">
        <v>46010</v>
      </c>
      <c r="Z1811" s="23" t="n"/>
      <c r="AA1811" s="17">
        <f>IF(RawDataGenPO[[#This Row],[Date Gen PO]]="","",RawDataGenPO[[#This Row],[Date recive bill]]-RawDataGenPO[[#This Row],[Date Gen PO]])</f>
        <v/>
      </c>
      <c r="AB1811" s="16">
        <f>IF(RawDataGenPO[[#This Row],[GRN-PO date]]&gt;RawDataGenPO[[#This Row],[Lead time delivery (day)]],"over deliverry","Ontime")</f>
        <v/>
      </c>
      <c r="AC1811" s="22" t="n"/>
    </row>
    <row r="1812" ht="15" customHeight="1">
      <c r="A1812" s="5">
        <f>ROW()-ROW(RawDataGenPO[[#Headers],[No.]])</f>
        <v/>
      </c>
      <c r="B1812" s="29" t="inlineStr">
        <is>
          <t>Expent  cost</t>
        </is>
      </c>
      <c r="C1812" s="373" t="n"/>
      <c r="D1812" s="374" t="n"/>
      <c r="E1812" s="374" t="n"/>
      <c r="F1812" s="301" t="n">
        <v>46002</v>
      </c>
      <c r="G1812" s="5" t="inlineStr">
        <is>
          <t>PR2526-03677</t>
        </is>
      </c>
      <c r="H1812" s="5" t="inlineStr">
        <is>
          <t>PO2526-04999</t>
        </is>
      </c>
      <c r="I1812" s="286" t="n">
        <v>46007</v>
      </c>
      <c r="J1812" s="26" t="n"/>
      <c r="K1812" s="20" t="n">
        <v>30</v>
      </c>
      <c r="L1812" s="5" t="inlineStr">
        <is>
          <t>SFST81000078</t>
        </is>
      </c>
      <c r="M1812" s="7" t="inlineStr">
        <is>
          <t>Civill jobs (Floor-Wall-Celling-roof)</t>
        </is>
      </c>
      <c r="N1812" s="7" t="inlineStr">
        <is>
          <t>Cevil jobs</t>
        </is>
      </c>
      <c r="O1812" s="11" t="n">
        <v>2</v>
      </c>
      <c r="P1812" s="10" t="inlineStr">
        <is>
          <t>waterPU coating HF ( Part C 11.30 kg.)</t>
        </is>
      </c>
      <c r="Q1812" s="277" t="n">
        <v>20</v>
      </c>
      <c r="R1812" s="5" t="inlineStr">
        <is>
          <t>PCS.</t>
        </is>
      </c>
      <c r="S1812" s="284">
        <f>RawDataGenPO[[#This Row],[Total price]]/RawDataGenPO[[#This Row],[Qty'']]</f>
        <v/>
      </c>
      <c r="T1812" s="278" t="n">
        <v>9000</v>
      </c>
      <c r="U1812" s="291" t="n"/>
      <c r="V1812" s="7" t="inlineStr">
        <is>
          <t>V1000198 - APEX ASIA CONSTRUCTION CO.,LTD.</t>
        </is>
      </c>
      <c r="W1812" s="30" t="inlineStr">
        <is>
          <t>Recive bill and GRN already</t>
        </is>
      </c>
      <c r="X1812" s="5" t="inlineStr">
        <is>
          <t>GRN2526-0006321</t>
        </is>
      </c>
      <c r="Y1812" s="3" t="n">
        <v>46010</v>
      </c>
      <c r="Z1812" s="23" t="n"/>
      <c r="AA1812" s="17">
        <f>IF(RawDataGenPO[[#This Row],[Date Gen PO]]="","",RawDataGenPO[[#This Row],[Date recive bill]]-RawDataGenPO[[#This Row],[Date Gen PO]])</f>
        <v/>
      </c>
      <c r="AB1812" s="16">
        <f>IF(RawDataGenPO[[#This Row],[GRN-PO date]]&gt;RawDataGenPO[[#This Row],[Lead time delivery (day)]],"over deliverry","Ontime")</f>
        <v/>
      </c>
      <c r="AC1812" s="22" t="n"/>
    </row>
    <row r="1813" ht="15" customHeight="1">
      <c r="A1813" s="5">
        <f>ROW()-ROW(RawDataGenPO[[#Headers],[No.]])</f>
        <v/>
      </c>
      <c r="B1813" s="29" t="inlineStr">
        <is>
          <t>Expent  cost</t>
        </is>
      </c>
      <c r="C1813" s="373" t="n"/>
      <c r="D1813" s="374" t="n"/>
      <c r="E1813" s="374" t="n"/>
      <c r="F1813" s="301" t="n">
        <v>46002</v>
      </c>
      <c r="G1813" s="5" t="inlineStr">
        <is>
          <t>PR2526-03678</t>
        </is>
      </c>
      <c r="H1813" s="5" t="inlineStr">
        <is>
          <t>PO2526-05049</t>
        </is>
      </c>
      <c r="I1813" s="286" t="n">
        <v>46008</v>
      </c>
      <c r="J1813" s="26" t="n"/>
      <c r="K1813" s="20" t="n">
        <v>30</v>
      </c>
      <c r="L1813" s="5" t="inlineStr">
        <is>
          <t>SFST81000009</t>
        </is>
      </c>
      <c r="M1813" s="7" t="inlineStr">
        <is>
          <t>Civill jobs (Floor-Wall-Celling-roof)</t>
        </is>
      </c>
      <c r="N1813" s="7" t="inlineStr">
        <is>
          <t>Cevil quipment  &amp; Part</t>
        </is>
      </c>
      <c r="O1813" s="11" t="n">
        <v>1</v>
      </c>
      <c r="P1813" s="10" t="inlineStr">
        <is>
          <t>pipe HDPE (PN10) size 2"</t>
        </is>
      </c>
      <c r="Q1813" s="277" t="n">
        <v>100</v>
      </c>
      <c r="R1813" s="5" t="inlineStr">
        <is>
          <t>PCS.</t>
        </is>
      </c>
      <c r="S1813" s="284">
        <f>RawDataGenPO[[#This Row],[Total price]]/RawDataGenPO[[#This Row],[Qty'']]</f>
        <v/>
      </c>
      <c r="T1813" s="278" t="n">
        <v>79000</v>
      </c>
      <c r="U1813" s="291" t="n"/>
      <c r="V1813" s="7" t="inlineStr">
        <is>
          <t>V1000840 - S.Q. &amp; CO CO., LTD</t>
        </is>
      </c>
      <c r="W1813" s="30" t="inlineStr">
        <is>
          <t>Recive bill and GRN already</t>
        </is>
      </c>
      <c r="X1813" s="5" t="inlineStr">
        <is>
          <t>GRN2526-0006439</t>
        </is>
      </c>
      <c r="Y1813" s="3" t="n">
        <v>46014</v>
      </c>
      <c r="Z1813" s="23" t="n"/>
      <c r="AA1813" s="17">
        <f>IF(RawDataGenPO[[#This Row],[Date Gen PO]]="","",RawDataGenPO[[#This Row],[Date recive bill]]-RawDataGenPO[[#This Row],[Date Gen PO]])</f>
        <v/>
      </c>
      <c r="AB1813" s="16">
        <f>IF(RawDataGenPO[[#This Row],[GRN-PO date]]&gt;RawDataGenPO[[#This Row],[Lead time delivery (day)]],"over deliverry","Ontime")</f>
        <v/>
      </c>
      <c r="AC1813" s="22" t="n"/>
    </row>
    <row r="1814" ht="15" customHeight="1">
      <c r="A1814" s="5">
        <f>ROW()-ROW(RawDataGenPO[[#Headers],[No.]])</f>
        <v/>
      </c>
      <c r="B1814" s="29" t="inlineStr">
        <is>
          <t>Expent  cost</t>
        </is>
      </c>
      <c r="C1814" s="373" t="n"/>
      <c r="D1814" s="374" t="n"/>
      <c r="E1814" s="374" t="n"/>
      <c r="F1814" s="301" t="n">
        <v>46002</v>
      </c>
      <c r="G1814" s="5" t="inlineStr">
        <is>
          <t>PR2526-03678</t>
        </is>
      </c>
      <c r="H1814" s="5" t="inlineStr">
        <is>
          <t>PO2526-05049</t>
        </is>
      </c>
      <c r="I1814" s="286" t="n">
        <v>46008</v>
      </c>
      <c r="J1814" s="26" t="n"/>
      <c r="K1814" s="20" t="n">
        <v>30</v>
      </c>
      <c r="L1814" s="5" t="inlineStr">
        <is>
          <t>SFST81000009</t>
        </is>
      </c>
      <c r="M1814" s="7" t="inlineStr">
        <is>
          <t>Civill jobs (Floor-Wall-Celling-roof)</t>
        </is>
      </c>
      <c r="N1814" s="7" t="inlineStr">
        <is>
          <t>Cevil quipment  &amp; Part</t>
        </is>
      </c>
      <c r="O1814" s="11" t="n">
        <v>2</v>
      </c>
      <c r="P1814" s="10" t="inlineStr">
        <is>
          <t>elbow 90 degree HDPE (PN10) size 2"</t>
        </is>
      </c>
      <c r="Q1814" s="277" t="n">
        <v>10</v>
      </c>
      <c r="R1814" s="5" t="inlineStr">
        <is>
          <t>PCS.</t>
        </is>
      </c>
      <c r="S1814" s="284">
        <f>RawDataGenPO[[#This Row],[Total price]]/RawDataGenPO[[#This Row],[Qty'']]</f>
        <v/>
      </c>
      <c r="T1814" s="278" t="n">
        <v>950</v>
      </c>
      <c r="U1814" s="291" t="n"/>
      <c r="V1814" s="7" t="inlineStr">
        <is>
          <t>V1000840 - S.Q. &amp; CO CO., LTD</t>
        </is>
      </c>
      <c r="W1814" s="30" t="inlineStr">
        <is>
          <t>Recive bill and GRN already</t>
        </is>
      </c>
      <c r="X1814" s="5" t="inlineStr">
        <is>
          <t>GRN2526-0006439</t>
        </is>
      </c>
      <c r="Y1814" s="3" t="n">
        <v>46014</v>
      </c>
      <c r="Z1814" s="23" t="n"/>
      <c r="AA1814" s="17">
        <f>IF(RawDataGenPO[[#This Row],[Date Gen PO]]="","",RawDataGenPO[[#This Row],[Date recive bill]]-RawDataGenPO[[#This Row],[Date Gen PO]])</f>
        <v/>
      </c>
      <c r="AB1814" s="16">
        <f>IF(RawDataGenPO[[#This Row],[GRN-PO date]]&gt;RawDataGenPO[[#This Row],[Lead time delivery (day)]],"over deliverry","Ontime")</f>
        <v/>
      </c>
      <c r="AC1814" s="22" t="n"/>
    </row>
    <row r="1815" ht="15" customHeight="1">
      <c r="A1815" s="5">
        <f>ROW()-ROW(RawDataGenPO[[#Headers],[No.]])</f>
        <v/>
      </c>
      <c r="B1815" s="29" t="inlineStr">
        <is>
          <t>Expent  cost</t>
        </is>
      </c>
      <c r="C1815" s="373" t="n"/>
      <c r="D1815" s="374" t="n"/>
      <c r="E1815" s="374" t="n"/>
      <c r="F1815" s="301" t="n">
        <v>46002</v>
      </c>
      <c r="G1815" s="5" t="inlineStr">
        <is>
          <t>PR2526-03678</t>
        </is>
      </c>
      <c r="H1815" s="5" t="inlineStr">
        <is>
          <t>PO2526-05049</t>
        </is>
      </c>
      <c r="I1815" s="286" t="n">
        <v>46008</v>
      </c>
      <c r="J1815" s="26" t="n"/>
      <c r="K1815" s="20" t="n">
        <v>30</v>
      </c>
      <c r="L1815" s="5" t="inlineStr">
        <is>
          <t>SFST81000009</t>
        </is>
      </c>
      <c r="M1815" s="7" t="inlineStr">
        <is>
          <t>Civill jobs (Floor-Wall-Celling-roof)</t>
        </is>
      </c>
      <c r="N1815" s="7" t="inlineStr">
        <is>
          <t>Cevil quipment  &amp; Part</t>
        </is>
      </c>
      <c r="O1815" s="11" t="n">
        <v>3</v>
      </c>
      <c r="P1815" s="10" t="inlineStr">
        <is>
          <t>elbow 45 degree HDPE (PN10) size 2"</t>
        </is>
      </c>
      <c r="Q1815" s="277" t="n">
        <v>10</v>
      </c>
      <c r="R1815" s="5" t="inlineStr">
        <is>
          <t>PCS.</t>
        </is>
      </c>
      <c r="S1815" s="284">
        <f>RawDataGenPO[[#This Row],[Total price]]/RawDataGenPO[[#This Row],[Qty'']]</f>
        <v/>
      </c>
      <c r="T1815" s="278" t="n">
        <v>900</v>
      </c>
      <c r="U1815" s="291" t="n"/>
      <c r="V1815" s="7" t="inlineStr">
        <is>
          <t>V1000840 - S.Q. &amp; CO CO., LTD</t>
        </is>
      </c>
      <c r="W1815" s="30" t="inlineStr">
        <is>
          <t>Recive bill and GRN already</t>
        </is>
      </c>
      <c r="X1815" s="5" t="inlineStr">
        <is>
          <t>GRN2526-0006439</t>
        </is>
      </c>
      <c r="Y1815" s="3" t="n">
        <v>46014</v>
      </c>
      <c r="Z1815" s="23" t="n"/>
      <c r="AA1815" s="17">
        <f>IF(RawDataGenPO[[#This Row],[Date Gen PO]]="","",RawDataGenPO[[#This Row],[Date recive bill]]-RawDataGenPO[[#This Row],[Date Gen PO]])</f>
        <v/>
      </c>
      <c r="AB1815" s="16">
        <f>IF(RawDataGenPO[[#This Row],[GRN-PO date]]&gt;RawDataGenPO[[#This Row],[Lead time delivery (day)]],"over deliverry","Ontime")</f>
        <v/>
      </c>
      <c r="AC1815" s="22" t="n"/>
    </row>
    <row r="1816" ht="15" customHeight="1">
      <c r="A1816" s="5">
        <f>ROW()-ROW(RawDataGenPO[[#Headers],[No.]])</f>
        <v/>
      </c>
      <c r="B1816" s="29" t="inlineStr">
        <is>
          <t>Expent  cost</t>
        </is>
      </c>
      <c r="C1816" s="373" t="n"/>
      <c r="D1816" s="374" t="n"/>
      <c r="E1816" s="374" t="n"/>
      <c r="F1816" s="301" t="n">
        <v>46002</v>
      </c>
      <c r="G1816" s="5" t="inlineStr">
        <is>
          <t>PR2526-03678</t>
        </is>
      </c>
      <c r="H1816" s="5" t="inlineStr">
        <is>
          <t>PO2526-05049</t>
        </is>
      </c>
      <c r="I1816" s="286" t="n">
        <v>46008</v>
      </c>
      <c r="J1816" s="26" t="n"/>
      <c r="K1816" s="20" t="n">
        <v>30</v>
      </c>
      <c r="L1816" s="5" t="inlineStr">
        <is>
          <t>SFST81000009</t>
        </is>
      </c>
      <c r="M1816" s="7" t="inlineStr">
        <is>
          <t>Civill jobs (Floor-Wall-Celling-roof)</t>
        </is>
      </c>
      <c r="N1816" s="7" t="inlineStr">
        <is>
          <t>Cevil quipment  &amp; Part</t>
        </is>
      </c>
      <c r="O1816" s="11" t="n">
        <v>4</v>
      </c>
      <c r="P1816" s="10" t="inlineStr">
        <is>
          <t>stainless steel size 2"</t>
        </is>
      </c>
      <c r="Q1816" s="277" t="n">
        <v>75</v>
      </c>
      <c r="R1816" s="5" t="inlineStr">
        <is>
          <t>PCS.</t>
        </is>
      </c>
      <c r="S1816" s="284">
        <f>RawDataGenPO[[#This Row],[Total price]]/RawDataGenPO[[#This Row],[Qty'']]</f>
        <v/>
      </c>
      <c r="T1816" s="278" t="n">
        <v>3375</v>
      </c>
      <c r="U1816" s="291" t="n"/>
      <c r="V1816" s="7" t="inlineStr">
        <is>
          <t>V1000840 - S.Q. &amp; CO CO., LTD</t>
        </is>
      </c>
      <c r="W1816" s="30" t="inlineStr">
        <is>
          <t>Recive bill and GRN already</t>
        </is>
      </c>
      <c r="X1816" s="5" t="inlineStr">
        <is>
          <t>GRN2526-0006439</t>
        </is>
      </c>
      <c r="Y1816" s="3" t="n">
        <v>46014</v>
      </c>
      <c r="Z1816" s="23" t="n"/>
      <c r="AA1816" s="17">
        <f>IF(RawDataGenPO[[#This Row],[Date Gen PO]]="","",RawDataGenPO[[#This Row],[Date recive bill]]-RawDataGenPO[[#This Row],[Date Gen PO]])</f>
        <v/>
      </c>
      <c r="AB1816" s="16">
        <f>IF(RawDataGenPO[[#This Row],[GRN-PO date]]&gt;RawDataGenPO[[#This Row],[Lead time delivery (day)]],"over deliverry","Ontime")</f>
        <v/>
      </c>
      <c r="AC1816" s="22" t="n"/>
    </row>
    <row r="1817" ht="15" customHeight="1">
      <c r="A1817" s="5">
        <f>ROW()-ROW(RawDataGenPO[[#Headers],[No.]])</f>
        <v/>
      </c>
      <c r="B1817" s="29" t="inlineStr">
        <is>
          <t>Expent  cost</t>
        </is>
      </c>
      <c r="C1817" s="373" t="n"/>
      <c r="D1817" s="374" t="n"/>
      <c r="E1817" s="374" t="n"/>
      <c r="F1817" s="301" t="n">
        <v>46002</v>
      </c>
      <c r="G1817" s="5" t="inlineStr">
        <is>
          <t>PR2526-03678</t>
        </is>
      </c>
      <c r="H1817" s="5" t="inlineStr">
        <is>
          <t>PO2526-05049</t>
        </is>
      </c>
      <c r="I1817" s="286" t="n">
        <v>46008</v>
      </c>
      <c r="J1817" s="26" t="n"/>
      <c r="K1817" s="20" t="n">
        <v>30</v>
      </c>
      <c r="L1817" s="5" t="inlineStr">
        <is>
          <t>SFST81000009</t>
        </is>
      </c>
      <c r="M1817" s="7" t="inlineStr">
        <is>
          <t>Civill jobs (Floor-Wall-Celling-roof)</t>
        </is>
      </c>
      <c r="N1817" s="7" t="inlineStr">
        <is>
          <t>Cevil quipment  &amp; Part</t>
        </is>
      </c>
      <c r="O1817" s="11" t="n">
        <v>5</v>
      </c>
      <c r="P1817" s="10" t="inlineStr">
        <is>
          <t>anchorstainless steel size 3/8"</t>
        </is>
      </c>
      <c r="Q1817" s="277" t="n">
        <v>75</v>
      </c>
      <c r="R1817" s="5" t="inlineStr">
        <is>
          <t>PCS.</t>
        </is>
      </c>
      <c r="S1817" s="284">
        <f>RawDataGenPO[[#This Row],[Total price]]/RawDataGenPO[[#This Row],[Qty'']]</f>
        <v/>
      </c>
      <c r="T1817" s="278" t="n">
        <v>2250</v>
      </c>
      <c r="U1817" s="291" t="n"/>
      <c r="V1817" s="7" t="inlineStr">
        <is>
          <t>V1000840 - S.Q. &amp; CO CO., LTD</t>
        </is>
      </c>
      <c r="W1817" s="30" t="inlineStr">
        <is>
          <t>Recive bill and GRN already</t>
        </is>
      </c>
      <c r="X1817" s="5" t="inlineStr">
        <is>
          <t>GRN2526-0006439</t>
        </is>
      </c>
      <c r="Y1817" s="3" t="n">
        <v>46014</v>
      </c>
      <c r="Z1817" s="23" t="n"/>
      <c r="AA1817" s="17">
        <f>IF(RawDataGenPO[[#This Row],[Date Gen PO]]="","",RawDataGenPO[[#This Row],[Date recive bill]]-RawDataGenPO[[#This Row],[Date Gen PO]])</f>
        <v/>
      </c>
      <c r="AB1817" s="16">
        <f>IF(RawDataGenPO[[#This Row],[GRN-PO date]]&gt;RawDataGenPO[[#This Row],[Lead time delivery (day)]],"over deliverry","Ontime")</f>
        <v/>
      </c>
      <c r="AC1817" s="22" t="n"/>
    </row>
    <row r="1818" ht="15" customHeight="1">
      <c r="A1818" s="5">
        <f>ROW()-ROW(RawDataGenPO[[#Headers],[No.]])</f>
        <v/>
      </c>
      <c r="B1818" s="29" t="inlineStr">
        <is>
          <t>Expent  cost</t>
        </is>
      </c>
      <c r="C1818" s="373" t="n"/>
      <c r="D1818" s="374" t="n"/>
      <c r="E1818" s="374" t="n"/>
      <c r="F1818" s="301" t="n">
        <v>46002</v>
      </c>
      <c r="G1818" s="5" t="inlineStr">
        <is>
          <t>PR2526-03679</t>
        </is>
      </c>
      <c r="H1818" s="5" t="inlineStr">
        <is>
          <t>PO2526-05153</t>
        </is>
      </c>
      <c r="I1818" s="286" t="n">
        <v>46007</v>
      </c>
      <c r="J1818" s="26" t="n"/>
      <c r="K1818" s="20" t="n">
        <v>60</v>
      </c>
      <c r="L1818" s="5" t="inlineStr">
        <is>
          <t>SFST34000197</t>
        </is>
      </c>
      <c r="M1818" s="7" t="inlineStr">
        <is>
          <t>PD Machine</t>
        </is>
      </c>
      <c r="N1818" s="7" t="inlineStr">
        <is>
          <t>Tool and Equipment</t>
        </is>
      </c>
      <c r="O1818" s="11" t="n">
        <v>1</v>
      </c>
      <c r="P1818" s="10" t="inlineStr">
        <is>
          <t>Slicing Knife Model: TR-500 TR-500-001 (Long)</t>
        </is>
      </c>
      <c r="Q1818" s="277" t="n">
        <v>10</v>
      </c>
      <c r="R1818" s="5" t="inlineStr">
        <is>
          <t>PCS.</t>
        </is>
      </c>
      <c r="S1818" s="284">
        <f>RawDataGenPO[[#This Row],[Total price]]/RawDataGenPO[[#This Row],[Qty'']]</f>
        <v/>
      </c>
      <c r="T1818" s="278" t="n">
        <v>11500</v>
      </c>
      <c r="U1818" s="291" t="n"/>
      <c r="V1818" s="7" t="inlineStr">
        <is>
          <t>V1000970 - NS PARTS &amp; SUPPLY CO., LTD.</t>
        </is>
      </c>
      <c r="W1818" s="30" t="inlineStr">
        <is>
          <t>Recive bill and GRN already</t>
        </is>
      </c>
      <c r="X1818" s="5" t="inlineStr">
        <is>
          <t>GRN2526-0007590</t>
        </is>
      </c>
      <c r="Y1818" s="3" t="n">
        <v>46055</v>
      </c>
      <c r="Z1818" s="23" t="n"/>
      <c r="AA1818" s="17">
        <f>IF(RawDataGenPO[[#This Row],[Date Gen PO]]="","",RawDataGenPO[[#This Row],[Date recive bill]]-RawDataGenPO[[#This Row],[Date Gen PO]])</f>
        <v/>
      </c>
      <c r="AB1818" s="16">
        <f>IF(RawDataGenPO[[#This Row],[GRN-PO date]]&gt;RawDataGenPO[[#This Row],[Lead time delivery (day)]],"over deliverry","Ontime")</f>
        <v/>
      </c>
      <c r="AC1818" s="22" t="n"/>
    </row>
    <row r="1819" ht="15" customHeight="1">
      <c r="A1819" s="5">
        <f>ROW()-ROW(RawDataGenPO[[#Headers],[No.]])</f>
        <v/>
      </c>
      <c r="B1819" s="29" t="inlineStr">
        <is>
          <t>Expent  cost</t>
        </is>
      </c>
      <c r="C1819" s="373" t="n"/>
      <c r="D1819" s="374" t="n"/>
      <c r="E1819" s="374" t="n"/>
      <c r="F1819" s="301" t="n">
        <v>46002</v>
      </c>
      <c r="G1819" s="5" t="inlineStr">
        <is>
          <t>PR2526-03679</t>
        </is>
      </c>
      <c r="H1819" s="5" t="inlineStr">
        <is>
          <t>PO2526-05153</t>
        </is>
      </c>
      <c r="I1819" s="286" t="n">
        <v>46007</v>
      </c>
      <c r="J1819" s="26" t="n"/>
      <c r="K1819" s="20" t="n">
        <v>60</v>
      </c>
      <c r="L1819" s="5" t="inlineStr">
        <is>
          <t>SFST34000198</t>
        </is>
      </c>
      <c r="M1819" s="7" t="inlineStr">
        <is>
          <t>PD Machine</t>
        </is>
      </c>
      <c r="N1819" s="7" t="inlineStr">
        <is>
          <t>Tool and Equipment</t>
        </is>
      </c>
      <c r="O1819" s="11" t="n">
        <v>2</v>
      </c>
      <c r="P1819" s="10" t="inlineStr">
        <is>
          <t>Slicing Knife Model: TR-500 TR-500-002 (Short)</t>
        </is>
      </c>
      <c r="Q1819" s="277" t="n">
        <v>10</v>
      </c>
      <c r="R1819" s="5" t="inlineStr">
        <is>
          <t>PCS.</t>
        </is>
      </c>
      <c r="S1819" s="284">
        <f>RawDataGenPO[[#This Row],[Total price]]/RawDataGenPO[[#This Row],[Qty'']]</f>
        <v/>
      </c>
      <c r="T1819" s="278" t="n">
        <v>18500</v>
      </c>
      <c r="U1819" s="291" t="n"/>
      <c r="V1819" s="7" t="inlineStr">
        <is>
          <t>V1000970 - NS PARTS &amp; SUPPLY CO., LTD.</t>
        </is>
      </c>
      <c r="W1819" s="30" t="inlineStr">
        <is>
          <t>Recive bill and GRN already</t>
        </is>
      </c>
      <c r="X1819" s="5" t="inlineStr">
        <is>
          <t>GRN2526-0007590</t>
        </is>
      </c>
      <c r="Y1819" s="3" t="n">
        <v>46055</v>
      </c>
      <c r="Z1819" s="23" t="n"/>
      <c r="AA1819" s="17">
        <f>IF(RawDataGenPO[[#This Row],[Date Gen PO]]="","",RawDataGenPO[[#This Row],[Date recive bill]]-RawDataGenPO[[#This Row],[Date Gen PO]])</f>
        <v/>
      </c>
      <c r="AB1819" s="16">
        <f>IF(RawDataGenPO[[#This Row],[GRN-PO date]]&gt;RawDataGenPO[[#This Row],[Lead time delivery (day)]],"over deliverry","Ontime")</f>
        <v/>
      </c>
      <c r="AC1819" s="22" t="n"/>
    </row>
    <row r="1820" ht="120" customHeight="1">
      <c r="A1820" s="5">
        <f>ROW()-ROW(RawDataGenPO[[#Headers],[No.]])</f>
        <v/>
      </c>
      <c r="B1820" s="29" t="inlineStr">
        <is>
          <t>CAPEX  (Budget)</t>
        </is>
      </c>
      <c r="C1820" s="373" t="n"/>
      <c r="D1820" s="374" t="n"/>
      <c r="E1820" s="374" t="n"/>
      <c r="F1820" s="301" t="n">
        <v>46002</v>
      </c>
      <c r="G1820" s="5" t="inlineStr">
        <is>
          <t>PR2526-03680</t>
        </is>
      </c>
      <c r="H1820" s="5" t="inlineStr">
        <is>
          <t>PO2526-05001</t>
        </is>
      </c>
      <c r="I1820" s="286" t="n">
        <v>46007</v>
      </c>
      <c r="J1820" s="26" t="n"/>
      <c r="K1820" s="20" t="n">
        <v>30</v>
      </c>
      <c r="L1820" s="5" t="inlineStr">
        <is>
          <t>SFST82000007</t>
        </is>
      </c>
      <c r="M1820" s="7" t="inlineStr">
        <is>
          <t>Safety equipment</t>
        </is>
      </c>
      <c r="N1820" s="7" t="inlineStr">
        <is>
          <t>Safety equipment</t>
        </is>
      </c>
      <c r="O1820" s="11" t="n">
        <v>1</v>
      </c>
      <c r="P1820" s="10" t="inlineStr">
        <is>
          <t>Gas Leak Detector "EWOO"
Model: EW-401
Measurement Range: 0 100%LEL (LPG)
Output: Alarm Relay Contacts
Power Supply: AC 220 V, 50Hz
Sensor Gas Detector Haed 1 Unit
Description: L114 x W260 x H80 mm.
Explosion-proof: d2G4</t>
        </is>
      </c>
      <c r="Q1820" s="277" t="n">
        <v>1</v>
      </c>
      <c r="R1820" s="5" t="inlineStr">
        <is>
          <t>Job.</t>
        </is>
      </c>
      <c r="S1820" s="284">
        <f>RawDataGenPO[[#This Row],[Total price]]/RawDataGenPO[[#This Row],[Qty'']]</f>
        <v/>
      </c>
      <c r="T1820" s="278" t="n">
        <v>8925</v>
      </c>
      <c r="U1820" s="291" t="n"/>
      <c r="V1820" s="7" t="inlineStr">
        <is>
          <t>V1000742 - SAENCHOTE ELECTRIC INSTRUMENT COMPANY LIMITED</t>
        </is>
      </c>
      <c r="W1820" s="30" t="inlineStr">
        <is>
          <t>Recive bill and GRN already</t>
        </is>
      </c>
      <c r="X1820" s="5" t="inlineStr">
        <is>
          <t>GRN2526-0006399</t>
        </is>
      </c>
      <c r="Y1820" s="3" t="n">
        <v>46013</v>
      </c>
      <c r="Z1820" s="23" t="n"/>
      <c r="AA1820" s="17">
        <f>IF(RawDataGenPO[[#This Row],[Date Gen PO]]="","",RawDataGenPO[[#This Row],[Date recive bill]]-RawDataGenPO[[#This Row],[Date Gen PO]])</f>
        <v/>
      </c>
      <c r="AB1820" s="16">
        <f>IF(RawDataGenPO[[#This Row],[GRN-PO date]]&gt;RawDataGenPO[[#This Row],[Lead time delivery (day)]],"over deliverry","Ontime")</f>
        <v/>
      </c>
      <c r="AC1820" s="22" t="n"/>
    </row>
    <row r="1821" ht="75" customHeight="1">
      <c r="A1821" s="5">
        <f>ROW()-ROW(RawDataGenPO[[#Headers],[No.]])</f>
        <v/>
      </c>
      <c r="B1821" s="29" t="inlineStr">
        <is>
          <t>CAPEX  (Budget)</t>
        </is>
      </c>
      <c r="C1821" s="373" t="n"/>
      <c r="D1821" s="374" t="n"/>
      <c r="E1821" s="374" t="n"/>
      <c r="F1821" s="301" t="n">
        <v>46002</v>
      </c>
      <c r="G1821" s="5" t="inlineStr">
        <is>
          <t>PR2526-03680</t>
        </is>
      </c>
      <c r="H1821" s="5" t="inlineStr">
        <is>
          <t>PO2526-05001</t>
        </is>
      </c>
      <c r="I1821" s="286" t="n">
        <v>46007</v>
      </c>
      <c r="J1821" s="26" t="n"/>
      <c r="K1821" s="20" t="n">
        <v>30</v>
      </c>
      <c r="L1821" s="5" t="inlineStr">
        <is>
          <t>SFST82000007</t>
        </is>
      </c>
      <c r="M1821" s="7" t="inlineStr">
        <is>
          <t>Safety equipment</t>
        </is>
      </c>
      <c r="N1821" s="7" t="inlineStr">
        <is>
          <t>Safety equipment</t>
        </is>
      </c>
      <c r="O1821" s="11" t="n">
        <v>2</v>
      </c>
      <c r="P1821" s="10" t="inlineStr">
        <is>
          <t>installsystem Gas Leak Detector / Insallation &amp; Commissioning
- Support steel Fitting Weding Job &amp; Accessories
- Test Calibration Report
- Onsite Transportation
- On site day Sunday</t>
        </is>
      </c>
      <c r="Q1821" s="277" t="n">
        <v>1</v>
      </c>
      <c r="R1821" s="5" t="inlineStr">
        <is>
          <t>Job.</t>
        </is>
      </c>
      <c r="S1821" s="284">
        <f>RawDataGenPO[[#This Row],[Total price]]/RawDataGenPO[[#This Row],[Qty'']]</f>
        <v/>
      </c>
      <c r="T1821" s="278" t="n">
        <v>6675</v>
      </c>
      <c r="U1821" s="291" t="n"/>
      <c r="V1821" s="7" t="inlineStr">
        <is>
          <t>V1000742 - SAENCHOTE ELECTRIC INSTRUMENT COMPANY LIMITED</t>
        </is>
      </c>
      <c r="W1821" s="30" t="inlineStr">
        <is>
          <t>Recive bill and GRN already</t>
        </is>
      </c>
      <c r="X1821" s="5" t="inlineStr">
        <is>
          <t>GRN2526-0006402</t>
        </is>
      </c>
      <c r="Y1821" s="3" t="n">
        <v>46013</v>
      </c>
      <c r="Z1821" s="23" t="n"/>
      <c r="AA1821" s="17">
        <f>IF(RawDataGenPO[[#This Row],[Date Gen PO]]="","",RawDataGenPO[[#This Row],[Date recive bill]]-RawDataGenPO[[#This Row],[Date Gen PO]])</f>
        <v/>
      </c>
      <c r="AB1821" s="16">
        <f>IF(RawDataGenPO[[#This Row],[GRN-PO date]]&gt;RawDataGenPO[[#This Row],[Lead time delivery (day)]],"over deliverry","Ontime")</f>
        <v/>
      </c>
      <c r="AC1821" s="22" t="n"/>
    </row>
    <row r="1822" ht="45" customHeight="1">
      <c r="A1822" s="5">
        <f>ROW()-ROW(RawDataGenPO[[#Headers],[No.]])</f>
        <v/>
      </c>
      <c r="B1822" s="29" t="inlineStr">
        <is>
          <t>Expent  cost</t>
        </is>
      </c>
      <c r="C1822" s="373" t="n"/>
      <c r="D1822" s="374" t="n"/>
      <c r="E1822" s="374" t="n"/>
      <c r="F1822" s="301" t="n">
        <v>46002</v>
      </c>
      <c r="G1822" s="5" t="inlineStr">
        <is>
          <t>PR2526-03683</t>
        </is>
      </c>
      <c r="H1822" s="5" t="inlineStr">
        <is>
          <t>PO2526-05295</t>
        </is>
      </c>
      <c r="I1822" s="286" t="n">
        <v>46013</v>
      </c>
      <c r="J1822" s="26" t="n"/>
      <c r="K1822" s="20" t="n">
        <v>30</v>
      </c>
      <c r="L1822" s="5" t="inlineStr">
        <is>
          <t>SFST81000048</t>
        </is>
      </c>
      <c r="M1822" s="7" t="inlineStr">
        <is>
          <t>PD Machine</t>
        </is>
      </c>
      <c r="N1822" s="7" t="inlineStr">
        <is>
          <t>X-Ray No.3</t>
        </is>
      </c>
      <c r="O1822" s="11" t="n">
        <v>1</v>
      </c>
      <c r="P1822" s="10" t="inlineStr">
        <is>
          <t>PC UNIT::
From 100-007-3437-03
WITH ACCESSORY:PC UNIT: 100007617503</t>
        </is>
      </c>
      <c r="Q1822" s="277" t="n">
        <v>1</v>
      </c>
      <c r="R1822" s="5" t="inlineStr">
        <is>
          <t>JOB.</t>
        </is>
      </c>
      <c r="S1822" s="284">
        <f>RawDataGenPO[[#This Row],[Total price]]/RawDataGenPO[[#This Row],[Qty'']]</f>
        <v/>
      </c>
      <c r="T1822" s="278" t="n">
        <v>244530</v>
      </c>
      <c r="U1822" s="291" t="n"/>
      <c r="V1822" s="7" t="inlineStr">
        <is>
          <t>V1000097 - ISHIDA (THAILAND) CO.,LTD.</t>
        </is>
      </c>
      <c r="W1822" s="30" t="inlineStr">
        <is>
          <t>Recive bill and GRN already</t>
        </is>
      </c>
      <c r="X1822" s="5" t="inlineStr">
        <is>
          <t>GRN2526-0006625</t>
        </is>
      </c>
      <c r="Y1822" s="3" t="n">
        <v>46027</v>
      </c>
      <c r="Z1822" s="23" t="n"/>
      <c r="AA1822" s="17">
        <f>IF(RawDataGenPO[[#This Row],[Date Gen PO]]="","",RawDataGenPO[[#This Row],[Date recive bill]]-RawDataGenPO[[#This Row],[Date Gen PO]])</f>
        <v/>
      </c>
      <c r="AB1822" s="16">
        <f>IF(RawDataGenPO[[#This Row],[GRN-PO date]]&gt;RawDataGenPO[[#This Row],[Lead time delivery (day)]],"over deliverry","Ontime")</f>
        <v/>
      </c>
      <c r="AC1822" s="22" t="n"/>
    </row>
    <row r="1823" ht="15" customHeight="1">
      <c r="A1823" s="5">
        <f>ROW()-ROW(RawDataGenPO[[#Headers],[No.]])</f>
        <v/>
      </c>
      <c r="B1823" s="29" t="inlineStr">
        <is>
          <t>Expent  cost</t>
        </is>
      </c>
      <c r="C1823" s="373" t="n"/>
      <c r="D1823" s="374" t="n"/>
      <c r="E1823" s="374" t="n"/>
      <c r="F1823" s="301" t="n">
        <v>46002</v>
      </c>
      <c r="G1823" s="5" t="inlineStr">
        <is>
          <t>PR2526-03683</t>
        </is>
      </c>
      <c r="H1823" s="5" t="inlineStr">
        <is>
          <t>PO2526-05295</t>
        </is>
      </c>
      <c r="I1823" s="286" t="n">
        <v>46013</v>
      </c>
      <c r="J1823" s="26" t="n"/>
      <c r="K1823" s="20" t="n">
        <v>30</v>
      </c>
      <c r="L1823" s="5" t="inlineStr">
        <is>
          <t>SFST81000048</t>
        </is>
      </c>
      <c r="M1823" s="7" t="inlineStr">
        <is>
          <t>PD Machine</t>
        </is>
      </c>
      <c r="N1823" s="7" t="inlineStr">
        <is>
          <t>X-Ray No.3</t>
        </is>
      </c>
      <c r="O1823" s="11" t="n">
        <v>2</v>
      </c>
      <c r="P1823" s="10" t="inlineStr">
        <is>
          <t>SERVICE CHARGE FOR REPLACE PART</t>
        </is>
      </c>
      <c r="Q1823" s="277" t="n">
        <v>1</v>
      </c>
      <c r="R1823" s="5" t="inlineStr">
        <is>
          <t>JOB.</t>
        </is>
      </c>
      <c r="S1823" s="284">
        <f>RawDataGenPO[[#This Row],[Total price]]/RawDataGenPO[[#This Row],[Qty'']]</f>
        <v/>
      </c>
      <c r="T1823" s="278" t="n">
        <v>6500</v>
      </c>
      <c r="U1823" s="291" t="n"/>
      <c r="V1823" s="7" t="inlineStr">
        <is>
          <t>V1000097 - ISHIDA (THAILAND) CO.,LTD.</t>
        </is>
      </c>
      <c r="W1823" s="30" t="inlineStr">
        <is>
          <t>Recive bill and GRN already</t>
        </is>
      </c>
      <c r="X1823" s="5" t="inlineStr">
        <is>
          <t>GRN2526-0006625</t>
        </is>
      </c>
      <c r="Y1823" s="3" t="n">
        <v>46027</v>
      </c>
      <c r="Z1823" s="23" t="n"/>
      <c r="AA1823" s="17">
        <f>IF(RawDataGenPO[[#This Row],[Date Gen PO]]="","",RawDataGenPO[[#This Row],[Date recive bill]]-RawDataGenPO[[#This Row],[Date Gen PO]])</f>
        <v/>
      </c>
      <c r="AB1823" s="16">
        <f>IF(RawDataGenPO[[#This Row],[GRN-PO date]]&gt;RawDataGenPO[[#This Row],[Lead time delivery (day)]],"over deliverry","Ontime")</f>
        <v/>
      </c>
      <c r="AC1823" s="22" t="n"/>
    </row>
    <row r="1824" ht="15" customHeight="1">
      <c r="A1824" s="5">
        <f>ROW()-ROW(RawDataGenPO[[#Headers],[No.]])</f>
        <v/>
      </c>
      <c r="B1824" s="29" t="inlineStr">
        <is>
          <t>Expent  cost</t>
        </is>
      </c>
      <c r="C1824" s="373" t="n"/>
      <c r="D1824" s="374" t="n"/>
      <c r="E1824" s="374" t="n"/>
      <c r="F1824" s="301" t="n">
        <v>46006</v>
      </c>
      <c r="G1824" s="26" t="inlineStr">
        <is>
          <t>PR2526-03732</t>
        </is>
      </c>
      <c r="H1824" s="26" t="inlineStr">
        <is>
          <t xml:space="preserve">PO2526-05611 </t>
        </is>
      </c>
      <c r="I1824" s="365" t="n">
        <v>46030</v>
      </c>
      <c r="J1824" s="26" t="n"/>
      <c r="K1824" s="20" t="n">
        <v>120</v>
      </c>
      <c r="L1824" s="5" t="inlineStr">
        <is>
          <t>SFST82000007</t>
        </is>
      </c>
      <c r="M1824" s="29" t="inlineStr">
        <is>
          <t>Civill jobs (Floor-Wall-Celling-roof)</t>
        </is>
      </c>
      <c r="N1824" s="29" t="inlineStr">
        <is>
          <t>Cevil quipment  &amp; Part</t>
        </is>
      </c>
      <c r="O1824" s="43" t="n">
        <v>1</v>
      </c>
      <c r="P1824" s="42" t="inlineStr">
        <is>
          <t>Cable Box Type 3 (Box center)</t>
        </is>
      </c>
      <c r="Q1824" s="277" t="n">
        <v>1</v>
      </c>
      <c r="R1824" s="5" t="inlineStr">
        <is>
          <t>JOB.</t>
        </is>
      </c>
      <c r="S1824" s="292">
        <f>RawDataGenPO[[#This Row],[Total price]]/RawDataGenPO[[#This Row],[Qty'']]</f>
        <v/>
      </c>
      <c r="T1824" s="324" t="n">
        <v>45000</v>
      </c>
      <c r="U1824" s="325" t="n"/>
      <c r="V1824" s="29" t="inlineStr">
        <is>
          <t>V1000983 - EKARAT ENGINEERING PUBLIC COMPANY LIMITED</t>
        </is>
      </c>
      <c r="W1824" s="30" t="inlineStr">
        <is>
          <t xml:space="preserve">Waitting Supplier transportation </t>
        </is>
      </c>
      <c r="X1824" s="26" t="n"/>
      <c r="Y1824" s="23" t="n"/>
      <c r="Z1824" s="23" t="n"/>
      <c r="AA1824" s="37">
        <f>IF(RawDataGenPO[[#This Row],[Date Gen PO]]="","",RawDataGenPO[[#This Row],[Date recive bill]]-RawDataGenPO[[#This Row],[Date Gen PO]])</f>
        <v/>
      </c>
      <c r="AB1824" s="36">
        <f>IF(RawDataGenPO[[#This Row],[GRN-PO date]]&gt;RawDataGenPO[[#This Row],[Lead time delivery (day)]],"over deliverry","Ontime")</f>
        <v/>
      </c>
      <c r="AC1824" s="35" t="n"/>
    </row>
    <row r="1825" ht="15" customHeight="1">
      <c r="A1825" s="5">
        <f>ROW()-ROW(RawDataGenPO[[#Headers],[No.]])</f>
        <v/>
      </c>
      <c r="B1825" s="29" t="inlineStr">
        <is>
          <t>Expent  cost</t>
        </is>
      </c>
      <c r="C1825" s="373" t="n"/>
      <c r="D1825" s="374" t="n"/>
      <c r="E1825" s="374" t="n"/>
      <c r="F1825" s="301" t="n">
        <v>46006</v>
      </c>
      <c r="G1825" s="26" t="inlineStr">
        <is>
          <t>PR2526-03732</t>
        </is>
      </c>
      <c r="H1825" s="26" t="inlineStr">
        <is>
          <t xml:space="preserve">PO2526-05611 </t>
        </is>
      </c>
      <c r="I1825" s="365" t="n">
        <v>46030</v>
      </c>
      <c r="J1825" s="26" t="n"/>
      <c r="K1825" s="20" t="n">
        <v>120</v>
      </c>
      <c r="L1825" s="5" t="inlineStr">
        <is>
          <t>SFST82000007</t>
        </is>
      </c>
      <c r="M1825" s="29" t="inlineStr">
        <is>
          <t>Civill jobs (Floor-Wall-Celling-roof)</t>
        </is>
      </c>
      <c r="N1825" s="29" t="inlineStr">
        <is>
          <t>Cevil quipment  &amp; Part</t>
        </is>
      </c>
      <c r="O1825" s="43" t="n">
        <v>2</v>
      </c>
      <c r="P1825" s="10" t="inlineStr">
        <is>
          <t>cablehigh 12 m</t>
        </is>
      </c>
      <c r="Q1825" s="277" t="n">
        <v>1</v>
      </c>
      <c r="R1825" s="5" t="inlineStr">
        <is>
          <t>JOB.</t>
        </is>
      </c>
      <c r="S1825" s="284">
        <f>RawDataGenPO[[#This Row],[Total price]]/RawDataGenPO[[#This Row],[Qty'']]</f>
        <v/>
      </c>
      <c r="T1825" s="278" t="n">
        <v>6000</v>
      </c>
      <c r="U1825" s="291" t="n"/>
      <c r="V1825" s="29" t="inlineStr">
        <is>
          <t>V1000983 - EKARAT ENGINEERING PUBLIC COMPANY LIMITED</t>
        </is>
      </c>
      <c r="W1825" s="30" t="inlineStr">
        <is>
          <t xml:space="preserve">Waitting Supplier transportation </t>
        </is>
      </c>
      <c r="Z1825" s="23" t="n"/>
      <c r="AA1825" s="17">
        <f>IF(RawDataGenPO[[#This Row],[Date Gen PO]]="","",RawDataGenPO[[#This Row],[Date recive bill]]-RawDataGenPO[[#This Row],[Date Gen PO]])</f>
        <v/>
      </c>
      <c r="AB1825" s="16">
        <f>IF(RawDataGenPO[[#This Row],[GRN-PO date]]&gt;RawDataGenPO[[#This Row],[Lead time delivery (day)]],"over deliverry","Ontime")</f>
        <v/>
      </c>
      <c r="AC1825" s="22" t="n"/>
    </row>
    <row r="1826" ht="45" customHeight="1">
      <c r="A1826" s="5">
        <f>ROW()-ROW(RawDataGenPO[[#Headers],[No.]])</f>
        <v/>
      </c>
      <c r="B1826" s="29" t="inlineStr">
        <is>
          <t>Expent  cost</t>
        </is>
      </c>
      <c r="C1826" s="373" t="n"/>
      <c r="D1826" s="374" t="n"/>
      <c r="E1826" s="374" t="n"/>
      <c r="F1826" s="301" t="n">
        <v>46006</v>
      </c>
      <c r="G1826" s="26" t="inlineStr">
        <is>
          <t>PR2526-03732</t>
        </is>
      </c>
      <c r="H1826" s="26" t="inlineStr">
        <is>
          <t xml:space="preserve">PO2526-05611 </t>
        </is>
      </c>
      <c r="I1826" s="365" t="n">
        <v>46030</v>
      </c>
      <c r="J1826" s="26" t="n"/>
      <c r="K1826" s="20" t="n">
        <v>120</v>
      </c>
      <c r="L1826" s="5" t="inlineStr">
        <is>
          <t>SFST82000007</t>
        </is>
      </c>
      <c r="M1826" s="29" t="inlineStr">
        <is>
          <t>Civill jobs (Floor-Wall-Celling-roof)</t>
        </is>
      </c>
      <c r="N1826" s="29" t="inlineStr">
        <is>
          <t>Cevil quipment  &amp; Part</t>
        </is>
      </c>
      <c r="O1826" s="43" t="n">
        <v>3</v>
      </c>
      <c r="P1826" s="10" t="inlineStr">
        <is>
          <t>Service charge( 5 ton) andinstall
- installation work Cable Box Tr.2 size 1250kVA S/N.59134739EE</t>
        </is>
      </c>
      <c r="Q1826" s="277" t="n">
        <v>1</v>
      </c>
      <c r="R1826" s="5" t="inlineStr">
        <is>
          <t>JOB.</t>
        </is>
      </c>
      <c r="S1826" s="284">
        <f>RawDataGenPO[[#This Row],[Total price]]/RawDataGenPO[[#This Row],[Qty'']]</f>
        <v/>
      </c>
      <c r="T1826" s="278" t="n">
        <v>26000</v>
      </c>
      <c r="U1826" s="291" t="n"/>
      <c r="V1826" s="29" t="inlineStr">
        <is>
          <t>V1000983 - EKARAT ENGINEERING PUBLIC COMPANY LIMITED</t>
        </is>
      </c>
      <c r="W1826" s="30" t="inlineStr">
        <is>
          <t xml:space="preserve">Waitting Supplier transportation </t>
        </is>
      </c>
      <c r="Z1826" s="23" t="n"/>
      <c r="AA1826" s="17">
        <f>IF(RawDataGenPO[[#This Row],[Date Gen PO]]="","",RawDataGenPO[[#This Row],[Date recive bill]]-RawDataGenPO[[#This Row],[Date Gen PO]])</f>
        <v/>
      </c>
      <c r="AB1826" s="16">
        <f>IF(RawDataGenPO[[#This Row],[GRN-PO date]]&gt;RawDataGenPO[[#This Row],[Lead time delivery (day)]],"over deliverry","Ontime")</f>
        <v/>
      </c>
      <c r="AC1826" s="22" t="n"/>
    </row>
    <row r="1827" ht="15" customHeight="1">
      <c r="A1827" s="5">
        <f>ROW()-ROW(RawDataGenPO[[#Headers],[No.]])</f>
        <v/>
      </c>
      <c r="B1827" s="29" t="inlineStr">
        <is>
          <t>Expent  cost</t>
        </is>
      </c>
      <c r="C1827" s="373" t="n"/>
      <c r="D1827" s="374" t="n"/>
      <c r="E1827" s="374" t="n"/>
      <c r="F1827" s="301" t="n">
        <v>46006</v>
      </c>
      <c r="G1827" s="26" t="inlineStr">
        <is>
          <t>PR2526-03732</t>
        </is>
      </c>
      <c r="H1827" s="26" t="inlineStr">
        <is>
          <t xml:space="preserve">PO2526-05611 </t>
        </is>
      </c>
      <c r="I1827" s="365" t="n">
        <v>46030</v>
      </c>
      <c r="J1827" s="26" t="n"/>
      <c r="K1827" s="20" t="n">
        <v>120</v>
      </c>
      <c r="L1827" s="5" t="inlineStr">
        <is>
          <t>SFST82000007</t>
        </is>
      </c>
      <c r="M1827" s="29" t="inlineStr">
        <is>
          <t>Civill jobs (Floor-Wall-Celling-roof)</t>
        </is>
      </c>
      <c r="N1827" s="29" t="inlineStr">
        <is>
          <t>Cevil quipment  &amp; Part</t>
        </is>
      </c>
      <c r="O1827" s="43" t="n">
        <v>4</v>
      </c>
      <c r="P1827" s="10" t="inlineStr">
        <is>
          <t>Cable Box Type 3 (Box center)</t>
        </is>
      </c>
      <c r="Q1827" s="277" t="n">
        <v>1</v>
      </c>
      <c r="R1827" s="5" t="inlineStr">
        <is>
          <t>JOB.</t>
        </is>
      </c>
      <c r="S1827" s="284">
        <f>RawDataGenPO[[#This Row],[Total price]]/RawDataGenPO[[#This Row],[Qty'']]</f>
        <v/>
      </c>
      <c r="T1827" s="278" t="n">
        <v>45000</v>
      </c>
      <c r="U1827" s="291" t="n"/>
      <c r="V1827" s="29" t="inlineStr">
        <is>
          <t>V1000983 - EKARAT ENGINEERING PUBLIC COMPANY LIMITED</t>
        </is>
      </c>
      <c r="W1827" s="30" t="inlineStr">
        <is>
          <t xml:space="preserve">Waitting Supplier transportation </t>
        </is>
      </c>
      <c r="Z1827" s="23" t="n"/>
      <c r="AA1827" s="17">
        <f>IF(RawDataGenPO[[#This Row],[Date Gen PO]]="","",RawDataGenPO[[#This Row],[Date recive bill]]-RawDataGenPO[[#This Row],[Date Gen PO]])</f>
        <v/>
      </c>
      <c r="AB1827" s="16">
        <f>IF(RawDataGenPO[[#This Row],[GRN-PO date]]&gt;RawDataGenPO[[#This Row],[Lead time delivery (day)]],"over deliverry","Ontime")</f>
        <v/>
      </c>
      <c r="AC1827" s="22" t="n"/>
    </row>
    <row r="1828" ht="15" customHeight="1">
      <c r="A1828" s="5">
        <f>ROW()-ROW(RawDataGenPO[[#Headers],[No.]])</f>
        <v/>
      </c>
      <c r="B1828" s="29" t="inlineStr">
        <is>
          <t>Expent  cost</t>
        </is>
      </c>
      <c r="C1828" s="373" t="n"/>
      <c r="D1828" s="374" t="n"/>
      <c r="E1828" s="374" t="n"/>
      <c r="F1828" s="301" t="n">
        <v>46006</v>
      </c>
      <c r="G1828" s="26" t="inlineStr">
        <is>
          <t>PR2526-03732</t>
        </is>
      </c>
      <c r="H1828" s="26" t="inlineStr">
        <is>
          <t xml:space="preserve">PO2526-05611 </t>
        </is>
      </c>
      <c r="I1828" s="365" t="n">
        <v>46030</v>
      </c>
      <c r="J1828" s="26" t="n"/>
      <c r="K1828" s="20" t="n">
        <v>120</v>
      </c>
      <c r="L1828" s="5" t="inlineStr">
        <is>
          <t>SFST82000007</t>
        </is>
      </c>
      <c r="M1828" s="29" t="inlineStr">
        <is>
          <t>Civill jobs (Floor-Wall-Celling-roof)</t>
        </is>
      </c>
      <c r="N1828" s="29" t="inlineStr">
        <is>
          <t>Cevil quipment  &amp; Part</t>
        </is>
      </c>
      <c r="O1828" s="43" t="n">
        <v>5</v>
      </c>
      <c r="P1828" s="10" t="inlineStr">
        <is>
          <t>cablehigh 12 m</t>
        </is>
      </c>
      <c r="Q1828" s="277" t="n">
        <v>1</v>
      </c>
      <c r="R1828" s="5" t="inlineStr">
        <is>
          <t>JOB.</t>
        </is>
      </c>
      <c r="S1828" s="284">
        <f>RawDataGenPO[[#This Row],[Total price]]/RawDataGenPO[[#This Row],[Qty'']]</f>
        <v/>
      </c>
      <c r="T1828" s="278" t="n">
        <v>6000</v>
      </c>
      <c r="U1828" s="291" t="n"/>
      <c r="V1828" s="29" t="inlineStr">
        <is>
          <t>V1000983 - EKARAT ENGINEERING PUBLIC COMPANY LIMITED</t>
        </is>
      </c>
      <c r="W1828" s="30" t="inlineStr">
        <is>
          <t xml:space="preserve">Waitting Supplier transportation </t>
        </is>
      </c>
      <c r="Z1828" s="23" t="n"/>
      <c r="AA1828" s="17">
        <f>IF(RawDataGenPO[[#This Row],[Date Gen PO]]="","",RawDataGenPO[[#This Row],[Date recive bill]]-RawDataGenPO[[#This Row],[Date Gen PO]])</f>
        <v/>
      </c>
      <c r="AB1828" s="16">
        <f>IF(RawDataGenPO[[#This Row],[GRN-PO date]]&gt;RawDataGenPO[[#This Row],[Lead time delivery (day)]],"over deliverry","Ontime")</f>
        <v/>
      </c>
      <c r="AC1828" s="22" t="n"/>
    </row>
    <row r="1829" ht="45" customHeight="1">
      <c r="A1829" s="5">
        <f>ROW()-ROW(RawDataGenPO[[#Headers],[No.]])</f>
        <v/>
      </c>
      <c r="B1829" s="29" t="inlineStr">
        <is>
          <t>Expent  cost</t>
        </is>
      </c>
      <c r="C1829" s="373" t="n"/>
      <c r="D1829" s="374" t="n"/>
      <c r="E1829" s="374" t="n"/>
      <c r="F1829" s="301" t="n">
        <v>46006</v>
      </c>
      <c r="G1829" s="26" t="inlineStr">
        <is>
          <t>PR2526-03732</t>
        </is>
      </c>
      <c r="H1829" s="26" t="inlineStr">
        <is>
          <t xml:space="preserve">PO2526-05611 </t>
        </is>
      </c>
      <c r="I1829" s="365" t="n">
        <v>46030</v>
      </c>
      <c r="J1829" s="26" t="n"/>
      <c r="K1829" s="20" t="n">
        <v>120</v>
      </c>
      <c r="L1829" s="5" t="inlineStr">
        <is>
          <t>SFST82000007</t>
        </is>
      </c>
      <c r="M1829" s="29" t="inlineStr">
        <is>
          <t>Civill jobs (Floor-Wall-Celling-roof)</t>
        </is>
      </c>
      <c r="N1829" s="29" t="inlineStr">
        <is>
          <t>Cevil quipment  &amp; Part</t>
        </is>
      </c>
      <c r="O1829" s="43" t="n">
        <v>6</v>
      </c>
      <c r="P1829" s="10" t="inlineStr">
        <is>
          <t>Service charge( 5 pcs) andinstall
- installation work Cable Box Tr.3 size 630kVA S/N.55112499EE</t>
        </is>
      </c>
      <c r="Q1829" s="277" t="n">
        <v>1</v>
      </c>
      <c r="R1829" s="5" t="inlineStr">
        <is>
          <t>JOB.</t>
        </is>
      </c>
      <c r="S1829" s="284">
        <f>RawDataGenPO[[#This Row],[Total price]]/RawDataGenPO[[#This Row],[Qty'']]</f>
        <v/>
      </c>
      <c r="T1829" s="278" t="n">
        <v>26000</v>
      </c>
      <c r="U1829" s="291" t="n"/>
      <c r="V1829" s="29" t="inlineStr">
        <is>
          <t>V1000983 - EKARAT ENGINEERING PUBLIC COMPANY LIMITED</t>
        </is>
      </c>
      <c r="W1829" s="30" t="inlineStr">
        <is>
          <t xml:space="preserve">Waitting Supplier transportation </t>
        </is>
      </c>
      <c r="Z1829" s="23" t="n"/>
      <c r="AA1829" s="17">
        <f>IF(RawDataGenPO[[#This Row],[Date Gen PO]]="","",RawDataGenPO[[#This Row],[Date recive bill]]-RawDataGenPO[[#This Row],[Date Gen PO]])</f>
        <v/>
      </c>
      <c r="AB1829" s="16">
        <f>IF(RawDataGenPO[[#This Row],[GRN-PO date]]&gt;RawDataGenPO[[#This Row],[Lead time delivery (day)]],"over deliverry","Ontime")</f>
        <v/>
      </c>
      <c r="AC1829" s="22" t="n"/>
    </row>
    <row r="1830" ht="15" customHeight="1">
      <c r="A1830" s="5">
        <f>ROW()-ROW(RawDataGenPO[[#Headers],[No.]])</f>
        <v/>
      </c>
      <c r="B1830" s="29" t="inlineStr">
        <is>
          <t>Expent  cost</t>
        </is>
      </c>
      <c r="C1830" s="373" t="n"/>
      <c r="D1830" s="374" t="n"/>
      <c r="E1830" s="374" t="n"/>
      <c r="F1830" s="301" t="n">
        <v>46006</v>
      </c>
      <c r="G1830" s="26" t="inlineStr">
        <is>
          <t>PR2526-03732</t>
        </is>
      </c>
      <c r="H1830" s="26" t="inlineStr">
        <is>
          <t xml:space="preserve">PO2526-05611 </t>
        </is>
      </c>
      <c r="I1830" s="365" t="n">
        <v>46030</v>
      </c>
      <c r="J1830" s="26" t="n"/>
      <c r="K1830" s="20" t="n">
        <v>120</v>
      </c>
      <c r="L1830" s="5" t="inlineStr">
        <is>
          <t>SFST82000007</t>
        </is>
      </c>
      <c r="M1830" s="29" t="inlineStr">
        <is>
          <t>Civill jobs (Floor-Wall-Celling-roof)</t>
        </is>
      </c>
      <c r="N1830" s="29" t="inlineStr">
        <is>
          <t>Cevil quipment  &amp; Part</t>
        </is>
      </c>
      <c r="O1830" s="43" t="n">
        <v>7</v>
      </c>
      <c r="P1830" s="10" t="inlineStr">
        <is>
          <t>Cable Box Type 3 (Box center)</t>
        </is>
      </c>
      <c r="Q1830" s="277" t="n">
        <v>1</v>
      </c>
      <c r="R1830" s="5" t="inlineStr">
        <is>
          <t>JOB.</t>
        </is>
      </c>
      <c r="S1830" s="284">
        <f>RawDataGenPO[[#This Row],[Total price]]/RawDataGenPO[[#This Row],[Qty'']]</f>
        <v/>
      </c>
      <c r="T1830" s="278" t="n">
        <v>40000</v>
      </c>
      <c r="U1830" s="291" t="n"/>
      <c r="V1830" s="29" t="inlineStr">
        <is>
          <t>V1000983 - EKARAT ENGINEERING PUBLIC COMPANY LIMITED</t>
        </is>
      </c>
      <c r="W1830" s="30" t="inlineStr">
        <is>
          <t xml:space="preserve">Waitting Supplier transportation </t>
        </is>
      </c>
      <c r="Z1830" s="23" t="n"/>
      <c r="AA1830" s="17">
        <f>IF(RawDataGenPO[[#This Row],[Date Gen PO]]="","",RawDataGenPO[[#This Row],[Date recive bill]]-RawDataGenPO[[#This Row],[Date Gen PO]])</f>
        <v/>
      </c>
      <c r="AB1830" s="16">
        <f>IF(RawDataGenPO[[#This Row],[GRN-PO date]]&gt;RawDataGenPO[[#This Row],[Lead time delivery (day)]],"over deliverry","Ontime")</f>
        <v/>
      </c>
      <c r="AC1830" s="22" t="n"/>
    </row>
    <row r="1831" ht="15" customHeight="1">
      <c r="A1831" s="5">
        <f>ROW()-ROW(RawDataGenPO[[#Headers],[No.]])</f>
        <v/>
      </c>
      <c r="B1831" s="29" t="inlineStr">
        <is>
          <t>Expent  cost</t>
        </is>
      </c>
      <c r="C1831" s="373" t="n"/>
      <c r="D1831" s="374" t="n"/>
      <c r="E1831" s="374" t="n"/>
      <c r="F1831" s="301" t="n">
        <v>46006</v>
      </c>
      <c r="G1831" s="26" t="inlineStr">
        <is>
          <t>PR2526-03732</t>
        </is>
      </c>
      <c r="H1831" s="26" t="inlineStr">
        <is>
          <t xml:space="preserve">PO2526-05611 </t>
        </is>
      </c>
      <c r="I1831" s="365" t="n">
        <v>46030</v>
      </c>
      <c r="J1831" s="26" t="n"/>
      <c r="K1831" s="20" t="n">
        <v>120</v>
      </c>
      <c r="L1831" s="5" t="inlineStr">
        <is>
          <t>SFST82000007</t>
        </is>
      </c>
      <c r="M1831" s="29" t="inlineStr">
        <is>
          <t>Civill jobs (Floor-Wall-Celling-roof)</t>
        </is>
      </c>
      <c r="N1831" s="29" t="inlineStr">
        <is>
          <t>Cevil quipment  &amp; Part</t>
        </is>
      </c>
      <c r="O1831" s="43" t="n">
        <v>8</v>
      </c>
      <c r="P1831" s="10" t="inlineStr">
        <is>
          <t>cablehigh 12 m</t>
        </is>
      </c>
      <c r="Q1831" s="277" t="n">
        <v>1</v>
      </c>
      <c r="R1831" s="5" t="inlineStr">
        <is>
          <t>JOB.</t>
        </is>
      </c>
      <c r="S1831" s="284">
        <f>RawDataGenPO[[#This Row],[Total price]]/RawDataGenPO[[#This Row],[Qty'']]</f>
        <v/>
      </c>
      <c r="T1831" s="278" t="n">
        <v>6000</v>
      </c>
      <c r="U1831" s="291" t="n"/>
      <c r="V1831" s="29" t="inlineStr">
        <is>
          <t>V1000983 - EKARAT ENGINEERING PUBLIC COMPANY LIMITED</t>
        </is>
      </c>
      <c r="W1831" s="30" t="inlineStr">
        <is>
          <t xml:space="preserve">Waitting Supplier transportation </t>
        </is>
      </c>
      <c r="Z1831" s="23" t="n"/>
      <c r="AA1831" s="17">
        <f>IF(RawDataGenPO[[#This Row],[Date Gen PO]]="","",RawDataGenPO[[#This Row],[Date recive bill]]-RawDataGenPO[[#This Row],[Date Gen PO]])</f>
        <v/>
      </c>
      <c r="AB1831" s="16">
        <f>IF(RawDataGenPO[[#This Row],[GRN-PO date]]&gt;RawDataGenPO[[#This Row],[Lead time delivery (day)]],"over deliverry","Ontime")</f>
        <v/>
      </c>
      <c r="AC1831" s="22" t="n"/>
    </row>
    <row r="1832" ht="45" customHeight="1">
      <c r="A1832" s="5">
        <f>ROW()-ROW(RawDataGenPO[[#Headers],[No.]])</f>
        <v/>
      </c>
      <c r="B1832" s="29" t="inlineStr">
        <is>
          <t>Expent  cost</t>
        </is>
      </c>
      <c r="C1832" s="373" t="n"/>
      <c r="D1832" s="374" t="n"/>
      <c r="E1832" s="374" t="n"/>
      <c r="F1832" s="301" t="n">
        <v>46006</v>
      </c>
      <c r="G1832" s="26" t="inlineStr">
        <is>
          <t>PR2526-03732</t>
        </is>
      </c>
      <c r="H1832" s="26" t="inlineStr">
        <is>
          <t xml:space="preserve">PO2526-05611 </t>
        </is>
      </c>
      <c r="I1832" s="365" t="n">
        <v>46030</v>
      </c>
      <c r="J1832" s="26" t="n"/>
      <c r="K1832" s="20" t="n">
        <v>120</v>
      </c>
      <c r="L1832" s="5" t="inlineStr">
        <is>
          <t>SFST82000007</t>
        </is>
      </c>
      <c r="M1832" s="29" t="inlineStr">
        <is>
          <t>Civill jobs (Floor-Wall-Celling-roof)</t>
        </is>
      </c>
      <c r="N1832" s="29" t="inlineStr">
        <is>
          <t>Cevil quipment  &amp; Part</t>
        </is>
      </c>
      <c r="O1832" s="43" t="n">
        <v>9</v>
      </c>
      <c r="P1832" s="10" t="inlineStr">
        <is>
          <t>Service charge( 5 ton) andinstall
- installation work Cable Box Tr.5 size 1250kVA S/N.55111612EE</t>
        </is>
      </c>
      <c r="Q1832" s="277" t="n">
        <v>1</v>
      </c>
      <c r="R1832" s="5" t="inlineStr">
        <is>
          <t>JOB.</t>
        </is>
      </c>
      <c r="S1832" s="284">
        <f>RawDataGenPO[[#This Row],[Total price]]/RawDataGenPO[[#This Row],[Qty'']]</f>
        <v/>
      </c>
      <c r="T1832" s="278" t="n">
        <v>20000</v>
      </c>
      <c r="U1832" s="291" t="n"/>
      <c r="V1832" s="29" t="inlineStr">
        <is>
          <t>V1000983 - EKARAT ENGINEERING PUBLIC COMPANY LIMITED</t>
        </is>
      </c>
      <c r="W1832" s="30" t="inlineStr">
        <is>
          <t xml:space="preserve">Waitting Supplier transportation </t>
        </is>
      </c>
      <c r="Z1832" s="23" t="n"/>
      <c r="AA1832" s="17">
        <f>IF(RawDataGenPO[[#This Row],[Date Gen PO]]="","",RawDataGenPO[[#This Row],[Date recive bill]]-RawDataGenPO[[#This Row],[Date Gen PO]])</f>
        <v/>
      </c>
      <c r="AB1832" s="16">
        <f>IF(RawDataGenPO[[#This Row],[GRN-PO date]]&gt;RawDataGenPO[[#This Row],[Lead time delivery (day)]],"over deliverry","Ontime")</f>
        <v/>
      </c>
      <c r="AC1832" s="22" t="n"/>
    </row>
    <row r="1833" ht="15" customHeight="1">
      <c r="A1833" s="5">
        <f>ROW()-ROW(RawDataGenPO[[#Headers],[No.]])</f>
        <v/>
      </c>
      <c r="B1833" s="29" t="inlineStr">
        <is>
          <t>Expent  cost</t>
        </is>
      </c>
      <c r="C1833" s="373" t="n"/>
      <c r="D1833" s="374" t="n"/>
      <c r="E1833" s="374" t="n"/>
      <c r="F1833" s="301" t="n">
        <v>46006</v>
      </c>
      <c r="G1833" s="26" t="inlineStr">
        <is>
          <t>PR2526-03732</t>
        </is>
      </c>
      <c r="H1833" s="26" t="inlineStr">
        <is>
          <t xml:space="preserve">PO2526-05611 </t>
        </is>
      </c>
      <c r="I1833" s="365" t="n">
        <v>46030</v>
      </c>
      <c r="J1833" s="26" t="n"/>
      <c r="K1833" s="20" t="n">
        <v>120</v>
      </c>
      <c r="L1833" s="5" t="inlineStr">
        <is>
          <t>SFST82000007</t>
        </is>
      </c>
      <c r="M1833" s="29" t="inlineStr">
        <is>
          <t>Civill jobs (Floor-Wall-Celling-roof)</t>
        </is>
      </c>
      <c r="N1833" s="29" t="inlineStr">
        <is>
          <t>Cevil quipment  &amp; Part</t>
        </is>
      </c>
      <c r="O1833" s="43" t="n">
        <v>10</v>
      </c>
      <c r="P1833" s="10" t="inlineStr">
        <is>
          <t>Cable Box Type 3 (Box center)</t>
        </is>
      </c>
      <c r="Q1833" s="277" t="n">
        <v>1</v>
      </c>
      <c r="R1833" s="5" t="inlineStr">
        <is>
          <t>JOB.</t>
        </is>
      </c>
      <c r="S1833" s="284">
        <f>RawDataGenPO[[#This Row],[Total price]]/RawDataGenPO[[#This Row],[Qty'']]</f>
        <v/>
      </c>
      <c r="T1833" s="278" t="n">
        <v>45000</v>
      </c>
      <c r="U1833" s="291" t="n"/>
      <c r="V1833" s="29" t="inlineStr">
        <is>
          <t>V1000983 - EKARAT ENGINEERING PUBLIC COMPANY LIMITED</t>
        </is>
      </c>
      <c r="W1833" s="30" t="inlineStr">
        <is>
          <t xml:space="preserve">Waitting Supplier transportation </t>
        </is>
      </c>
      <c r="Z1833" s="23" t="n"/>
      <c r="AA1833" s="17">
        <f>IF(RawDataGenPO[[#This Row],[Date Gen PO]]="","",RawDataGenPO[[#This Row],[Date recive bill]]-RawDataGenPO[[#This Row],[Date Gen PO]])</f>
        <v/>
      </c>
      <c r="AB1833" s="16">
        <f>IF(RawDataGenPO[[#This Row],[GRN-PO date]]&gt;RawDataGenPO[[#This Row],[Lead time delivery (day)]],"over deliverry","Ontime")</f>
        <v/>
      </c>
      <c r="AC1833" s="22" t="n"/>
    </row>
    <row r="1834" ht="15" customHeight="1">
      <c r="A1834" s="5">
        <f>ROW()-ROW(RawDataGenPO[[#Headers],[No.]])</f>
        <v/>
      </c>
      <c r="B1834" s="29" t="inlineStr">
        <is>
          <t>Expent  cost</t>
        </is>
      </c>
      <c r="C1834" s="373" t="n"/>
      <c r="D1834" s="374" t="n"/>
      <c r="E1834" s="374" t="n"/>
      <c r="F1834" s="301" t="n">
        <v>46006</v>
      </c>
      <c r="G1834" s="26" t="inlineStr">
        <is>
          <t>PR2526-03732</t>
        </is>
      </c>
      <c r="H1834" s="26" t="inlineStr">
        <is>
          <t xml:space="preserve">PO2526-05611 </t>
        </is>
      </c>
      <c r="I1834" s="365" t="n">
        <v>46030</v>
      </c>
      <c r="J1834" s="26" t="n"/>
      <c r="K1834" s="20" t="n">
        <v>120</v>
      </c>
      <c r="L1834" s="5" t="inlineStr">
        <is>
          <t>SFST82000007</t>
        </is>
      </c>
      <c r="M1834" s="29" t="inlineStr">
        <is>
          <t>Civill jobs (Floor-Wall-Celling-roof)</t>
        </is>
      </c>
      <c r="N1834" s="29" t="inlineStr">
        <is>
          <t>Cevil quipment  &amp; Part</t>
        </is>
      </c>
      <c r="O1834" s="43" t="n">
        <v>11</v>
      </c>
      <c r="P1834" s="10" t="inlineStr">
        <is>
          <t>cablehigh 12 m</t>
        </is>
      </c>
      <c r="Q1834" s="277" t="n">
        <v>1</v>
      </c>
      <c r="R1834" s="5" t="inlineStr">
        <is>
          <t>JOB.</t>
        </is>
      </c>
      <c r="S1834" s="284">
        <f>RawDataGenPO[[#This Row],[Total price]]/RawDataGenPO[[#This Row],[Qty'']]</f>
        <v/>
      </c>
      <c r="T1834" s="278" t="n">
        <v>6000</v>
      </c>
      <c r="U1834" s="291" t="n"/>
      <c r="V1834" s="29" t="inlineStr">
        <is>
          <t>V1000983 - EKARAT ENGINEERING PUBLIC COMPANY LIMITED</t>
        </is>
      </c>
      <c r="W1834" s="30" t="inlineStr">
        <is>
          <t xml:space="preserve">Waitting Supplier transportation </t>
        </is>
      </c>
      <c r="Z1834" s="23" t="n"/>
      <c r="AA1834" s="17">
        <f>IF(RawDataGenPO[[#This Row],[Date Gen PO]]="","",RawDataGenPO[[#This Row],[Date recive bill]]-RawDataGenPO[[#This Row],[Date Gen PO]])</f>
        <v/>
      </c>
      <c r="AB1834" s="16">
        <f>IF(RawDataGenPO[[#This Row],[GRN-PO date]]&gt;RawDataGenPO[[#This Row],[Lead time delivery (day)]],"over deliverry","Ontime")</f>
        <v/>
      </c>
      <c r="AC1834" s="22" t="n"/>
    </row>
    <row r="1835" ht="15" customHeight="1">
      <c r="A1835" s="5">
        <f>ROW()-ROW(RawDataGenPO[[#Headers],[No.]])</f>
        <v/>
      </c>
      <c r="B1835" s="29" t="inlineStr">
        <is>
          <t>Expent  cost</t>
        </is>
      </c>
      <c r="C1835" s="373" t="n"/>
      <c r="D1835" s="374" t="n"/>
      <c r="E1835" s="374" t="n"/>
      <c r="F1835" s="301" t="n">
        <v>46006</v>
      </c>
      <c r="G1835" s="26" t="inlineStr">
        <is>
          <t>PR2526-03732</t>
        </is>
      </c>
      <c r="H1835" s="26" t="inlineStr">
        <is>
          <t xml:space="preserve">PO2526-05611 </t>
        </is>
      </c>
      <c r="I1835" s="365" t="n">
        <v>46030</v>
      </c>
      <c r="J1835" s="26" t="n"/>
      <c r="K1835" s="20" t="n">
        <v>120</v>
      </c>
      <c r="L1835" s="5" t="inlineStr">
        <is>
          <t>SFST82000007</t>
        </is>
      </c>
      <c r="M1835" s="29" t="inlineStr">
        <is>
          <t>Civill jobs (Floor-Wall-Celling-roof)</t>
        </is>
      </c>
      <c r="N1835" s="29" t="inlineStr">
        <is>
          <t>Cevil quipment  &amp; Part</t>
        </is>
      </c>
      <c r="O1835" s="43" t="n">
        <v>12</v>
      </c>
      <c r="P1835" s="10" t="inlineStr">
        <is>
          <t>Service charge( 5 pcs) andinstall</t>
        </is>
      </c>
      <c r="Q1835" s="277" t="n">
        <v>1</v>
      </c>
      <c r="R1835" s="5" t="inlineStr">
        <is>
          <t>JOB.</t>
        </is>
      </c>
      <c r="S1835" s="284">
        <f>RawDataGenPO[[#This Row],[Total price]]/RawDataGenPO[[#This Row],[Qty'']]</f>
        <v/>
      </c>
      <c r="T1835" s="278" t="n">
        <v>26000</v>
      </c>
      <c r="U1835" s="291" t="n"/>
      <c r="V1835" s="29" t="inlineStr">
        <is>
          <t>V1000983 - EKARAT ENGINEERING PUBLIC COMPANY LIMITED</t>
        </is>
      </c>
      <c r="W1835" s="30" t="inlineStr">
        <is>
          <t xml:space="preserve">Waitting Supplier transportation </t>
        </is>
      </c>
      <c r="Z1835" s="23" t="n"/>
      <c r="AA1835" s="17">
        <f>IF(RawDataGenPO[[#This Row],[Date Gen PO]]="","",RawDataGenPO[[#This Row],[Date recive bill]]-RawDataGenPO[[#This Row],[Date Gen PO]])</f>
        <v/>
      </c>
      <c r="AB1835" s="16">
        <f>IF(RawDataGenPO[[#This Row],[GRN-PO date]]&gt;RawDataGenPO[[#This Row],[Lead time delivery (day)]],"over deliverry","Ontime")</f>
        <v/>
      </c>
      <c r="AC1835" s="22" t="n"/>
    </row>
    <row r="1836" ht="45" customHeight="1">
      <c r="A1836" s="5">
        <f>ROW()-ROW(RawDataGenPO[[#Headers],[No.]])</f>
        <v/>
      </c>
      <c r="B1836" s="29" t="inlineStr">
        <is>
          <t>Expent  cost</t>
        </is>
      </c>
      <c r="C1836" s="373" t="n"/>
      <c r="D1836" s="374" t="n"/>
      <c r="E1836" s="374" t="n"/>
      <c r="F1836" s="301" t="n">
        <v>46007</v>
      </c>
      <c r="G1836" s="5" t="inlineStr">
        <is>
          <t>PR2526-03764</t>
        </is>
      </c>
      <c r="H1836" s="48" t="inlineStr">
        <is>
          <t>PO2526-05360</t>
        </is>
      </c>
      <c r="I1836" s="286" t="n">
        <v>46015</v>
      </c>
      <c r="J1836" s="26" t="n"/>
      <c r="K1836" s="20" t="n">
        <v>60</v>
      </c>
      <c r="L1836" s="5" t="inlineStr">
        <is>
          <t>SFST81000048</t>
        </is>
      </c>
      <c r="M1836" s="7" t="inlineStr">
        <is>
          <t>PD Machine</t>
        </is>
      </c>
      <c r="N1836" s="7" t="inlineStr">
        <is>
          <t>Bowl Cutter (Chopper) No.1</t>
        </is>
      </c>
      <c r="O1836" s="11" t="n">
        <v>1</v>
      </c>
      <c r="P1836" s="10" t="inlineStr">
        <is>
          <t>Part no.
Spare parts for repairing the unloader motor Reparing the motor drive shaft, Bearing, Sealing</t>
        </is>
      </c>
      <c r="Q1836" s="277" t="n">
        <v>1</v>
      </c>
      <c r="R1836" s="5" t="inlineStr">
        <is>
          <t>JOB.</t>
        </is>
      </c>
      <c r="S1836" s="284">
        <f>RawDataGenPO[[#This Row],[Total price]]/RawDataGenPO[[#This Row],[Qty'']]</f>
        <v/>
      </c>
      <c r="T1836" s="278" t="n">
        <v>6000</v>
      </c>
      <c r="U1836" s="291" t="n"/>
      <c r="V1836" s="47" t="inlineStr">
        <is>
          <t>V1000189 - FPT FOOD PROCESS TECHNOLOGY CO., LTD.</t>
        </is>
      </c>
      <c r="W1836" s="30" t="inlineStr">
        <is>
          <t>Recive bill and GRN already</t>
        </is>
      </c>
      <c r="X1836" s="5" t="inlineStr">
        <is>
          <t>GRN2526-0006763</t>
        </is>
      </c>
      <c r="Y1836" s="3" t="n">
        <v>46030</v>
      </c>
      <c r="Z1836" s="23" t="n"/>
      <c r="AA1836" s="17">
        <f>IF(RawDataGenPO[[#This Row],[Date Gen PO]]="","",RawDataGenPO[[#This Row],[Date recive bill]]-RawDataGenPO[[#This Row],[Date Gen PO]])</f>
        <v/>
      </c>
      <c r="AB1836" s="16">
        <f>IF(RawDataGenPO[[#This Row],[GRN-PO date]]&gt;RawDataGenPO[[#This Row],[Lead time delivery (day)]],"over deliverry","Ontime")</f>
        <v/>
      </c>
      <c r="AC1836" s="22" t="n"/>
    </row>
    <row r="1837">
      <c r="A1837" s="5">
        <f>ROW()-ROW(RawDataGenPO[[#Headers],[No.]])</f>
        <v/>
      </c>
      <c r="B1837" s="29" t="inlineStr">
        <is>
          <t>Expent  cost</t>
        </is>
      </c>
      <c r="C1837" s="373" t="n"/>
      <c r="D1837" s="374" t="n"/>
      <c r="E1837" s="374" t="n"/>
      <c r="F1837" s="301" t="n">
        <v>46007</v>
      </c>
      <c r="G1837" s="5" t="inlineStr">
        <is>
          <t>PR2526-03764</t>
        </is>
      </c>
      <c r="H1837" s="48" t="inlineStr">
        <is>
          <t>PO2526-05360</t>
        </is>
      </c>
      <c r="I1837" s="286" t="n">
        <v>46015</v>
      </c>
      <c r="J1837" s="26" t="n"/>
      <c r="K1837" s="20" t="n">
        <v>60</v>
      </c>
      <c r="L1837" s="5" t="inlineStr">
        <is>
          <t>SFST81000048</t>
        </is>
      </c>
      <c r="M1837" s="7" t="inlineStr">
        <is>
          <t>PD Machine</t>
        </is>
      </c>
      <c r="N1837" s="7" t="inlineStr">
        <is>
          <t>Bowl Cutter (Chopper) No.1</t>
        </is>
      </c>
      <c r="O1837" s="11" t="n">
        <v>2</v>
      </c>
      <c r="P1837" s="10" t="inlineStr">
        <is>
          <t>Service charge</t>
        </is>
      </c>
      <c r="Q1837" s="277" t="n">
        <v>2</v>
      </c>
      <c r="R1837" s="5" t="inlineStr">
        <is>
          <t>JOB.</t>
        </is>
      </c>
      <c r="S1837" s="284">
        <f>RawDataGenPO[[#This Row],[Total price]]/RawDataGenPO[[#This Row],[Qty'']]</f>
        <v/>
      </c>
      <c r="T1837" s="278" t="n">
        <v>5900</v>
      </c>
      <c r="U1837" s="291" t="n"/>
      <c r="V1837" s="47" t="inlineStr">
        <is>
          <t>V1000189 - FPT FOOD PROCESS TECHNOLOGY CO., LTD.</t>
        </is>
      </c>
      <c r="W1837" s="30" t="inlineStr">
        <is>
          <t>Recive bill and GRN already</t>
        </is>
      </c>
      <c r="X1837" s="5" t="inlineStr">
        <is>
          <t>GRN2526-0006764</t>
        </is>
      </c>
      <c r="Y1837" s="3" t="n">
        <v>46030</v>
      </c>
      <c r="Z1837" s="23" t="n"/>
      <c r="AA1837" s="17">
        <f>IF(RawDataGenPO[[#This Row],[Date Gen PO]]="","",RawDataGenPO[[#This Row],[Date recive bill]]-RawDataGenPO[[#This Row],[Date Gen PO]])</f>
        <v/>
      </c>
      <c r="AB1837" s="16">
        <f>IF(RawDataGenPO[[#This Row],[GRN-PO date]]&gt;RawDataGenPO[[#This Row],[Lead time delivery (day)]],"over deliverry","Ontime")</f>
        <v/>
      </c>
      <c r="AC1837" s="22" t="n"/>
    </row>
    <row r="1838">
      <c r="A1838" s="5">
        <f>ROW()-ROW(RawDataGenPO[[#Headers],[No.]])</f>
        <v/>
      </c>
      <c r="B1838" s="29" t="inlineStr">
        <is>
          <t>Expent  cost</t>
        </is>
      </c>
      <c r="C1838" s="373" t="n"/>
      <c r="D1838" s="374" t="n"/>
      <c r="E1838" s="374" t="n"/>
      <c r="F1838" s="301" t="n">
        <v>46009</v>
      </c>
      <c r="G1838" s="281" t="inlineStr">
        <is>
          <t>PR2526-03833</t>
        </is>
      </c>
      <c r="H1838" s="46" t="inlineStr">
        <is>
          <t>PO2526-05363</t>
        </is>
      </c>
      <c r="I1838" s="286" t="n">
        <v>46015</v>
      </c>
      <c r="J1838" s="26" t="n"/>
      <c r="K1838" s="20" t="n">
        <v>60</v>
      </c>
      <c r="L1838" s="5" t="inlineStr">
        <is>
          <t>SFST81000078</t>
        </is>
      </c>
      <c r="M1838" s="29" t="inlineStr">
        <is>
          <t>Civill jobs (Floor-Wall-Celling-roof)</t>
        </is>
      </c>
      <c r="N1838" s="29" t="inlineStr">
        <is>
          <t>Cevil quipment  &amp; Part</t>
        </is>
      </c>
      <c r="O1838" s="11" t="n">
        <v>1</v>
      </c>
      <c r="P1838" s="10" t="inlineStr">
        <is>
          <t>Clean the softener tank with a volume of 75 m³</t>
        </is>
      </c>
      <c r="Q1838" s="277" t="n">
        <v>1</v>
      </c>
      <c r="R1838" s="5" t="inlineStr">
        <is>
          <t>JOB.</t>
        </is>
      </c>
      <c r="S1838" s="284">
        <f>RawDataGenPO[[#This Row],[Total price]]/RawDataGenPO[[#This Row],[Qty'']]</f>
        <v/>
      </c>
      <c r="T1838" s="278" t="n">
        <v>10000</v>
      </c>
      <c r="U1838" s="291" t="n"/>
      <c r="V1838" s="7" t="inlineStr">
        <is>
          <t>V1000799 - LALIN CLEAN TECH CO., LTD.</t>
        </is>
      </c>
      <c r="W1838" s="30" t="inlineStr">
        <is>
          <t>Recive bill and GRN already</t>
        </is>
      </c>
      <c r="X1838" s="5" t="inlineStr">
        <is>
          <t>GRN2526-0007356</t>
        </is>
      </c>
      <c r="Y1838" s="3" t="n">
        <v>46045</v>
      </c>
      <c r="Z1838" s="23" t="n"/>
      <c r="AA1838" s="17">
        <f>IF(RawDataGenPO[[#This Row],[Date Gen PO]]="","",RawDataGenPO[[#This Row],[Date recive bill]]-RawDataGenPO[[#This Row],[Date Gen PO]])</f>
        <v/>
      </c>
      <c r="AB1838" s="16">
        <f>IF(RawDataGenPO[[#This Row],[GRN-PO date]]&gt;RawDataGenPO[[#This Row],[Lead time delivery (day)]],"over deliverry","Ontime")</f>
        <v/>
      </c>
      <c r="AC1838" s="22" t="n"/>
    </row>
    <row r="1839">
      <c r="A1839" s="5">
        <f>ROW()-ROW(RawDataGenPO[[#Headers],[No.]])</f>
        <v/>
      </c>
      <c r="B1839" s="29" t="inlineStr">
        <is>
          <t>Expent  cost</t>
        </is>
      </c>
      <c r="C1839" s="373" t="n"/>
      <c r="D1839" s="374" t="n"/>
      <c r="E1839" s="374" t="n"/>
      <c r="F1839" s="301" t="n">
        <v>46009</v>
      </c>
      <c r="G1839" s="281" t="inlineStr">
        <is>
          <t>PR2526-03833</t>
        </is>
      </c>
      <c r="H1839" s="46" t="inlineStr">
        <is>
          <t>PO2526-05363</t>
        </is>
      </c>
      <c r="I1839" s="286" t="n">
        <v>46015</v>
      </c>
      <c r="J1839" s="26" t="n"/>
      <c r="K1839" s="20" t="n">
        <v>60</v>
      </c>
      <c r="L1839" s="5" t="inlineStr">
        <is>
          <t>SFST81000078</t>
        </is>
      </c>
      <c r="M1839" s="29" t="inlineStr">
        <is>
          <t>Civill jobs (Floor-Wall-Celling-roof)</t>
        </is>
      </c>
      <c r="N1839" s="29" t="inlineStr">
        <is>
          <t>Cevil quipment  &amp; Part</t>
        </is>
      </c>
      <c r="O1839" s="11" t="n">
        <v>2</v>
      </c>
      <c r="P1839" s="10" t="inlineStr">
        <is>
          <t>Clean the softener tank with a volume of 300 m³</t>
        </is>
      </c>
      <c r="Q1839" s="277" t="n">
        <v>1</v>
      </c>
      <c r="R1839" s="5" t="inlineStr">
        <is>
          <t>JOB.</t>
        </is>
      </c>
      <c r="S1839" s="284">
        <f>RawDataGenPO[[#This Row],[Total price]]/RawDataGenPO[[#This Row],[Qty'']]</f>
        <v/>
      </c>
      <c r="T1839" s="278" t="n">
        <v>15000</v>
      </c>
      <c r="U1839" s="291" t="n"/>
      <c r="V1839" s="7" t="inlineStr">
        <is>
          <t>V1000799 - LALIN CLEAN TECH CO., LTD.</t>
        </is>
      </c>
      <c r="W1839" s="30" t="inlineStr">
        <is>
          <t>Recive bill and GRN already</t>
        </is>
      </c>
      <c r="X1839" s="5" t="inlineStr">
        <is>
          <t>GRN2526-0007356</t>
        </is>
      </c>
      <c r="Y1839" s="3" t="n">
        <v>46045</v>
      </c>
      <c r="Z1839" s="23" t="n"/>
      <c r="AA1839" s="17">
        <f>IF(RawDataGenPO[[#This Row],[Date Gen PO]]="","",RawDataGenPO[[#This Row],[Date recive bill]]-RawDataGenPO[[#This Row],[Date Gen PO]])</f>
        <v/>
      </c>
      <c r="AB1839" s="16">
        <f>IF(RawDataGenPO[[#This Row],[GRN-PO date]]&gt;RawDataGenPO[[#This Row],[Lead time delivery (day)]],"over deliverry","Ontime")</f>
        <v/>
      </c>
      <c r="AC1839" s="22" t="n"/>
    </row>
    <row r="1840">
      <c r="A1840" s="5">
        <f>ROW()-ROW(RawDataGenPO[[#Headers],[No.]])</f>
        <v/>
      </c>
      <c r="B1840" s="29" t="inlineStr">
        <is>
          <t>Expent  cost</t>
        </is>
      </c>
      <c r="C1840" s="373" t="n"/>
      <c r="D1840" s="374" t="n"/>
      <c r="E1840" s="374" t="n"/>
      <c r="F1840" s="301" t="n">
        <v>46009</v>
      </c>
      <c r="G1840" s="281" t="inlineStr">
        <is>
          <t>PR2526-03833</t>
        </is>
      </c>
      <c r="H1840" s="46" t="inlineStr">
        <is>
          <t>PO2526-05363</t>
        </is>
      </c>
      <c r="I1840" s="286" t="n">
        <v>46015</v>
      </c>
      <c r="J1840" s="26" t="n"/>
      <c r="K1840" s="20" t="n">
        <v>60</v>
      </c>
      <c r="L1840" s="5" t="inlineStr">
        <is>
          <t>SFST81000078</t>
        </is>
      </c>
      <c r="M1840" s="29" t="inlineStr">
        <is>
          <t>Civill jobs (Floor-Wall-Celling-roof)</t>
        </is>
      </c>
      <c r="N1840" s="29" t="inlineStr">
        <is>
          <t>Cevil quipment  &amp; Part</t>
        </is>
      </c>
      <c r="O1840" s="11" t="n">
        <v>3</v>
      </c>
      <c r="P1840" s="10" t="inlineStr">
        <is>
          <t>Clean the softener tank with a volume of 50 m³ (Champagne tank)</t>
        </is>
      </c>
      <c r="Q1840" s="277" t="n">
        <v>1</v>
      </c>
      <c r="R1840" s="5" t="inlineStr">
        <is>
          <t>JOB.</t>
        </is>
      </c>
      <c r="S1840" s="284">
        <f>RawDataGenPO[[#This Row],[Total price]]/RawDataGenPO[[#This Row],[Qty'']]</f>
        <v/>
      </c>
      <c r="T1840" s="278" t="n">
        <v>15000</v>
      </c>
      <c r="U1840" s="291" t="n"/>
      <c r="V1840" s="7" t="inlineStr">
        <is>
          <t>V1000799 - LALIN CLEAN TECH CO., LTD.</t>
        </is>
      </c>
      <c r="W1840" s="30" t="inlineStr">
        <is>
          <t>Recive bill and GRN already</t>
        </is>
      </c>
      <c r="X1840" s="5" t="inlineStr">
        <is>
          <t>GRN2526-0007356</t>
        </is>
      </c>
      <c r="Y1840" s="3" t="n">
        <v>46045</v>
      </c>
      <c r="Z1840" s="23" t="n"/>
      <c r="AA1840" s="17">
        <f>IF(RawDataGenPO[[#This Row],[Date Gen PO]]="","",RawDataGenPO[[#This Row],[Date recive bill]]-RawDataGenPO[[#This Row],[Date Gen PO]])</f>
        <v/>
      </c>
      <c r="AB1840" s="16">
        <f>IF(RawDataGenPO[[#This Row],[GRN-PO date]]&gt;RawDataGenPO[[#This Row],[Lead time delivery (day)]],"over deliverry","Ontime")</f>
        <v/>
      </c>
      <c r="AC1840" s="22" t="n"/>
    </row>
    <row r="1841">
      <c r="A1841" s="5">
        <f>ROW()-ROW(RawDataGenPO[[#Headers],[No.]])</f>
        <v/>
      </c>
      <c r="B1841" s="29" t="inlineStr">
        <is>
          <t>Expent  cost</t>
        </is>
      </c>
      <c r="C1841" s="373" t="n"/>
      <c r="D1841" s="374" t="n"/>
      <c r="E1841" s="374" t="n"/>
      <c r="F1841" s="301" t="n">
        <v>46009</v>
      </c>
      <c r="G1841" s="281" t="inlineStr">
        <is>
          <t>PR2526-03833</t>
        </is>
      </c>
      <c r="H1841" s="46" t="inlineStr">
        <is>
          <t>PO2526-05363</t>
        </is>
      </c>
      <c r="I1841" s="286" t="n">
        <v>46015</v>
      </c>
      <c r="J1841" s="26" t="n"/>
      <c r="K1841" s="20" t="n">
        <v>60</v>
      </c>
      <c r="L1841" s="5" t="inlineStr">
        <is>
          <t>SFST81000078</t>
        </is>
      </c>
      <c r="M1841" s="29" t="inlineStr">
        <is>
          <t>Civill jobs (Floor-Wall-Celling-roof)</t>
        </is>
      </c>
      <c r="N1841" s="29" t="inlineStr">
        <is>
          <t>Cevil quipment  &amp; Part</t>
        </is>
      </c>
      <c r="O1841" s="11" t="n">
        <v>4</v>
      </c>
      <c r="P1841" s="10" t="inlineStr">
        <is>
          <t>Repair and replace the damaged existing water pipe.</t>
        </is>
      </c>
      <c r="Q1841" s="277" t="n">
        <v>1</v>
      </c>
      <c r="R1841" s="5" t="inlineStr">
        <is>
          <t>JOB.</t>
        </is>
      </c>
      <c r="S1841" s="284">
        <f>RawDataGenPO[[#This Row],[Total price]]/RawDataGenPO[[#This Row],[Qty'']]</f>
        <v/>
      </c>
      <c r="T1841" s="278" t="n">
        <v>7000</v>
      </c>
      <c r="U1841" s="291" t="n"/>
      <c r="V1841" s="7" t="inlineStr">
        <is>
          <t>V1000799 - LALIN CLEAN TECH CO., LTD.</t>
        </is>
      </c>
      <c r="W1841" s="30" t="inlineStr">
        <is>
          <t>Recive bill and GRN already</t>
        </is>
      </c>
      <c r="X1841" s="5" t="inlineStr">
        <is>
          <t>GRN2526-0007356</t>
        </is>
      </c>
      <c r="Y1841" s="3" t="n">
        <v>46045</v>
      </c>
      <c r="Z1841" s="23" t="n"/>
      <c r="AA1841" s="17">
        <f>IF(RawDataGenPO[[#This Row],[Date Gen PO]]="","",RawDataGenPO[[#This Row],[Date recive bill]]-RawDataGenPO[[#This Row],[Date Gen PO]])</f>
        <v/>
      </c>
      <c r="AB1841" s="16">
        <f>IF(RawDataGenPO[[#This Row],[GRN-PO date]]&gt;RawDataGenPO[[#This Row],[Lead time delivery (day)]],"over deliverry","Ontime")</f>
        <v/>
      </c>
      <c r="AC1841" s="22" t="n"/>
    </row>
    <row r="1842" ht="30" customHeight="1">
      <c r="A1842" s="5">
        <f>ROW()-ROW(RawDataGenPO[[#Headers],[No.]])</f>
        <v/>
      </c>
      <c r="B1842" s="29" t="inlineStr">
        <is>
          <t>Expent  cost</t>
        </is>
      </c>
      <c r="C1842" s="373" t="n"/>
      <c r="D1842" s="374" t="n"/>
      <c r="E1842" s="374" t="n"/>
      <c r="F1842" s="301" t="n">
        <v>46009</v>
      </c>
      <c r="G1842" s="5" t="inlineStr">
        <is>
          <t>PR2526-03835</t>
        </is>
      </c>
      <c r="H1842" s="5" t="inlineStr">
        <is>
          <t>PO2526-05573</t>
        </is>
      </c>
      <c r="I1842" s="286" t="n">
        <v>46028</v>
      </c>
      <c r="J1842" s="26" t="n"/>
      <c r="K1842" s="20" t="n">
        <v>120</v>
      </c>
      <c r="L1842" s="5" t="inlineStr">
        <is>
          <t>SFST81000050</t>
        </is>
      </c>
      <c r="M1842" s="7" t="inlineStr">
        <is>
          <t>Tool and Equipment  Engineering</t>
        </is>
      </c>
      <c r="N1842" s="7" t="inlineStr">
        <is>
          <t>Tool and Equipment</t>
        </is>
      </c>
      <c r="O1842" s="11" t="n">
        <v>1</v>
      </c>
      <c r="P1842" s="10" t="inlineStr">
        <is>
          <t>classWW classpackW (typeW)
93x35x200 Cm.</t>
        </is>
      </c>
      <c r="Q1842" s="277" t="n">
        <v>4</v>
      </c>
      <c r="R1842" s="5" t="inlineStr">
        <is>
          <t>Unit</t>
        </is>
      </c>
      <c r="S1842" s="284">
        <f>RawDataGenPO[[#This Row],[Total price]]/RawDataGenPO[[#This Row],[Qty'']]</f>
        <v/>
      </c>
      <c r="T1842" s="278" t="n">
        <v>10093.46</v>
      </c>
      <c r="U1842" s="291" t="n"/>
      <c r="V1842" s="7" t="inlineStr">
        <is>
          <t>V1000982 - JSB TRADING COMPANY LIMITED</t>
        </is>
      </c>
      <c r="W1842" s="30" t="inlineStr">
        <is>
          <t>Recive bill and GRN already</t>
        </is>
      </c>
      <c r="X1842" s="5" t="inlineStr">
        <is>
          <t>GRN2526-0007699</t>
        </is>
      </c>
      <c r="Y1842" s="3" t="n">
        <v>46056</v>
      </c>
      <c r="Z1842" s="23" t="n"/>
      <c r="AA1842" s="17">
        <f>IF(RawDataGenPO[[#This Row],[Date Gen PO]]="","",RawDataGenPO[[#This Row],[Date recive bill]]-RawDataGenPO[[#This Row],[Date Gen PO]])</f>
        <v/>
      </c>
      <c r="AB1842" s="16">
        <f>IF(RawDataGenPO[[#This Row],[GRN-PO date]]&gt;RawDataGenPO[[#This Row],[Lead time delivery (day)]],"over deliverry","Ontime")</f>
        <v/>
      </c>
      <c r="AC1842" s="22" t="n"/>
    </row>
    <row r="1843" ht="15" customHeight="1">
      <c r="A1843" s="5">
        <f>ROW()-ROW(RawDataGenPO[[#Headers],[No.]])</f>
        <v/>
      </c>
      <c r="B1843" s="29" t="inlineStr">
        <is>
          <t>Expent  cost</t>
        </is>
      </c>
      <c r="C1843" s="373" t="n"/>
      <c r="D1843" s="374" t="n"/>
      <c r="E1843" s="374" t="n"/>
      <c r="F1843" s="301" t="n">
        <v>46009</v>
      </c>
      <c r="G1843" s="5" t="inlineStr">
        <is>
          <t>PR2526-03835</t>
        </is>
      </c>
      <c r="H1843" s="5" t="inlineStr">
        <is>
          <t>PO2526-05573</t>
        </is>
      </c>
      <c r="I1843" s="286" t="n">
        <v>46028</v>
      </c>
      <c r="J1843" s="26" t="n"/>
      <c r="K1843" s="20" t="n">
        <v>120</v>
      </c>
      <c r="L1843" s="5" t="inlineStr">
        <is>
          <t>SFST81000050</t>
        </is>
      </c>
      <c r="M1843" s="7" t="inlineStr">
        <is>
          <t>Tool and Equipment  Engineering</t>
        </is>
      </c>
      <c r="N1843" s="7" t="inlineStr">
        <is>
          <t>Tool and Equipment</t>
        </is>
      </c>
      <c r="O1843" s="11" t="n">
        <v>2</v>
      </c>
      <c r="P1843" s="10" t="inlineStr">
        <is>
          <t>pcsclasspack+ m (mpcsclass) black</t>
        </is>
      </c>
      <c r="Q1843" s="277" t="n">
        <v>8</v>
      </c>
      <c r="R1843" s="5" t="inlineStr">
        <is>
          <t>PCS.</t>
        </is>
      </c>
      <c r="S1843" s="284">
        <f>RawDataGenPO[[#This Row],[Total price]]/RawDataGenPO[[#This Row],[Qty'']]</f>
        <v/>
      </c>
      <c r="T1843" s="278" t="n">
        <v>2990.65</v>
      </c>
      <c r="U1843" s="291" t="n"/>
      <c r="V1843" s="7" t="inlineStr">
        <is>
          <t>V1000982 - JSB TRADING COMPANY LIMITED</t>
        </is>
      </c>
      <c r="W1843" s="30" t="inlineStr">
        <is>
          <t>Recive bill and GRN already</t>
        </is>
      </c>
      <c r="X1843" s="5" t="inlineStr">
        <is>
          <t>GRN2526-0007699</t>
        </is>
      </c>
      <c r="Y1843" s="3" t="n">
        <v>46056</v>
      </c>
      <c r="Z1843" s="23" t="n"/>
      <c r="AA1843" s="17">
        <f>IF(RawDataGenPO[[#This Row],[Date Gen PO]]="","",RawDataGenPO[[#This Row],[Date recive bill]]-RawDataGenPO[[#This Row],[Date Gen PO]])</f>
        <v/>
      </c>
      <c r="AB1843" s="16">
        <f>IF(RawDataGenPO[[#This Row],[GRN-PO date]]&gt;RawDataGenPO[[#This Row],[Lead time delivery (day)]],"over deliverry","Ontime")</f>
        <v/>
      </c>
      <c r="AC1843" s="22" t="n"/>
    </row>
    <row r="1844" ht="15" customHeight="1">
      <c r="A1844" s="5">
        <f>ROW()-ROW(RawDataGenPO[[#Headers],[No.]])</f>
        <v/>
      </c>
      <c r="B1844" s="29" t="inlineStr">
        <is>
          <t>Expent  cost</t>
        </is>
      </c>
      <c r="C1844" s="373" t="n"/>
      <c r="D1844" s="374" t="n"/>
      <c r="E1844" s="374" t="n"/>
      <c r="F1844" s="301" t="n">
        <v>46009</v>
      </c>
      <c r="G1844" s="5" t="inlineStr">
        <is>
          <t>PR2526-03837</t>
        </is>
      </c>
      <c r="H1844" s="5" t="inlineStr">
        <is>
          <t>PO2526-05361</t>
        </is>
      </c>
      <c r="I1844" s="286" t="n">
        <v>46027</v>
      </c>
      <c r="J1844" s="26" t="n"/>
      <c r="K1844" s="20" t="n">
        <v>30</v>
      </c>
      <c r="L1844" s="5" t="inlineStr">
        <is>
          <t>SFST34000063</t>
        </is>
      </c>
      <c r="M1844" s="7" t="inlineStr">
        <is>
          <t>Consumable part for MN</t>
        </is>
      </c>
      <c r="N1844" s="7" t="inlineStr">
        <is>
          <t>Consumable part</t>
        </is>
      </c>
      <c r="O1844" s="11" t="n">
        <v>1</v>
      </c>
      <c r="P1844" s="10" t="inlineStr">
        <is>
          <t>"Ruamthong", RT465-3/4HP,380V ,50Hz, 3PH , Motor fan</t>
        </is>
      </c>
      <c r="Q1844" s="277" t="n">
        <v>2</v>
      </c>
      <c r="R1844" s="5" t="inlineStr">
        <is>
          <t>Unit</t>
        </is>
      </c>
      <c r="S1844" s="284">
        <f>RawDataGenPO[[#This Row],[Total price]]/RawDataGenPO[[#This Row],[Qty'']]</f>
        <v/>
      </c>
      <c r="T1844" s="278" t="n">
        <v>8411.219999999999</v>
      </c>
      <c r="U1844" s="291" t="n"/>
      <c r="V1844" s="7" t="inlineStr">
        <is>
          <t>V1000308 - PLUG'N GO (THAILAND) CO., LTD.</t>
        </is>
      </c>
      <c r="W1844" s="30" t="inlineStr">
        <is>
          <t>Recive bill and GRN already</t>
        </is>
      </c>
      <c r="X1844" s="5" t="inlineStr">
        <is>
          <t>GRN2526-0006917</t>
        </is>
      </c>
      <c r="Y1844" s="3" t="n">
        <v>46035</v>
      </c>
      <c r="Z1844" s="23" t="n"/>
      <c r="AA1844" s="17">
        <f>IF(RawDataGenPO[[#This Row],[Date Gen PO]]="","",RawDataGenPO[[#This Row],[Date recive bill]]-RawDataGenPO[[#This Row],[Date Gen PO]])</f>
        <v/>
      </c>
      <c r="AB1844" s="16">
        <f>IF(RawDataGenPO[[#This Row],[GRN-PO date]]&gt;RawDataGenPO[[#This Row],[Lead time delivery (day)]],"over deliverry","Ontime")</f>
        <v/>
      </c>
      <c r="AC1844" s="22" t="n"/>
    </row>
    <row r="1845" ht="15" customHeight="1">
      <c r="A1845" s="5">
        <f>ROW()-ROW(RawDataGenPO[[#Headers],[No.]])</f>
        <v/>
      </c>
      <c r="B1845" s="29" t="inlineStr">
        <is>
          <t>Expent  cost</t>
        </is>
      </c>
      <c r="C1845" s="373" t="n"/>
      <c r="D1845" s="374" t="n"/>
      <c r="E1845" s="374" t="n"/>
      <c r="F1845" s="301" t="n">
        <v>46009</v>
      </c>
      <c r="G1845" s="5" t="inlineStr">
        <is>
          <t>PR2526-03837</t>
        </is>
      </c>
      <c r="H1845" s="5" t="inlineStr">
        <is>
          <t>PO2526-05361</t>
        </is>
      </c>
      <c r="I1845" s="286" t="n">
        <v>46027</v>
      </c>
      <c r="J1845" s="26" t="n"/>
      <c r="K1845" s="20" t="n">
        <v>30</v>
      </c>
      <c r="L1845" s="5" t="inlineStr">
        <is>
          <t>SFST34000064</t>
        </is>
      </c>
      <c r="M1845" s="7" t="inlineStr">
        <is>
          <t>Consumable part for MN</t>
        </is>
      </c>
      <c r="N1845" s="7" t="inlineStr">
        <is>
          <t>Consumable part</t>
        </is>
      </c>
      <c r="O1845" s="11" t="n">
        <v>2</v>
      </c>
      <c r="P1845" s="10" t="inlineStr">
        <is>
          <t>"Ruamthong", RT490-61-24, 380V, 3PH , 1HP, Motor fan</t>
        </is>
      </c>
      <c r="Q1845" s="277" t="n">
        <v>4</v>
      </c>
      <c r="R1845" s="5" t="inlineStr">
        <is>
          <t>Unit</t>
        </is>
      </c>
      <c r="S1845" s="284">
        <f>RawDataGenPO[[#This Row],[Total price]]/RawDataGenPO[[#This Row],[Qty'']]</f>
        <v/>
      </c>
      <c r="T1845" s="278" t="n">
        <v>19065.42</v>
      </c>
      <c r="U1845" s="291" t="n"/>
      <c r="V1845" s="7" t="inlineStr">
        <is>
          <t>V1000308 - PLUG'N GO (THAILAND) CO., LTD.</t>
        </is>
      </c>
      <c r="W1845" s="30" t="inlineStr">
        <is>
          <t>Recive bill and GRN already</t>
        </is>
      </c>
      <c r="X1845" s="5" t="inlineStr">
        <is>
          <t>GRN2526-0006917</t>
        </is>
      </c>
      <c r="Y1845" s="3" t="n">
        <v>46035</v>
      </c>
      <c r="Z1845" s="23" t="n"/>
      <c r="AA1845" s="17">
        <f>IF(RawDataGenPO[[#This Row],[Date Gen PO]]="","",RawDataGenPO[[#This Row],[Date recive bill]]-RawDataGenPO[[#This Row],[Date Gen PO]])</f>
        <v/>
      </c>
      <c r="AB1845" s="16">
        <f>IF(RawDataGenPO[[#This Row],[GRN-PO date]]&gt;RawDataGenPO[[#This Row],[Lead time delivery (day)]],"over deliverry","Ontime")</f>
        <v/>
      </c>
      <c r="AC1845" s="22" t="n"/>
    </row>
    <row r="1846" ht="15" customHeight="1">
      <c r="A1846" s="5">
        <f>ROW()-ROW(RawDataGenPO[[#Headers],[No.]])</f>
        <v/>
      </c>
      <c r="B1846" s="29" t="inlineStr">
        <is>
          <t>Expent  cost</t>
        </is>
      </c>
      <c r="C1846" s="373" t="n"/>
      <c r="D1846" s="374" t="n"/>
      <c r="E1846" s="374" t="n"/>
      <c r="F1846" s="301" t="n">
        <v>46009</v>
      </c>
      <c r="G1846" s="5" t="inlineStr">
        <is>
          <t>PR2526-03838</t>
        </is>
      </c>
      <c r="H1846" s="5" t="inlineStr">
        <is>
          <t>PO2526-05362</t>
        </is>
      </c>
      <c r="I1846" s="286" t="n">
        <v>46016</v>
      </c>
      <c r="J1846" s="26" t="n"/>
      <c r="K1846" s="20" t="n">
        <v>120</v>
      </c>
      <c r="L1846" s="5" t="inlineStr">
        <is>
          <t>SFST81000048</t>
        </is>
      </c>
      <c r="M1846" s="7" t="inlineStr">
        <is>
          <t>PD Machine</t>
        </is>
      </c>
      <c r="N1846" s="7" t="inlineStr">
        <is>
          <t>X-Ray No.2</t>
        </is>
      </c>
      <c r="O1846" s="11" t="n">
        <v>1</v>
      </c>
      <c r="P1846" s="10" t="inlineStr">
        <is>
          <t>Flat Belt: Finger Joint: 430: 1127</t>
        </is>
      </c>
      <c r="Q1846" s="277" t="n">
        <v>1</v>
      </c>
      <c r="R1846" s="5" t="inlineStr">
        <is>
          <t>PCS.</t>
        </is>
      </c>
      <c r="S1846" s="284">
        <f>RawDataGenPO[[#This Row],[Total price]]/RawDataGenPO[[#This Row],[Qty'']]</f>
        <v/>
      </c>
      <c r="T1846" s="278" t="n">
        <v>19400</v>
      </c>
      <c r="U1846" s="291" t="n"/>
      <c r="V1846" s="7" t="inlineStr">
        <is>
          <t>V1000097 - ISHIDA (THAILAND) CO.,LTD.</t>
        </is>
      </c>
      <c r="W1846" s="30" t="inlineStr">
        <is>
          <t>Recive bill and GRN already</t>
        </is>
      </c>
      <c r="X1846" s="5" t="inlineStr">
        <is>
          <t>GRN2526-0009253</t>
        </is>
      </c>
      <c r="Y1846" s="3" t="n">
        <v>46101</v>
      </c>
      <c r="Z1846" s="23" t="n"/>
      <c r="AA1846" s="17">
        <f>IF(RawDataGenPO[[#This Row],[Date Gen PO]]="","",RawDataGenPO[[#This Row],[Date recive bill]]-RawDataGenPO[[#This Row],[Date Gen PO]])</f>
        <v/>
      </c>
      <c r="AB1846" s="16">
        <f>IF(RawDataGenPO[[#This Row],[GRN-PO date]]&gt;RawDataGenPO[[#This Row],[Lead time delivery (day)]],"over deliverry","Ontime")</f>
        <v/>
      </c>
      <c r="AC1846" s="22" t="n"/>
    </row>
    <row r="1847" ht="30" customHeight="1">
      <c r="A1847" s="5">
        <f>ROW()-ROW(RawDataGenPO[[#Headers],[No.]])</f>
        <v/>
      </c>
      <c r="B1847" s="29" t="inlineStr">
        <is>
          <t>Expent  cost</t>
        </is>
      </c>
      <c r="C1847" s="373" t="n"/>
      <c r="D1847" s="374" t="n"/>
      <c r="E1847" s="374" t="n"/>
      <c r="F1847" s="301" t="n">
        <v>46009</v>
      </c>
      <c r="G1847" s="5" t="inlineStr">
        <is>
          <t>PR2526-03838</t>
        </is>
      </c>
      <c r="H1847" s="5" t="inlineStr">
        <is>
          <t>PO2526-05362</t>
        </is>
      </c>
      <c r="I1847" s="286" t="n">
        <v>46016</v>
      </c>
      <c r="J1847" s="26" t="n"/>
      <c r="K1847" s="20" t="n">
        <v>120</v>
      </c>
      <c r="L1847" s="5" t="inlineStr">
        <is>
          <t>SFST81000048</t>
        </is>
      </c>
      <c r="M1847" s="7" t="inlineStr">
        <is>
          <t>PD Machine</t>
        </is>
      </c>
      <c r="N1847" s="7" t="inlineStr">
        <is>
          <t>X-Ray No.2</t>
        </is>
      </c>
      <c r="O1847" s="11" t="n">
        <v>2</v>
      </c>
      <c r="P1847" s="10" t="inlineStr">
        <is>
          <t>REJECT: RE-XH-050-A@/CR-A J/N.2052426
Flat Belt: Seamless (W370: L1727</t>
        </is>
      </c>
      <c r="Q1847" s="277" t="n">
        <v>1</v>
      </c>
      <c r="R1847" s="5" t="inlineStr">
        <is>
          <t>PCS.</t>
        </is>
      </c>
      <c r="S1847" s="284">
        <f>RawDataGenPO[[#This Row],[Total price]]/RawDataGenPO[[#This Row],[Qty'']]</f>
        <v/>
      </c>
      <c r="T1847" s="278" t="n">
        <v>60300</v>
      </c>
      <c r="U1847" s="291" t="n"/>
      <c r="V1847" s="7" t="inlineStr">
        <is>
          <t>V1000097 - ISHIDA (THAILAND) CO.,LTD.</t>
        </is>
      </c>
      <c r="W1847" s="30" t="inlineStr">
        <is>
          <t>Recive bill and GRN already</t>
        </is>
      </c>
      <c r="X1847" s="5" t="inlineStr">
        <is>
          <t>GRN2526-0009253</t>
        </is>
      </c>
      <c r="Y1847" s="3" t="n">
        <v>46101</v>
      </c>
      <c r="Z1847" s="23" t="n"/>
      <c r="AA1847" s="17">
        <f>IF(RawDataGenPO[[#This Row],[Date Gen PO]]="","",RawDataGenPO[[#This Row],[Date recive bill]]-RawDataGenPO[[#This Row],[Date Gen PO]])</f>
        <v/>
      </c>
      <c r="AB1847" s="16">
        <f>IF(RawDataGenPO[[#This Row],[GRN-PO date]]&gt;RawDataGenPO[[#This Row],[Lead time delivery (day)]],"over deliverry","Ontime")</f>
        <v/>
      </c>
      <c r="AC1847" s="22" t="n"/>
    </row>
    <row r="1848" ht="15" customHeight="1">
      <c r="A1848" s="5">
        <f>ROW()-ROW(RawDataGenPO[[#Headers],[No.]])</f>
        <v/>
      </c>
      <c r="B1848" s="29" t="inlineStr">
        <is>
          <t>Expent  cost</t>
        </is>
      </c>
      <c r="C1848" s="373" t="n"/>
      <c r="D1848" s="374" t="n"/>
      <c r="E1848" s="374" t="n"/>
      <c r="F1848" s="301" t="n">
        <v>46009</v>
      </c>
      <c r="G1848" s="5" t="inlineStr">
        <is>
          <t>PR2526-03838</t>
        </is>
      </c>
      <c r="H1848" s="5" t="inlineStr">
        <is>
          <t>PO2526-05362</t>
        </is>
      </c>
      <c r="I1848" s="286" t="n">
        <v>46016</v>
      </c>
      <c r="J1848" s="26" t="n"/>
      <c r="K1848" s="20" t="n">
        <v>120</v>
      </c>
      <c r="L1848" s="5" t="inlineStr">
        <is>
          <t>SFST81000048</t>
        </is>
      </c>
      <c r="M1848" s="7" t="inlineStr">
        <is>
          <t>PD Machine</t>
        </is>
      </c>
      <c r="N1848" s="7" t="inlineStr">
        <is>
          <t>X-Ray No.2</t>
        </is>
      </c>
      <c r="O1848" s="11" t="n">
        <v>3</v>
      </c>
      <c r="P1848" s="10" t="inlineStr">
        <is>
          <t>Flat Belt: Seamless (430: 1678)</t>
        </is>
      </c>
      <c r="Q1848" s="277" t="n">
        <v>1</v>
      </c>
      <c r="R1848" s="5" t="inlineStr">
        <is>
          <t>PCS.</t>
        </is>
      </c>
      <c r="S1848" s="284">
        <f>RawDataGenPO[[#This Row],[Total price]]/RawDataGenPO[[#This Row],[Qty'']]</f>
        <v/>
      </c>
      <c r="T1848" s="278" t="n">
        <v>47430</v>
      </c>
      <c r="U1848" s="291" t="n"/>
      <c r="V1848" s="7" t="inlineStr">
        <is>
          <t>V1000097 - ISHIDA (THAILAND) CO.,LTD.</t>
        </is>
      </c>
      <c r="W1848" s="30" t="inlineStr">
        <is>
          <t>Recive bill and GRN already</t>
        </is>
      </c>
      <c r="X1848" s="5" t="inlineStr">
        <is>
          <t>GRN2526-0009253</t>
        </is>
      </c>
      <c r="Y1848" s="3" t="n">
        <v>46101</v>
      </c>
      <c r="Z1848" s="23" t="n"/>
      <c r="AA1848" s="17">
        <f>IF(RawDataGenPO[[#This Row],[Date Gen PO]]="","",RawDataGenPO[[#This Row],[Date recive bill]]-RawDataGenPO[[#This Row],[Date Gen PO]])</f>
        <v/>
      </c>
      <c r="AB1848" s="16">
        <f>IF(RawDataGenPO[[#This Row],[GRN-PO date]]&gt;RawDataGenPO[[#This Row],[Lead time delivery (day)]],"over deliverry","Ontime")</f>
        <v/>
      </c>
      <c r="AC1848" s="22" t="n"/>
    </row>
    <row r="1849" ht="30" customHeight="1">
      <c r="A1849" s="5">
        <f>ROW()-ROW(RawDataGenPO[[#Headers],[No.]])</f>
        <v/>
      </c>
      <c r="B1849" s="29" t="inlineStr">
        <is>
          <t>Expent  cost</t>
        </is>
      </c>
      <c r="C1849" s="373" t="n"/>
      <c r="D1849" s="374" t="n"/>
      <c r="E1849" s="374" t="n"/>
      <c r="F1849" s="301" t="n">
        <v>46016</v>
      </c>
      <c r="G1849" s="5" t="inlineStr">
        <is>
          <t xml:space="preserve">PR2526-03990 </t>
        </is>
      </c>
      <c r="H1849" s="5" t="inlineStr">
        <is>
          <t>PO2526-05581</t>
        </is>
      </c>
      <c r="I1849" s="286" t="n">
        <v>46028</v>
      </c>
      <c r="J1849" s="26" t="n"/>
      <c r="K1849" s="20" t="n">
        <v>60</v>
      </c>
      <c r="L1849" s="5" t="inlineStr">
        <is>
          <t>SFST81000013</t>
        </is>
      </c>
      <c r="M1849" s="29" t="inlineStr">
        <is>
          <t>Civill jobs (Floor-Wall-Celling-roof)</t>
        </is>
      </c>
      <c r="N1849" s="29" t="inlineStr">
        <is>
          <t>Cevil quipment  &amp; Part</t>
        </is>
      </c>
      <c r="O1849" s="11" t="n">
        <v>1</v>
      </c>
      <c r="P1849" s="10" t="inlineStr">
        <is>
          <t>waterworkinternalwork
WWm 1000 L + mwater</t>
        </is>
      </c>
      <c r="Q1849" s="277" t="n">
        <v>1</v>
      </c>
      <c r="R1849" s="5" t="inlineStr">
        <is>
          <t>JOB.</t>
        </is>
      </c>
      <c r="S1849" s="284">
        <f>RawDataGenPO[[#This Row],[Total price]]/RawDataGenPO[[#This Row],[Qty'']]</f>
        <v/>
      </c>
      <c r="T1849" s="278" t="n">
        <v>3000</v>
      </c>
      <c r="U1849" s="291" t="n"/>
      <c r="V1849" s="7" t="inlineStr">
        <is>
          <t xml:space="preserve"> V1000799 - LALIN CLEAN TECH CO., LTD.</t>
        </is>
      </c>
      <c r="W1849" s="30" t="inlineStr">
        <is>
          <t>Recive bill and GRN already</t>
        </is>
      </c>
      <c r="X1849" s="5" t="inlineStr">
        <is>
          <t>GRN2526-0007355</t>
        </is>
      </c>
      <c r="Y1849" s="3" t="n">
        <v>46045</v>
      </c>
      <c r="Z1849" s="23" t="n"/>
      <c r="AA1849" s="17">
        <f>IF(RawDataGenPO[[#This Row],[Date Gen PO]]="","",RawDataGenPO[[#This Row],[Date recive bill]]-RawDataGenPO[[#This Row],[Date Gen PO]])</f>
        <v/>
      </c>
      <c r="AB1849" s="16">
        <f>IF(RawDataGenPO[[#This Row],[GRN-PO date]]&gt;RawDataGenPO[[#This Row],[Lead time delivery (day)]],"over deliverry","Ontime")</f>
        <v/>
      </c>
      <c r="AC1849" s="22" t="n"/>
    </row>
    <row r="1850" ht="30" customHeight="1">
      <c r="A1850" s="5">
        <f>ROW()-ROW(RawDataGenPO[[#Headers],[No.]])</f>
        <v/>
      </c>
      <c r="B1850" s="29" t="inlineStr">
        <is>
          <t>Expent  cost</t>
        </is>
      </c>
      <c r="C1850" s="373" t="n"/>
      <c r="D1850" s="374" t="n"/>
      <c r="E1850" s="374" t="n"/>
      <c r="F1850" s="301" t="n">
        <v>46016</v>
      </c>
      <c r="G1850" s="5" t="inlineStr">
        <is>
          <t xml:space="preserve">PR2526-03990 </t>
        </is>
      </c>
      <c r="H1850" s="5" t="inlineStr">
        <is>
          <t>PO2526-05581</t>
        </is>
      </c>
      <c r="I1850" s="286" t="n">
        <v>46028</v>
      </c>
      <c r="J1850" s="26" t="n"/>
      <c r="K1850" s="20" t="n">
        <v>60</v>
      </c>
      <c r="L1850" s="5" t="inlineStr">
        <is>
          <t>SFST81000013</t>
        </is>
      </c>
      <c r="M1850" s="29" t="inlineStr">
        <is>
          <t>Civill jobs (Floor-Wall-Celling-roof)</t>
        </is>
      </c>
      <c r="N1850" s="29" t="inlineStr">
        <is>
          <t>Cevil quipment  &amp; Part</t>
        </is>
      </c>
      <c r="O1850" s="11" t="n">
        <v>2</v>
      </c>
      <c r="P1850" s="10" t="inlineStr">
        <is>
          <t>waterworkinternalwork
m .work 1000 L + mwater</t>
        </is>
      </c>
      <c r="Q1850" s="277" t="n">
        <v>1</v>
      </c>
      <c r="R1850" s="5" t="inlineStr">
        <is>
          <t>JOB.</t>
        </is>
      </c>
      <c r="S1850" s="284">
        <f>RawDataGenPO[[#This Row],[Total price]]/RawDataGenPO[[#This Row],[Qty'']]</f>
        <v/>
      </c>
      <c r="T1850" s="278" t="n">
        <v>3000</v>
      </c>
      <c r="U1850" s="291" t="n"/>
      <c r="V1850" s="7" t="inlineStr">
        <is>
          <t xml:space="preserve"> V1000799 - LALIN CLEAN TECH CO., LTD.</t>
        </is>
      </c>
      <c r="W1850" s="30" t="inlineStr">
        <is>
          <t>Recive bill and GRN already</t>
        </is>
      </c>
      <c r="X1850" s="5" t="inlineStr">
        <is>
          <t>GRN2526-0007355</t>
        </is>
      </c>
      <c r="Y1850" s="3" t="n">
        <v>46045</v>
      </c>
      <c r="Z1850" s="23" t="n"/>
      <c r="AA1850" s="17">
        <f>IF(RawDataGenPO[[#This Row],[Date Gen PO]]="","",RawDataGenPO[[#This Row],[Date recive bill]]-RawDataGenPO[[#This Row],[Date Gen PO]])</f>
        <v/>
      </c>
      <c r="AB1850" s="16">
        <f>IF(RawDataGenPO[[#This Row],[GRN-PO date]]&gt;RawDataGenPO[[#This Row],[Lead time delivery (day)]],"over deliverry","Ontime")</f>
        <v/>
      </c>
      <c r="AC1850" s="22" t="n"/>
    </row>
    <row r="1851" ht="30" customHeight="1">
      <c r="A1851" s="5">
        <f>ROW()-ROW(RawDataGenPO[[#Headers],[No.]])</f>
        <v/>
      </c>
      <c r="B1851" s="29" t="inlineStr">
        <is>
          <t>Expent  cost</t>
        </is>
      </c>
      <c r="C1851" s="373" t="n"/>
      <c r="D1851" s="374" t="n"/>
      <c r="E1851" s="374" t="n"/>
      <c r="F1851" s="281" t="n">
        <v>46027</v>
      </c>
      <c r="G1851" s="5" t="inlineStr">
        <is>
          <t>PR2526-04051</t>
        </is>
      </c>
      <c r="H1851" s="5" t="inlineStr">
        <is>
          <t>PO2526-05616</t>
        </is>
      </c>
      <c r="I1851" s="286" t="n">
        <v>46030</v>
      </c>
      <c r="J1851" s="26" t="n"/>
      <c r="K1851" s="20" t="n">
        <v>60</v>
      </c>
      <c r="L1851" s="5" t="inlineStr">
        <is>
          <t>SFST81000048</t>
        </is>
      </c>
      <c r="M1851" s="7" t="inlineStr">
        <is>
          <t>PD Machine</t>
        </is>
      </c>
      <c r="N1851" s="7" t="inlineStr">
        <is>
          <t>Combi oven No.1</t>
        </is>
      </c>
      <c r="O1851" s="11" t="n">
        <v>1</v>
      </c>
      <c r="P1851" s="10" t="inlineStr">
        <is>
          <t>Service charge Calibrate machine RATIONAL SCC WE SN: E22SI19032739795 NO.1</t>
        </is>
      </c>
      <c r="Q1851" s="277" t="n">
        <v>1</v>
      </c>
      <c r="R1851" s="5" t="inlineStr">
        <is>
          <t>JOB.</t>
        </is>
      </c>
      <c r="S1851" s="284">
        <f>RawDataGenPO[[#This Row],[Total price]]/RawDataGenPO[[#This Row],[Qty'']]</f>
        <v/>
      </c>
      <c r="T1851" s="278" t="n">
        <v>4500</v>
      </c>
      <c r="U1851" s="291" t="n"/>
      <c r="V1851" s="7" t="inlineStr">
        <is>
          <t>V1000303 - Saha Stainlesssteel Co.,Ltd</t>
        </is>
      </c>
      <c r="W1851" s="30" t="inlineStr">
        <is>
          <t>Recive bill and GRN already</t>
        </is>
      </c>
      <c r="X1851" s="5" t="inlineStr">
        <is>
          <t>GRN2526-0007374</t>
        </is>
      </c>
      <c r="Y1851" s="3" t="n">
        <v>46048</v>
      </c>
      <c r="Z1851" s="23" t="n"/>
      <c r="AA1851" s="17">
        <f>IF(RawDataGenPO[[#This Row],[Date Gen PO]]="","",RawDataGenPO[[#This Row],[Date recive bill]]-RawDataGenPO[[#This Row],[Date Gen PO]])</f>
        <v/>
      </c>
      <c r="AB1851" s="16">
        <f>IF(RawDataGenPO[[#This Row],[GRN-PO date]]&gt;RawDataGenPO[[#This Row],[Lead time delivery (day)]],"over deliverry","Ontime")</f>
        <v/>
      </c>
      <c r="AC1851" s="22" t="n"/>
    </row>
    <row r="1852" ht="30" customHeight="1">
      <c r="A1852" s="5">
        <f>ROW()-ROW(RawDataGenPO[[#Headers],[No.]])</f>
        <v/>
      </c>
      <c r="B1852" s="29" t="inlineStr">
        <is>
          <t>Expent  cost</t>
        </is>
      </c>
      <c r="C1852" s="373" t="n"/>
      <c r="D1852" s="374" t="n"/>
      <c r="E1852" s="374" t="n"/>
      <c r="F1852" s="281" t="n">
        <v>46027</v>
      </c>
      <c r="G1852" s="26" t="inlineStr">
        <is>
          <t>PR2526-04051</t>
        </is>
      </c>
      <c r="H1852" s="26" t="inlineStr">
        <is>
          <t>PO2526-05616</t>
        </is>
      </c>
      <c r="I1852" s="286" t="n">
        <v>46030</v>
      </c>
      <c r="J1852" s="26" t="n"/>
      <c r="K1852" s="44" t="n">
        <v>60</v>
      </c>
      <c r="L1852" s="5" t="inlineStr">
        <is>
          <t>SFST81000048</t>
        </is>
      </c>
      <c r="M1852" s="7" t="inlineStr">
        <is>
          <t>PD Machine</t>
        </is>
      </c>
      <c r="N1852" s="29" t="inlineStr">
        <is>
          <t>Combi oven No.3</t>
        </is>
      </c>
      <c r="O1852" s="43" t="n">
        <v>2</v>
      </c>
      <c r="P1852" s="42" t="inlineStr">
        <is>
          <t>Service charge Calibrate machine RATIONAL SCC WE SN: E22SI19032734036 NO.3</t>
        </is>
      </c>
      <c r="Q1852" s="277" t="n">
        <v>1</v>
      </c>
      <c r="R1852" s="5" t="inlineStr">
        <is>
          <t>JOB.</t>
        </is>
      </c>
      <c r="S1852" s="292">
        <f>RawDataGenPO[[#This Row],[Total price]]/RawDataGenPO[[#This Row],[Qty'']]</f>
        <v/>
      </c>
      <c r="T1852" s="324" t="n">
        <v>4500</v>
      </c>
      <c r="U1852" s="325" t="n"/>
      <c r="V1852" s="29" t="inlineStr">
        <is>
          <t>V1000303 - Saha Stainlesssteel Co.,Ltd</t>
        </is>
      </c>
      <c r="W1852" s="30" t="inlineStr">
        <is>
          <t>Recive bill and GRN already</t>
        </is>
      </c>
      <c r="X1852" s="5" t="inlineStr">
        <is>
          <t>GRN2526-0007374</t>
        </is>
      </c>
      <c r="Y1852" s="3" t="n">
        <v>46048</v>
      </c>
      <c r="Z1852" s="23" t="n"/>
      <c r="AA1852" s="37">
        <f>IF(RawDataGenPO[[#This Row],[Date Gen PO]]="","",RawDataGenPO[[#This Row],[Date recive bill]]-RawDataGenPO[[#This Row],[Date Gen PO]])</f>
        <v/>
      </c>
      <c r="AB1852" s="36">
        <f>IF(RawDataGenPO[[#This Row],[GRN-PO date]]&gt;RawDataGenPO[[#This Row],[Lead time delivery (day)]],"over deliverry","Ontime")</f>
        <v/>
      </c>
      <c r="AC1852" s="35" t="n"/>
    </row>
    <row r="1853" ht="15" customHeight="1">
      <c r="A1853" s="5">
        <f>ROW()-ROW(RawDataGenPO[[#Headers],[No.]])</f>
        <v/>
      </c>
      <c r="B1853" s="29" t="inlineStr">
        <is>
          <t>Expent  cost</t>
        </is>
      </c>
      <c r="C1853" s="373" t="n"/>
      <c r="D1853" s="374" t="n"/>
      <c r="E1853" s="374" t="n"/>
      <c r="F1853" s="281" t="n">
        <v>46036</v>
      </c>
      <c r="G1853" s="5" t="inlineStr">
        <is>
          <t>PR2526-04217</t>
        </is>
      </c>
      <c r="H1853" s="5" t="inlineStr">
        <is>
          <t>PO2526-06292</t>
        </is>
      </c>
      <c r="I1853" s="286" t="n">
        <v>46051</v>
      </c>
      <c r="J1853" s="26" t="n"/>
      <c r="K1853" s="20" t="n">
        <v>60</v>
      </c>
      <c r="L1853" s="5" t="inlineStr">
        <is>
          <t>SFST34000044</t>
        </is>
      </c>
      <c r="M1853" s="7" t="inlineStr">
        <is>
          <t>Consumable part for MN</t>
        </is>
      </c>
      <c r="N1853" s="7" t="inlineStr">
        <is>
          <t>Consumable part</t>
        </is>
      </c>
      <c r="O1853" s="11" t="n">
        <v>1</v>
      </c>
      <c r="P1853" s="10" t="inlineStr">
        <is>
          <t>"Philip",T8,20W, 2100lm, ECO SOFT HO LED</t>
        </is>
      </c>
      <c r="Q1853" s="277" t="n">
        <v>60</v>
      </c>
      <c r="R1853" s="5" t="inlineStr">
        <is>
          <t>PCS.</t>
        </is>
      </c>
      <c r="S1853" s="284">
        <f>RawDataGenPO[[#This Row],[Total price]]/RawDataGenPO[[#This Row],[Qty'']]</f>
        <v/>
      </c>
      <c r="T1853" s="278" t="n">
        <v>6984</v>
      </c>
      <c r="U1853" s="291" t="n"/>
      <c r="V1853" s="7" t="inlineStr">
        <is>
          <t xml:space="preserve"> V1000729 - BN SUPPLY 1991 CO., LTD.</t>
        </is>
      </c>
      <c r="W1853" s="30" t="inlineStr">
        <is>
          <t>Recive bill and GRN already</t>
        </is>
      </c>
      <c r="X1853" s="5" t="inlineStr">
        <is>
          <t>GRN2526-0007833</t>
        </is>
      </c>
      <c r="Y1853" s="3" t="n">
        <v>46059</v>
      </c>
      <c r="Z1853" s="23" t="n"/>
      <c r="AA1853" s="17">
        <f>IF(RawDataGenPO[[#This Row],[Date Gen PO]]="","",RawDataGenPO[[#This Row],[Date recive bill]]-RawDataGenPO[[#This Row],[Date Gen PO]])</f>
        <v/>
      </c>
      <c r="AB1853" s="16">
        <f>IF(RawDataGenPO[[#This Row],[GRN-PO date]]&gt;RawDataGenPO[[#This Row],[Lead time delivery (day)]],"over deliverry","Ontime")</f>
        <v/>
      </c>
      <c r="AC1853" s="22" t="n"/>
    </row>
    <row r="1854" ht="15" customHeight="1">
      <c r="A1854" s="5">
        <f>ROW()-ROW(RawDataGenPO[[#Headers],[No.]])</f>
        <v/>
      </c>
      <c r="B1854" s="29" t="inlineStr">
        <is>
          <t>Expent  cost</t>
        </is>
      </c>
      <c r="C1854" s="373" t="n"/>
      <c r="D1854" s="374" t="n"/>
      <c r="E1854" s="374" t="n"/>
      <c r="F1854" s="281" t="n">
        <v>46036</v>
      </c>
      <c r="G1854" s="5" t="inlineStr">
        <is>
          <t>PR2526-04217</t>
        </is>
      </c>
      <c r="H1854" s="5" t="inlineStr">
        <is>
          <t>PO2526-06293</t>
        </is>
      </c>
      <c r="I1854" s="286" t="n">
        <v>46051</v>
      </c>
      <c r="J1854" s="26" t="n"/>
      <c r="K1854" s="20" t="n">
        <v>30</v>
      </c>
      <c r="L1854" s="5" t="inlineStr">
        <is>
          <t>SFST34000043</t>
        </is>
      </c>
      <c r="M1854" s="7" t="inlineStr">
        <is>
          <t>Consumable part for MN</t>
        </is>
      </c>
      <c r="N1854" s="7" t="inlineStr">
        <is>
          <t>Consumable part</t>
        </is>
      </c>
      <c r="O1854" s="11" t="n">
        <v>2</v>
      </c>
      <c r="P1854" s="10" t="inlineStr">
        <is>
          <t>Philip, TLD36/865, 36W, fluorescent tube</t>
        </is>
      </c>
      <c r="Q1854" s="277" t="n">
        <v>40</v>
      </c>
      <c r="R1854" s="5" t="inlineStr">
        <is>
          <t>PCS.</t>
        </is>
      </c>
      <c r="S1854" s="284">
        <f>RawDataGenPO[[#This Row],[Total price]]/RawDataGenPO[[#This Row],[Qty'']]</f>
        <v/>
      </c>
      <c r="T1854" s="278" t="n">
        <v>2520</v>
      </c>
      <c r="U1854" s="291" t="n"/>
      <c r="V1854" s="7" t="inlineStr">
        <is>
          <t>V1000276 - SN. ELECTRIC AND SUPPLY CO., LTD.</t>
        </is>
      </c>
      <c r="W1854" s="30" t="inlineStr">
        <is>
          <t>Recive bill and GRN already</t>
        </is>
      </c>
      <c r="X1854" s="5" t="inlineStr">
        <is>
          <t>GRN2526-0007606</t>
        </is>
      </c>
      <c r="Y1854" s="3" t="n">
        <v>46055</v>
      </c>
      <c r="Z1854" s="23" t="n"/>
      <c r="AA1854" s="17">
        <f>IF(RawDataGenPO[[#This Row],[Date Gen PO]]="","",RawDataGenPO[[#This Row],[Date recive bill]]-RawDataGenPO[[#This Row],[Date Gen PO]])</f>
        <v/>
      </c>
      <c r="AB1854" s="16">
        <f>IF(RawDataGenPO[[#This Row],[GRN-PO date]]&gt;RawDataGenPO[[#This Row],[Lead time delivery (day)]],"over deliverry","Ontime")</f>
        <v/>
      </c>
      <c r="AC1854" s="22" t="n"/>
    </row>
    <row r="1855" ht="15" customHeight="1">
      <c r="A1855" s="5">
        <f>ROW()-ROW(RawDataGenPO[[#Headers],[No.]])</f>
        <v/>
      </c>
      <c r="B1855" s="29" t="inlineStr">
        <is>
          <t>Expent  cost</t>
        </is>
      </c>
      <c r="C1855" s="373" t="n"/>
      <c r="D1855" s="374" t="n"/>
      <c r="E1855" s="374" t="n"/>
      <c r="F1855" s="281" t="n">
        <v>46036</v>
      </c>
      <c r="G1855" s="5" t="inlineStr">
        <is>
          <t>PR2526-04267</t>
        </is>
      </c>
      <c r="H1855" s="5" t="inlineStr">
        <is>
          <t>PO2526-05964</t>
        </is>
      </c>
      <c r="I1855" s="286" t="n">
        <v>46042</v>
      </c>
      <c r="J1855" s="26" t="n"/>
      <c r="K1855" s="20" t="n">
        <v>30</v>
      </c>
      <c r="L1855" s="5" t="inlineStr">
        <is>
          <t>SFST34000054</t>
        </is>
      </c>
      <c r="M1855" s="7" t="inlineStr">
        <is>
          <t>Consumable part for MN</t>
        </is>
      </c>
      <c r="N1855" s="7" t="inlineStr">
        <is>
          <t>Refrigerant</t>
        </is>
      </c>
      <c r="O1855" s="11" t="n">
        <v>1</v>
      </c>
      <c r="P1855" s="10" t="inlineStr">
        <is>
          <t>R507 Refrigerant,(1 Tank 11.3 kg/Tank)</t>
        </is>
      </c>
      <c r="Q1855" s="277" t="n">
        <v>25</v>
      </c>
      <c r="R1855" s="5" t="inlineStr">
        <is>
          <t>DRUM.</t>
        </is>
      </c>
      <c r="S1855" s="284">
        <f>RawDataGenPO[[#This Row],[Total price]]/RawDataGenPO[[#This Row],[Qty'']]</f>
        <v/>
      </c>
      <c r="T1855" s="278" t="n">
        <v>64750</v>
      </c>
      <c r="U1855" s="291" t="n"/>
      <c r="V1855" s="7" t="inlineStr">
        <is>
          <t>V1000312 - Colder Solution Co., Ltd.</t>
        </is>
      </c>
      <c r="W1855" s="30" t="inlineStr">
        <is>
          <t>Recive bill and GRN already</t>
        </is>
      </c>
      <c r="X1855" s="5" t="inlineStr">
        <is>
          <t>GRN2526-0007285</t>
        </is>
      </c>
      <c r="Y1855" s="3" t="n">
        <v>46044</v>
      </c>
      <c r="Z1855" s="23" t="n"/>
      <c r="AA1855" s="17">
        <f>IF(RawDataGenPO[[#This Row],[Date Gen PO]]="","",RawDataGenPO[[#This Row],[Date recive bill]]-RawDataGenPO[[#This Row],[Date Gen PO]])</f>
        <v/>
      </c>
      <c r="AB1855" s="16">
        <f>IF(RawDataGenPO[[#This Row],[GRN-PO date]]&gt;RawDataGenPO[[#This Row],[Lead time delivery (day)]],"over deliverry","Ontime")</f>
        <v/>
      </c>
      <c r="AC1855" s="22" t="n"/>
    </row>
    <row r="1856" ht="15" customHeight="1">
      <c r="A1856" s="5">
        <f>ROW()-ROW(RawDataGenPO[[#Headers],[No.]])</f>
        <v/>
      </c>
      <c r="B1856" s="29" t="inlineStr">
        <is>
          <t>Expent  cost</t>
        </is>
      </c>
      <c r="C1856" s="373" t="n"/>
      <c r="D1856" s="374" t="n"/>
      <c r="E1856" s="374" t="n"/>
      <c r="F1856" s="281" t="n">
        <v>46036</v>
      </c>
      <c r="G1856" s="5" t="inlineStr">
        <is>
          <t>PR2526-04268</t>
        </is>
      </c>
      <c r="H1856" s="5" t="inlineStr">
        <is>
          <t>PO2526-05965</t>
        </is>
      </c>
      <c r="I1856" s="286" t="n">
        <v>46042</v>
      </c>
      <c r="J1856" s="26" t="n"/>
      <c r="K1856" s="20" t="n">
        <v>30</v>
      </c>
      <c r="L1856" s="5" t="inlineStr">
        <is>
          <t>SFST81000048</t>
        </is>
      </c>
      <c r="M1856" s="7" t="inlineStr">
        <is>
          <t>PD Machine</t>
        </is>
      </c>
      <c r="N1856" s="7" t="inlineStr">
        <is>
          <t>Machine Spare part</t>
        </is>
      </c>
      <c r="O1856" s="11" t="n">
        <v>1</v>
      </c>
      <c r="P1856" s="10" t="inlineStr">
        <is>
          <t>FIDA GLOBE VALVE PN16 - 40 SIZE 1"</t>
        </is>
      </c>
      <c r="Q1856" s="277" t="n">
        <v>2</v>
      </c>
      <c r="R1856" s="5" t="inlineStr">
        <is>
          <t>PCS.</t>
        </is>
      </c>
      <c r="S1856" s="284">
        <f>RawDataGenPO[[#This Row],[Total price]]/RawDataGenPO[[#This Row],[Qty'']]</f>
        <v/>
      </c>
      <c r="T1856" s="278" t="n">
        <v>8800</v>
      </c>
      <c r="U1856" s="291" t="n"/>
      <c r="V1856" s="7" t="inlineStr">
        <is>
          <t>V1000655 - SRM ENGINEERING 1991 CO., LTD.</t>
        </is>
      </c>
      <c r="W1856" s="30" t="inlineStr">
        <is>
          <t>Recive bill and GRN already</t>
        </is>
      </c>
      <c r="X1856" s="31" t="inlineStr">
        <is>
          <t>GRN2526-0007252</t>
        </is>
      </c>
      <c r="Y1856" s="3" t="n">
        <v>46043</v>
      </c>
      <c r="Z1856" s="23" t="n"/>
      <c r="AA1856" s="17">
        <f>IF(RawDataGenPO[[#This Row],[Date Gen PO]]="","",RawDataGenPO[[#This Row],[Date recive bill]]-RawDataGenPO[[#This Row],[Date Gen PO]])</f>
        <v/>
      </c>
      <c r="AB1856" s="16">
        <f>IF(RawDataGenPO[[#This Row],[GRN-PO date]]&gt;RawDataGenPO[[#This Row],[Lead time delivery (day)]],"over deliverry","Ontime")</f>
        <v/>
      </c>
      <c r="AC1856" s="22" t="n"/>
    </row>
    <row r="1857" ht="75" customHeight="1">
      <c r="A1857" s="5">
        <f>ROW()-ROW(RawDataGenPO[[#Headers],[No.]])</f>
        <v/>
      </c>
      <c r="B1857" s="29" t="inlineStr">
        <is>
          <t>Expent  cost</t>
        </is>
      </c>
      <c r="C1857" s="373" t="n"/>
      <c r="D1857" s="374" t="n"/>
      <c r="E1857" s="374" t="n"/>
      <c r="F1857" s="281" t="n">
        <v>46036</v>
      </c>
      <c r="G1857" s="5" t="inlineStr">
        <is>
          <t>PR2526-04270</t>
        </is>
      </c>
      <c r="H1857" s="5" t="inlineStr">
        <is>
          <t>PO2526-06164</t>
        </is>
      </c>
      <c r="I1857" s="286" t="n">
        <v>46048</v>
      </c>
      <c r="J1857" s="26" t="n"/>
      <c r="K1857" s="20" t="n">
        <v>60</v>
      </c>
      <c r="L1857" s="5" t="inlineStr">
        <is>
          <t>SFST81000064</t>
        </is>
      </c>
      <c r="M1857" s="7" t="inlineStr">
        <is>
          <t>Annual cost</t>
        </is>
      </c>
      <c r="N1857" s="7" t="inlineStr">
        <is>
          <t>Safety  annual jobs</t>
        </is>
      </c>
      <c r="O1857" s="11" t="n">
        <v>1</v>
      </c>
      <c r="P1857" s="10" t="inlineStr">
        <is>
          <t>Wand PM transformer 2569
- transformer 150 kVa quantity 1 pcs
- transformer 150 kVa quantity 1 pcs
- transformer 1250 kVa quantity 3 pcs
- workwithWW</t>
        </is>
      </c>
      <c r="Q1857" s="277" t="n">
        <v>1</v>
      </c>
      <c r="R1857" s="5" t="inlineStr">
        <is>
          <t>JOB.</t>
        </is>
      </c>
      <c r="S1857" s="284">
        <f>RawDataGenPO[[#This Row],[Total price]]/RawDataGenPO[[#This Row],[Qty'']]</f>
        <v/>
      </c>
      <c r="T1857" s="278" t="n">
        <v>45000</v>
      </c>
      <c r="U1857" s="291" t="n"/>
      <c r="V1857" s="7" t="inlineStr">
        <is>
          <t>V1000653 - Inspector Consultant Plus Co., Ltd.</t>
        </is>
      </c>
      <c r="W1857" s="30" t="inlineStr">
        <is>
          <t xml:space="preserve">Waitting Supplier transportation </t>
        </is>
      </c>
      <c r="Z1857" s="23" t="n"/>
      <c r="AA1857" s="17">
        <f>IF(RawDataGenPO[[#This Row],[Date Gen PO]]="","",RawDataGenPO[[#This Row],[Date recive bill]]-RawDataGenPO[[#This Row],[Date Gen PO]])</f>
        <v/>
      </c>
      <c r="AB1857" s="16">
        <f>IF(RawDataGenPO[[#This Row],[GRN-PO date]]&gt;RawDataGenPO[[#This Row],[Lead time delivery (day)]],"over deliverry","Ontime")</f>
        <v/>
      </c>
      <c r="AC1857" s="22" t="n"/>
    </row>
    <row r="1858" ht="45" customHeight="1">
      <c r="A1858" s="5">
        <f>ROW()-ROW(RawDataGenPO[[#Headers],[No.]])</f>
        <v/>
      </c>
      <c r="B1858" s="29" t="inlineStr">
        <is>
          <t>Expent  cost</t>
        </is>
      </c>
      <c r="C1858" s="373" t="n"/>
      <c r="D1858" s="374" t="n"/>
      <c r="E1858" s="374" t="n"/>
      <c r="F1858" s="281" t="n">
        <v>46037</v>
      </c>
      <c r="G1858" s="5" t="inlineStr">
        <is>
          <t>PR2526-04275</t>
        </is>
      </c>
      <c r="H1858" s="5" t="inlineStr">
        <is>
          <t xml:space="preserve">PO2526-05966 </t>
        </is>
      </c>
      <c r="I1858" s="286" t="n">
        <v>46042</v>
      </c>
      <c r="J1858" s="26" t="n"/>
      <c r="K1858" s="20" t="n">
        <v>120</v>
      </c>
      <c r="L1858" s="5" t="inlineStr">
        <is>
          <t>SFST81000048</t>
        </is>
      </c>
      <c r="M1858" s="7" t="inlineStr">
        <is>
          <t>Cooling machine for PD line</t>
        </is>
      </c>
      <c r="N1858" s="7" t="inlineStr">
        <is>
          <t>Condencer Unit No.29 (Air Blast Freezer2)</t>
        </is>
      </c>
      <c r="O1858" s="11" t="n">
        <v>1</v>
      </c>
      <c r="P1858" s="10" t="inlineStr">
        <is>
          <t>COMPRESSOR FOR AIR BLAST 2
Labour cost
- Check for abnormalities</t>
        </is>
      </c>
      <c r="Q1858" s="277" t="n">
        <v>1</v>
      </c>
      <c r="R1858" s="5" t="inlineStr">
        <is>
          <t>JOB.</t>
        </is>
      </c>
      <c r="S1858" s="284">
        <f>RawDataGenPO[[#This Row],[Total price]]/RawDataGenPO[[#This Row],[Qty'']]</f>
        <v/>
      </c>
      <c r="T1858" s="278" t="n">
        <v>12000</v>
      </c>
      <c r="U1858" s="291" t="n"/>
      <c r="V1858" s="7" t="inlineStr">
        <is>
          <t>V1000055 - I.T.C.(1993) CO.,LTD.</t>
        </is>
      </c>
      <c r="W1858" s="30" t="inlineStr">
        <is>
          <t>Recive bill and GRN already</t>
        </is>
      </c>
      <c r="X1858" s="5" t="inlineStr">
        <is>
          <t>GRN2526-0007831</t>
        </is>
      </c>
      <c r="Y1858" s="3" t="n">
        <v>46059</v>
      </c>
      <c r="Z1858" s="23" t="n"/>
      <c r="AA1858" s="17">
        <f>IF(RawDataGenPO[[#This Row],[Date Gen PO]]="","",RawDataGenPO[[#This Row],[Date recive bill]]-RawDataGenPO[[#This Row],[Date Gen PO]])</f>
        <v/>
      </c>
      <c r="AB1858" s="16">
        <f>IF(RawDataGenPO[[#This Row],[GRN-PO date]]&gt;RawDataGenPO[[#This Row],[Lead time delivery (day)]],"over deliverry","Ontime")</f>
        <v/>
      </c>
      <c r="AC1858" s="22" t="n"/>
    </row>
    <row r="1859" ht="15" customHeight="1">
      <c r="A1859" s="5">
        <f>ROW()-ROW(RawDataGenPO[[#Headers],[No.]])</f>
        <v/>
      </c>
      <c r="B1859" s="29" t="inlineStr">
        <is>
          <t>Expent  cost</t>
        </is>
      </c>
      <c r="C1859" s="373" t="n"/>
      <c r="D1859" s="374" t="n"/>
      <c r="E1859" s="374" t="n"/>
      <c r="F1859" s="281" t="n">
        <v>46037</v>
      </c>
      <c r="G1859" s="5" t="inlineStr">
        <is>
          <t>PR2526-04276</t>
        </is>
      </c>
      <c r="H1859" s="5" t="inlineStr">
        <is>
          <t>PO2526-05967</t>
        </is>
      </c>
      <c r="I1859" s="286" t="n">
        <v>46042</v>
      </c>
      <c r="J1859" s="26" t="n"/>
      <c r="K1859" s="20" t="n">
        <v>30</v>
      </c>
      <c r="L1859" s="5" t="inlineStr">
        <is>
          <t>SFST81000048</t>
        </is>
      </c>
      <c r="M1859" s="7" t="inlineStr">
        <is>
          <t>Cooling machine for PD line</t>
        </is>
      </c>
      <c r="N1859" s="7" t="inlineStr">
        <is>
          <t>Cooling  part</t>
        </is>
      </c>
      <c r="O1859" s="11" t="n">
        <v>1</v>
      </c>
      <c r="P1859" s="10" t="inlineStr">
        <is>
          <t>Axial Fan 400 mm 1 P 220 V 4 Pole Sucking</t>
        </is>
      </c>
      <c r="Q1859" s="277" t="n">
        <v>3</v>
      </c>
      <c r="R1859" s="5" t="inlineStr">
        <is>
          <t>PCS.</t>
        </is>
      </c>
      <c r="S1859" s="284">
        <f>RawDataGenPO[[#This Row],[Total price]]/RawDataGenPO[[#This Row],[Qty'']]</f>
        <v/>
      </c>
      <c r="T1859" s="278" t="n">
        <v>34800</v>
      </c>
      <c r="U1859" s="291" t="n"/>
      <c r="V1859" s="7" t="inlineStr">
        <is>
          <t>V1000109 - Coolconnection Co., Ltd</t>
        </is>
      </c>
      <c r="W1859" s="30" t="inlineStr">
        <is>
          <t>Recive bill and GRN already</t>
        </is>
      </c>
      <c r="X1859" s="5" t="inlineStr">
        <is>
          <t>GRN2526-0007283</t>
        </is>
      </c>
      <c r="Y1859" s="3" t="n">
        <v>46044</v>
      </c>
      <c r="Z1859" s="23" t="n"/>
      <c r="AA1859" s="17">
        <f>IF(RawDataGenPO[[#This Row],[Date Gen PO]]="","",RawDataGenPO[[#This Row],[Date recive bill]]-RawDataGenPO[[#This Row],[Date Gen PO]])</f>
        <v/>
      </c>
      <c r="AB1859" s="16">
        <f>IF(RawDataGenPO[[#This Row],[GRN-PO date]]&gt;RawDataGenPO[[#This Row],[Lead time delivery (day)]],"over deliverry","Ontime")</f>
        <v/>
      </c>
      <c r="AC1859" s="22" t="n"/>
    </row>
    <row r="1860" ht="15" customHeight="1">
      <c r="A1860" s="5">
        <f>ROW()-ROW(RawDataGenPO[[#Headers],[No.]])</f>
        <v/>
      </c>
      <c r="B1860" s="29" t="inlineStr">
        <is>
          <t>Expent  cost</t>
        </is>
      </c>
      <c r="C1860" s="373" t="n"/>
      <c r="D1860" s="374" t="n"/>
      <c r="E1860" s="374" t="n"/>
      <c r="F1860" s="281" t="n">
        <v>46037</v>
      </c>
      <c r="G1860" s="5" t="inlineStr">
        <is>
          <t>PR2526-04276</t>
        </is>
      </c>
      <c r="H1860" s="5" t="inlineStr">
        <is>
          <t>PO2526-05967</t>
        </is>
      </c>
      <c r="I1860" s="286" t="n">
        <v>46042</v>
      </c>
      <c r="J1860" s="26" t="n"/>
      <c r="K1860" s="20" t="n">
        <v>30</v>
      </c>
      <c r="L1860" s="5" t="inlineStr">
        <is>
          <t>SFST81000048</t>
        </is>
      </c>
      <c r="M1860" s="7" t="inlineStr">
        <is>
          <t>Cooling machine for PD line</t>
        </is>
      </c>
      <c r="N1860" s="7" t="inlineStr">
        <is>
          <t>Cooling  part</t>
        </is>
      </c>
      <c r="O1860" s="11" t="n">
        <v>2</v>
      </c>
      <c r="P1860" s="10" t="inlineStr">
        <is>
          <t>Axial Fan 400 mm 1 P 220 V 4 Pole Sucking SS</t>
        </is>
      </c>
      <c r="Q1860" s="277" t="n">
        <v>3</v>
      </c>
      <c r="R1860" s="5" t="inlineStr">
        <is>
          <t>PCS.</t>
        </is>
      </c>
      <c r="S1860" s="284">
        <f>RawDataGenPO[[#This Row],[Total price]]/RawDataGenPO[[#This Row],[Qty'']]</f>
        <v/>
      </c>
      <c r="T1860" s="278" t="n">
        <v>20625</v>
      </c>
      <c r="U1860" s="291" t="n"/>
      <c r="V1860" s="7" t="inlineStr">
        <is>
          <t>V1000109 - Coolconnection Co., Ltd</t>
        </is>
      </c>
      <c r="W1860" s="30" t="inlineStr">
        <is>
          <t>Recive bill and GRN already</t>
        </is>
      </c>
      <c r="X1860" s="5" t="inlineStr">
        <is>
          <t>GRN2526-0007283</t>
        </is>
      </c>
      <c r="Y1860" s="3" t="n">
        <v>46044</v>
      </c>
      <c r="Z1860" s="23" t="n"/>
      <c r="AA1860" s="17">
        <f>IF(RawDataGenPO[[#This Row],[Date Gen PO]]="","",RawDataGenPO[[#This Row],[Date recive bill]]-RawDataGenPO[[#This Row],[Date Gen PO]])</f>
        <v/>
      </c>
      <c r="AB1860" s="16">
        <f>IF(RawDataGenPO[[#This Row],[GRN-PO date]]&gt;RawDataGenPO[[#This Row],[Lead time delivery (day)]],"over deliverry","Ontime")</f>
        <v/>
      </c>
      <c r="AC1860" s="22" t="n"/>
    </row>
    <row r="1861" ht="30" customHeight="1">
      <c r="A1861" s="5">
        <f>ROW()-ROW(RawDataGenPO[[#Headers],[No.]])</f>
        <v/>
      </c>
      <c r="B1861" s="29" t="inlineStr">
        <is>
          <t>Expent  cost</t>
        </is>
      </c>
      <c r="C1861" s="373" t="n"/>
      <c r="D1861" s="374" t="n"/>
      <c r="E1861" s="374" t="n"/>
      <c r="F1861" s="281" t="n">
        <v>46037</v>
      </c>
      <c r="G1861" s="5" t="inlineStr">
        <is>
          <t>PR2526-04277</t>
        </is>
      </c>
      <c r="H1861" s="31" t="inlineStr">
        <is>
          <t>PO2526-05968</t>
        </is>
      </c>
      <c r="I1861" s="286" t="n">
        <v>46042</v>
      </c>
      <c r="J1861" s="26" t="n"/>
      <c r="K1861" s="20" t="n">
        <v>60</v>
      </c>
      <c r="L1861" s="5" t="inlineStr">
        <is>
          <t>SFST81000048</t>
        </is>
      </c>
      <c r="M1861" s="7" t="inlineStr">
        <is>
          <t>PD Machine</t>
        </is>
      </c>
      <c r="N1861" s="7" t="inlineStr">
        <is>
          <t>Bowl Cutter (Chopper) No.1</t>
        </is>
      </c>
      <c r="O1861" s="11" t="n">
        <v>1</v>
      </c>
      <c r="P1861" s="10" t="inlineStr">
        <is>
          <t>Sharpening Knife for K + G Wetter for 1 Set (6 Pcs / Set)
Service chargempiecem K + G Wetter 6 piece / work</t>
        </is>
      </c>
      <c r="Q1861" s="277" t="n">
        <v>1</v>
      </c>
      <c r="R1861" s="5" t="inlineStr">
        <is>
          <t>JOB.</t>
        </is>
      </c>
      <c r="S1861" s="284">
        <f>RawDataGenPO[[#This Row],[Total price]]/RawDataGenPO[[#This Row],[Qty'']]</f>
        <v/>
      </c>
      <c r="T1861" s="278" t="n">
        <v>6000</v>
      </c>
      <c r="U1861" s="291" t="n"/>
      <c r="V1861" s="7" t="inlineStr">
        <is>
          <t>V1000189 - FPT FOOD PROCESS TECHNOLOGY CO., LTD.</t>
        </is>
      </c>
      <c r="W1861" s="30" t="inlineStr">
        <is>
          <t>Recive bill and GRN already</t>
        </is>
      </c>
      <c r="X1861" s="5" t="inlineStr">
        <is>
          <t>GRN2526-0007700</t>
        </is>
      </c>
      <c r="Y1861" s="3" t="n">
        <v>46056</v>
      </c>
      <c r="Z1861" s="23" t="n"/>
      <c r="AA1861" s="17">
        <f>IF(RawDataGenPO[[#This Row],[Date Gen PO]]="","",RawDataGenPO[[#This Row],[Date recive bill]]-RawDataGenPO[[#This Row],[Date Gen PO]])</f>
        <v/>
      </c>
      <c r="AB1861" s="16">
        <f>IF(RawDataGenPO[[#This Row],[GRN-PO date]]&gt;RawDataGenPO[[#This Row],[Lead time delivery (day)]],"over deliverry","Ontime")</f>
        <v/>
      </c>
      <c r="AC1861" s="22" t="n"/>
    </row>
    <row r="1862" ht="90" customHeight="1">
      <c r="A1862" s="5">
        <f>ROW()-ROW(RawDataGenPO[[#Headers],[No.]])</f>
        <v/>
      </c>
      <c r="B1862" s="29" t="inlineStr">
        <is>
          <t>Expent  cost</t>
        </is>
      </c>
      <c r="C1862" s="373" t="n"/>
      <c r="D1862" s="374" t="n"/>
      <c r="E1862" s="374" t="n"/>
      <c r="F1862" s="281" t="n">
        <v>46037</v>
      </c>
      <c r="G1862" s="5" t="inlineStr">
        <is>
          <t>PR2526-04280</t>
        </is>
      </c>
      <c r="H1862" s="5" t="inlineStr">
        <is>
          <t xml:space="preserve">PO2526-05969 </t>
        </is>
      </c>
      <c r="I1862" s="286" t="n">
        <v>46042</v>
      </c>
      <c r="J1862" s="26" t="n"/>
      <c r="K1862" s="20" t="n">
        <v>120</v>
      </c>
      <c r="L1862" s="5" t="inlineStr">
        <is>
          <t>SFST81000009</t>
        </is>
      </c>
      <c r="M1862" s="29" t="inlineStr">
        <is>
          <t>Civill jobs (Floor-Wall-Celling-roof)</t>
        </is>
      </c>
      <c r="N1862" s="7" t="inlineStr">
        <is>
          <t>Cevil jobs</t>
        </is>
      </c>
      <c r="O1862" s="11" t="n">
        <v>1</v>
      </c>
      <c r="P1862" s="10" t="inlineStr">
        <is>
          <t>workWm mtype
- Mat'l: SUS 304
- weld
- dismantlesetoutletandinstallsetnew
- workday (Saturday-Sunday-day)
- withmaterial 1 Job</t>
        </is>
      </c>
      <c r="Q1862" s="277" t="n">
        <v>1</v>
      </c>
      <c r="R1862" s="5" t="inlineStr">
        <is>
          <t>JOB.</t>
        </is>
      </c>
      <c r="S1862" s="284">
        <f>RawDataGenPO[[#This Row],[Total price]]/RawDataGenPO[[#This Row],[Qty'']]</f>
        <v/>
      </c>
      <c r="T1862" s="278" t="n">
        <v>15500</v>
      </c>
      <c r="U1862" s="291" t="n"/>
      <c r="V1862" s="7" t="inlineStr">
        <is>
          <t>V1000991 - S.G.A. SUPPLY CO.,LTD</t>
        </is>
      </c>
      <c r="W1862" s="30" t="inlineStr">
        <is>
          <t>Recive bill and GRN already</t>
        </is>
      </c>
      <c r="X1862" s="5" t="inlineStr">
        <is>
          <t>GRN2526-0007700</t>
        </is>
      </c>
      <c r="Y1862" s="3" t="n">
        <v>46056</v>
      </c>
      <c r="Z1862" s="23" t="n"/>
      <c r="AA1862" s="17">
        <f>IF(RawDataGenPO[[#This Row],[Date Gen PO]]="","",RawDataGenPO[[#This Row],[Date recive bill]]-RawDataGenPO[[#This Row],[Date Gen PO]])</f>
        <v/>
      </c>
      <c r="AB1862" s="16">
        <f>IF(RawDataGenPO[[#This Row],[GRN-PO date]]&gt;RawDataGenPO[[#This Row],[Lead time delivery (day)]],"over deliverry","Ontime")</f>
        <v/>
      </c>
      <c r="AC1862" s="22" t="n"/>
    </row>
    <row r="1863" ht="15" customHeight="1">
      <c r="A1863" s="5">
        <f>ROW()-ROW(RawDataGenPO[[#Headers],[No.]])</f>
        <v/>
      </c>
      <c r="B1863" s="29" t="n"/>
      <c r="C1863" s="373" t="n"/>
      <c r="D1863" s="374" t="n"/>
      <c r="E1863" s="374" t="n"/>
      <c r="F1863" s="281" t="n">
        <v>46037</v>
      </c>
      <c r="G1863" s="5" t="inlineStr">
        <is>
          <t>PR2526-04288</t>
        </is>
      </c>
      <c r="H1863" s="5" t="inlineStr">
        <is>
          <t>PO2526-05970</t>
        </is>
      </c>
      <c r="I1863" s="286" t="n">
        <v>46042</v>
      </c>
      <c r="J1863" s="26" t="n"/>
      <c r="K1863" s="20" t="n">
        <v>120</v>
      </c>
      <c r="L1863" s="5" t="inlineStr">
        <is>
          <t>SFST81000048</t>
        </is>
      </c>
      <c r="M1863" s="7" t="inlineStr">
        <is>
          <t>PD Machine</t>
        </is>
      </c>
      <c r="N1863" s="7" t="inlineStr">
        <is>
          <t>Condencer Unit No.33 (Ice Maker)</t>
        </is>
      </c>
      <c r="O1863" s="11" t="n">
        <v>1</v>
      </c>
      <c r="P1863" s="10" t="inlineStr">
        <is>
          <t>piecem (SI 2500 KG)</t>
        </is>
      </c>
      <c r="Q1863" s="277" t="n">
        <v>1</v>
      </c>
      <c r="R1863" s="5" t="inlineStr">
        <is>
          <t>JOB.</t>
        </is>
      </c>
      <c r="S1863" s="284">
        <f>RawDataGenPO[[#This Row],[Total price]]/RawDataGenPO[[#This Row],[Qty'']]</f>
        <v/>
      </c>
      <c r="T1863" s="278" t="n">
        <v>18967.5</v>
      </c>
      <c r="U1863" s="291" t="n"/>
      <c r="V1863" s="7" t="inlineStr">
        <is>
          <t>V1000654 - A AND B REFRIGERATION CO., LTD.</t>
        </is>
      </c>
      <c r="W1863" s="30" t="inlineStr">
        <is>
          <t>Recive bill and GRN already</t>
        </is>
      </c>
      <c r="X1863" s="5" t="inlineStr">
        <is>
          <t>GRN2627-0000717</t>
        </is>
      </c>
      <c r="Y1863" s="3" t="n">
        <v>46135</v>
      </c>
      <c r="Z1863" s="23" t="n"/>
      <c r="AA1863" s="17">
        <f>IF(RawDataGenPO[[#This Row],[Date Gen PO]]="","",RawDataGenPO[[#This Row],[Date recive bill]]-RawDataGenPO[[#This Row],[Date Gen PO]])</f>
        <v/>
      </c>
      <c r="AB1863" s="16">
        <f>IF(RawDataGenPO[[#This Row],[GRN-PO date]]&gt;RawDataGenPO[[#This Row],[Lead time delivery (day)]],"over deliverry","Ontime")</f>
        <v/>
      </c>
      <c r="AC1863" s="22" t="n"/>
    </row>
    <row r="1864" ht="15" customHeight="1">
      <c r="A1864" s="5">
        <f>ROW()-ROW(RawDataGenPO[[#Headers],[No.]])</f>
        <v/>
      </c>
      <c r="B1864" s="29" t="inlineStr">
        <is>
          <t>Expent  cost</t>
        </is>
      </c>
      <c r="C1864" s="373" t="n"/>
      <c r="D1864" s="374" t="n"/>
      <c r="E1864" s="374" t="n"/>
      <c r="F1864" s="281" t="n">
        <v>46037</v>
      </c>
      <c r="G1864" s="5" t="inlineStr">
        <is>
          <t>PR2526-04288</t>
        </is>
      </c>
      <c r="H1864" s="5" t="inlineStr">
        <is>
          <t>PO2526-05970</t>
        </is>
      </c>
      <c r="I1864" s="286" t="n">
        <v>46042</v>
      </c>
      <c r="J1864" s="26" t="n"/>
      <c r="K1864" s="20" t="n">
        <v>120</v>
      </c>
      <c r="L1864" s="5" t="inlineStr">
        <is>
          <t>SFST81000048</t>
        </is>
      </c>
      <c r="M1864" s="7" t="inlineStr">
        <is>
          <t>PD Machine</t>
        </is>
      </c>
      <c r="N1864" s="7" t="inlineStr">
        <is>
          <t>Condencer Unit No.33 (Ice Maker)</t>
        </is>
      </c>
      <c r="O1864" s="11" t="n">
        <v>2</v>
      </c>
      <c r="P1864" s="10" t="inlineStr">
        <is>
          <t>PART SI 2500 KG CUTTER</t>
        </is>
      </c>
      <c r="Q1864" s="277" t="n">
        <v>1</v>
      </c>
      <c r="R1864" s="5" t="inlineStr">
        <is>
          <t>JOB.</t>
        </is>
      </c>
      <c r="S1864" s="284">
        <f>RawDataGenPO[[#This Row],[Total price]]/RawDataGenPO[[#This Row],[Qty'']]</f>
        <v/>
      </c>
      <c r="T1864" s="278" t="n">
        <v>29500</v>
      </c>
      <c r="U1864" s="291" t="n"/>
      <c r="V1864" s="7" t="inlineStr">
        <is>
          <t>V1000654 - A AND B REFRIGERATION CO., LTD.</t>
        </is>
      </c>
      <c r="W1864" s="30" t="inlineStr">
        <is>
          <t>Recive bill and GRN already</t>
        </is>
      </c>
      <c r="X1864" s="5" t="inlineStr">
        <is>
          <t>GRN2627-0000717</t>
        </is>
      </c>
      <c r="Y1864" s="3" t="n">
        <v>46135</v>
      </c>
      <c r="Z1864" s="23" t="n"/>
      <c r="AA1864" s="17">
        <f>IF(RawDataGenPO[[#This Row],[Date Gen PO]]="","",RawDataGenPO[[#This Row],[Date recive bill]]-RawDataGenPO[[#This Row],[Date Gen PO]])</f>
        <v/>
      </c>
      <c r="AB1864" s="16">
        <f>IF(RawDataGenPO[[#This Row],[GRN-PO date]]&gt;RawDataGenPO[[#This Row],[Lead time delivery (day)]],"over deliverry","Ontime")</f>
        <v/>
      </c>
      <c r="AC1864" s="22" t="n"/>
    </row>
    <row r="1865" ht="15" customHeight="1">
      <c r="A1865" s="5">
        <f>ROW()-ROW(RawDataGenPO[[#Headers],[No.]])</f>
        <v/>
      </c>
      <c r="B1865" s="29" t="inlineStr">
        <is>
          <t>Expent  cost</t>
        </is>
      </c>
      <c r="C1865" s="373" t="n"/>
      <c r="D1865" s="374" t="n"/>
      <c r="E1865" s="374" t="n"/>
      <c r="F1865" s="281" t="n">
        <v>46037</v>
      </c>
      <c r="G1865" s="5" t="inlineStr">
        <is>
          <t>PR2526-04288</t>
        </is>
      </c>
      <c r="H1865" s="5" t="inlineStr">
        <is>
          <t>PO2526-05970</t>
        </is>
      </c>
      <c r="I1865" s="286" t="n">
        <v>46042</v>
      </c>
      <c r="J1865" s="26" t="n"/>
      <c r="K1865" s="20" t="n">
        <v>120</v>
      </c>
      <c r="L1865" s="5" t="inlineStr">
        <is>
          <t>SFST81000048</t>
        </is>
      </c>
      <c r="M1865" s="7" t="inlineStr">
        <is>
          <t>PD Machine</t>
        </is>
      </c>
      <c r="N1865" s="7" t="inlineStr">
        <is>
          <t>Condencer Unit No.33 (Ice Maker)</t>
        </is>
      </c>
      <c r="O1865" s="11" t="n">
        <v>3</v>
      </c>
      <c r="P1865" s="10" t="inlineStr">
        <is>
          <t>DENKI LEVEL CONTROL ANALOG NONE WATER AUTO#DF-SP11</t>
        </is>
      </c>
      <c r="Q1865" s="277" t="n">
        <v>1</v>
      </c>
      <c r="R1865" s="5" t="inlineStr">
        <is>
          <t>JOB.</t>
        </is>
      </c>
      <c r="S1865" s="284">
        <f>RawDataGenPO[[#This Row],[Total price]]/RawDataGenPO[[#This Row],[Qty'']]</f>
        <v/>
      </c>
      <c r="T1865" s="278" t="n">
        <v>1750</v>
      </c>
      <c r="U1865" s="291" t="n"/>
      <c r="V1865" s="7" t="inlineStr">
        <is>
          <t>V1000654 - A AND B REFRIGERATION CO., LTD.</t>
        </is>
      </c>
      <c r="W1865" s="30" t="inlineStr">
        <is>
          <t>Recive bill and GRN already</t>
        </is>
      </c>
      <c r="X1865" s="5" t="inlineStr">
        <is>
          <t>GRN2627-0000717</t>
        </is>
      </c>
      <c r="Y1865" s="3" t="n">
        <v>46135</v>
      </c>
      <c r="Z1865" s="23" t="n"/>
      <c r="AA1865" s="17">
        <f>IF(RawDataGenPO[[#This Row],[Date Gen PO]]="","",RawDataGenPO[[#This Row],[Date recive bill]]-RawDataGenPO[[#This Row],[Date Gen PO]])</f>
        <v/>
      </c>
      <c r="AB1865" s="16">
        <f>IF(RawDataGenPO[[#This Row],[GRN-PO date]]&gt;RawDataGenPO[[#This Row],[Lead time delivery (day)]],"over deliverry","Ontime")</f>
        <v/>
      </c>
      <c r="AC1865" s="22" t="n"/>
    </row>
    <row r="1866" ht="15" customHeight="1">
      <c r="A1866" s="5">
        <f>ROW()-ROW(RawDataGenPO[[#Headers],[No.]])</f>
        <v/>
      </c>
      <c r="B1866" s="29" t="inlineStr">
        <is>
          <t>Expent  cost</t>
        </is>
      </c>
      <c r="C1866" s="373" t="n"/>
      <c r="D1866" s="374" t="n"/>
      <c r="E1866" s="374" t="n"/>
      <c r="F1866" s="281" t="n">
        <v>46037</v>
      </c>
      <c r="G1866" s="5" t="inlineStr">
        <is>
          <t>PR2526-04288</t>
        </is>
      </c>
      <c r="H1866" s="5" t="inlineStr">
        <is>
          <t>PO2526-05970</t>
        </is>
      </c>
      <c r="I1866" s="286" t="n">
        <v>46042</v>
      </c>
      <c r="J1866" s="26" t="n"/>
      <c r="K1866" s="20" t="n">
        <v>120</v>
      </c>
      <c r="L1866" s="5" t="inlineStr">
        <is>
          <t>SFST81000048</t>
        </is>
      </c>
      <c r="M1866" s="7" t="inlineStr">
        <is>
          <t>PD Machine</t>
        </is>
      </c>
      <c r="N1866" s="7" t="inlineStr">
        <is>
          <t>Condencer Unit No.33 (Ice Maker)</t>
        </is>
      </c>
      <c r="O1866" s="11" t="n">
        <v>4</v>
      </c>
      <c r="P1866" s="10" t="inlineStr">
        <is>
          <t>DIXELL SENSOR TEMP 2 WIRING NTC (-40~105) DEGREE#NE900015</t>
        </is>
      </c>
      <c r="Q1866" s="277" t="n">
        <v>1</v>
      </c>
      <c r="R1866" s="5" t="inlineStr">
        <is>
          <t>JOB.</t>
        </is>
      </c>
      <c r="S1866" s="284">
        <f>RawDataGenPO[[#This Row],[Total price]]/RawDataGenPO[[#This Row],[Qty'']]</f>
        <v/>
      </c>
      <c r="T1866" s="278" t="n">
        <v>900</v>
      </c>
      <c r="U1866" s="291" t="n"/>
      <c r="V1866" s="7" t="inlineStr">
        <is>
          <t>V1000654 - A AND B REFRIGERATION CO., LTD.</t>
        </is>
      </c>
      <c r="W1866" s="30" t="inlineStr">
        <is>
          <t>Recive bill and GRN already</t>
        </is>
      </c>
      <c r="X1866" s="5" t="inlineStr">
        <is>
          <t>GRN2627-0000717</t>
        </is>
      </c>
      <c r="Y1866" s="3" t="n">
        <v>46135</v>
      </c>
      <c r="Z1866" s="23" t="n"/>
      <c r="AA1866" s="17">
        <f>IF(RawDataGenPO[[#This Row],[Date Gen PO]]="","",RawDataGenPO[[#This Row],[Date recive bill]]-RawDataGenPO[[#This Row],[Date Gen PO]])</f>
        <v/>
      </c>
      <c r="AB1866" s="16">
        <f>IF(RawDataGenPO[[#This Row],[GRN-PO date]]&gt;RawDataGenPO[[#This Row],[Lead time delivery (day)]],"over deliverry","Ontime")</f>
        <v/>
      </c>
      <c r="AC1866" s="22" t="n"/>
    </row>
    <row r="1867" ht="15" customHeight="1">
      <c r="A1867" s="5">
        <f>ROW()-ROW(RawDataGenPO[[#Headers],[No.]])</f>
        <v/>
      </c>
      <c r="B1867" s="29" t="inlineStr">
        <is>
          <t>Expent  cost</t>
        </is>
      </c>
      <c r="C1867" s="373" t="n"/>
      <c r="D1867" s="374" t="n"/>
      <c r="E1867" s="374" t="n"/>
      <c r="F1867" s="281" t="n">
        <v>46037</v>
      </c>
      <c r="G1867" s="5" t="inlineStr">
        <is>
          <t>PR2526-04288</t>
        </is>
      </c>
      <c r="H1867" s="5" t="inlineStr">
        <is>
          <t>PO2526-05970</t>
        </is>
      </c>
      <c r="I1867" s="286" t="n">
        <v>46042</v>
      </c>
      <c r="J1867" s="26" t="n"/>
      <c r="K1867" s="20" t="n">
        <v>120</v>
      </c>
      <c r="L1867" s="5" t="inlineStr">
        <is>
          <t>SFST81000048</t>
        </is>
      </c>
      <c r="M1867" s="7" t="inlineStr">
        <is>
          <t>PD Machine</t>
        </is>
      </c>
      <c r="N1867" s="7" t="inlineStr">
        <is>
          <t>Condencer Unit No.33 (Ice Maker)</t>
        </is>
      </c>
      <c r="O1867" s="11" t="n">
        <v>5</v>
      </c>
      <c r="P1867" s="10" t="inlineStr">
        <is>
          <t>Inspection service chargemachineflake iceincluding repair and round-trip travel cost</t>
        </is>
      </c>
      <c r="Q1867" s="277" t="n">
        <v>1</v>
      </c>
      <c r="R1867" s="5" t="inlineStr">
        <is>
          <t>JOB.</t>
        </is>
      </c>
      <c r="S1867" s="284">
        <f>RawDataGenPO[[#This Row],[Total price]]/RawDataGenPO[[#This Row],[Qty'']]</f>
        <v/>
      </c>
      <c r="T1867" s="278" t="n">
        <v>6500</v>
      </c>
      <c r="U1867" s="291" t="n"/>
      <c r="V1867" s="7" t="inlineStr">
        <is>
          <t>V1000654 - A AND B REFRIGERATION CO., LTD.</t>
        </is>
      </c>
      <c r="W1867" s="30" t="inlineStr">
        <is>
          <t>Recive bill and GRN already</t>
        </is>
      </c>
      <c r="X1867" s="5" t="inlineStr">
        <is>
          <t>GRN2627-0000717</t>
        </is>
      </c>
      <c r="Y1867" s="3" t="n">
        <v>46135</v>
      </c>
      <c r="Z1867" s="23" t="n"/>
      <c r="AA1867" s="17">
        <f>IF(RawDataGenPO[[#This Row],[Date Gen PO]]="","",RawDataGenPO[[#This Row],[Date recive bill]]-RawDataGenPO[[#This Row],[Date Gen PO]])</f>
        <v/>
      </c>
      <c r="AB1867" s="16">
        <f>IF(RawDataGenPO[[#This Row],[GRN-PO date]]&gt;RawDataGenPO[[#This Row],[Lead time delivery (day)]],"over deliverry","Ontime")</f>
        <v/>
      </c>
      <c r="AC1867" s="22" t="n"/>
    </row>
    <row r="1868" ht="15" customHeight="1">
      <c r="A1868" s="5">
        <f>ROW()-ROW(RawDataGenPO[[#Headers],[No.]])</f>
        <v/>
      </c>
      <c r="B1868" s="29" t="inlineStr">
        <is>
          <t>Expent  cost</t>
        </is>
      </c>
      <c r="C1868" s="373" t="n"/>
      <c r="D1868" s="374" t="n"/>
      <c r="E1868" s="374" t="n"/>
      <c r="F1868" s="281" t="n">
        <v>46037</v>
      </c>
      <c r="G1868" s="5" t="inlineStr">
        <is>
          <t>PR2526-04289</t>
        </is>
      </c>
      <c r="H1868" s="5" t="inlineStr">
        <is>
          <t>PO2526-05971</t>
        </is>
      </c>
      <c r="I1868" s="286" t="n">
        <v>46042</v>
      </c>
      <c r="J1868" s="26" t="n"/>
      <c r="K1868" s="20" t="n">
        <v>30</v>
      </c>
      <c r="L1868" s="5" t="inlineStr">
        <is>
          <t>SFST81000048</t>
        </is>
      </c>
      <c r="M1868" s="7" t="inlineStr">
        <is>
          <t>PD Machine</t>
        </is>
      </c>
      <c r="N1868" s="7" t="inlineStr">
        <is>
          <t>Machine Spare part</t>
        </is>
      </c>
      <c r="O1868" s="11" t="n">
        <v>1</v>
      </c>
      <c r="P1868" s="10" t="inlineStr">
        <is>
          <t>6SL3210-1KE12-3AF2 INV G120C(Filter); ProfiNet, 0.75KW, 3P,380VAC</t>
        </is>
      </c>
      <c r="Q1868" s="277" t="n">
        <v>2</v>
      </c>
      <c r="R1868" s="5" t="inlineStr">
        <is>
          <t>PCS.</t>
        </is>
      </c>
      <c r="S1868" s="284">
        <f>RawDataGenPO[[#This Row],[Total price]]/RawDataGenPO[[#This Row],[Qty'']]</f>
        <v/>
      </c>
      <c r="T1868" s="278" t="n">
        <v>24140</v>
      </c>
      <c r="U1868" s="291" t="n"/>
      <c r="V1868" s="7" t="inlineStr">
        <is>
          <t>V1000481 - Company JW Tech Ltd.</t>
        </is>
      </c>
      <c r="W1868" s="30" t="inlineStr">
        <is>
          <t>Recive bill and GRN already</t>
        </is>
      </c>
      <c r="X1868" s="5" t="inlineStr">
        <is>
          <t>GRN2526-0007284</t>
        </is>
      </c>
      <c r="Y1868" s="3" t="n">
        <v>46044</v>
      </c>
      <c r="Z1868" s="23" t="n"/>
      <c r="AA1868" s="17">
        <f>IF(RawDataGenPO[[#This Row],[Date Gen PO]]="","",RawDataGenPO[[#This Row],[Date recive bill]]-RawDataGenPO[[#This Row],[Date Gen PO]])</f>
        <v/>
      </c>
      <c r="AB1868" s="16">
        <f>IF(RawDataGenPO[[#This Row],[GRN-PO date]]&gt;RawDataGenPO[[#This Row],[Lead time delivery (day)]],"over deliverry","Ontime")</f>
        <v/>
      </c>
      <c r="AC1868" s="22" t="n"/>
    </row>
    <row r="1869" ht="15" customHeight="1">
      <c r="A1869" s="5">
        <f>ROW()-ROW(RawDataGenPO[[#Headers],[No.]])</f>
        <v/>
      </c>
      <c r="B1869" s="29" t="inlineStr">
        <is>
          <t>Expent  cost</t>
        </is>
      </c>
      <c r="C1869" s="373" t="n"/>
      <c r="D1869" s="374" t="n"/>
      <c r="E1869" s="374" t="n"/>
      <c r="F1869" s="281" t="n">
        <v>46037</v>
      </c>
      <c r="G1869" s="5" t="inlineStr">
        <is>
          <t>PR2526-04289</t>
        </is>
      </c>
      <c r="H1869" s="5" t="inlineStr">
        <is>
          <t>PO2526-05971</t>
        </is>
      </c>
      <c r="I1869" s="286" t="n">
        <v>46042</v>
      </c>
      <c r="J1869" s="26" t="n"/>
      <c r="K1869" s="20" t="n">
        <v>30</v>
      </c>
      <c r="L1869" s="5" t="inlineStr">
        <is>
          <t>SFST81000048</t>
        </is>
      </c>
      <c r="M1869" s="7" t="inlineStr">
        <is>
          <t>PD Machine</t>
        </is>
      </c>
      <c r="N1869" s="7" t="inlineStr">
        <is>
          <t>Machine Spare part</t>
        </is>
      </c>
      <c r="O1869" s="11" t="n">
        <v>2</v>
      </c>
      <c r="P1869" s="10" t="inlineStr">
        <is>
          <t>6SL3255-0AA00-4CA1 INVERTER G120 Operator Panel (BOP-2)</t>
        </is>
      </c>
      <c r="Q1869" s="277" t="n">
        <v>1</v>
      </c>
      <c r="R1869" s="5" t="inlineStr">
        <is>
          <t>PCS.</t>
        </is>
      </c>
      <c r="S1869" s="284">
        <f>RawDataGenPO[[#This Row],[Total price]]/RawDataGenPO[[#This Row],[Qty'']]</f>
        <v/>
      </c>
      <c r="T1869" s="278" t="n">
        <v>1190</v>
      </c>
      <c r="U1869" s="291" t="n"/>
      <c r="V1869" s="7" t="inlineStr">
        <is>
          <t>V1000481 - Company JW Tech Ltd.</t>
        </is>
      </c>
      <c r="W1869" s="30" t="inlineStr">
        <is>
          <t>Recive bill and GRN already</t>
        </is>
      </c>
      <c r="X1869" s="5" t="inlineStr">
        <is>
          <t>GRN2526-0007284</t>
        </is>
      </c>
      <c r="Y1869" s="3" t="n">
        <v>46044</v>
      </c>
      <c r="Z1869" s="23" t="n"/>
      <c r="AA1869" s="17">
        <f>IF(RawDataGenPO[[#This Row],[Date Gen PO]]="","",RawDataGenPO[[#This Row],[Date recive bill]]-RawDataGenPO[[#This Row],[Date Gen PO]])</f>
        <v/>
      </c>
      <c r="AB1869" s="16">
        <f>IF(RawDataGenPO[[#This Row],[GRN-PO date]]&gt;RawDataGenPO[[#This Row],[Lead time delivery (day)]],"over deliverry","Ontime")</f>
        <v/>
      </c>
      <c r="AC1869" s="22" t="n"/>
    </row>
    <row r="1870" ht="15" customHeight="1">
      <c r="A1870" s="5">
        <f>ROW()-ROW(RawDataGenPO[[#Headers],[No.]])</f>
        <v/>
      </c>
      <c r="B1870" s="29" t="inlineStr">
        <is>
          <t>Expent  cost</t>
        </is>
      </c>
      <c r="C1870" s="373" t="n"/>
      <c r="D1870" s="374" t="n"/>
      <c r="E1870" s="374" t="n"/>
      <c r="F1870" s="281" t="n">
        <v>46037</v>
      </c>
      <c r="G1870" s="5" t="inlineStr">
        <is>
          <t>PR2526-04290</t>
        </is>
      </c>
      <c r="H1870" s="5" t="inlineStr">
        <is>
          <t xml:space="preserve">PO2526-05972 </t>
        </is>
      </c>
      <c r="I1870" s="286" t="n">
        <v>46044</v>
      </c>
      <c r="J1870" s="26" t="n"/>
      <c r="K1870" s="20" t="n">
        <v>60</v>
      </c>
      <c r="L1870" s="5" t="inlineStr">
        <is>
          <t>SFST81000048</t>
        </is>
      </c>
      <c r="M1870" s="7" t="inlineStr">
        <is>
          <t>Cooling machine for PD line</t>
        </is>
      </c>
      <c r="N1870" s="7" t="inlineStr">
        <is>
          <t>Condencer Unit No.23 (Air Blast Freezer1)</t>
        </is>
      </c>
      <c r="O1870" s="11" t="n">
        <v>1</v>
      </c>
      <c r="P1870" s="10" t="inlineStr">
        <is>
          <t>Danfoss Ball Valve Solder GBC 42s # 009L7028 (1 5/8in)</t>
        </is>
      </c>
      <c r="Q1870" s="277" t="n">
        <v>2</v>
      </c>
      <c r="R1870" s="5" t="inlineStr">
        <is>
          <t>PCS.</t>
        </is>
      </c>
      <c r="S1870" s="284">
        <f>RawDataGenPO[[#This Row],[Total price]]/RawDataGenPO[[#This Row],[Qty'']]</f>
        <v/>
      </c>
      <c r="T1870" s="278" t="n">
        <v>10200</v>
      </c>
      <c r="U1870" s="291" t="n"/>
      <c r="V1870" s="7" t="inlineStr">
        <is>
          <t>V1000654 - A AND B REFRIGERATION CO., LTD.</t>
        </is>
      </c>
      <c r="W1870" s="30" t="inlineStr">
        <is>
          <t>Recive bill and GRN already</t>
        </is>
      </c>
      <c r="X1870" s="5" t="inlineStr">
        <is>
          <t>GRN2526-0008480</t>
        </is>
      </c>
      <c r="Y1870" s="3" t="n">
        <v>46083</v>
      </c>
      <c r="Z1870" s="23" t="n"/>
      <c r="AA1870" s="17">
        <f>IF(RawDataGenPO[[#This Row],[Date Gen PO]]="","",RawDataGenPO[[#This Row],[Date recive bill]]-RawDataGenPO[[#This Row],[Date Gen PO]])</f>
        <v/>
      </c>
      <c r="AB1870" s="16">
        <f>IF(RawDataGenPO[[#This Row],[GRN-PO date]]&gt;RawDataGenPO[[#This Row],[Lead time delivery (day)]],"over deliverry","Ontime")</f>
        <v/>
      </c>
      <c r="AC1870" s="22" t="n"/>
    </row>
    <row r="1871" ht="15" customHeight="1">
      <c r="A1871" s="5">
        <f>ROW()-ROW(RawDataGenPO[[#Headers],[No.]])</f>
        <v/>
      </c>
      <c r="B1871" s="29" t="inlineStr">
        <is>
          <t>Expent  cost</t>
        </is>
      </c>
      <c r="C1871" s="373" t="n"/>
      <c r="D1871" s="374" t="n"/>
      <c r="E1871" s="374" t="n"/>
      <c r="F1871" s="281" t="n">
        <v>46037</v>
      </c>
      <c r="G1871" s="5" t="inlineStr">
        <is>
          <t>PR2526-04290</t>
        </is>
      </c>
      <c r="H1871" s="5" t="inlineStr">
        <is>
          <t xml:space="preserve">PO2526-05972 </t>
        </is>
      </c>
      <c r="I1871" s="286" t="n">
        <v>46044</v>
      </c>
      <c r="J1871" s="26" t="n"/>
      <c r="K1871" s="20" t="n">
        <v>60</v>
      </c>
      <c r="L1871" s="5" t="inlineStr">
        <is>
          <t>SFST81000048</t>
        </is>
      </c>
      <c r="M1871" s="7" t="inlineStr">
        <is>
          <t>Cooling machine for PD line</t>
        </is>
      </c>
      <c r="N1871" s="7" t="inlineStr">
        <is>
          <t>Condencer Unit No.23 (Air Blast Freezer1)</t>
        </is>
      </c>
      <c r="O1871" s="11" t="n">
        <v>2</v>
      </c>
      <c r="P1871" s="10" t="inlineStr">
        <is>
          <t>equipment m gas welding rod elbowfittingconnectorbrass</t>
        </is>
      </c>
      <c r="Q1871" s="277" t="n">
        <v>1</v>
      </c>
      <c r="R1871" s="5" t="inlineStr">
        <is>
          <t>JOB.</t>
        </is>
      </c>
      <c r="S1871" s="284">
        <f>RawDataGenPO[[#This Row],[Total price]]/RawDataGenPO[[#This Row],[Qty'']]</f>
        <v/>
      </c>
      <c r="T1871" s="278" t="n">
        <v>1000</v>
      </c>
      <c r="U1871" s="291" t="n"/>
      <c r="V1871" s="7" t="inlineStr">
        <is>
          <t>V1000654 - A AND B REFRIGERATION CO., LTD.</t>
        </is>
      </c>
      <c r="W1871" s="30" t="inlineStr">
        <is>
          <t>Recive bill and GRN already</t>
        </is>
      </c>
      <c r="X1871" s="5" t="inlineStr">
        <is>
          <t>GRN2526-0008480</t>
        </is>
      </c>
      <c r="Y1871" s="3" t="n">
        <v>46083</v>
      </c>
      <c r="Z1871" s="23" t="n"/>
      <c r="AA1871" s="17">
        <f>IF(RawDataGenPO[[#This Row],[Date Gen PO]]="","",RawDataGenPO[[#This Row],[Date recive bill]]-RawDataGenPO[[#This Row],[Date Gen PO]])</f>
        <v/>
      </c>
      <c r="AB1871" s="16">
        <f>IF(RawDataGenPO[[#This Row],[GRN-PO date]]&gt;RawDataGenPO[[#This Row],[Lead time delivery (day)]],"over deliverry","Ontime")</f>
        <v/>
      </c>
      <c r="AC1871" s="22" t="n"/>
    </row>
    <row r="1872" ht="15" customHeight="1">
      <c r="A1872" s="5">
        <f>ROW()-ROW(RawDataGenPO[[#Headers],[No.]])</f>
        <v/>
      </c>
      <c r="B1872" s="29" t="inlineStr">
        <is>
          <t>Expent  cost</t>
        </is>
      </c>
      <c r="C1872" s="373" t="n"/>
      <c r="D1872" s="374" t="n"/>
      <c r="E1872" s="374" t="n"/>
      <c r="F1872" s="281" t="n">
        <v>46037</v>
      </c>
      <c r="G1872" s="5" t="inlineStr">
        <is>
          <t>PR2526-04290</t>
        </is>
      </c>
      <c r="H1872" s="5" t="inlineStr">
        <is>
          <t xml:space="preserve">PO2526-05972 </t>
        </is>
      </c>
      <c r="I1872" s="286" t="n">
        <v>46044</v>
      </c>
      <c r="J1872" s="26" t="n"/>
      <c r="K1872" s="20" t="n">
        <v>60</v>
      </c>
      <c r="L1872" s="5" t="inlineStr">
        <is>
          <t>SFST81000048</t>
        </is>
      </c>
      <c r="M1872" s="7" t="inlineStr">
        <is>
          <t>Cooling machine for PD line</t>
        </is>
      </c>
      <c r="N1872" s="7" t="inlineStr">
        <is>
          <t>Condencer Unit No.23 (Air Blast Freezer1)</t>
        </is>
      </c>
      <c r="O1872" s="11" t="n">
        <v>3</v>
      </c>
      <c r="P1872" s="10" t="inlineStr">
        <is>
          <t>Inspection service chargeincluding repair and round-trip travel cost</t>
        </is>
      </c>
      <c r="Q1872" s="277" t="n">
        <v>1</v>
      </c>
      <c r="R1872" s="5" t="inlineStr">
        <is>
          <t>JOB.</t>
        </is>
      </c>
      <c r="S1872" s="284">
        <f>RawDataGenPO[[#This Row],[Total price]]/RawDataGenPO[[#This Row],[Qty'']]</f>
        <v/>
      </c>
      <c r="T1872" s="278" t="n">
        <v>6090</v>
      </c>
      <c r="U1872" s="291" t="n"/>
      <c r="V1872" s="7" t="inlineStr">
        <is>
          <t>V1000654 - A AND B REFRIGERATION CO., LTD.</t>
        </is>
      </c>
      <c r="W1872" s="30" t="inlineStr">
        <is>
          <t>Recive bill and GRN already</t>
        </is>
      </c>
      <c r="X1872" s="5" t="inlineStr">
        <is>
          <t>GRN2526-0008480</t>
        </is>
      </c>
      <c r="Y1872" s="3" t="n">
        <v>46083</v>
      </c>
      <c r="Z1872" s="23" t="n"/>
      <c r="AA1872" s="17">
        <f>IF(RawDataGenPO[[#This Row],[Date Gen PO]]="","",RawDataGenPO[[#This Row],[Date recive bill]]-RawDataGenPO[[#This Row],[Date Gen PO]])</f>
        <v/>
      </c>
      <c r="AB1872" s="16">
        <f>IF(RawDataGenPO[[#This Row],[GRN-PO date]]&gt;RawDataGenPO[[#This Row],[Lead time delivery (day)]],"over deliverry","Ontime")</f>
        <v/>
      </c>
      <c r="AC1872" s="22" t="n"/>
    </row>
    <row r="1873" ht="45" customHeight="1">
      <c r="A1873" s="5">
        <f>ROW()-ROW(RawDataGenPO[[#Headers],[No.]])</f>
        <v/>
      </c>
      <c r="B1873" s="29" t="inlineStr">
        <is>
          <t>Expent  cost</t>
        </is>
      </c>
      <c r="C1873" s="373" t="n"/>
      <c r="D1873" s="374" t="n"/>
      <c r="E1873" s="374" t="n"/>
      <c r="F1873" s="281" t="n">
        <v>46037</v>
      </c>
      <c r="G1873" s="5" t="inlineStr">
        <is>
          <t>PR2526-04294</t>
        </is>
      </c>
      <c r="H1873" s="5" t="inlineStr">
        <is>
          <t xml:space="preserve">PO2526-05973 </t>
        </is>
      </c>
      <c r="I1873" s="286" t="n">
        <v>46044</v>
      </c>
      <c r="J1873" s="26" t="n"/>
      <c r="K1873" s="20" t="n">
        <v>120</v>
      </c>
      <c r="L1873" s="5" t="inlineStr">
        <is>
          <t>SFST81000048</t>
        </is>
      </c>
      <c r="M1873" s="7" t="inlineStr">
        <is>
          <t>PD Machine</t>
        </is>
      </c>
      <c r="N1873" s="7" t="inlineStr">
        <is>
          <t>Steam Bratt pan No.1</t>
        </is>
      </c>
      <c r="O1873" s="11" t="n">
        <v>1</v>
      </c>
      <c r="P1873" s="10" t="inlineStr">
        <is>
          <t>workrelocatemachine Steam Bratt Pan No.1 &amp; Round Bratt Pan No.2 (workm)
workmDismantling work-relocate-install Steam Round Bratt Pan No.1
workmpipe Main Steam Supply-Condensate Wmto Jacket + Main Valve</t>
        </is>
      </c>
      <c r="Q1873" s="277" t="n">
        <v>1</v>
      </c>
      <c r="R1873" s="5" t="inlineStr">
        <is>
          <t>JOB.</t>
        </is>
      </c>
      <c r="S1873" s="284">
        <f>RawDataGenPO[[#This Row],[Total price]]/RawDataGenPO[[#This Row],[Qty'']]</f>
        <v/>
      </c>
      <c r="T1873" s="278" t="n">
        <v>5000</v>
      </c>
      <c r="U1873" s="291" t="n"/>
      <c r="V1873" s="7" t="inlineStr">
        <is>
          <t>V1000922 - WORMMEC COMPANY LIMITED</t>
        </is>
      </c>
      <c r="W1873" s="30" t="inlineStr">
        <is>
          <t>Recive bill and GRN already</t>
        </is>
      </c>
      <c r="X1873" s="5" t="inlineStr">
        <is>
          <t>GRN2526-0007788</t>
        </is>
      </c>
      <c r="Y1873" s="3" t="n">
        <v>46058</v>
      </c>
      <c r="Z1873" s="23" t="n"/>
      <c r="AA1873" s="17">
        <f>IF(RawDataGenPO[[#This Row],[Date Gen PO]]="","",RawDataGenPO[[#This Row],[Date recive bill]]-RawDataGenPO[[#This Row],[Date Gen PO]])</f>
        <v/>
      </c>
      <c r="AB1873" s="16">
        <f>IF(RawDataGenPO[[#This Row],[GRN-PO date]]&gt;RawDataGenPO[[#This Row],[Lead time delivery (day)]],"over deliverry","Ontime")</f>
        <v/>
      </c>
      <c r="AC1873" s="22" t="n"/>
    </row>
    <row r="1874" ht="15" customHeight="1">
      <c r="A1874" s="5">
        <f>ROW()-ROW(RawDataGenPO[[#Headers],[No.]])</f>
        <v/>
      </c>
      <c r="B1874" s="29" t="inlineStr">
        <is>
          <t>Expent  cost</t>
        </is>
      </c>
      <c r="C1874" s="373" t="n"/>
      <c r="D1874" s="374" t="n"/>
      <c r="E1874" s="374" t="n"/>
      <c r="F1874" s="281" t="n">
        <v>46037</v>
      </c>
      <c r="G1874" s="5" t="inlineStr">
        <is>
          <t>PR2526-04294</t>
        </is>
      </c>
      <c r="H1874" s="5" t="inlineStr">
        <is>
          <t xml:space="preserve">PO2526-05973 </t>
        </is>
      </c>
      <c r="I1874" s="286" t="n">
        <v>46044</v>
      </c>
      <c r="J1874" s="26" t="n"/>
      <c r="K1874" s="20" t="n">
        <v>120</v>
      </c>
      <c r="L1874" s="5" t="inlineStr">
        <is>
          <t>SFST81000048</t>
        </is>
      </c>
      <c r="M1874" s="7" t="inlineStr">
        <is>
          <t>PD Machine</t>
        </is>
      </c>
      <c r="N1874" s="7" t="inlineStr">
        <is>
          <t>Steam Bratt pan No.1</t>
        </is>
      </c>
      <c r="O1874" s="11" t="n">
        <v>2</v>
      </c>
      <c r="P1874" s="10" t="inlineStr">
        <is>
          <t>Pipe Size 3/4"</t>
        </is>
      </c>
      <c r="Q1874" s="277" t="n">
        <v>24</v>
      </c>
      <c r="R1874" s="5" t="inlineStr">
        <is>
          <t>JOB.</t>
        </is>
      </c>
      <c r="S1874" s="284">
        <f>RawDataGenPO[[#This Row],[Total price]]/RawDataGenPO[[#This Row],[Qty'']]</f>
        <v/>
      </c>
      <c r="T1874" s="278" t="n">
        <v>26000</v>
      </c>
      <c r="U1874" s="291" t="n"/>
      <c r="V1874" s="7" t="inlineStr">
        <is>
          <t>V1000922 - WORMMEC COMPANY LIMITED</t>
        </is>
      </c>
      <c r="W1874" s="30" t="inlineStr">
        <is>
          <t>Recive bill and GRN already</t>
        </is>
      </c>
      <c r="X1874" s="5" t="inlineStr">
        <is>
          <t>GRN2526-0007788</t>
        </is>
      </c>
      <c r="Y1874" s="3" t="n">
        <v>46058</v>
      </c>
      <c r="Z1874" s="23" t="n"/>
      <c r="AA1874" s="17">
        <f>IF(RawDataGenPO[[#This Row],[Date Gen PO]]="","",RawDataGenPO[[#This Row],[Date recive bill]]-RawDataGenPO[[#This Row],[Date Gen PO]])</f>
        <v/>
      </c>
      <c r="AB1874" s="16">
        <f>IF(RawDataGenPO[[#This Row],[GRN-PO date]]&gt;RawDataGenPO[[#This Row],[Lead time delivery (day)]],"over deliverry","Ontime")</f>
        <v/>
      </c>
      <c r="AC1874" s="22" t="n"/>
    </row>
    <row r="1875" ht="15" customHeight="1">
      <c r="A1875" s="5">
        <f>ROW()-ROW(RawDataGenPO[[#Headers],[No.]])</f>
        <v/>
      </c>
      <c r="B1875" s="29" t="inlineStr">
        <is>
          <t>Expent  cost</t>
        </is>
      </c>
      <c r="C1875" s="373" t="n"/>
      <c r="D1875" s="374" t="n"/>
      <c r="E1875" s="374" t="n"/>
      <c r="F1875" s="281" t="n">
        <v>46037</v>
      </c>
      <c r="G1875" s="5" t="inlineStr">
        <is>
          <t>PR2526-04294</t>
        </is>
      </c>
      <c r="H1875" s="5" t="inlineStr">
        <is>
          <t xml:space="preserve">PO2526-05973 </t>
        </is>
      </c>
      <c r="I1875" s="286" t="n">
        <v>46044</v>
      </c>
      <c r="J1875" s="26" t="n"/>
      <c r="K1875" s="20" t="n">
        <v>120</v>
      </c>
      <c r="L1875" s="5" t="inlineStr">
        <is>
          <t>SFST81000048</t>
        </is>
      </c>
      <c r="M1875" s="7" t="inlineStr">
        <is>
          <t>PD Machine</t>
        </is>
      </c>
      <c r="N1875" s="7" t="inlineStr">
        <is>
          <t>Steam Bratt pan No.1</t>
        </is>
      </c>
      <c r="O1875" s="11" t="n">
        <v>3</v>
      </c>
      <c r="P1875" s="10" t="inlineStr">
        <is>
          <t>Pipe Fitting</t>
        </is>
      </c>
      <c r="Q1875" s="277" t="n">
        <v>1</v>
      </c>
      <c r="R1875" s="5" t="inlineStr">
        <is>
          <t>JOB.</t>
        </is>
      </c>
      <c r="S1875" s="284">
        <f>RawDataGenPO[[#This Row],[Total price]]/RawDataGenPO[[#This Row],[Qty'']]</f>
        <v/>
      </c>
      <c r="T1875" s="278" t="n">
        <v>1850</v>
      </c>
      <c r="U1875" s="291" t="n"/>
      <c r="V1875" s="7" t="inlineStr">
        <is>
          <t>V1000922 - WORMMEC COMPANY LIMITED</t>
        </is>
      </c>
      <c r="W1875" s="30" t="inlineStr">
        <is>
          <t>Recive bill and GRN already</t>
        </is>
      </c>
      <c r="X1875" s="5" t="inlineStr">
        <is>
          <t>GRN2526-0007788</t>
        </is>
      </c>
      <c r="Y1875" s="3" t="n">
        <v>46058</v>
      </c>
      <c r="Z1875" s="23" t="n"/>
      <c r="AA1875" s="17">
        <f>IF(RawDataGenPO[[#This Row],[Date Gen PO]]="","",RawDataGenPO[[#This Row],[Date recive bill]]-RawDataGenPO[[#This Row],[Date Gen PO]])</f>
        <v/>
      </c>
      <c r="AB1875" s="16">
        <f>IF(RawDataGenPO[[#This Row],[GRN-PO date]]&gt;RawDataGenPO[[#This Row],[Lead time delivery (day)]],"over deliverry","Ontime")</f>
        <v/>
      </c>
      <c r="AC1875" s="22" t="n"/>
    </row>
    <row r="1876" ht="15" customHeight="1">
      <c r="A1876" s="5">
        <f>ROW()-ROW(RawDataGenPO[[#Headers],[No.]])</f>
        <v/>
      </c>
      <c r="B1876" s="29" t="inlineStr">
        <is>
          <t>Expent  cost</t>
        </is>
      </c>
      <c r="C1876" s="373" t="n"/>
      <c r="D1876" s="374" t="n"/>
      <c r="E1876" s="374" t="n"/>
      <c r="F1876" s="281" t="n">
        <v>46037</v>
      </c>
      <c r="G1876" s="5" t="inlineStr">
        <is>
          <t>PR2526-04294</t>
        </is>
      </c>
      <c r="H1876" s="5" t="inlineStr">
        <is>
          <t xml:space="preserve">PO2526-05973 </t>
        </is>
      </c>
      <c r="I1876" s="286" t="n">
        <v>46044</v>
      </c>
      <c r="J1876" s="26" t="n"/>
      <c r="K1876" s="20" t="n">
        <v>120</v>
      </c>
      <c r="L1876" s="5" t="inlineStr">
        <is>
          <t>SFST81000048</t>
        </is>
      </c>
      <c r="M1876" s="7" t="inlineStr">
        <is>
          <t>PD Machine</t>
        </is>
      </c>
      <c r="N1876" s="7" t="inlineStr">
        <is>
          <t>Steam Bratt pan No.2</t>
        </is>
      </c>
      <c r="O1876" s="43" t="n">
        <v>4</v>
      </c>
      <c r="P1876" s="42" t="inlineStr">
        <is>
          <t>Jacket Aluminium Insulation</t>
        </is>
      </c>
      <c r="Q1876" s="323" t="n">
        <v>24</v>
      </c>
      <c r="R1876" s="5" t="inlineStr">
        <is>
          <t>JOB.</t>
        </is>
      </c>
      <c r="S1876" s="292">
        <f>RawDataGenPO[[#This Row],[Total price]]/RawDataGenPO[[#This Row],[Qty'']]</f>
        <v/>
      </c>
      <c r="T1876" s="324" t="n">
        <v>31200</v>
      </c>
      <c r="U1876" s="325" t="n"/>
      <c r="V1876" s="7" t="inlineStr">
        <is>
          <t>V1000922 - WORMMEC COMPANY LIMITED</t>
        </is>
      </c>
      <c r="W1876" s="30" t="inlineStr">
        <is>
          <t>Recive bill and GRN already</t>
        </is>
      </c>
      <c r="X1876" s="5" t="inlineStr">
        <is>
          <t>GRN2526-0007788</t>
        </is>
      </c>
      <c r="Y1876" s="3" t="n">
        <v>46058</v>
      </c>
      <c r="Z1876" s="23" t="n"/>
      <c r="AA1876" s="37">
        <f>IF(RawDataGenPO[[#This Row],[Date Gen PO]]="","",RawDataGenPO[[#This Row],[Date recive bill]]-RawDataGenPO[[#This Row],[Date Gen PO]])</f>
        <v/>
      </c>
      <c r="AB1876" s="36">
        <f>IF(RawDataGenPO[[#This Row],[GRN-PO date]]&gt;RawDataGenPO[[#This Row],[Lead time delivery (day)]],"over deliverry","Ontime")</f>
        <v/>
      </c>
      <c r="AC1876" s="35" t="n"/>
    </row>
    <row r="1877" ht="15" customHeight="1">
      <c r="A1877" s="5">
        <f>ROW()-ROW(RawDataGenPO[[#Headers],[No.]])</f>
        <v/>
      </c>
      <c r="B1877" s="29" t="inlineStr">
        <is>
          <t>Expent  cost</t>
        </is>
      </c>
      <c r="C1877" s="373" t="n"/>
      <c r="D1877" s="374" t="n"/>
      <c r="E1877" s="374" t="n"/>
      <c r="F1877" s="281" t="n">
        <v>46037</v>
      </c>
      <c r="G1877" s="5" t="inlineStr">
        <is>
          <t>PR2526-04294</t>
        </is>
      </c>
      <c r="H1877" s="5" t="inlineStr">
        <is>
          <t xml:space="preserve">PO2526-05973 </t>
        </is>
      </c>
      <c r="I1877" s="286" t="n">
        <v>46044</v>
      </c>
      <c r="J1877" s="26" t="n"/>
      <c r="K1877" s="20" t="n">
        <v>120</v>
      </c>
      <c r="L1877" s="5" t="inlineStr">
        <is>
          <t>SFST81000048</t>
        </is>
      </c>
      <c r="M1877" s="7" t="inlineStr">
        <is>
          <t>PD Machine</t>
        </is>
      </c>
      <c r="N1877" s="7" t="inlineStr">
        <is>
          <t>Steam Bratt pan No.2</t>
        </is>
      </c>
      <c r="O1877" s="11" t="n">
        <v>5</v>
      </c>
      <c r="P1877" s="10" t="inlineStr">
        <is>
          <t>Pipe Support</t>
        </is>
      </c>
      <c r="Q1877" s="277" t="n">
        <v>1</v>
      </c>
      <c r="R1877" s="5" t="inlineStr">
        <is>
          <t>JOB.</t>
        </is>
      </c>
      <c r="S1877" s="284">
        <f>RawDataGenPO[[#This Row],[Total price]]/RawDataGenPO[[#This Row],[Qty'']]</f>
        <v/>
      </c>
      <c r="T1877" s="278" t="n">
        <v>1850</v>
      </c>
      <c r="U1877" s="291" t="n"/>
      <c r="V1877" s="7" t="inlineStr">
        <is>
          <t>V1000922 - WORMMEC COMPANY LIMITED</t>
        </is>
      </c>
      <c r="W1877" s="30" t="inlineStr">
        <is>
          <t>Recive bill and GRN already</t>
        </is>
      </c>
      <c r="X1877" s="5" t="inlineStr">
        <is>
          <t>GRN2526-0007788</t>
        </is>
      </c>
      <c r="Y1877" s="3" t="n">
        <v>46058</v>
      </c>
      <c r="Z1877" s="23" t="n"/>
      <c r="AA1877" s="17">
        <f>IF(RawDataGenPO[[#This Row],[Date Gen PO]]="","",RawDataGenPO[[#This Row],[Date recive bill]]-RawDataGenPO[[#This Row],[Date Gen PO]])</f>
        <v/>
      </c>
      <c r="AB1877" s="16">
        <f>IF(RawDataGenPO[[#This Row],[GRN-PO date]]&gt;RawDataGenPO[[#This Row],[Lead time delivery (day)]],"over deliverry","Ontime")</f>
        <v/>
      </c>
      <c r="AC1877" s="22" t="n"/>
    </row>
    <row r="1878" ht="30" customHeight="1">
      <c r="A1878" s="5">
        <f>ROW()-ROW(RawDataGenPO[[#Headers],[No.]])</f>
        <v/>
      </c>
      <c r="B1878" s="29" t="inlineStr">
        <is>
          <t>Expent  cost</t>
        </is>
      </c>
      <c r="C1878" s="373" t="n"/>
      <c r="D1878" s="374" t="n"/>
      <c r="E1878" s="374" t="n"/>
      <c r="F1878" s="281" t="n">
        <v>46037</v>
      </c>
      <c r="G1878" s="5" t="inlineStr">
        <is>
          <t>PR2526-04294</t>
        </is>
      </c>
      <c r="H1878" s="5" t="inlineStr">
        <is>
          <t xml:space="preserve">PO2526-05973 </t>
        </is>
      </c>
      <c r="I1878" s="286" t="n">
        <v>46044</v>
      </c>
      <c r="J1878" s="26" t="n"/>
      <c r="K1878" s="20" t="n">
        <v>120</v>
      </c>
      <c r="L1878" s="5" t="inlineStr">
        <is>
          <t>SFST81000048</t>
        </is>
      </c>
      <c r="M1878" s="7" t="inlineStr">
        <is>
          <t>PD Machine</t>
        </is>
      </c>
      <c r="N1878" s="7" t="inlineStr">
        <is>
          <t>Steam Bratt pan No.2</t>
        </is>
      </c>
      <c r="O1878" s="11" t="n">
        <v>6</v>
      </c>
      <c r="P1878" s="10" t="inlineStr">
        <is>
          <t>Main valve
Overhead &amp; Profit</t>
        </is>
      </c>
      <c r="Q1878" s="277" t="n">
        <v>4</v>
      </c>
      <c r="R1878" s="5" t="inlineStr">
        <is>
          <t>JOB.</t>
        </is>
      </c>
      <c r="S1878" s="284">
        <f>RawDataGenPO[[#This Row],[Total price]]/RawDataGenPO[[#This Row],[Qty'']]</f>
        <v/>
      </c>
      <c r="T1878" s="278" t="n">
        <v>19000</v>
      </c>
      <c r="U1878" s="291" t="n"/>
      <c r="V1878" s="7" t="inlineStr">
        <is>
          <t>V1000922 - WORMMEC COMPANY LIMITED</t>
        </is>
      </c>
      <c r="W1878" s="30" t="inlineStr">
        <is>
          <t>Recive bill and GRN already</t>
        </is>
      </c>
      <c r="X1878" s="5" t="inlineStr">
        <is>
          <t>GRN2526-0007788</t>
        </is>
      </c>
      <c r="Y1878" s="3" t="n">
        <v>46058</v>
      </c>
      <c r="Z1878" s="23" t="n"/>
      <c r="AA1878" s="17">
        <f>IF(RawDataGenPO[[#This Row],[Date Gen PO]]="","",RawDataGenPO[[#This Row],[Date recive bill]]-RawDataGenPO[[#This Row],[Date Gen PO]])</f>
        <v/>
      </c>
      <c r="AB1878" s="16">
        <f>IF(RawDataGenPO[[#This Row],[GRN-PO date]]&gt;RawDataGenPO[[#This Row],[Lead time delivery (day)]],"over deliverry","Ontime")</f>
        <v/>
      </c>
      <c r="AC1878" s="22" t="n"/>
    </row>
    <row r="1879" ht="30" customHeight="1">
      <c r="A1879" s="5">
        <f>ROW()-ROW(RawDataGenPO[[#Headers],[No.]])</f>
        <v/>
      </c>
      <c r="B1879" s="29" t="inlineStr">
        <is>
          <t>Expent  cost</t>
        </is>
      </c>
      <c r="C1879" s="373" t="n"/>
      <c r="D1879" s="374" t="n"/>
      <c r="E1879" s="374" t="n"/>
      <c r="F1879" s="281" t="n">
        <v>46037</v>
      </c>
      <c r="G1879" s="5" t="inlineStr">
        <is>
          <t>PR2526-04294</t>
        </is>
      </c>
      <c r="H1879" s="5" t="inlineStr">
        <is>
          <t xml:space="preserve">PO2526-05973 </t>
        </is>
      </c>
      <c r="I1879" s="286" t="n">
        <v>46044</v>
      </c>
      <c r="J1879" s="26" t="n"/>
      <c r="K1879" s="20" t="n">
        <v>120</v>
      </c>
      <c r="L1879" s="5" t="inlineStr">
        <is>
          <t>SFST81000048</t>
        </is>
      </c>
      <c r="M1879" s="7" t="inlineStr">
        <is>
          <t>PD Machine</t>
        </is>
      </c>
      <c r="N1879" s="7" t="inlineStr">
        <is>
          <t>Steam Bratt pan No.2</t>
        </is>
      </c>
      <c r="O1879" s="11" t="n">
        <v>7</v>
      </c>
      <c r="P1879" s="10" t="inlineStr">
        <is>
          <t>On site service, Transport, Hand Tools Haevy Tools, and Overhead Profit</t>
        </is>
      </c>
      <c r="Q1879" s="277" t="n">
        <v>1</v>
      </c>
      <c r="R1879" s="5" t="inlineStr">
        <is>
          <t>JOB.</t>
        </is>
      </c>
      <c r="S1879" s="284">
        <f>RawDataGenPO[[#This Row],[Total price]]/RawDataGenPO[[#This Row],[Qty'']]</f>
        <v/>
      </c>
      <c r="T1879" s="278" t="n">
        <v>7500</v>
      </c>
      <c r="U1879" s="291" t="n"/>
      <c r="V1879" s="7" t="inlineStr">
        <is>
          <t>V1000922 - WORMMEC COMPANY LIMITED</t>
        </is>
      </c>
      <c r="W1879" s="30" t="inlineStr">
        <is>
          <t>Recive bill and GRN already</t>
        </is>
      </c>
      <c r="X1879" s="5" t="inlineStr">
        <is>
          <t>GRN2526-0007788</t>
        </is>
      </c>
      <c r="Y1879" s="3" t="n">
        <v>46058</v>
      </c>
      <c r="Z1879" s="23" t="n"/>
      <c r="AA1879" s="17">
        <f>IF(RawDataGenPO[[#This Row],[Date Gen PO]]="","",RawDataGenPO[[#This Row],[Date recive bill]]-RawDataGenPO[[#This Row],[Date Gen PO]])</f>
        <v/>
      </c>
      <c r="AB1879" s="16">
        <f>IF(RawDataGenPO[[#This Row],[GRN-PO date]]&gt;RawDataGenPO[[#This Row],[Lead time delivery (day)]],"over deliverry","Ontime")</f>
        <v/>
      </c>
      <c r="AC1879" s="22" t="n"/>
    </row>
    <row r="1880" ht="60" customHeight="1">
      <c r="A1880" s="5">
        <f>ROW()-ROW(RawDataGenPO[[#Headers],[No.]])</f>
        <v/>
      </c>
      <c r="B1880" s="29" t="inlineStr">
        <is>
          <t>Expent  cost</t>
        </is>
      </c>
      <c r="C1880" s="373" t="n"/>
      <c r="D1880" s="374" t="n"/>
      <c r="E1880" s="374" t="n"/>
      <c r="F1880" s="281" t="n">
        <v>46041</v>
      </c>
      <c r="G1880" s="5" t="inlineStr">
        <is>
          <t>PR2526-04359</t>
        </is>
      </c>
      <c r="H1880" s="30" t="inlineStr">
        <is>
          <t>PO2526-05974</t>
        </is>
      </c>
      <c r="I1880" s="286" t="n">
        <v>46044</v>
      </c>
      <c r="J1880" s="26" t="n"/>
      <c r="K1880" s="20" t="n">
        <v>60</v>
      </c>
      <c r="L1880" s="5" t="inlineStr">
        <is>
          <t>SFST81000048</t>
        </is>
      </c>
      <c r="M1880" s="7" t="inlineStr">
        <is>
          <t>PD Machine</t>
        </is>
      </c>
      <c r="N1880" s="7" t="inlineStr">
        <is>
          <t>Combi oven No.2</t>
        </is>
      </c>
      <c r="O1880" s="11" t="n">
        <v>1</v>
      </c>
      <c r="P1880" s="10" t="inlineStr">
        <is>
          <t>Service Charge
- Service chargeinspection/replacespare part - m
- Winletinspectionday to day 09:00 - 18:00 .
- notWmforinletworkdaySaturdayandSunday (externalW)</t>
        </is>
      </c>
      <c r="Q1880" s="277" t="n">
        <v>1</v>
      </c>
      <c r="R1880" s="5" t="inlineStr">
        <is>
          <t>JOB.</t>
        </is>
      </c>
      <c r="S1880" s="284">
        <f>RawDataGenPO[[#This Row],[Total price]]/RawDataGenPO[[#This Row],[Qty'']]</f>
        <v/>
      </c>
      <c r="T1880" s="278" t="n">
        <v>3000</v>
      </c>
      <c r="V1880" s="7" t="inlineStr">
        <is>
          <t>V1000460 - FIX EVOLUTION CO., LTD.</t>
        </is>
      </c>
      <c r="W1880" s="30" t="inlineStr">
        <is>
          <t>Recive bill and GRN already</t>
        </is>
      </c>
      <c r="X1880" s="5" t="inlineStr">
        <is>
          <t>GRN2526-0008173</t>
        </is>
      </c>
      <c r="Y1880" s="3" t="n">
        <v>46070</v>
      </c>
      <c r="Z1880" s="23" t="n"/>
      <c r="AA1880" s="17">
        <f>IF(RawDataGenPO[[#This Row],[Date Gen PO]]="","",RawDataGenPO[[#This Row],[Date recive bill]]-RawDataGenPO[[#This Row],[Date Gen PO]])</f>
        <v/>
      </c>
      <c r="AB1880" s="16">
        <f>IF(RawDataGenPO[[#This Row],[GRN-PO date]]&gt;RawDataGenPO[[#This Row],[Lead time delivery (day)]],"over deliverry","Ontime")</f>
        <v/>
      </c>
      <c r="AC1880" s="22" t="n"/>
    </row>
    <row r="1881" ht="45" customHeight="1">
      <c r="A1881" s="5">
        <f>ROW()-ROW(RawDataGenPO[[#Headers],[No.]])</f>
        <v/>
      </c>
      <c r="B1881" s="29" t="inlineStr">
        <is>
          <t>Expent  cost</t>
        </is>
      </c>
      <c r="C1881" s="373" t="n"/>
      <c r="D1881" s="374" t="n"/>
      <c r="E1881" s="374" t="n"/>
      <c r="F1881" s="281" t="n">
        <v>46041</v>
      </c>
      <c r="G1881" s="5" t="inlineStr">
        <is>
          <t>PR2526-04359</t>
        </is>
      </c>
      <c r="H1881" s="30" t="inlineStr">
        <is>
          <t>PO2526-05974</t>
        </is>
      </c>
      <c r="I1881" s="286" t="n">
        <v>46044</v>
      </c>
      <c r="J1881" s="26" t="n"/>
      <c r="K1881" s="20" t="n">
        <v>60</v>
      </c>
      <c r="L1881" s="5" t="inlineStr">
        <is>
          <t>SFST81000048</t>
        </is>
      </c>
      <c r="M1881" s="7" t="inlineStr">
        <is>
          <t>PD Machine</t>
        </is>
      </c>
      <c r="N1881" s="7" t="inlineStr">
        <is>
          <t>Combi oven No.2</t>
        </is>
      </c>
      <c r="O1881" s="11" t="n">
        <v>2</v>
      </c>
      <c r="P1881" s="10" t="inlineStr">
        <is>
          <t>Service chargeexternalW (OTwork)
- daym inletworkrear 17.00 daySunday
- ** inletday rearW daySaturdaySunday</t>
        </is>
      </c>
      <c r="Q1881" s="277" t="n">
        <v>1</v>
      </c>
      <c r="R1881" s="5" t="inlineStr">
        <is>
          <t>JOB.</t>
        </is>
      </c>
      <c r="S1881" s="284">
        <f>RawDataGenPO[[#This Row],[Total price]]/RawDataGenPO[[#This Row],[Qty'']]</f>
        <v/>
      </c>
      <c r="T1881" s="278" t="n">
        <v>2000</v>
      </c>
      <c r="V1881" s="7" t="inlineStr">
        <is>
          <t>V1000460 - FIX EVOLUTION CO., LTD.</t>
        </is>
      </c>
      <c r="W1881" s="30" t="inlineStr">
        <is>
          <t>Recive bill and GRN already</t>
        </is>
      </c>
      <c r="X1881" s="5" t="inlineStr">
        <is>
          <t>GRN2526-0008173</t>
        </is>
      </c>
      <c r="Y1881" s="3" t="n">
        <v>46070</v>
      </c>
      <c r="Z1881" s="23" t="n"/>
      <c r="AA1881" s="17">
        <f>IF(RawDataGenPO[[#This Row],[Date Gen PO]]="","",RawDataGenPO[[#This Row],[Date recive bill]]-RawDataGenPO[[#This Row],[Date Gen PO]])</f>
        <v/>
      </c>
      <c r="AB1881" s="16">
        <f>IF(RawDataGenPO[[#This Row],[GRN-PO date]]&gt;RawDataGenPO[[#This Row],[Lead time delivery (day)]],"over deliverry","Ontime")</f>
        <v/>
      </c>
      <c r="AC1881" s="22" t="n"/>
    </row>
    <row r="1882" ht="15" customHeight="1">
      <c r="A1882" s="5">
        <f>ROW()-ROW(RawDataGenPO[[#Headers],[No.]])</f>
        <v/>
      </c>
      <c r="B1882" s="29" t="inlineStr">
        <is>
          <t>Expent  cost</t>
        </is>
      </c>
      <c r="C1882" s="373" t="n"/>
      <c r="D1882" s="374" t="n"/>
      <c r="E1882" s="374" t="n"/>
      <c r="F1882" s="281" t="n">
        <v>46041</v>
      </c>
      <c r="G1882" s="5" t="inlineStr">
        <is>
          <t>PR2526-04359</t>
        </is>
      </c>
      <c r="H1882" s="30" t="inlineStr">
        <is>
          <t>PO2526-05974</t>
        </is>
      </c>
      <c r="I1882" s="286" t="n">
        <v>46044</v>
      </c>
      <c r="J1882" s="26" t="n"/>
      <c r="K1882" s="20" t="n">
        <v>60</v>
      </c>
      <c r="L1882" s="5" t="inlineStr">
        <is>
          <t>SFST81000048</t>
        </is>
      </c>
      <c r="M1882" s="7" t="inlineStr">
        <is>
          <t>PD Machine</t>
        </is>
      </c>
      <c r="N1882" s="7" t="inlineStr">
        <is>
          <t>Combi oven No.2</t>
        </is>
      </c>
      <c r="O1882" s="11" t="n">
        <v>3</v>
      </c>
      <c r="P1882" s="10" t="inlineStr">
        <is>
          <t>56.01.500P Emergency overflow-tube LM1 LM2; G</t>
        </is>
      </c>
      <c r="Q1882" s="277" t="n">
        <v>1</v>
      </c>
      <c r="R1882" s="5" t="inlineStr">
        <is>
          <t>PCS.</t>
        </is>
      </c>
      <c r="S1882" s="284">
        <f>RawDataGenPO[[#This Row],[Total price]]/RawDataGenPO[[#This Row],[Qty'']]</f>
        <v/>
      </c>
      <c r="T1882" s="278" t="n">
        <v>1500</v>
      </c>
      <c r="V1882" s="7" t="inlineStr">
        <is>
          <t>V1000460 - FIX EVOLUTION CO., LTD.</t>
        </is>
      </c>
      <c r="W1882" s="30" t="inlineStr">
        <is>
          <t>Recive bill and GRN already</t>
        </is>
      </c>
      <c r="X1882" s="5" t="inlineStr">
        <is>
          <t>GRN2526-0008173</t>
        </is>
      </c>
      <c r="Y1882" s="3" t="n">
        <v>46070</v>
      </c>
      <c r="Z1882" s="23" t="n"/>
      <c r="AA1882" s="17">
        <f>IF(RawDataGenPO[[#This Row],[Date Gen PO]]="","",RawDataGenPO[[#This Row],[Date recive bill]]-RawDataGenPO[[#This Row],[Date Gen PO]])</f>
        <v/>
      </c>
      <c r="AB1882" s="16">
        <f>IF(RawDataGenPO[[#This Row],[GRN-PO date]]&gt;RawDataGenPO[[#This Row],[Lead time delivery (day)]],"over deliverry","Ontime")</f>
        <v/>
      </c>
      <c r="AC1882" s="22" t="n"/>
    </row>
    <row r="1883" ht="15" customHeight="1">
      <c r="A1883" s="5">
        <f>ROW()-ROW(RawDataGenPO[[#Headers],[No.]])</f>
        <v/>
      </c>
      <c r="B1883" s="29" t="inlineStr">
        <is>
          <t>Expent  cost</t>
        </is>
      </c>
      <c r="C1883" s="373" t="n"/>
      <c r="D1883" s="374" t="n"/>
      <c r="E1883" s="374" t="n"/>
      <c r="F1883" s="281" t="n">
        <v>46041</v>
      </c>
      <c r="G1883" s="5" t="inlineStr">
        <is>
          <t>PR2526-04377</t>
        </is>
      </c>
      <c r="H1883" s="5" t="inlineStr">
        <is>
          <t xml:space="preserve">PO2526-06280 </t>
        </is>
      </c>
      <c r="I1883" s="286" t="n">
        <v>46050</v>
      </c>
      <c r="J1883" s="26" t="n"/>
      <c r="K1883" s="20" t="n">
        <v>30</v>
      </c>
      <c r="L1883" s="5" t="inlineStr">
        <is>
          <t>SFST11000256</t>
        </is>
      </c>
      <c r="M1883" s="7" t="inlineStr">
        <is>
          <t>Consumable part for MN</t>
        </is>
      </c>
      <c r="N1883" s="7" t="inlineStr">
        <is>
          <t>Consumable part</t>
        </is>
      </c>
      <c r="O1883" s="11" t="n">
        <v>1</v>
      </c>
      <c r="P1883" s="10" t="inlineStr">
        <is>
          <t>Bio Solution 1 lit</t>
        </is>
      </c>
      <c r="Q1883" s="277" t="n">
        <v>4</v>
      </c>
      <c r="R1883" s="5" t="inlineStr">
        <is>
          <t>BOT.</t>
        </is>
      </c>
      <c r="S1883" s="284">
        <f>RawDataGenPO[[#This Row],[Total price]]/RawDataGenPO[[#This Row],[Qty'']]</f>
        <v/>
      </c>
      <c r="T1883" s="278" t="n">
        <v>3200</v>
      </c>
      <c r="U1883" s="291" t="n"/>
      <c r="V1883" s="7" t="inlineStr">
        <is>
          <t>V1000206 - TECHMAN (THAILAND) CO.,LTD.</t>
        </is>
      </c>
      <c r="W1883" s="30" t="inlineStr">
        <is>
          <t>Recive bill and GRN already</t>
        </is>
      </c>
      <c r="X1883" s="5" t="inlineStr">
        <is>
          <t>GRN2526-0007795</t>
        </is>
      </c>
      <c r="Y1883" s="3" t="n">
        <v>46058</v>
      </c>
      <c r="Z1883" s="23" t="n"/>
      <c r="AA1883" s="17">
        <f>IF(RawDataGenPO[[#This Row],[Date Gen PO]]="","",RawDataGenPO[[#This Row],[Date recive bill]]-RawDataGenPO[[#This Row],[Date Gen PO]])</f>
        <v/>
      </c>
      <c r="AB1883" s="16">
        <f>IF(RawDataGenPO[[#This Row],[GRN-PO date]]&gt;RawDataGenPO[[#This Row],[Lead time delivery (day)]],"over deliverry","Ontime")</f>
        <v/>
      </c>
      <c r="AC1883" s="22" t="n"/>
    </row>
    <row r="1884" ht="15" customHeight="1">
      <c r="A1884" s="5">
        <f>ROW()-ROW(RawDataGenPO[[#Headers],[No.]])</f>
        <v/>
      </c>
      <c r="B1884" s="29" t="inlineStr">
        <is>
          <t>Expent  cost</t>
        </is>
      </c>
      <c r="C1884" s="373" t="n"/>
      <c r="D1884" s="374" t="n"/>
      <c r="E1884" s="374" t="n"/>
      <c r="F1884" s="281" t="n">
        <v>46043</v>
      </c>
      <c r="G1884" s="5" t="inlineStr">
        <is>
          <t>PR2526-04395</t>
        </is>
      </c>
      <c r="H1884" s="34" t="inlineStr">
        <is>
          <t xml:space="preserve">PO2526-06288 </t>
        </is>
      </c>
      <c r="I1884" s="286" t="n">
        <v>46051</v>
      </c>
      <c r="J1884" s="26" t="n"/>
      <c r="K1884" s="20" t="n">
        <v>60</v>
      </c>
      <c r="L1884" s="5" t="inlineStr">
        <is>
          <t>SFST81000048</t>
        </is>
      </c>
      <c r="M1884" s="7" t="inlineStr">
        <is>
          <t>PD Machine</t>
        </is>
      </c>
      <c r="N1884" s="7" t="inlineStr">
        <is>
          <t>Combi oven No.2</t>
        </is>
      </c>
      <c r="O1884" s="11" t="n">
        <v>1</v>
      </c>
      <c r="P1884" s="10" t="inlineStr">
        <is>
          <t>56.01.020P Recirculation pump</t>
        </is>
      </c>
      <c r="Q1884" s="277" t="n">
        <v>1</v>
      </c>
      <c r="R1884" s="5" t="inlineStr">
        <is>
          <t>PCS.</t>
        </is>
      </c>
      <c r="S1884" s="284">
        <f>RawDataGenPO[[#This Row],[Total price]]/RawDataGenPO[[#This Row],[Qty'']]</f>
        <v/>
      </c>
      <c r="T1884" s="278" t="n">
        <v>3150</v>
      </c>
      <c r="U1884" s="291" t="n"/>
      <c r="V1884" s="7" t="inlineStr">
        <is>
          <t>V1000460 - FIX EVOLUTION CO., LTD.</t>
        </is>
      </c>
      <c r="W1884" s="30" t="inlineStr">
        <is>
          <t>Recive bill and GRN already</t>
        </is>
      </c>
      <c r="X1884" s="5" t="inlineStr">
        <is>
          <t>GRN2526-0008174</t>
        </is>
      </c>
      <c r="Y1884" s="3" t="n">
        <v>46070</v>
      </c>
      <c r="Z1884" s="23" t="n"/>
      <c r="AA1884" s="17">
        <f>IF(RawDataGenPO[[#This Row],[Date Gen PO]]="","",RawDataGenPO[[#This Row],[Date recive bill]]-RawDataGenPO[[#This Row],[Date Gen PO]])</f>
        <v/>
      </c>
      <c r="AB1884" s="16">
        <f>IF(RawDataGenPO[[#This Row],[GRN-PO date]]&gt;RawDataGenPO[[#This Row],[Lead time delivery (day)]],"over deliverry","Ontime")</f>
        <v/>
      </c>
      <c r="AC1884" s="22" t="n"/>
    </row>
    <row r="1885" ht="15" customHeight="1">
      <c r="A1885" s="5">
        <f>ROW()-ROW(RawDataGenPO[[#Headers],[No.]])</f>
        <v/>
      </c>
      <c r="B1885" s="29" t="inlineStr">
        <is>
          <t>Expent  cost</t>
        </is>
      </c>
      <c r="C1885" s="373" t="n"/>
      <c r="D1885" s="374" t="n"/>
      <c r="E1885" s="374" t="n"/>
      <c r="F1885" s="281" t="n">
        <v>46043</v>
      </c>
      <c r="G1885" s="5" t="inlineStr">
        <is>
          <t>PR2526-04396</t>
        </is>
      </c>
      <c r="H1885" s="5" t="inlineStr">
        <is>
          <t>PO2526-06289</t>
        </is>
      </c>
      <c r="I1885" s="286" t="n">
        <v>46051</v>
      </c>
      <c r="J1885" s="26" t="n"/>
      <c r="K1885" s="20" t="n">
        <v>120</v>
      </c>
      <c r="L1885" s="5" t="inlineStr">
        <is>
          <t>SFST81000009</t>
        </is>
      </c>
      <c r="M1885" s="7" t="inlineStr">
        <is>
          <t>Consumable part for MN</t>
        </is>
      </c>
      <c r="N1885" s="7" t="inlineStr">
        <is>
          <t>Consumable part</t>
        </is>
      </c>
      <c r="O1885" s="11" t="n">
        <v>1</v>
      </c>
      <c r="P1885" s="10" t="inlineStr">
        <is>
          <t>fittingstraight couplingbrassyellow M22x1.5 (5/8") male thread x 1/2" female thread</t>
        </is>
      </c>
      <c r="Q1885" s="277" t="n">
        <v>12</v>
      </c>
      <c r="R1885" s="5" t="inlineStr">
        <is>
          <t>PCS.</t>
        </is>
      </c>
      <c r="S1885" s="284">
        <f>RawDataGenPO[[#This Row],[Total price]]/RawDataGenPO[[#This Row],[Qty'']]</f>
        <v/>
      </c>
      <c r="T1885" s="278" t="n">
        <v>1980</v>
      </c>
      <c r="U1885" s="291" t="n"/>
      <c r="V1885" s="7" t="inlineStr">
        <is>
          <t>V1000840 - S.Q. &amp; CO CO., LTD</t>
        </is>
      </c>
      <c r="W1885" s="30" t="inlineStr">
        <is>
          <t>Recive bill and GRN already</t>
        </is>
      </c>
      <c r="X1885" s="5" t="inlineStr">
        <is>
          <t>GRN2526-0008476</t>
        </is>
      </c>
      <c r="Y1885" s="3" t="n">
        <v>46083</v>
      </c>
      <c r="Z1885" s="23" t="n"/>
      <c r="AA1885" s="17">
        <f>IF(RawDataGenPO[[#This Row],[Date Gen PO]]="","",RawDataGenPO[[#This Row],[Date recive bill]]-RawDataGenPO[[#This Row],[Date Gen PO]])</f>
        <v/>
      </c>
      <c r="AB1885" s="16">
        <f>IF(RawDataGenPO[[#This Row],[GRN-PO date]]&gt;RawDataGenPO[[#This Row],[Lead time delivery (day)]],"over deliverry","Ontime")</f>
        <v/>
      </c>
      <c r="AC1885" s="22" t="n"/>
    </row>
    <row r="1886" ht="15" customHeight="1">
      <c r="A1886" s="5">
        <f>ROW()-ROW(RawDataGenPO[[#Headers],[No.]])</f>
        <v/>
      </c>
      <c r="B1886" s="29" t="inlineStr">
        <is>
          <t>Expent  cost</t>
        </is>
      </c>
      <c r="C1886" s="373" t="n"/>
      <c r="D1886" s="374" t="n"/>
      <c r="E1886" s="374" t="n"/>
      <c r="F1886" s="281" t="n">
        <v>46043</v>
      </c>
      <c r="G1886" s="5" t="inlineStr">
        <is>
          <t>PR2526-04396</t>
        </is>
      </c>
      <c r="H1886" s="5" t="inlineStr">
        <is>
          <t>PO2526-06290</t>
        </is>
      </c>
      <c r="I1886" s="286" t="n">
        <v>46051</v>
      </c>
      <c r="J1886" s="26" t="n"/>
      <c r="K1886" s="20" t="n">
        <v>30</v>
      </c>
      <c r="L1886" s="5" t="inlineStr">
        <is>
          <t>SFST81000009</t>
        </is>
      </c>
      <c r="M1886" s="7" t="inlineStr">
        <is>
          <t>Consumable part for MN</t>
        </is>
      </c>
      <c r="N1886" s="7" t="inlineStr">
        <is>
          <t>Consumable part</t>
        </is>
      </c>
      <c r="O1886" s="11" t="n">
        <v>2</v>
      </c>
      <c r="P1886" s="10" t="inlineStr">
        <is>
          <t>flare nutbrassyellowtypethick 1/4"</t>
        </is>
      </c>
      <c r="Q1886" s="277" t="n">
        <v>10</v>
      </c>
      <c r="R1886" s="5" t="inlineStr">
        <is>
          <t>PCS.</t>
        </is>
      </c>
      <c r="S1886" s="284">
        <f>RawDataGenPO[[#This Row],[Total price]]/RawDataGenPO[[#This Row],[Qty'']]</f>
        <v/>
      </c>
      <c r="T1886" s="278" t="n">
        <v>400</v>
      </c>
      <c r="U1886" s="291" t="n"/>
      <c r="V1886" s="7" t="inlineStr">
        <is>
          <t xml:space="preserve"> V1000259 - JJP SUPPLY CO., LTD</t>
        </is>
      </c>
      <c r="W1886" s="30" t="inlineStr">
        <is>
          <t>Recive bill and GRN already</t>
        </is>
      </c>
      <c r="X1886" s="5" t="inlineStr">
        <is>
          <t>GRN2526-0008212</t>
        </is>
      </c>
      <c r="Y1886" s="3" t="n">
        <v>46071</v>
      </c>
      <c r="Z1886" s="23" t="n"/>
      <c r="AA1886" s="17">
        <f>IF(RawDataGenPO[[#This Row],[Date Gen PO]]="","",RawDataGenPO[[#This Row],[Date recive bill]]-RawDataGenPO[[#This Row],[Date Gen PO]])</f>
        <v/>
      </c>
      <c r="AB1886" s="16">
        <f>IF(RawDataGenPO[[#This Row],[GRN-PO date]]&gt;RawDataGenPO[[#This Row],[Lead time delivery (day)]],"over deliverry","Ontime")</f>
        <v/>
      </c>
      <c r="AC1886" s="22" t="n"/>
    </row>
    <row r="1887" ht="15" customHeight="1">
      <c r="A1887" s="5">
        <f>ROW()-ROW(RawDataGenPO[[#Headers],[No.]])</f>
        <v/>
      </c>
      <c r="B1887" s="29" t="inlineStr">
        <is>
          <t>Expent  cost</t>
        </is>
      </c>
      <c r="C1887" s="373" t="n"/>
      <c r="D1887" s="374" t="n"/>
      <c r="E1887" s="374" t="n"/>
      <c r="F1887" s="281" t="n">
        <v>46043</v>
      </c>
      <c r="G1887" s="5" t="inlineStr">
        <is>
          <t>PR2526-04396</t>
        </is>
      </c>
      <c r="H1887" s="5" t="inlineStr">
        <is>
          <t>PO2526-06290</t>
        </is>
      </c>
      <c r="I1887" s="286" t="n">
        <v>46051</v>
      </c>
      <c r="J1887" s="26" t="n"/>
      <c r="K1887" s="20" t="n">
        <v>30</v>
      </c>
      <c r="L1887" s="5" t="inlineStr">
        <is>
          <t>SFST81000009</t>
        </is>
      </c>
      <c r="M1887" s="7" t="inlineStr">
        <is>
          <t>Consumable part for MN</t>
        </is>
      </c>
      <c r="N1887" s="7" t="inlineStr">
        <is>
          <t>Consumable part</t>
        </is>
      </c>
      <c r="O1887" s="11" t="n">
        <v>3</v>
      </c>
      <c r="P1887" s="10" t="inlineStr">
        <is>
          <t>flare nutbrassyellowtypethick 3/8"</t>
        </is>
      </c>
      <c r="Q1887" s="277" t="n">
        <v>10</v>
      </c>
      <c r="R1887" s="5" t="inlineStr">
        <is>
          <t>PCS.</t>
        </is>
      </c>
      <c r="S1887" s="284">
        <f>RawDataGenPO[[#This Row],[Total price]]/RawDataGenPO[[#This Row],[Qty'']]</f>
        <v/>
      </c>
      <c r="T1887" s="278" t="n">
        <v>380</v>
      </c>
      <c r="U1887" s="291" t="n"/>
      <c r="V1887" s="7" t="inlineStr">
        <is>
          <t xml:space="preserve"> V1000259 - JJP SUPPLY CO., LTD</t>
        </is>
      </c>
      <c r="W1887" s="30" t="inlineStr">
        <is>
          <t>Recive bill and GRN already</t>
        </is>
      </c>
      <c r="X1887" s="5" t="inlineStr">
        <is>
          <t>GRN2526-0008212</t>
        </is>
      </c>
      <c r="Y1887" s="3" t="n">
        <v>46071</v>
      </c>
      <c r="Z1887" s="23" t="n"/>
      <c r="AA1887" s="17">
        <f>IF(RawDataGenPO[[#This Row],[Date Gen PO]]="","",RawDataGenPO[[#This Row],[Date recive bill]]-RawDataGenPO[[#This Row],[Date Gen PO]])</f>
        <v/>
      </c>
      <c r="AB1887" s="16">
        <f>IF(RawDataGenPO[[#This Row],[GRN-PO date]]&gt;RawDataGenPO[[#This Row],[Lead time delivery (day)]],"over deliverry","Ontime")</f>
        <v/>
      </c>
      <c r="AC1887" s="22" t="n"/>
    </row>
    <row r="1888" ht="15" customHeight="1">
      <c r="A1888" s="5">
        <f>ROW()-ROW(RawDataGenPO[[#Headers],[No.]])</f>
        <v/>
      </c>
      <c r="B1888" s="29" t="inlineStr">
        <is>
          <t>Expent  cost</t>
        </is>
      </c>
      <c r="C1888" s="373" t="n"/>
      <c r="D1888" s="374" t="n"/>
      <c r="E1888" s="374" t="n"/>
      <c r="F1888" s="281" t="n">
        <v>46043</v>
      </c>
      <c r="G1888" s="5" t="inlineStr">
        <is>
          <t>PR2526-04396</t>
        </is>
      </c>
      <c r="H1888" s="5" t="inlineStr">
        <is>
          <t>PO2526-06290</t>
        </is>
      </c>
      <c r="I1888" s="286" t="n">
        <v>46051</v>
      </c>
      <c r="J1888" s="26" t="n"/>
      <c r="K1888" s="20" t="n">
        <v>30</v>
      </c>
      <c r="L1888" s="5" t="inlineStr">
        <is>
          <t>SFST81000009</t>
        </is>
      </c>
      <c r="M1888" s="7" t="inlineStr">
        <is>
          <t>Consumable part for MN</t>
        </is>
      </c>
      <c r="N1888" s="7" t="inlineStr">
        <is>
          <t>Consumable part</t>
        </is>
      </c>
      <c r="O1888" s="11" t="n">
        <v>4</v>
      </c>
      <c r="P1888" s="10" t="inlineStr">
        <is>
          <t>flare nutbrassyellowtypethick 5/8"</t>
        </is>
      </c>
      <c r="Q1888" s="277" t="n">
        <v>10</v>
      </c>
      <c r="R1888" s="5" t="inlineStr">
        <is>
          <t>PCS.</t>
        </is>
      </c>
      <c r="S1888" s="284">
        <f>RawDataGenPO[[#This Row],[Total price]]/RawDataGenPO[[#This Row],[Qty'']]</f>
        <v/>
      </c>
      <c r="T1888" s="278" t="n">
        <v>530</v>
      </c>
      <c r="U1888" s="291" t="n"/>
      <c r="V1888" s="7" t="inlineStr">
        <is>
          <t xml:space="preserve"> V1000259 - JJP SUPPLY CO., LTD</t>
        </is>
      </c>
      <c r="W1888" s="30" t="inlineStr">
        <is>
          <t>Recive bill and GRN already</t>
        </is>
      </c>
      <c r="X1888" s="5" t="inlineStr">
        <is>
          <t>GRN2526-0008212</t>
        </is>
      </c>
      <c r="Y1888" s="3" t="n">
        <v>46071</v>
      </c>
      <c r="Z1888" s="23" t="n"/>
      <c r="AA1888" s="17">
        <f>IF(RawDataGenPO[[#This Row],[Date Gen PO]]="","",RawDataGenPO[[#This Row],[Date recive bill]]-RawDataGenPO[[#This Row],[Date Gen PO]])</f>
        <v/>
      </c>
      <c r="AB1888" s="16">
        <f>IF(RawDataGenPO[[#This Row],[GRN-PO date]]&gt;RawDataGenPO[[#This Row],[Lead time delivery (day)]],"over deliverry","Ontime")</f>
        <v/>
      </c>
      <c r="AC1888" s="22" t="n"/>
    </row>
    <row r="1889" ht="15" customHeight="1">
      <c r="A1889" s="5">
        <f>ROW()-ROW(RawDataGenPO[[#Headers],[No.]])</f>
        <v/>
      </c>
      <c r="B1889" s="29" t="inlineStr">
        <is>
          <t>Expent  cost</t>
        </is>
      </c>
      <c r="C1889" s="373" t="n"/>
      <c r="D1889" s="374" t="n"/>
      <c r="E1889" s="374" t="n"/>
      <c r="F1889" s="281" t="n">
        <v>46043</v>
      </c>
      <c r="G1889" s="5" t="inlineStr">
        <is>
          <t>PR2526-04396</t>
        </is>
      </c>
      <c r="H1889" s="5" t="inlineStr">
        <is>
          <t>PO2526-06290</t>
        </is>
      </c>
      <c r="I1889" s="286" t="n">
        <v>46051</v>
      </c>
      <c r="J1889" s="26" t="n"/>
      <c r="K1889" s="20" t="n">
        <v>30</v>
      </c>
      <c r="L1889" s="5" t="inlineStr">
        <is>
          <t>SFST81000009</t>
        </is>
      </c>
      <c r="M1889" s="7" t="inlineStr">
        <is>
          <t>Consumable part for MN</t>
        </is>
      </c>
      <c r="N1889" s="7" t="inlineStr">
        <is>
          <t>Consumable part</t>
        </is>
      </c>
      <c r="O1889" s="11" t="n">
        <v>5</v>
      </c>
      <c r="P1889" s="10" t="inlineStr">
        <is>
          <t>flare nutbrassyellowtypethick 1/2"</t>
        </is>
      </c>
      <c r="Q1889" s="277" t="n">
        <v>10</v>
      </c>
      <c r="R1889" s="5" t="inlineStr">
        <is>
          <t>PCS.</t>
        </is>
      </c>
      <c r="S1889" s="284">
        <f>RawDataGenPO[[#This Row],[Total price]]/RawDataGenPO[[#This Row],[Qty'']]</f>
        <v/>
      </c>
      <c r="T1889" s="278" t="n">
        <v>450</v>
      </c>
      <c r="U1889" s="291" t="n"/>
      <c r="V1889" s="7" t="inlineStr">
        <is>
          <t xml:space="preserve"> V1000259 - JJP SUPPLY CO., LTD</t>
        </is>
      </c>
      <c r="W1889" s="30" t="inlineStr">
        <is>
          <t>Recive bill and GRN already</t>
        </is>
      </c>
      <c r="X1889" s="5" t="inlineStr">
        <is>
          <t>GRN2526-0008212</t>
        </is>
      </c>
      <c r="Y1889" s="3" t="n">
        <v>46071</v>
      </c>
      <c r="Z1889" s="23" t="n"/>
      <c r="AA1889" s="17">
        <f>IF(RawDataGenPO[[#This Row],[Date Gen PO]]="","",RawDataGenPO[[#This Row],[Date recive bill]]-RawDataGenPO[[#This Row],[Date Gen PO]])</f>
        <v/>
      </c>
      <c r="AB1889" s="16">
        <f>IF(RawDataGenPO[[#This Row],[GRN-PO date]]&gt;RawDataGenPO[[#This Row],[Lead time delivery (day)]],"over deliverry","Ontime")</f>
        <v/>
      </c>
      <c r="AC1889" s="22" t="n"/>
    </row>
    <row r="1890" ht="15" customHeight="1">
      <c r="A1890" s="5">
        <f>ROW()-ROW(RawDataGenPO[[#Headers],[No.]])</f>
        <v/>
      </c>
      <c r="B1890" s="29" t="inlineStr">
        <is>
          <t>Expent  cost</t>
        </is>
      </c>
      <c r="C1890" s="373" t="n"/>
      <c r="D1890" s="374" t="n"/>
      <c r="E1890" s="374" t="n"/>
      <c r="F1890" s="281" t="n">
        <v>46043</v>
      </c>
      <c r="G1890" s="5" t="inlineStr">
        <is>
          <t>PR2526-04396</t>
        </is>
      </c>
      <c r="H1890" s="5" t="inlineStr">
        <is>
          <t>PO2526-06290</t>
        </is>
      </c>
      <c r="I1890" s="286" t="n">
        <v>46051</v>
      </c>
      <c r="J1890" s="26" t="n"/>
      <c r="K1890" s="20" t="n">
        <v>30</v>
      </c>
      <c r="L1890" s="5" t="inlineStr">
        <is>
          <t>SFST81000009</t>
        </is>
      </c>
      <c r="M1890" s="7" t="inlineStr">
        <is>
          <t>Consumable part for MN</t>
        </is>
      </c>
      <c r="N1890" s="7" t="inlineStr">
        <is>
          <t>Consumable part</t>
        </is>
      </c>
      <c r="O1890" s="11" t="n">
        <v>6</v>
      </c>
      <c r="P1890" s="10" t="inlineStr">
        <is>
          <t>flare nutbrassyellowtypethick 3/4"</t>
        </is>
      </c>
      <c r="Q1890" s="277" t="n">
        <v>10</v>
      </c>
      <c r="R1890" s="5" t="inlineStr">
        <is>
          <t>PCS.</t>
        </is>
      </c>
      <c r="S1890" s="284">
        <f>RawDataGenPO[[#This Row],[Total price]]/RawDataGenPO[[#This Row],[Qty'']]</f>
        <v/>
      </c>
      <c r="T1890" s="278" t="n">
        <v>880</v>
      </c>
      <c r="U1890" s="291" t="n"/>
      <c r="V1890" s="7" t="inlineStr">
        <is>
          <t xml:space="preserve"> V1000259 - JJP SUPPLY CO., LTD</t>
        </is>
      </c>
      <c r="W1890" s="30" t="inlineStr">
        <is>
          <t>Recive bill and GRN already</t>
        </is>
      </c>
      <c r="X1890" s="5" t="inlineStr">
        <is>
          <t>GRN2526-0008212</t>
        </is>
      </c>
      <c r="Y1890" s="3" t="n">
        <v>46071</v>
      </c>
      <c r="Z1890" s="23" t="n"/>
      <c r="AA1890" s="17">
        <f>IF(RawDataGenPO[[#This Row],[Date Gen PO]]="","",RawDataGenPO[[#This Row],[Date recive bill]]-RawDataGenPO[[#This Row],[Date Gen PO]])</f>
        <v/>
      </c>
      <c r="AB1890" s="16">
        <f>IF(RawDataGenPO[[#This Row],[GRN-PO date]]&gt;RawDataGenPO[[#This Row],[Lead time delivery (day)]],"over deliverry","Ontime")</f>
        <v/>
      </c>
      <c r="AC1890" s="22" t="n"/>
    </row>
    <row r="1891" ht="15" customHeight="1">
      <c r="A1891" s="5">
        <f>ROW()-ROW(RawDataGenPO[[#Headers],[No.]])</f>
        <v/>
      </c>
      <c r="B1891" s="29" t="inlineStr">
        <is>
          <t>Expent  cost</t>
        </is>
      </c>
      <c r="C1891" s="373" t="n"/>
      <c r="D1891" s="374" t="n"/>
      <c r="E1891" s="374" t="n"/>
      <c r="F1891" s="281" t="n">
        <v>46043</v>
      </c>
      <c r="G1891" s="5" t="inlineStr">
        <is>
          <t>PR2526-04396</t>
        </is>
      </c>
      <c r="H1891" s="5" t="inlineStr">
        <is>
          <t>PO2526-06290</t>
        </is>
      </c>
      <c r="I1891" s="286" t="n">
        <v>46051</v>
      </c>
      <c r="J1891" s="26" t="n"/>
      <c r="K1891" s="20" t="n">
        <v>30</v>
      </c>
      <c r="L1891" s="5" t="inlineStr">
        <is>
          <t>SFST81000009</t>
        </is>
      </c>
      <c r="M1891" s="7" t="inlineStr">
        <is>
          <t>Consumable part for MN</t>
        </is>
      </c>
      <c r="N1891" s="7" t="inlineStr">
        <is>
          <t>Consumable part</t>
        </is>
      </c>
      <c r="O1891" s="11" t="n">
        <v>7</v>
      </c>
      <c r="P1891" s="10" t="inlineStr">
        <is>
          <t>brass unionyellow 1/4"</t>
        </is>
      </c>
      <c r="Q1891" s="277" t="n">
        <v>5</v>
      </c>
      <c r="R1891" s="5" t="inlineStr">
        <is>
          <t>PCS.</t>
        </is>
      </c>
      <c r="S1891" s="284">
        <f>RawDataGenPO[[#This Row],[Total price]]/RawDataGenPO[[#This Row],[Qty'']]</f>
        <v/>
      </c>
      <c r="T1891" s="278" t="n">
        <v>235</v>
      </c>
      <c r="U1891" s="291" t="n"/>
      <c r="V1891" s="7" t="inlineStr">
        <is>
          <t xml:space="preserve"> V1000259 - JJP SUPPLY CO., LTD</t>
        </is>
      </c>
      <c r="W1891" s="30" t="inlineStr">
        <is>
          <t>Recive bill and GRN already</t>
        </is>
      </c>
      <c r="X1891" s="5" t="inlineStr">
        <is>
          <t>GRN2526-0008212</t>
        </is>
      </c>
      <c r="Y1891" s="3" t="n">
        <v>46071</v>
      </c>
      <c r="Z1891" s="23" t="n"/>
      <c r="AA1891" s="17">
        <f>IF(RawDataGenPO[[#This Row],[Date Gen PO]]="","",RawDataGenPO[[#This Row],[Date recive bill]]-RawDataGenPO[[#This Row],[Date Gen PO]])</f>
        <v/>
      </c>
      <c r="AB1891" s="16">
        <f>IF(RawDataGenPO[[#This Row],[GRN-PO date]]&gt;RawDataGenPO[[#This Row],[Lead time delivery (day)]],"over deliverry","Ontime")</f>
        <v/>
      </c>
      <c r="AC1891" s="22" t="n"/>
    </row>
    <row r="1892" ht="15" customHeight="1">
      <c r="A1892" s="5">
        <f>ROW()-ROW(RawDataGenPO[[#Headers],[No.]])</f>
        <v/>
      </c>
      <c r="B1892" s="29" t="inlineStr">
        <is>
          <t>Expent  cost</t>
        </is>
      </c>
      <c r="C1892" s="373" t="n"/>
      <c r="D1892" s="374" t="n"/>
      <c r="E1892" s="374" t="n"/>
      <c r="F1892" s="281" t="n">
        <v>46043</v>
      </c>
      <c r="G1892" s="5" t="inlineStr">
        <is>
          <t>PR2526-04396</t>
        </is>
      </c>
      <c r="H1892" s="5" t="inlineStr">
        <is>
          <t>PO2526-06290</t>
        </is>
      </c>
      <c r="I1892" s="286" t="n">
        <v>46051</v>
      </c>
      <c r="J1892" s="26" t="n"/>
      <c r="K1892" s="20" t="n">
        <v>30</v>
      </c>
      <c r="L1892" s="5" t="inlineStr">
        <is>
          <t>SFST81000009</t>
        </is>
      </c>
      <c r="M1892" s="7" t="inlineStr">
        <is>
          <t>Consumable part for MN</t>
        </is>
      </c>
      <c r="N1892" s="7" t="inlineStr">
        <is>
          <t>Consumable part</t>
        </is>
      </c>
      <c r="O1892" s="11" t="n">
        <v>8</v>
      </c>
      <c r="P1892" s="10" t="inlineStr">
        <is>
          <t>brass unionyellow 3/8"</t>
        </is>
      </c>
      <c r="Q1892" s="277" t="n">
        <v>5</v>
      </c>
      <c r="R1892" s="5" t="inlineStr">
        <is>
          <t>PCS.</t>
        </is>
      </c>
      <c r="S1892" s="284">
        <f>RawDataGenPO[[#This Row],[Total price]]/RawDataGenPO[[#This Row],[Qty'']]</f>
        <v/>
      </c>
      <c r="T1892" s="278" t="n">
        <v>275</v>
      </c>
      <c r="U1892" s="291" t="n"/>
      <c r="V1892" s="7" t="inlineStr">
        <is>
          <t xml:space="preserve"> V1000259 - JJP SUPPLY CO., LTD</t>
        </is>
      </c>
      <c r="W1892" s="30" t="inlineStr">
        <is>
          <t>Recive bill and GRN already</t>
        </is>
      </c>
      <c r="X1892" s="5" t="inlineStr">
        <is>
          <t>GRN2526-0008212</t>
        </is>
      </c>
      <c r="Y1892" s="3" t="n">
        <v>46071</v>
      </c>
      <c r="Z1892" s="23" t="n"/>
      <c r="AA1892" s="17">
        <f>IF(RawDataGenPO[[#This Row],[Date Gen PO]]="","",RawDataGenPO[[#This Row],[Date recive bill]]-RawDataGenPO[[#This Row],[Date Gen PO]])</f>
        <v/>
      </c>
      <c r="AB1892" s="16">
        <f>IF(RawDataGenPO[[#This Row],[GRN-PO date]]&gt;RawDataGenPO[[#This Row],[Lead time delivery (day)]],"over deliverry","Ontime")</f>
        <v/>
      </c>
      <c r="AC1892" s="22" t="n"/>
    </row>
    <row r="1893" ht="15" customHeight="1">
      <c r="A1893" s="5">
        <f>ROW()-ROW(RawDataGenPO[[#Headers],[No.]])</f>
        <v/>
      </c>
      <c r="B1893" s="29" t="inlineStr">
        <is>
          <t>Expent  cost</t>
        </is>
      </c>
      <c r="C1893" s="373" t="n"/>
      <c r="D1893" s="374" t="n"/>
      <c r="E1893" s="374" t="n"/>
      <c r="F1893" s="281" t="n">
        <v>46043</v>
      </c>
      <c r="G1893" s="5" t="inlineStr">
        <is>
          <t>PR2526-04396</t>
        </is>
      </c>
      <c r="H1893" s="5" t="inlineStr">
        <is>
          <t>PO2526-06290</t>
        </is>
      </c>
      <c r="I1893" s="286" t="n">
        <v>46051</v>
      </c>
      <c r="J1893" s="26" t="n"/>
      <c r="K1893" s="20" t="n">
        <v>30</v>
      </c>
      <c r="L1893" s="5" t="inlineStr">
        <is>
          <t>SFST81000009</t>
        </is>
      </c>
      <c r="M1893" s="7" t="inlineStr">
        <is>
          <t>Consumable part for MN</t>
        </is>
      </c>
      <c r="N1893" s="7" t="inlineStr">
        <is>
          <t>Consumable part</t>
        </is>
      </c>
      <c r="O1893" s="11" t="n">
        <v>9</v>
      </c>
      <c r="P1893" s="10" t="inlineStr">
        <is>
          <t>brass unionyellow 1/2"</t>
        </is>
      </c>
      <c r="Q1893" s="277" t="n">
        <v>5</v>
      </c>
      <c r="R1893" s="5" t="inlineStr">
        <is>
          <t>PCS.</t>
        </is>
      </c>
      <c r="S1893" s="284">
        <f>RawDataGenPO[[#This Row],[Total price]]/RawDataGenPO[[#This Row],[Qty'']]</f>
        <v/>
      </c>
      <c r="T1893" s="278" t="n">
        <v>350</v>
      </c>
      <c r="U1893" s="291" t="n"/>
      <c r="V1893" s="7" t="inlineStr">
        <is>
          <t xml:space="preserve"> V1000259 - JJP SUPPLY CO., LTD</t>
        </is>
      </c>
      <c r="W1893" s="30" t="inlineStr">
        <is>
          <t>Recive bill and GRN already</t>
        </is>
      </c>
      <c r="X1893" s="5" t="inlineStr">
        <is>
          <t>GRN2526-0008212</t>
        </is>
      </c>
      <c r="Y1893" s="3" t="n">
        <v>46071</v>
      </c>
      <c r="Z1893" s="23" t="n"/>
      <c r="AA1893" s="17">
        <f>IF(RawDataGenPO[[#This Row],[Date Gen PO]]="","",RawDataGenPO[[#This Row],[Date recive bill]]-RawDataGenPO[[#This Row],[Date Gen PO]])</f>
        <v/>
      </c>
      <c r="AB1893" s="16">
        <f>IF(RawDataGenPO[[#This Row],[GRN-PO date]]&gt;RawDataGenPO[[#This Row],[Lead time delivery (day)]],"over deliverry","Ontime")</f>
        <v/>
      </c>
      <c r="AC1893" s="22" t="n"/>
    </row>
    <row r="1894" ht="15" customHeight="1">
      <c r="A1894" s="5">
        <f>ROW()-ROW(RawDataGenPO[[#Headers],[No.]])</f>
        <v/>
      </c>
      <c r="B1894" s="29" t="inlineStr">
        <is>
          <t>Expent  cost</t>
        </is>
      </c>
      <c r="C1894" s="373" t="n"/>
      <c r="D1894" s="374" t="n"/>
      <c r="E1894" s="374" t="n"/>
      <c r="F1894" s="281" t="n">
        <v>46043</v>
      </c>
      <c r="G1894" s="5" t="inlineStr">
        <is>
          <t>PR2526-04396</t>
        </is>
      </c>
      <c r="H1894" s="5" t="inlineStr">
        <is>
          <t>PO2526-06290</t>
        </is>
      </c>
      <c r="I1894" s="286" t="n">
        <v>46051</v>
      </c>
      <c r="J1894" s="26" t="n"/>
      <c r="K1894" s="20" t="n">
        <v>30</v>
      </c>
      <c r="L1894" s="5" t="inlineStr">
        <is>
          <t>SFST81000009</t>
        </is>
      </c>
      <c r="M1894" s="7" t="inlineStr">
        <is>
          <t>Consumable part for MN</t>
        </is>
      </c>
      <c r="N1894" s="7" t="inlineStr">
        <is>
          <t>Consumable part</t>
        </is>
      </c>
      <c r="O1894" s="11" t="n">
        <v>10</v>
      </c>
      <c r="P1894" s="10" t="inlineStr">
        <is>
          <t>brass unionyellow 5/8"</t>
        </is>
      </c>
      <c r="Q1894" s="277" t="n">
        <v>5</v>
      </c>
      <c r="R1894" s="5" t="inlineStr">
        <is>
          <t>PCS.</t>
        </is>
      </c>
      <c r="S1894" s="284">
        <f>RawDataGenPO[[#This Row],[Total price]]/RawDataGenPO[[#This Row],[Qty'']]</f>
        <v/>
      </c>
      <c r="T1894" s="278" t="n">
        <v>500</v>
      </c>
      <c r="U1894" s="291" t="n"/>
      <c r="V1894" s="7" t="inlineStr">
        <is>
          <t xml:space="preserve"> V1000259 - JJP SUPPLY CO., LTD</t>
        </is>
      </c>
      <c r="W1894" s="30" t="inlineStr">
        <is>
          <t>Recive bill and GRN already</t>
        </is>
      </c>
      <c r="X1894" s="5" t="inlineStr">
        <is>
          <t>GRN2526-0008212</t>
        </is>
      </c>
      <c r="Y1894" s="3" t="n">
        <v>46071</v>
      </c>
      <c r="Z1894" s="23" t="n"/>
      <c r="AA1894" s="17">
        <f>IF(RawDataGenPO[[#This Row],[Date Gen PO]]="","",RawDataGenPO[[#This Row],[Date recive bill]]-RawDataGenPO[[#This Row],[Date Gen PO]])</f>
        <v/>
      </c>
      <c r="AB1894" s="16">
        <f>IF(RawDataGenPO[[#This Row],[GRN-PO date]]&gt;RawDataGenPO[[#This Row],[Lead time delivery (day)]],"over deliverry","Ontime")</f>
        <v/>
      </c>
      <c r="AC1894" s="22" t="n"/>
    </row>
    <row r="1895" ht="15" customHeight="1">
      <c r="A1895" s="5">
        <f>ROW()-ROW(RawDataGenPO[[#Headers],[No.]])</f>
        <v/>
      </c>
      <c r="B1895" s="29" t="inlineStr">
        <is>
          <t>Expent  cost</t>
        </is>
      </c>
      <c r="C1895" s="373" t="n"/>
      <c r="D1895" s="374" t="n"/>
      <c r="E1895" s="374" t="n"/>
      <c r="F1895" s="281" t="n">
        <v>46043</v>
      </c>
      <c r="G1895" s="5" t="inlineStr">
        <is>
          <t>PR2526-04396</t>
        </is>
      </c>
      <c r="H1895" s="5" t="inlineStr">
        <is>
          <t>PO2526-06290</t>
        </is>
      </c>
      <c r="I1895" s="286" t="n">
        <v>46051</v>
      </c>
      <c r="J1895" s="26" t="n"/>
      <c r="K1895" s="20" t="n">
        <v>120</v>
      </c>
      <c r="L1895" s="5" t="inlineStr">
        <is>
          <t>SFST81000009</t>
        </is>
      </c>
      <c r="M1895" s="7" t="inlineStr">
        <is>
          <t>Consumable part for MN</t>
        </is>
      </c>
      <c r="N1895" s="7" t="inlineStr">
        <is>
          <t>Consumable part</t>
        </is>
      </c>
      <c r="O1895" s="11" t="n">
        <v>11</v>
      </c>
      <c r="P1895" s="10" t="inlineStr">
        <is>
          <t>brass unionyellow 3 side 3/16"</t>
        </is>
      </c>
      <c r="Q1895" s="277" t="n">
        <v>3</v>
      </c>
      <c r="R1895" s="5" t="inlineStr">
        <is>
          <t>PCS.</t>
        </is>
      </c>
      <c r="S1895" s="284">
        <f>RawDataGenPO[[#This Row],[Total price]]/RawDataGenPO[[#This Row],[Qty'']]</f>
        <v/>
      </c>
      <c r="T1895" s="278" t="n">
        <v>285</v>
      </c>
      <c r="U1895" s="291" t="n"/>
      <c r="V1895" s="7" t="inlineStr">
        <is>
          <t xml:space="preserve"> V1000259 - JJP SUPPLY CO., LTD</t>
        </is>
      </c>
      <c r="W1895" s="30" t="inlineStr">
        <is>
          <t>Recive bill and GRN already</t>
        </is>
      </c>
      <c r="X1895" s="5" t="inlineStr">
        <is>
          <t>GRN2526-0008643</t>
        </is>
      </c>
      <c r="Y1895" s="3" t="n">
        <v>46085</v>
      </c>
      <c r="Z1895" s="23" t="n"/>
      <c r="AA1895" s="17">
        <f>IF(RawDataGenPO[[#This Row],[Date Gen PO]]="","",RawDataGenPO[[#This Row],[Date recive bill]]-RawDataGenPO[[#This Row],[Date Gen PO]])</f>
        <v/>
      </c>
      <c r="AB1895" s="16">
        <f>IF(RawDataGenPO[[#This Row],[GRN-PO date]]&gt;RawDataGenPO[[#This Row],[Lead time delivery (day)]],"over deliverry","Ontime")</f>
        <v/>
      </c>
      <c r="AC1895" s="22" t="n"/>
    </row>
    <row r="1896" ht="15" customHeight="1">
      <c r="A1896" s="5">
        <f>ROW()-ROW(RawDataGenPO[[#Headers],[No.]])</f>
        <v/>
      </c>
      <c r="B1896" s="29" t="inlineStr">
        <is>
          <t>Expent  cost</t>
        </is>
      </c>
      <c r="C1896" s="373" t="n"/>
      <c r="D1896" s="374" t="n"/>
      <c r="E1896" s="374" t="n"/>
      <c r="F1896" s="281" t="n">
        <v>46043</v>
      </c>
      <c r="G1896" s="5" t="inlineStr">
        <is>
          <t>PR2526-04396</t>
        </is>
      </c>
      <c r="H1896" s="5" t="inlineStr">
        <is>
          <t>PO2526-06290</t>
        </is>
      </c>
      <c r="I1896" s="286" t="n">
        <v>46051</v>
      </c>
      <c r="J1896" s="26" t="n"/>
      <c r="K1896" s="20" t="n">
        <v>30</v>
      </c>
      <c r="L1896" s="5" t="inlineStr">
        <is>
          <t>SFST81000009</t>
        </is>
      </c>
      <c r="M1896" s="7" t="inlineStr">
        <is>
          <t>Consumable part for MN</t>
        </is>
      </c>
      <c r="N1896" s="7" t="inlineStr">
        <is>
          <t>Consumable part</t>
        </is>
      </c>
      <c r="O1896" s="11" t="n">
        <v>12</v>
      </c>
      <c r="P1896" s="10" t="inlineStr">
        <is>
          <t>brass unionyellow 3 side W UNF 5/16"</t>
        </is>
      </c>
      <c r="Q1896" s="277" t="n">
        <v>3</v>
      </c>
      <c r="R1896" s="5" t="inlineStr">
        <is>
          <t>PCS.</t>
        </is>
      </c>
      <c r="S1896" s="284">
        <f>RawDataGenPO[[#This Row],[Total price]]/RawDataGenPO[[#This Row],[Qty'']]</f>
        <v/>
      </c>
      <c r="T1896" s="278" t="n">
        <v>360</v>
      </c>
      <c r="U1896" s="291" t="n"/>
      <c r="V1896" s="7" t="inlineStr">
        <is>
          <t xml:space="preserve"> V1000259 - JJP SUPPLY CO., LTD</t>
        </is>
      </c>
      <c r="W1896" s="30" t="inlineStr">
        <is>
          <t>Recive bill and GRN already</t>
        </is>
      </c>
      <c r="X1896" s="5" t="inlineStr">
        <is>
          <t>GRN2526-0008212</t>
        </is>
      </c>
      <c r="Y1896" s="3" t="n">
        <v>46071</v>
      </c>
      <c r="Z1896" s="23" t="n"/>
      <c r="AA1896" s="17">
        <f>IF(RawDataGenPO[[#This Row],[Date Gen PO]]="","",RawDataGenPO[[#This Row],[Date recive bill]]-RawDataGenPO[[#This Row],[Date Gen PO]])</f>
        <v/>
      </c>
      <c r="AB1896" s="16">
        <f>IF(RawDataGenPO[[#This Row],[GRN-PO date]]&gt;RawDataGenPO[[#This Row],[Lead time delivery (day)]],"over deliverry","Ontime")</f>
        <v/>
      </c>
      <c r="AC1896" s="22" t="n"/>
    </row>
    <row r="1897" ht="15" customHeight="1">
      <c r="A1897" s="5">
        <f>ROW()-ROW(RawDataGenPO[[#Headers],[No.]])</f>
        <v/>
      </c>
      <c r="B1897" s="29" t="inlineStr">
        <is>
          <t>Expent  cost</t>
        </is>
      </c>
      <c r="C1897" s="373" t="n"/>
      <c r="D1897" s="374" t="n"/>
      <c r="E1897" s="374" t="n"/>
      <c r="F1897" s="281" t="n">
        <v>46043</v>
      </c>
      <c r="G1897" s="5" t="inlineStr">
        <is>
          <t>PR2526-04396</t>
        </is>
      </c>
      <c r="H1897" s="5" t="inlineStr">
        <is>
          <t>PO2526-06290</t>
        </is>
      </c>
      <c r="I1897" s="286" t="n">
        <v>46051</v>
      </c>
      <c r="J1897" s="26" t="n"/>
      <c r="K1897" s="20" t="n">
        <v>30</v>
      </c>
      <c r="L1897" s="5" t="inlineStr">
        <is>
          <t>SFST81000009</t>
        </is>
      </c>
      <c r="M1897" s="7" t="inlineStr">
        <is>
          <t>Consumable part for MN</t>
        </is>
      </c>
      <c r="N1897" s="7" t="inlineStr">
        <is>
          <t>Consumable part</t>
        </is>
      </c>
      <c r="O1897" s="11" t="n">
        <v>13</v>
      </c>
      <c r="P1897" s="10" t="inlineStr">
        <is>
          <t>brass unionyellow 3 side thread UNF 3/8"</t>
        </is>
      </c>
      <c r="Q1897" s="277" t="n">
        <v>3</v>
      </c>
      <c r="R1897" s="5" t="inlineStr">
        <is>
          <t>PCS.</t>
        </is>
      </c>
      <c r="S1897" s="284">
        <f>RawDataGenPO[[#This Row],[Total price]]/RawDataGenPO[[#This Row],[Qty'']]</f>
        <v/>
      </c>
      <c r="T1897" s="278" t="n">
        <v>390</v>
      </c>
      <c r="U1897" s="291" t="n"/>
      <c r="V1897" s="7" t="inlineStr">
        <is>
          <t xml:space="preserve"> V1000259 - JJP SUPPLY CO., LTD</t>
        </is>
      </c>
      <c r="W1897" s="30" t="inlineStr">
        <is>
          <t>Recive bill and GRN already</t>
        </is>
      </c>
      <c r="X1897" s="5" t="inlineStr">
        <is>
          <t>GRN2526-0008212</t>
        </is>
      </c>
      <c r="Y1897" s="3" t="n">
        <v>46071</v>
      </c>
      <c r="Z1897" s="23" t="n"/>
      <c r="AA1897" s="17">
        <f>IF(RawDataGenPO[[#This Row],[Date Gen PO]]="","",RawDataGenPO[[#This Row],[Date recive bill]]-RawDataGenPO[[#This Row],[Date Gen PO]])</f>
        <v/>
      </c>
      <c r="AB1897" s="16">
        <f>IF(RawDataGenPO[[#This Row],[GRN-PO date]]&gt;RawDataGenPO[[#This Row],[Lead time delivery (day)]],"over deliverry","Ontime")</f>
        <v/>
      </c>
      <c r="AC1897" s="22" t="n"/>
    </row>
    <row r="1898" ht="15" customHeight="1">
      <c r="A1898" s="5">
        <f>ROW()-ROW(RawDataGenPO[[#Headers],[No.]])</f>
        <v/>
      </c>
      <c r="B1898" s="29" t="inlineStr">
        <is>
          <t>Expent  cost</t>
        </is>
      </c>
      <c r="C1898" s="373" t="n"/>
      <c r="D1898" s="374" t="n"/>
      <c r="E1898" s="374" t="n"/>
      <c r="F1898" s="281" t="n">
        <v>46043</v>
      </c>
      <c r="G1898" s="5" t="inlineStr">
        <is>
          <t>PR2526-04396</t>
        </is>
      </c>
      <c r="H1898" s="5" t="inlineStr">
        <is>
          <t>PO2526-06290</t>
        </is>
      </c>
      <c r="I1898" s="286" t="n">
        <v>46051</v>
      </c>
      <c r="J1898" s="26" t="n"/>
      <c r="K1898" s="20" t="n">
        <v>30</v>
      </c>
      <c r="L1898" s="5" t="inlineStr">
        <is>
          <t>SFST81000009</t>
        </is>
      </c>
      <c r="M1898" s="7" t="inlineStr">
        <is>
          <t>Consumable part for MN</t>
        </is>
      </c>
      <c r="N1898" s="7" t="inlineStr">
        <is>
          <t>Consumable part</t>
        </is>
      </c>
      <c r="O1898" s="11" t="n">
        <v>14</v>
      </c>
      <c r="P1898" s="10" t="inlineStr">
        <is>
          <t>brass unionyellow 3 side thread UNF 1/4"</t>
        </is>
      </c>
      <c r="Q1898" s="277" t="n">
        <v>3</v>
      </c>
      <c r="R1898" s="5" t="inlineStr">
        <is>
          <t>PCS.</t>
        </is>
      </c>
      <c r="S1898" s="284">
        <f>RawDataGenPO[[#This Row],[Total price]]/RawDataGenPO[[#This Row],[Qty'']]</f>
        <v/>
      </c>
      <c r="T1898" s="278" t="n">
        <v>285</v>
      </c>
      <c r="U1898" s="291" t="n"/>
      <c r="V1898" s="7" t="inlineStr">
        <is>
          <t xml:space="preserve"> V1000259 - JJP SUPPLY CO., LTD</t>
        </is>
      </c>
      <c r="W1898" s="30" t="inlineStr">
        <is>
          <t>Recive bill and GRN already</t>
        </is>
      </c>
      <c r="X1898" s="5" t="inlineStr">
        <is>
          <t>GRN2526-0008212</t>
        </is>
      </c>
      <c r="Y1898" s="3" t="n">
        <v>46071</v>
      </c>
      <c r="Z1898" s="23" t="n"/>
      <c r="AA1898" s="17">
        <f>IF(RawDataGenPO[[#This Row],[Date Gen PO]]="","",RawDataGenPO[[#This Row],[Date recive bill]]-RawDataGenPO[[#This Row],[Date Gen PO]])</f>
        <v/>
      </c>
      <c r="AB1898" s="16">
        <f>IF(RawDataGenPO[[#This Row],[GRN-PO date]]&gt;RawDataGenPO[[#This Row],[Lead time delivery (day)]],"over deliverry","Ontime")</f>
        <v/>
      </c>
      <c r="AC1898" s="22" t="n"/>
    </row>
    <row r="1899" ht="15" customHeight="1">
      <c r="A1899" s="5">
        <f>ROW()-ROW(RawDataGenPO[[#Headers],[No.]])</f>
        <v/>
      </c>
      <c r="B1899" s="29" t="inlineStr">
        <is>
          <t>Expent  cost</t>
        </is>
      </c>
      <c r="C1899" s="373" t="n"/>
      <c r="D1899" s="374" t="n"/>
      <c r="E1899" s="374" t="n"/>
      <c r="F1899" s="281" t="n">
        <v>46043</v>
      </c>
      <c r="G1899" s="5" t="inlineStr">
        <is>
          <t>PR2526-04398</t>
        </is>
      </c>
      <c r="H1899" s="5" t="inlineStr">
        <is>
          <t>PO2526-06483</t>
        </is>
      </c>
      <c r="I1899" s="286" t="n">
        <v>46063</v>
      </c>
      <c r="J1899" s="26" t="n"/>
      <c r="K1899" s="20" t="n">
        <v>60</v>
      </c>
      <c r="L1899" s="5" t="inlineStr">
        <is>
          <t>SFST81000009</t>
        </is>
      </c>
      <c r="M1899" s="29" t="inlineStr">
        <is>
          <t>Civill jobs (Floor-Wall-Celling-roof)</t>
        </is>
      </c>
      <c r="N1899" s="29" t="inlineStr">
        <is>
          <t>Cevil quipment  &amp; Part</t>
        </is>
      </c>
      <c r="O1899" s="11" t="n">
        <v>1</v>
      </c>
      <c r="P1899" s="10" t="inlineStr">
        <is>
          <t>KOYO bearing #6201</t>
        </is>
      </c>
      <c r="Q1899" s="277" t="n">
        <v>64</v>
      </c>
      <c r="R1899" s="5" t="inlineStr">
        <is>
          <t>PCS.</t>
        </is>
      </c>
      <c r="S1899" s="284">
        <f>RawDataGenPO[[#This Row],[Total price]]/RawDataGenPO[[#This Row],[Qty'']]</f>
        <v/>
      </c>
      <c r="T1899" s="278" t="n">
        <v>5760</v>
      </c>
      <c r="U1899" s="291" t="n"/>
      <c r="V1899" s="7" t="inlineStr">
        <is>
          <t>V1001012 - FOLDING GATE COMPANY LIMITED</t>
        </is>
      </c>
      <c r="W1899" s="30" t="inlineStr">
        <is>
          <t>Recive bill and GRN already</t>
        </is>
      </c>
      <c r="X1899" s="5" t="inlineStr">
        <is>
          <t>GRN2526-0008313</t>
        </is>
      </c>
      <c r="Y1899" s="3" t="n">
        <v>46073</v>
      </c>
      <c r="Z1899" s="23" t="n"/>
      <c r="AA1899" s="17">
        <f>IF(RawDataGenPO[[#This Row],[Date Gen PO]]="","",RawDataGenPO[[#This Row],[Date recive bill]]-RawDataGenPO[[#This Row],[Date Gen PO]])</f>
        <v/>
      </c>
      <c r="AB1899" s="16">
        <f>IF(RawDataGenPO[[#This Row],[GRN-PO date]]&gt;RawDataGenPO[[#This Row],[Lead time delivery (day)]],"over deliverry","Ontime")</f>
        <v/>
      </c>
      <c r="AC1899" s="22" t="n"/>
    </row>
    <row r="1900" ht="15" customHeight="1">
      <c r="A1900" s="5">
        <f>ROW()-ROW(RawDataGenPO[[#Headers],[No.]])</f>
        <v/>
      </c>
      <c r="B1900" s="29" t="inlineStr">
        <is>
          <t>Expent  cost</t>
        </is>
      </c>
      <c r="C1900" s="373" t="n"/>
      <c r="D1900" s="374" t="n"/>
      <c r="E1900" s="374" t="n"/>
      <c r="F1900" s="281" t="n">
        <v>46043</v>
      </c>
      <c r="G1900" s="5" t="inlineStr">
        <is>
          <t>PR2526-04398</t>
        </is>
      </c>
      <c r="H1900" s="5" t="inlineStr">
        <is>
          <t>PO2526-06483</t>
        </is>
      </c>
      <c r="I1900" s="286" t="n">
        <v>46063</v>
      </c>
      <c r="J1900" s="26" t="n"/>
      <c r="K1900" s="20" t="n">
        <v>60</v>
      </c>
      <c r="L1900" s="5" t="inlineStr">
        <is>
          <t>SFST81000009</t>
        </is>
      </c>
      <c r="M1900" s="29" t="inlineStr">
        <is>
          <t>Civill jobs (Floor-Wall-Celling-roof)</t>
        </is>
      </c>
      <c r="N1900" s="29" t="inlineStr">
        <is>
          <t>Cevil quipment  &amp; Part</t>
        </is>
      </c>
      <c r="O1900" s="11" t="n">
        <v>2</v>
      </c>
      <c r="P1900" s="10" t="inlineStr">
        <is>
          <t>Chain #530</t>
        </is>
      </c>
      <c r="Q1900" s="277" t="n">
        <v>2</v>
      </c>
      <c r="R1900" s="5" t="inlineStr">
        <is>
          <t>PCS.</t>
        </is>
      </c>
      <c r="S1900" s="284">
        <f>RawDataGenPO[[#This Row],[Total price]]/RawDataGenPO[[#This Row],[Qty'']]</f>
        <v/>
      </c>
      <c r="T1900" s="278" t="n">
        <v>2700</v>
      </c>
      <c r="U1900" s="291" t="n"/>
      <c r="V1900" s="7" t="inlineStr">
        <is>
          <t>V1001012 - FOLDING GATE COMPANY LIMITED</t>
        </is>
      </c>
      <c r="W1900" s="30" t="inlineStr">
        <is>
          <t>Recive bill and GRN already</t>
        </is>
      </c>
      <c r="X1900" s="5" t="inlineStr">
        <is>
          <t>GRN2526-0008313</t>
        </is>
      </c>
      <c r="Y1900" s="3" t="n">
        <v>46073</v>
      </c>
      <c r="Z1900" s="23" t="n"/>
      <c r="AA1900" s="17">
        <f>IF(RawDataGenPO[[#This Row],[Date Gen PO]]="","",RawDataGenPO[[#This Row],[Date recive bill]]-RawDataGenPO[[#This Row],[Date Gen PO]])</f>
        <v/>
      </c>
      <c r="AB1900" s="16">
        <f>IF(RawDataGenPO[[#This Row],[GRN-PO date]]&gt;RawDataGenPO[[#This Row],[Lead time delivery (day)]],"over deliverry","Ontime")</f>
        <v/>
      </c>
      <c r="AC1900" s="22" t="n"/>
    </row>
    <row r="1901" ht="15" customHeight="1">
      <c r="A1901" s="5">
        <f>ROW()-ROW(RawDataGenPO[[#Headers],[No.]])</f>
        <v/>
      </c>
      <c r="B1901" s="29" t="inlineStr">
        <is>
          <t>Expent  cost</t>
        </is>
      </c>
      <c r="C1901" s="373" t="n"/>
      <c r="D1901" s="374" t="n"/>
      <c r="E1901" s="374" t="n"/>
      <c r="F1901" s="281" t="n">
        <v>46043</v>
      </c>
      <c r="G1901" s="5" t="inlineStr">
        <is>
          <t>PR2526-04398</t>
        </is>
      </c>
      <c r="H1901" s="5" t="inlineStr">
        <is>
          <t>PO2526-06483</t>
        </is>
      </c>
      <c r="I1901" s="286" t="n">
        <v>46063</v>
      </c>
      <c r="J1901" s="26" t="n"/>
      <c r="K1901" s="20" t="n">
        <v>60</v>
      </c>
      <c r="L1901" s="5" t="inlineStr">
        <is>
          <t>SFST81000009</t>
        </is>
      </c>
      <c r="M1901" s="29" t="inlineStr">
        <is>
          <t>Civill jobs (Floor-Wall-Celling-roof)</t>
        </is>
      </c>
      <c r="N1901" s="29" t="inlineStr">
        <is>
          <t>Cevil quipment  &amp; Part</t>
        </is>
      </c>
      <c r="O1901" s="11" t="n">
        <v>3</v>
      </c>
      <c r="P1901" s="10" t="inlineStr">
        <is>
          <t>Infrared motion sensor</t>
        </is>
      </c>
      <c r="Q1901" s="277" t="n">
        <v>2</v>
      </c>
      <c r="R1901" s="5" t="inlineStr">
        <is>
          <t>PCS.</t>
        </is>
      </c>
      <c r="S1901" s="284">
        <f>RawDataGenPO[[#This Row],[Total price]]/RawDataGenPO[[#This Row],[Qty'']]</f>
        <v/>
      </c>
      <c r="T1901" s="278" t="n">
        <v>1000</v>
      </c>
      <c r="U1901" s="291" t="n"/>
      <c r="V1901" s="7" t="inlineStr">
        <is>
          <t>V1001012 - FOLDING GATE COMPANY LIMITED</t>
        </is>
      </c>
      <c r="W1901" s="30" t="inlineStr">
        <is>
          <t>Recive bill and GRN already</t>
        </is>
      </c>
      <c r="X1901" s="5" t="inlineStr">
        <is>
          <t>GRN2526-0008313</t>
        </is>
      </c>
      <c r="Y1901" s="3" t="n">
        <v>46073</v>
      </c>
      <c r="Z1901" s="23" t="n"/>
      <c r="AA1901" s="17">
        <f>IF(RawDataGenPO[[#This Row],[Date Gen PO]]="","",RawDataGenPO[[#This Row],[Date recive bill]]-RawDataGenPO[[#This Row],[Date Gen PO]])</f>
        <v/>
      </c>
      <c r="AB1901" s="16">
        <f>IF(RawDataGenPO[[#This Row],[GRN-PO date]]&gt;RawDataGenPO[[#This Row],[Lead time delivery (day)]],"over deliverry","Ontime")</f>
        <v/>
      </c>
      <c r="AC1901" s="22" t="n"/>
    </row>
    <row r="1902" ht="15" customHeight="1">
      <c r="A1902" s="5">
        <f>ROW()-ROW(RawDataGenPO[[#Headers],[No.]])</f>
        <v/>
      </c>
      <c r="B1902" s="29" t="inlineStr">
        <is>
          <t>Expent  cost</t>
        </is>
      </c>
      <c r="C1902" s="373" t="n"/>
      <c r="D1902" s="374" t="n"/>
      <c r="E1902" s="374" t="n"/>
      <c r="F1902" s="281" t="n">
        <v>46043</v>
      </c>
      <c r="G1902" s="5" t="inlineStr">
        <is>
          <t>PR2526-04398</t>
        </is>
      </c>
      <c r="H1902" s="5" t="inlineStr">
        <is>
          <t>PO2526-06483</t>
        </is>
      </c>
      <c r="I1902" s="286" t="n">
        <v>46063</v>
      </c>
      <c r="J1902" s="26" t="n"/>
      <c r="K1902" s="20" t="n">
        <v>60</v>
      </c>
      <c r="L1902" s="5" t="inlineStr">
        <is>
          <t>SFST81000009</t>
        </is>
      </c>
      <c r="M1902" s="29" t="inlineStr">
        <is>
          <t>Civill jobs (Floor-Wall-Celling-roof)</t>
        </is>
      </c>
      <c r="N1902" s="29" t="inlineStr">
        <is>
          <t>Cevil quipment  &amp; Part</t>
        </is>
      </c>
      <c r="O1902" s="11" t="n">
        <v>4</v>
      </c>
      <c r="P1902" s="10" t="inlineStr">
        <is>
          <t>Remote control</t>
        </is>
      </c>
      <c r="Q1902" s="277" t="n">
        <v>2</v>
      </c>
      <c r="R1902" s="5" t="inlineStr">
        <is>
          <t>PCS.</t>
        </is>
      </c>
      <c r="S1902" s="284">
        <f>RawDataGenPO[[#This Row],[Total price]]/RawDataGenPO[[#This Row],[Qty'']]</f>
        <v/>
      </c>
      <c r="T1902" s="278" t="n">
        <v>1980</v>
      </c>
      <c r="U1902" s="291" t="n"/>
      <c r="V1902" s="7" t="inlineStr">
        <is>
          <t>V1001012 - FOLDING GATE COMPANY LIMITED</t>
        </is>
      </c>
      <c r="W1902" s="30" t="inlineStr">
        <is>
          <t>Recive bill and GRN already</t>
        </is>
      </c>
      <c r="X1902" s="5" t="inlineStr">
        <is>
          <t>GRN2526-0008313</t>
        </is>
      </c>
      <c r="Y1902" s="3" t="n">
        <v>46073</v>
      </c>
      <c r="Z1902" s="23" t="n"/>
      <c r="AA1902" s="17">
        <f>IF(RawDataGenPO[[#This Row],[Date Gen PO]]="","",RawDataGenPO[[#This Row],[Date recive bill]]-RawDataGenPO[[#This Row],[Date Gen PO]])</f>
        <v/>
      </c>
      <c r="AB1902" s="16">
        <f>IF(RawDataGenPO[[#This Row],[GRN-PO date]]&gt;RawDataGenPO[[#This Row],[Lead time delivery (day)]],"over deliverry","Ontime")</f>
        <v/>
      </c>
      <c r="AC1902" s="22" t="n"/>
    </row>
    <row r="1903" ht="15" customHeight="1">
      <c r="A1903" s="5">
        <f>ROW()-ROW(RawDataGenPO[[#Headers],[No.]])</f>
        <v/>
      </c>
      <c r="B1903" s="29" t="inlineStr">
        <is>
          <t>Expent  cost</t>
        </is>
      </c>
      <c r="C1903" s="373" t="n"/>
      <c r="D1903" s="374" t="n"/>
      <c r="E1903" s="374" t="n"/>
      <c r="F1903" s="281" t="n">
        <v>46043</v>
      </c>
      <c r="G1903" s="5" t="inlineStr">
        <is>
          <t>PR2526-04398</t>
        </is>
      </c>
      <c r="H1903" s="5" t="inlineStr">
        <is>
          <t>PO2526-06483</t>
        </is>
      </c>
      <c r="I1903" s="286" t="n">
        <v>46063</v>
      </c>
      <c r="J1903" s="26" t="n"/>
      <c r="K1903" s="20" t="n">
        <v>60</v>
      </c>
      <c r="L1903" s="5" t="inlineStr">
        <is>
          <t>SFST81000009</t>
        </is>
      </c>
      <c r="M1903" s="29" t="inlineStr">
        <is>
          <t>Civill jobs (Floor-Wall-Celling-roof)</t>
        </is>
      </c>
      <c r="N1903" s="29" t="inlineStr">
        <is>
          <t>Cevil quipment  &amp; Part</t>
        </is>
      </c>
      <c r="O1903" s="11" t="n">
        <v>5</v>
      </c>
      <c r="P1903" s="10" t="inlineStr">
        <is>
          <t>Plug-in control box with push buttons</t>
        </is>
      </c>
      <c r="Q1903" s="277" t="n">
        <v>2</v>
      </c>
      <c r="R1903" s="5" t="inlineStr">
        <is>
          <t>PCS.</t>
        </is>
      </c>
      <c r="S1903" s="284">
        <f>RawDataGenPO[[#This Row],[Total price]]/RawDataGenPO[[#This Row],[Qty'']]</f>
        <v/>
      </c>
      <c r="T1903" s="278" t="n">
        <v>3000</v>
      </c>
      <c r="U1903" s="291" t="n"/>
      <c r="V1903" s="7" t="inlineStr">
        <is>
          <t>V1001012 - FOLDING GATE COMPANY LIMITED</t>
        </is>
      </c>
      <c r="W1903" s="30" t="inlineStr">
        <is>
          <t>Recive bill and GRN already</t>
        </is>
      </c>
      <c r="X1903" s="5" t="inlineStr">
        <is>
          <t>GRN2526-0008313</t>
        </is>
      </c>
      <c r="Y1903" s="3" t="n">
        <v>46073</v>
      </c>
      <c r="Z1903" s="23" t="n"/>
      <c r="AA1903" s="17">
        <f>IF(RawDataGenPO[[#This Row],[Date Gen PO]]="","",RawDataGenPO[[#This Row],[Date recive bill]]-RawDataGenPO[[#This Row],[Date Gen PO]])</f>
        <v/>
      </c>
      <c r="AB1903" s="16">
        <f>IF(RawDataGenPO[[#This Row],[GRN-PO date]]&gt;RawDataGenPO[[#This Row],[Lead time delivery (day)]],"over deliverry","Ontime")</f>
        <v/>
      </c>
      <c r="AC1903" s="22" t="n"/>
    </row>
    <row r="1904" ht="15" customHeight="1">
      <c r="A1904" s="5">
        <f>ROW()-ROW(RawDataGenPO[[#Headers],[No.]])</f>
        <v/>
      </c>
      <c r="B1904" s="29" t="inlineStr">
        <is>
          <t>Expent  cost</t>
        </is>
      </c>
      <c r="C1904" s="373" t="n"/>
      <c r="D1904" s="374" t="n"/>
      <c r="E1904" s="374" t="n"/>
      <c r="F1904" s="281" t="n">
        <v>46043</v>
      </c>
      <c r="G1904" s="5" t="inlineStr">
        <is>
          <t>PR2526-04398</t>
        </is>
      </c>
      <c r="H1904" s="5" t="inlineStr">
        <is>
          <t>PO2526-06483</t>
        </is>
      </c>
      <c r="I1904" s="286" t="n">
        <v>46063</v>
      </c>
      <c r="J1904" s="26" t="n"/>
      <c r="K1904" s="20" t="n">
        <v>60</v>
      </c>
      <c r="L1904" s="5" t="inlineStr">
        <is>
          <t>SFST81000009</t>
        </is>
      </c>
      <c r="M1904" s="29" t="inlineStr">
        <is>
          <t>Civill jobs (Floor-Wall-Celling-roof)</t>
        </is>
      </c>
      <c r="N1904" s="29" t="inlineStr">
        <is>
          <t>Cevil quipment  &amp; Part</t>
        </is>
      </c>
      <c r="O1904" s="11" t="n">
        <v>6</v>
      </c>
      <c r="P1904" s="10" t="inlineStr">
        <is>
          <t>Onsite Service</t>
        </is>
      </c>
      <c r="Q1904" s="277" t="n">
        <v>1</v>
      </c>
      <c r="R1904" s="5" t="inlineStr">
        <is>
          <t>JOB.</t>
        </is>
      </c>
      <c r="S1904" s="284">
        <f>RawDataGenPO[[#This Row],[Total price]]/RawDataGenPO[[#This Row],[Qty'']]</f>
        <v/>
      </c>
      <c r="T1904" s="278" t="n">
        <v>5000</v>
      </c>
      <c r="U1904" s="291" t="n"/>
      <c r="V1904" s="7" t="inlineStr">
        <is>
          <t>V1001012 - FOLDING GATE COMPANY LIMITED</t>
        </is>
      </c>
      <c r="W1904" s="30" t="inlineStr">
        <is>
          <t>Recive bill and GRN already</t>
        </is>
      </c>
      <c r="X1904" s="5" t="inlineStr">
        <is>
          <t>GRN2526-0008313</t>
        </is>
      </c>
      <c r="Y1904" s="3" t="n">
        <v>46073</v>
      </c>
      <c r="Z1904" s="23" t="n"/>
      <c r="AA1904" s="17">
        <f>IF(RawDataGenPO[[#This Row],[Date Gen PO]]="","",RawDataGenPO[[#This Row],[Date recive bill]]-RawDataGenPO[[#This Row],[Date Gen PO]])</f>
        <v/>
      </c>
      <c r="AB1904" s="16">
        <f>IF(RawDataGenPO[[#This Row],[GRN-PO date]]&gt;RawDataGenPO[[#This Row],[Lead time delivery (day)]],"over deliverry","Ontime")</f>
        <v/>
      </c>
      <c r="AC1904" s="22" t="n"/>
    </row>
    <row r="1905" ht="15" customHeight="1">
      <c r="A1905" s="5">
        <f>ROW()-ROW(RawDataGenPO[[#Headers],[No.]])</f>
        <v/>
      </c>
      <c r="B1905" s="29" t="inlineStr">
        <is>
          <t>Expent  cost</t>
        </is>
      </c>
      <c r="C1905" s="373" t="n"/>
      <c r="D1905" s="374" t="n"/>
      <c r="E1905" s="374" t="n"/>
      <c r="F1905" s="281" t="n">
        <v>46043</v>
      </c>
      <c r="G1905" s="5" t="inlineStr">
        <is>
          <t>PR2526-04399</t>
        </is>
      </c>
      <c r="H1905" s="5" t="inlineStr">
        <is>
          <t>PO2526-06469</t>
        </is>
      </c>
      <c r="I1905" s="286" t="n">
        <v>46063</v>
      </c>
      <c r="J1905" s="26" t="n"/>
      <c r="K1905" s="20" t="n">
        <v>60</v>
      </c>
      <c r="L1905" s="5" t="inlineStr">
        <is>
          <t>SFST81000064</t>
        </is>
      </c>
      <c r="M1905" s="7" t="inlineStr">
        <is>
          <t>Annual cost</t>
        </is>
      </c>
      <c r="N1905" s="7" t="inlineStr">
        <is>
          <t>Inspect cost</t>
        </is>
      </c>
      <c r="O1905" s="11" t="n">
        <v>1</v>
      </c>
      <c r="P1905" s="10" t="inlineStr">
        <is>
          <t>Service charge worksystemwork 2568</t>
        </is>
      </c>
      <c r="Q1905" s="277" t="n">
        <v>1</v>
      </c>
      <c r="R1905" s="5" t="inlineStr">
        <is>
          <t>JOB.</t>
        </is>
      </c>
      <c r="S1905" s="284">
        <f>RawDataGenPO[[#This Row],[Total price]]/RawDataGenPO[[#This Row],[Qty'']]</f>
        <v/>
      </c>
      <c r="T1905" s="278" t="n">
        <v>25000</v>
      </c>
      <c r="U1905" s="291" t="n"/>
      <c r="V1905" s="7" t="inlineStr">
        <is>
          <t>V1000694 - JIRAKIN ENGINEERING SERVICE CO., LTD.</t>
        </is>
      </c>
      <c r="W1905" s="30" t="inlineStr">
        <is>
          <t>Recive bill and GRN already</t>
        </is>
      </c>
      <c r="X1905" s="5" t="inlineStr">
        <is>
          <t>GRN2627-0000302</t>
        </is>
      </c>
      <c r="Y1905" s="3" t="n">
        <v>46121</v>
      </c>
      <c r="Z1905" s="23" t="n"/>
      <c r="AA1905" s="17">
        <f>IF(RawDataGenPO[[#This Row],[Date Gen PO]]="","",RawDataGenPO[[#This Row],[Date recive bill]]-RawDataGenPO[[#This Row],[Date Gen PO]])</f>
        <v/>
      </c>
      <c r="AB1905" s="16">
        <f>IF(RawDataGenPO[[#This Row],[GRN-PO date]]&gt;RawDataGenPO[[#This Row],[Lead time delivery (day)]],"over deliverry","Ontime")</f>
        <v/>
      </c>
      <c r="AC1905" s="22" t="n"/>
    </row>
    <row r="1906" ht="15" customHeight="1">
      <c r="A1906" s="5">
        <f>ROW()-ROW(RawDataGenPO[[#Headers],[No.]])</f>
        <v/>
      </c>
      <c r="B1906" s="29" t="inlineStr">
        <is>
          <t>Expent  cost</t>
        </is>
      </c>
      <c r="C1906" s="373" t="n"/>
      <c r="D1906" s="374" t="n"/>
      <c r="E1906" s="374" t="n"/>
      <c r="F1906" s="281" t="n">
        <v>46043</v>
      </c>
      <c r="G1906" s="5" t="inlineStr">
        <is>
          <t>PR2526-04433</t>
        </is>
      </c>
      <c r="H1906" s="5" t="inlineStr">
        <is>
          <t>PO2526-06299</t>
        </is>
      </c>
      <c r="I1906" s="286" t="n">
        <v>46051</v>
      </c>
      <c r="J1906" s="26" t="n"/>
      <c r="K1906" s="20" t="n">
        <v>30</v>
      </c>
      <c r="L1906" s="5" t="inlineStr">
        <is>
          <t>SFST11000004</t>
        </is>
      </c>
      <c r="M1906" s="7" t="inlineStr">
        <is>
          <t>Consumable part for MN</t>
        </is>
      </c>
      <c r="N1906" s="7" t="inlineStr">
        <is>
          <t>Consumable part</t>
        </is>
      </c>
      <c r="O1906" s="11" t="n">
        <v>1</v>
      </c>
      <c r="P1906" s="10" t="inlineStr">
        <is>
          <t>resin cleaning salt</t>
        </is>
      </c>
      <c r="Q1906" s="277" t="n">
        <v>3000</v>
      </c>
      <c r="R1906" s="5" t="inlineStr">
        <is>
          <t>KG</t>
        </is>
      </c>
      <c r="S1906" s="284">
        <f>RawDataGenPO[[#This Row],[Total price]]/RawDataGenPO[[#This Row],[Qty'']]</f>
        <v/>
      </c>
      <c r="T1906" s="278" t="n">
        <v>11100</v>
      </c>
      <c r="U1906" s="291" t="n"/>
      <c r="V1906" s="7" t="inlineStr">
        <is>
          <t>V1000001 - THAI REFINED SALT CO., LTD.</t>
        </is>
      </c>
      <c r="W1906" s="30" t="inlineStr">
        <is>
          <t>Recive bill and GRN already</t>
        </is>
      </c>
      <c r="X1906" s="5" t="inlineStr">
        <is>
          <t>GRN2526-0007599</t>
        </is>
      </c>
      <c r="Y1906" s="3" t="n">
        <v>46055</v>
      </c>
      <c r="Z1906" s="23" t="n"/>
      <c r="AA1906" s="17">
        <f>IF(RawDataGenPO[[#This Row],[Date Gen PO]]="","",RawDataGenPO[[#This Row],[Date recive bill]]-RawDataGenPO[[#This Row],[Date Gen PO]])</f>
        <v/>
      </c>
      <c r="AB1906" s="16">
        <f>IF(RawDataGenPO[[#This Row],[GRN-PO date]]&gt;RawDataGenPO[[#This Row],[Lead time delivery (day)]],"over deliverry","Ontime")</f>
        <v/>
      </c>
      <c r="AC1906" s="22" t="n"/>
    </row>
    <row r="1907" ht="15" customHeight="1">
      <c r="A1907" s="5">
        <f>ROW()-ROW(RawDataGenPO[[#Headers],[No.]])</f>
        <v/>
      </c>
      <c r="B1907" s="29" t="inlineStr">
        <is>
          <t>Expent  cost</t>
        </is>
      </c>
      <c r="C1907" s="373" t="n"/>
      <c r="D1907" s="374" t="n"/>
      <c r="E1907" s="374" t="n"/>
      <c r="F1907" s="281" t="n">
        <v>46043</v>
      </c>
      <c r="G1907" s="5" t="inlineStr">
        <is>
          <t>PR2526-04440</t>
        </is>
      </c>
      <c r="H1907" s="5" t="inlineStr">
        <is>
          <t>PO2526-06294</t>
        </is>
      </c>
      <c r="I1907" s="286" t="n">
        <v>46051</v>
      </c>
      <c r="J1907" s="26" t="n"/>
      <c r="K1907" s="20" t="n">
        <v>60</v>
      </c>
      <c r="L1907" s="5" t="inlineStr">
        <is>
          <t>SFST34000004</t>
        </is>
      </c>
      <c r="M1907" s="7" t="inlineStr">
        <is>
          <t>Consumable part for MN</t>
        </is>
      </c>
      <c r="N1907" s="7" t="inlineStr">
        <is>
          <t>Consumable part</t>
        </is>
      </c>
      <c r="O1907" s="11" t="n">
        <v>1</v>
      </c>
      <c r="P1907" s="10" t="inlineStr">
        <is>
          <t>fittingconnectormale thread(PVC), 1/2"</t>
        </is>
      </c>
      <c r="Q1907" s="277" t="n">
        <v>20</v>
      </c>
      <c r="R1907" s="5" t="inlineStr">
        <is>
          <t>PCS.</t>
        </is>
      </c>
      <c r="S1907" s="284">
        <f>RawDataGenPO[[#This Row],[Total price]]/RawDataGenPO[[#This Row],[Qty'']]</f>
        <v/>
      </c>
      <c r="T1907" s="278" t="n">
        <v>60</v>
      </c>
      <c r="U1907" s="291" t="n"/>
      <c r="V1907" s="7" t="inlineStr">
        <is>
          <t>V1000306 - Inter Supply (1992) Co., Ltd.</t>
        </is>
      </c>
      <c r="W1907" s="30" t="inlineStr">
        <is>
          <t>Recive bill and GRN already</t>
        </is>
      </c>
      <c r="X1907" s="5" t="inlineStr">
        <is>
          <t>GRN2526-0007808</t>
        </is>
      </c>
      <c r="Y1907" s="3" t="n">
        <v>46058</v>
      </c>
      <c r="Z1907" s="23" t="n"/>
      <c r="AA1907" s="17">
        <f>IF(RawDataGenPO[[#This Row],[Date Gen PO]]="","",RawDataGenPO[[#This Row],[Date recive bill]]-RawDataGenPO[[#This Row],[Date Gen PO]])</f>
        <v/>
      </c>
      <c r="AB1907" s="16">
        <f>IF(RawDataGenPO[[#This Row],[GRN-PO date]]&gt;RawDataGenPO[[#This Row],[Lead time delivery (day)]],"over deliverry","Ontime")</f>
        <v/>
      </c>
      <c r="AC1907" s="22" t="n"/>
    </row>
    <row r="1908" ht="15" customHeight="1">
      <c r="A1908" s="5">
        <f>ROW()-ROW(RawDataGenPO[[#Headers],[No.]])</f>
        <v/>
      </c>
      <c r="B1908" s="29" t="inlineStr">
        <is>
          <t>Expent  cost</t>
        </is>
      </c>
      <c r="C1908" s="373" t="n"/>
      <c r="D1908" s="374" t="n"/>
      <c r="E1908" s="374" t="n"/>
      <c r="F1908" s="281" t="n">
        <v>46043</v>
      </c>
      <c r="G1908" s="5" t="inlineStr">
        <is>
          <t>PR2526-04440</t>
        </is>
      </c>
      <c r="H1908" s="5" t="inlineStr">
        <is>
          <t>PO2526-06294</t>
        </is>
      </c>
      <c r="I1908" s="286" t="n">
        <v>46051</v>
      </c>
      <c r="J1908" s="26" t="n"/>
      <c r="K1908" s="20" t="n">
        <v>60</v>
      </c>
      <c r="L1908" s="5" t="inlineStr">
        <is>
          <t>SFST34000005</t>
        </is>
      </c>
      <c r="M1908" s="7" t="inlineStr">
        <is>
          <t>Consumable part for MN</t>
        </is>
      </c>
      <c r="N1908" s="7" t="inlineStr">
        <is>
          <t>Consumable part</t>
        </is>
      </c>
      <c r="O1908" s="11" t="n">
        <v>2</v>
      </c>
      <c r="P1908" s="10" t="inlineStr">
        <is>
          <t>fittingconnectormale thread(PVC), 3/4"</t>
        </is>
      </c>
      <c r="Q1908" s="277" t="n">
        <v>20</v>
      </c>
      <c r="R1908" s="5" t="inlineStr">
        <is>
          <t>PCS.</t>
        </is>
      </c>
      <c r="S1908" s="284">
        <f>RawDataGenPO[[#This Row],[Total price]]/RawDataGenPO[[#This Row],[Qty'']]</f>
        <v/>
      </c>
      <c r="T1908" s="278" t="n">
        <v>100</v>
      </c>
      <c r="U1908" s="291" t="n"/>
      <c r="V1908" s="7" t="inlineStr">
        <is>
          <t>V1000306 - Inter Supply (1992) Co., Ltd.</t>
        </is>
      </c>
      <c r="W1908" s="30" t="inlineStr">
        <is>
          <t>Recive bill and GRN already</t>
        </is>
      </c>
      <c r="X1908" s="5" t="inlineStr">
        <is>
          <t>GRN2526-0007808</t>
        </is>
      </c>
      <c r="Y1908" s="3" t="n">
        <v>46058</v>
      </c>
      <c r="Z1908" s="23" t="n"/>
      <c r="AA1908" s="17">
        <f>IF(RawDataGenPO[[#This Row],[Date Gen PO]]="","",RawDataGenPO[[#This Row],[Date recive bill]]-RawDataGenPO[[#This Row],[Date Gen PO]])</f>
        <v/>
      </c>
      <c r="AB1908" s="16">
        <f>IF(RawDataGenPO[[#This Row],[GRN-PO date]]&gt;RawDataGenPO[[#This Row],[Lead time delivery (day)]],"over deliverry","Ontime")</f>
        <v/>
      </c>
      <c r="AC1908" s="22" t="n"/>
    </row>
    <row r="1909" ht="15" customHeight="1">
      <c r="A1909" s="5">
        <f>ROW()-ROW(RawDataGenPO[[#Headers],[No.]])</f>
        <v/>
      </c>
      <c r="B1909" s="29" t="inlineStr">
        <is>
          <t>Expent  cost</t>
        </is>
      </c>
      <c r="C1909" s="373" t="n"/>
      <c r="D1909" s="374" t="n"/>
      <c r="E1909" s="374" t="n"/>
      <c r="F1909" s="281" t="n">
        <v>46043</v>
      </c>
      <c r="G1909" s="5" t="inlineStr">
        <is>
          <t>PR2526-04440</t>
        </is>
      </c>
      <c r="H1909" s="5" t="inlineStr">
        <is>
          <t>PO2526-06294</t>
        </is>
      </c>
      <c r="I1909" s="286" t="n">
        <v>46051</v>
      </c>
      <c r="J1909" s="26" t="n"/>
      <c r="K1909" s="20" t="n">
        <v>60</v>
      </c>
      <c r="L1909" s="5" t="inlineStr">
        <is>
          <t>SFST34000006</t>
        </is>
      </c>
      <c r="M1909" s="7" t="inlineStr">
        <is>
          <t>Consumable part for MN</t>
        </is>
      </c>
      <c r="N1909" s="7" t="inlineStr">
        <is>
          <t>Consumable part</t>
        </is>
      </c>
      <c r="O1909" s="11" t="n">
        <v>3</v>
      </c>
      <c r="P1909" s="10" t="inlineStr">
        <is>
          <t>fittingconnectormale thread(PVC), 1"</t>
        </is>
      </c>
      <c r="Q1909" s="277" t="n">
        <v>20</v>
      </c>
      <c r="R1909" s="5" t="inlineStr">
        <is>
          <t>PCS.</t>
        </is>
      </c>
      <c r="S1909" s="284">
        <f>RawDataGenPO[[#This Row],[Total price]]/RawDataGenPO[[#This Row],[Qty'']]</f>
        <v/>
      </c>
      <c r="T1909" s="278" t="n">
        <v>120</v>
      </c>
      <c r="U1909" s="291" t="n"/>
      <c r="V1909" s="7" t="inlineStr">
        <is>
          <t>V1000306 - Inter Supply (1992) Co., Ltd.</t>
        </is>
      </c>
      <c r="W1909" s="30" t="inlineStr">
        <is>
          <t>Recive bill and GRN already</t>
        </is>
      </c>
      <c r="X1909" s="5" t="inlineStr">
        <is>
          <t>GRN2526-0007808</t>
        </is>
      </c>
      <c r="Y1909" s="3" t="n">
        <v>46058</v>
      </c>
      <c r="Z1909" s="23" t="n"/>
      <c r="AA1909" s="17">
        <f>IF(RawDataGenPO[[#This Row],[Date Gen PO]]="","",RawDataGenPO[[#This Row],[Date recive bill]]-RawDataGenPO[[#This Row],[Date Gen PO]])</f>
        <v/>
      </c>
      <c r="AB1909" s="16">
        <f>IF(RawDataGenPO[[#This Row],[GRN-PO date]]&gt;RawDataGenPO[[#This Row],[Lead time delivery (day)]],"over deliverry","Ontime")</f>
        <v/>
      </c>
      <c r="AC1909" s="22" t="n"/>
    </row>
    <row r="1910" ht="15" customHeight="1">
      <c r="A1910" s="5">
        <f>ROW()-ROW(RawDataGenPO[[#Headers],[No.]])</f>
        <v/>
      </c>
      <c r="B1910" s="29" t="inlineStr">
        <is>
          <t>Expent  cost</t>
        </is>
      </c>
      <c r="C1910" s="373" t="n"/>
      <c r="D1910" s="374" t="n"/>
      <c r="E1910" s="374" t="n"/>
      <c r="F1910" s="281" t="n">
        <v>46043</v>
      </c>
      <c r="G1910" s="5" t="inlineStr">
        <is>
          <t>PR2526-04440</t>
        </is>
      </c>
      <c r="H1910" s="5" t="inlineStr">
        <is>
          <t>PO2526-06294</t>
        </is>
      </c>
      <c r="I1910" s="286" t="n">
        <v>46051</v>
      </c>
      <c r="J1910" s="26" t="n"/>
      <c r="K1910" s="20" t="n">
        <v>60</v>
      </c>
      <c r="L1910" s="5" t="inlineStr">
        <is>
          <t>SFST34000007</t>
        </is>
      </c>
      <c r="M1910" s="7" t="inlineStr">
        <is>
          <t>Consumable part for MN</t>
        </is>
      </c>
      <c r="N1910" s="7" t="inlineStr">
        <is>
          <t>Consumable part</t>
        </is>
      </c>
      <c r="O1910" s="11" t="n">
        <v>4</v>
      </c>
      <c r="P1910" s="10" t="inlineStr">
        <is>
          <t>fittingconnectorPVC straightfemale thread PVC, 1/2"</t>
        </is>
      </c>
      <c r="Q1910" s="277" t="n">
        <v>20</v>
      </c>
      <c r="R1910" s="5" t="inlineStr">
        <is>
          <t>PCS.</t>
        </is>
      </c>
      <c r="S1910" s="284">
        <f>RawDataGenPO[[#This Row],[Total price]]/RawDataGenPO[[#This Row],[Qty'']]</f>
        <v/>
      </c>
      <c r="T1910" s="278" t="n">
        <v>70</v>
      </c>
      <c r="U1910" s="291" t="n"/>
      <c r="V1910" s="7" t="inlineStr">
        <is>
          <t>V1000306 - Inter Supply (1992) Co., Ltd.</t>
        </is>
      </c>
      <c r="W1910" s="30" t="inlineStr">
        <is>
          <t>Recive bill and GRN already</t>
        </is>
      </c>
      <c r="X1910" s="5" t="inlineStr">
        <is>
          <t>GRN2526-0007808</t>
        </is>
      </c>
      <c r="Y1910" s="3" t="n">
        <v>46058</v>
      </c>
      <c r="Z1910" s="23" t="n"/>
      <c r="AA1910" s="17">
        <f>IF(RawDataGenPO[[#This Row],[Date Gen PO]]="","",RawDataGenPO[[#This Row],[Date recive bill]]-RawDataGenPO[[#This Row],[Date Gen PO]])</f>
        <v/>
      </c>
      <c r="AB1910" s="16">
        <f>IF(RawDataGenPO[[#This Row],[GRN-PO date]]&gt;RawDataGenPO[[#This Row],[Lead time delivery (day)]],"over deliverry","Ontime")</f>
        <v/>
      </c>
      <c r="AC1910" s="22" t="n"/>
    </row>
    <row r="1911" ht="15" customHeight="1">
      <c r="A1911" s="5">
        <f>ROW()-ROW(RawDataGenPO[[#Headers],[No.]])</f>
        <v/>
      </c>
      <c r="B1911" s="29" t="inlineStr">
        <is>
          <t>Expent  cost</t>
        </is>
      </c>
      <c r="C1911" s="373" t="n"/>
      <c r="D1911" s="374" t="n"/>
      <c r="E1911" s="374" t="n"/>
      <c r="F1911" s="281" t="n">
        <v>46043</v>
      </c>
      <c r="G1911" s="5" t="inlineStr">
        <is>
          <t>PR2526-04440</t>
        </is>
      </c>
      <c r="H1911" s="5" t="inlineStr">
        <is>
          <t>PO2526-06294</t>
        </is>
      </c>
      <c r="I1911" s="286" t="n">
        <v>46051</v>
      </c>
      <c r="J1911" s="26" t="n"/>
      <c r="K1911" s="20" t="n">
        <v>60</v>
      </c>
      <c r="L1911" s="5" t="inlineStr">
        <is>
          <t>SFST34000008</t>
        </is>
      </c>
      <c r="M1911" s="7" t="inlineStr">
        <is>
          <t>Consumable part for MN</t>
        </is>
      </c>
      <c r="N1911" s="7" t="inlineStr">
        <is>
          <t>Consumable part</t>
        </is>
      </c>
      <c r="O1911" s="11" t="n">
        <v>5</v>
      </c>
      <c r="P1911" s="10" t="inlineStr">
        <is>
          <t>fittingconnectorPVC straightfemale thread PVC, 3/4"</t>
        </is>
      </c>
      <c r="Q1911" s="277" t="n">
        <v>10</v>
      </c>
      <c r="R1911" s="5" t="inlineStr">
        <is>
          <t>PCS.</t>
        </is>
      </c>
      <c r="S1911" s="284">
        <f>RawDataGenPO[[#This Row],[Total price]]/RawDataGenPO[[#This Row],[Qty'']]</f>
        <v/>
      </c>
      <c r="T1911" s="278" t="n">
        <v>50</v>
      </c>
      <c r="U1911" s="291" t="n"/>
      <c r="V1911" s="7" t="inlineStr">
        <is>
          <t>V1000306 - Inter Supply (1992) Co., Ltd.</t>
        </is>
      </c>
      <c r="W1911" s="30" t="inlineStr">
        <is>
          <t>Recive bill and GRN already</t>
        </is>
      </c>
      <c r="X1911" s="5" t="inlineStr">
        <is>
          <t>GRN2526-0007808</t>
        </is>
      </c>
      <c r="Y1911" s="3" t="n">
        <v>46058</v>
      </c>
      <c r="Z1911" s="23" t="n"/>
      <c r="AA1911" s="17">
        <f>IF(RawDataGenPO[[#This Row],[Date Gen PO]]="","",RawDataGenPO[[#This Row],[Date recive bill]]-RawDataGenPO[[#This Row],[Date Gen PO]])</f>
        <v/>
      </c>
      <c r="AB1911" s="16">
        <f>IF(RawDataGenPO[[#This Row],[GRN-PO date]]&gt;RawDataGenPO[[#This Row],[Lead time delivery (day)]],"over deliverry","Ontime")</f>
        <v/>
      </c>
      <c r="AC1911" s="22" t="n"/>
    </row>
    <row r="1912" ht="15" customHeight="1">
      <c r="A1912" s="5">
        <f>ROW()-ROW(RawDataGenPO[[#Headers],[No.]])</f>
        <v/>
      </c>
      <c r="B1912" s="29" t="inlineStr">
        <is>
          <t>Expent  cost</t>
        </is>
      </c>
      <c r="C1912" s="373" t="n"/>
      <c r="D1912" s="374" t="n"/>
      <c r="E1912" s="374" t="n"/>
      <c r="F1912" s="281" t="n">
        <v>46043</v>
      </c>
      <c r="G1912" s="5" t="inlineStr">
        <is>
          <t>PR2526-04440</t>
        </is>
      </c>
      <c r="H1912" s="5" t="inlineStr">
        <is>
          <t>PO2526-06294</t>
        </is>
      </c>
      <c r="I1912" s="286" t="n">
        <v>46051</v>
      </c>
      <c r="J1912" s="26" t="n"/>
      <c r="K1912" s="20" t="n">
        <v>60</v>
      </c>
      <c r="L1912" s="5" t="inlineStr">
        <is>
          <t>SFST34000009</t>
        </is>
      </c>
      <c r="M1912" s="7" t="inlineStr">
        <is>
          <t>Consumable part for MN</t>
        </is>
      </c>
      <c r="N1912" s="7" t="inlineStr">
        <is>
          <t>Consumable part</t>
        </is>
      </c>
      <c r="O1912" s="11" t="n">
        <v>6</v>
      </c>
      <c r="P1912" s="10" t="inlineStr">
        <is>
          <t>fittingconnectorPVC straightfemale thread PVC, 1"</t>
        </is>
      </c>
      <c r="Q1912" s="277" t="n">
        <v>10</v>
      </c>
      <c r="R1912" s="5" t="inlineStr">
        <is>
          <t>PCS.</t>
        </is>
      </c>
      <c r="S1912" s="284">
        <f>RawDataGenPO[[#This Row],[Total price]]/RawDataGenPO[[#This Row],[Qty'']]</f>
        <v/>
      </c>
      <c r="T1912" s="278" t="n">
        <v>80</v>
      </c>
      <c r="U1912" s="291" t="n"/>
      <c r="V1912" s="7" t="inlineStr">
        <is>
          <t>V1000306 - Inter Supply (1992) Co., Ltd.</t>
        </is>
      </c>
      <c r="W1912" s="30" t="inlineStr">
        <is>
          <t>Recive bill and GRN already</t>
        </is>
      </c>
      <c r="X1912" s="5" t="inlineStr">
        <is>
          <t>GRN2526-0007808</t>
        </is>
      </c>
      <c r="Y1912" s="3" t="n">
        <v>46058</v>
      </c>
      <c r="Z1912" s="23" t="n"/>
      <c r="AA1912" s="17">
        <f>IF(RawDataGenPO[[#This Row],[Date Gen PO]]="","",RawDataGenPO[[#This Row],[Date recive bill]]-RawDataGenPO[[#This Row],[Date Gen PO]])</f>
        <v/>
      </c>
      <c r="AB1912" s="16">
        <f>IF(RawDataGenPO[[#This Row],[GRN-PO date]]&gt;RawDataGenPO[[#This Row],[Lead time delivery (day)]],"over deliverry","Ontime")</f>
        <v/>
      </c>
      <c r="AC1912" s="22" t="n"/>
    </row>
    <row r="1913" ht="15" customHeight="1">
      <c r="A1913" s="5">
        <f>ROW()-ROW(RawDataGenPO[[#Headers],[No.]])</f>
        <v/>
      </c>
      <c r="B1913" s="29" t="inlineStr">
        <is>
          <t>Expent  cost</t>
        </is>
      </c>
      <c r="C1913" s="373" t="n"/>
      <c r="D1913" s="374" t="n"/>
      <c r="E1913" s="374" t="n"/>
      <c r="F1913" s="281" t="n">
        <v>46043</v>
      </c>
      <c r="G1913" s="5" t="inlineStr">
        <is>
          <t>PR2526-04440</t>
        </is>
      </c>
      <c r="H1913" s="5" t="inlineStr">
        <is>
          <t>PO2526-06294</t>
        </is>
      </c>
      <c r="I1913" s="286" t="n">
        <v>46051</v>
      </c>
      <c r="J1913" s="26" t="n"/>
      <c r="K1913" s="20" t="n">
        <v>60</v>
      </c>
      <c r="L1913" s="5" t="inlineStr">
        <is>
          <t>SFST34000016</t>
        </is>
      </c>
      <c r="M1913" s="7" t="inlineStr">
        <is>
          <t>Consumable part for MN</t>
        </is>
      </c>
      <c r="N1913" s="7" t="inlineStr">
        <is>
          <t>Consumable part</t>
        </is>
      </c>
      <c r="O1913" s="11" t="n">
        <v>7</v>
      </c>
      <c r="P1913" s="10" t="inlineStr">
        <is>
          <t>fittingstraight couplingPVC, 1/2"</t>
        </is>
      </c>
      <c r="Q1913" s="277" t="n">
        <v>20</v>
      </c>
      <c r="R1913" s="5" t="inlineStr">
        <is>
          <t>PCS.</t>
        </is>
      </c>
      <c r="S1913" s="284">
        <f>RawDataGenPO[[#This Row],[Total price]]/RawDataGenPO[[#This Row],[Qty'']]</f>
        <v/>
      </c>
      <c r="T1913" s="278" t="n">
        <v>60</v>
      </c>
      <c r="U1913" s="291" t="n"/>
      <c r="V1913" s="7" t="inlineStr">
        <is>
          <t>V1000306 - Inter Supply (1992) Co., Ltd.</t>
        </is>
      </c>
      <c r="W1913" s="30" t="inlineStr">
        <is>
          <t>Recive bill and GRN already</t>
        </is>
      </c>
      <c r="X1913" s="5" t="inlineStr">
        <is>
          <t>GRN2526-0007808</t>
        </is>
      </c>
      <c r="Y1913" s="3" t="n">
        <v>46058</v>
      </c>
      <c r="Z1913" s="23" t="n"/>
      <c r="AA1913" s="17">
        <f>IF(RawDataGenPO[[#This Row],[Date Gen PO]]="","",RawDataGenPO[[#This Row],[Date recive bill]]-RawDataGenPO[[#This Row],[Date Gen PO]])</f>
        <v/>
      </c>
      <c r="AB1913" s="16">
        <f>IF(RawDataGenPO[[#This Row],[GRN-PO date]]&gt;RawDataGenPO[[#This Row],[Lead time delivery (day)]],"over deliverry","Ontime")</f>
        <v/>
      </c>
      <c r="AC1913" s="22" t="n"/>
    </row>
    <row r="1914" ht="15" customHeight="1">
      <c r="A1914" s="5">
        <f>ROW()-ROW(RawDataGenPO[[#Headers],[No.]])</f>
        <v/>
      </c>
      <c r="B1914" s="29" t="inlineStr">
        <is>
          <t>Expent  cost</t>
        </is>
      </c>
      <c r="C1914" s="373" t="n"/>
      <c r="D1914" s="374" t="n"/>
      <c r="E1914" s="374" t="n"/>
      <c r="F1914" s="281" t="n">
        <v>46043</v>
      </c>
      <c r="G1914" s="5" t="inlineStr">
        <is>
          <t>PR2526-04440</t>
        </is>
      </c>
      <c r="H1914" s="5" t="inlineStr">
        <is>
          <t>PO2526-06294</t>
        </is>
      </c>
      <c r="I1914" s="286" t="n">
        <v>46051</v>
      </c>
      <c r="J1914" s="26" t="n"/>
      <c r="K1914" s="20" t="n">
        <v>60</v>
      </c>
      <c r="L1914" s="5" t="inlineStr">
        <is>
          <t>SFST34000017</t>
        </is>
      </c>
      <c r="M1914" s="7" t="inlineStr">
        <is>
          <t>Consumable part for MN</t>
        </is>
      </c>
      <c r="N1914" s="7" t="inlineStr">
        <is>
          <t>Consumable part</t>
        </is>
      </c>
      <c r="O1914" s="11" t="n">
        <v>8</v>
      </c>
      <c r="P1914" s="10" t="inlineStr">
        <is>
          <t>fittingstraight couplingPVC, 3/4"</t>
        </is>
      </c>
      <c r="Q1914" s="277" t="n">
        <v>20</v>
      </c>
      <c r="R1914" s="5" t="inlineStr">
        <is>
          <t>PCS.</t>
        </is>
      </c>
      <c r="S1914" s="284">
        <f>RawDataGenPO[[#This Row],[Total price]]/RawDataGenPO[[#This Row],[Qty'']]</f>
        <v/>
      </c>
      <c r="T1914" s="278" t="n">
        <v>76</v>
      </c>
      <c r="U1914" s="291" t="n"/>
      <c r="V1914" s="7" t="inlineStr">
        <is>
          <t>V1000306 - Inter Supply (1992) Co., Ltd.</t>
        </is>
      </c>
      <c r="W1914" s="30" t="inlineStr">
        <is>
          <t>Recive bill and GRN already</t>
        </is>
      </c>
      <c r="X1914" s="5" t="inlineStr">
        <is>
          <t>GRN2526-0007808</t>
        </is>
      </c>
      <c r="Y1914" s="3" t="n">
        <v>46058</v>
      </c>
      <c r="Z1914" s="23" t="n"/>
      <c r="AA1914" s="17">
        <f>IF(RawDataGenPO[[#This Row],[Date Gen PO]]="","",RawDataGenPO[[#This Row],[Date recive bill]]-RawDataGenPO[[#This Row],[Date Gen PO]])</f>
        <v/>
      </c>
      <c r="AB1914" s="16">
        <f>IF(RawDataGenPO[[#This Row],[GRN-PO date]]&gt;RawDataGenPO[[#This Row],[Lead time delivery (day)]],"over deliverry","Ontime")</f>
        <v/>
      </c>
      <c r="AC1914" s="22" t="n"/>
    </row>
    <row r="1915" ht="15" customHeight="1">
      <c r="A1915" s="5">
        <f>ROW()-ROW(RawDataGenPO[[#Headers],[No.]])</f>
        <v/>
      </c>
      <c r="B1915" s="29" t="inlineStr">
        <is>
          <t>Expent  cost</t>
        </is>
      </c>
      <c r="C1915" s="373" t="n"/>
      <c r="D1915" s="374" t="n"/>
      <c r="E1915" s="374" t="n"/>
      <c r="F1915" s="281" t="n">
        <v>46043</v>
      </c>
      <c r="G1915" s="5" t="inlineStr">
        <is>
          <t>PR2526-04440</t>
        </is>
      </c>
      <c r="H1915" s="5" t="inlineStr">
        <is>
          <t>PO2526-06294</t>
        </is>
      </c>
      <c r="I1915" s="286" t="n">
        <v>46051</v>
      </c>
      <c r="J1915" s="26" t="n"/>
      <c r="K1915" s="20" t="n">
        <v>60</v>
      </c>
      <c r="L1915" s="5" t="inlineStr">
        <is>
          <t>SFST34000018</t>
        </is>
      </c>
      <c r="M1915" s="7" t="inlineStr">
        <is>
          <t>Consumable part for MN</t>
        </is>
      </c>
      <c r="N1915" s="7" t="inlineStr">
        <is>
          <t>Consumable part</t>
        </is>
      </c>
      <c r="O1915" s="11" t="n">
        <v>9</v>
      </c>
      <c r="P1915" s="10" t="inlineStr">
        <is>
          <t>fittingstraight couplingPVC, 1"</t>
        </is>
      </c>
      <c r="Q1915" s="277" t="n">
        <v>10</v>
      </c>
      <c r="R1915" s="5" t="inlineStr">
        <is>
          <t>PCS.</t>
        </is>
      </c>
      <c r="S1915" s="284">
        <f>RawDataGenPO[[#This Row],[Total price]]/RawDataGenPO[[#This Row],[Qty'']]</f>
        <v/>
      </c>
      <c r="T1915" s="278" t="n">
        <v>65</v>
      </c>
      <c r="U1915" s="291" t="n"/>
      <c r="V1915" s="7" t="inlineStr">
        <is>
          <t>V1000306 - Inter Supply (1992) Co., Ltd.</t>
        </is>
      </c>
      <c r="W1915" s="30" t="inlineStr">
        <is>
          <t>Recive bill and GRN already</t>
        </is>
      </c>
      <c r="X1915" s="5" t="inlineStr">
        <is>
          <t>GRN2526-0007808</t>
        </is>
      </c>
      <c r="Y1915" s="3" t="n">
        <v>46058</v>
      </c>
      <c r="Z1915" s="23" t="n"/>
      <c r="AA1915" s="17">
        <f>IF(RawDataGenPO[[#This Row],[Date Gen PO]]="","",RawDataGenPO[[#This Row],[Date recive bill]]-RawDataGenPO[[#This Row],[Date Gen PO]])</f>
        <v/>
      </c>
      <c r="AB1915" s="16">
        <f>IF(RawDataGenPO[[#This Row],[GRN-PO date]]&gt;RawDataGenPO[[#This Row],[Lead time delivery (day)]],"over deliverry","Ontime")</f>
        <v/>
      </c>
      <c r="AC1915" s="22" t="n"/>
    </row>
    <row r="1916" ht="15" customHeight="1">
      <c r="A1916" s="5">
        <f>ROW()-ROW(RawDataGenPO[[#Headers],[No.]])</f>
        <v/>
      </c>
      <c r="B1916" s="29" t="inlineStr">
        <is>
          <t>Expent  cost</t>
        </is>
      </c>
      <c r="C1916" s="373" t="n"/>
      <c r="D1916" s="374" t="n"/>
      <c r="E1916" s="374" t="n"/>
      <c r="F1916" s="281" t="n">
        <v>46043</v>
      </c>
      <c r="G1916" s="5" t="inlineStr">
        <is>
          <t>PR2526-04440</t>
        </is>
      </c>
      <c r="H1916" s="5" t="inlineStr">
        <is>
          <t>PO2526-06294</t>
        </is>
      </c>
      <c r="I1916" s="286" t="n">
        <v>46051</v>
      </c>
      <c r="J1916" s="26" t="n"/>
      <c r="K1916" s="20" t="n">
        <v>60</v>
      </c>
      <c r="L1916" s="5" t="inlineStr">
        <is>
          <t>SFST34000019</t>
        </is>
      </c>
      <c r="M1916" s="7" t="inlineStr">
        <is>
          <t>Consumable part for MN</t>
        </is>
      </c>
      <c r="N1916" s="7" t="inlineStr">
        <is>
          <t>Consumable part</t>
        </is>
      </c>
      <c r="O1916" s="11" t="n">
        <v>10</v>
      </c>
      <c r="P1916" s="10" t="inlineStr">
        <is>
          <t>elbow 90 PVC,1/2 "</t>
        </is>
      </c>
      <c r="Q1916" s="277" t="n">
        <v>30</v>
      </c>
      <c r="R1916" s="5" t="inlineStr">
        <is>
          <t>PCS.</t>
        </is>
      </c>
      <c r="S1916" s="284">
        <f>RawDataGenPO[[#This Row],[Total price]]/RawDataGenPO[[#This Row],[Qty'']]</f>
        <v/>
      </c>
      <c r="T1916" s="278" t="n">
        <v>300</v>
      </c>
      <c r="U1916" s="291" t="n"/>
      <c r="V1916" s="7" t="inlineStr">
        <is>
          <t>V1000306 - Inter Supply (1992) Co., Ltd.</t>
        </is>
      </c>
      <c r="W1916" s="30" t="inlineStr">
        <is>
          <t>Recive bill and GRN already</t>
        </is>
      </c>
      <c r="X1916" s="5" t="inlineStr">
        <is>
          <t>GRN2526-0007808</t>
        </is>
      </c>
      <c r="Y1916" s="3" t="n">
        <v>46058</v>
      </c>
      <c r="Z1916" s="23" t="n"/>
      <c r="AA1916" s="17">
        <f>IF(RawDataGenPO[[#This Row],[Date Gen PO]]="","",RawDataGenPO[[#This Row],[Date recive bill]]-RawDataGenPO[[#This Row],[Date Gen PO]])</f>
        <v/>
      </c>
      <c r="AB1916" s="16">
        <f>IF(RawDataGenPO[[#This Row],[GRN-PO date]]&gt;RawDataGenPO[[#This Row],[Lead time delivery (day)]],"over deliverry","Ontime")</f>
        <v/>
      </c>
      <c r="AC1916" s="22" t="n"/>
    </row>
    <row r="1917" ht="15" customHeight="1">
      <c r="A1917" s="5">
        <f>ROW()-ROW(RawDataGenPO[[#Headers],[No.]])</f>
        <v/>
      </c>
      <c r="B1917" s="29" t="inlineStr">
        <is>
          <t>Expent  cost</t>
        </is>
      </c>
      <c r="C1917" s="373" t="n"/>
      <c r="D1917" s="374" t="n"/>
      <c r="E1917" s="374" t="n"/>
      <c r="F1917" s="281" t="n">
        <v>46043</v>
      </c>
      <c r="G1917" s="5" t="inlineStr">
        <is>
          <t>PR2526-04440</t>
        </is>
      </c>
      <c r="H1917" s="5" t="inlineStr">
        <is>
          <t>PO2526-06294</t>
        </is>
      </c>
      <c r="I1917" s="286" t="n">
        <v>46051</v>
      </c>
      <c r="J1917" s="26" t="n"/>
      <c r="K1917" s="20" t="n">
        <v>60</v>
      </c>
      <c r="L1917" s="5" t="inlineStr">
        <is>
          <t>SFST34000020</t>
        </is>
      </c>
      <c r="M1917" s="7" t="inlineStr">
        <is>
          <t>Consumable part for MN</t>
        </is>
      </c>
      <c r="N1917" s="7" t="inlineStr">
        <is>
          <t>Consumable part</t>
        </is>
      </c>
      <c r="O1917" s="11" t="n">
        <v>11</v>
      </c>
      <c r="P1917" s="10" t="inlineStr">
        <is>
          <t>elbow 90 PVC,3/4 "</t>
        </is>
      </c>
      <c r="Q1917" s="277" t="n">
        <v>10</v>
      </c>
      <c r="R1917" s="5" t="inlineStr">
        <is>
          <t>PCS.</t>
        </is>
      </c>
      <c r="S1917" s="284">
        <f>RawDataGenPO[[#This Row],[Total price]]/RawDataGenPO[[#This Row],[Qty'']]</f>
        <v/>
      </c>
      <c r="T1917" s="278" t="n">
        <v>150</v>
      </c>
      <c r="U1917" s="291" t="n"/>
      <c r="V1917" s="7" t="inlineStr">
        <is>
          <t>V1000306 - Inter Supply (1992) Co., Ltd.</t>
        </is>
      </c>
      <c r="W1917" s="30" t="inlineStr">
        <is>
          <t>Recive bill and GRN already</t>
        </is>
      </c>
      <c r="X1917" s="5" t="inlineStr">
        <is>
          <t>GRN2526-0007808</t>
        </is>
      </c>
      <c r="Y1917" s="3" t="n">
        <v>46058</v>
      </c>
      <c r="Z1917" s="23" t="n"/>
      <c r="AA1917" s="17">
        <f>IF(RawDataGenPO[[#This Row],[Date Gen PO]]="","",RawDataGenPO[[#This Row],[Date recive bill]]-RawDataGenPO[[#This Row],[Date Gen PO]])</f>
        <v/>
      </c>
      <c r="AB1917" s="16">
        <f>IF(RawDataGenPO[[#This Row],[GRN-PO date]]&gt;RawDataGenPO[[#This Row],[Lead time delivery (day)]],"over deliverry","Ontime")</f>
        <v/>
      </c>
      <c r="AC1917" s="22" t="n"/>
    </row>
    <row r="1918" ht="15" customHeight="1">
      <c r="A1918" s="5">
        <f>ROW()-ROW(RawDataGenPO[[#Headers],[No.]])</f>
        <v/>
      </c>
      <c r="B1918" s="29" t="inlineStr">
        <is>
          <t>Expent  cost</t>
        </is>
      </c>
      <c r="C1918" s="373" t="n"/>
      <c r="D1918" s="374" t="n"/>
      <c r="E1918" s="374" t="n"/>
      <c r="F1918" s="281" t="n">
        <v>46043</v>
      </c>
      <c r="G1918" s="5" t="inlineStr">
        <is>
          <t>PR2526-04440</t>
        </is>
      </c>
      <c r="H1918" s="5" t="inlineStr">
        <is>
          <t>PO2526-06294</t>
        </is>
      </c>
      <c r="I1918" s="286" t="n">
        <v>46051</v>
      </c>
      <c r="J1918" s="26" t="n"/>
      <c r="K1918" s="20" t="n">
        <v>60</v>
      </c>
      <c r="L1918" s="5" t="inlineStr">
        <is>
          <t>SFST34000021</t>
        </is>
      </c>
      <c r="M1918" s="7" t="inlineStr">
        <is>
          <t>Consumable part for MN</t>
        </is>
      </c>
      <c r="N1918" s="7" t="inlineStr">
        <is>
          <t>Consumable part</t>
        </is>
      </c>
      <c r="O1918" s="11" t="n">
        <v>12</v>
      </c>
      <c r="P1918" s="10" t="inlineStr">
        <is>
          <t>elbow 90 PVC,1 "</t>
        </is>
      </c>
      <c r="Q1918" s="277" t="n">
        <v>10</v>
      </c>
      <c r="R1918" s="5" t="inlineStr">
        <is>
          <t>PCS.</t>
        </is>
      </c>
      <c r="S1918" s="284">
        <f>RawDataGenPO[[#This Row],[Total price]]/RawDataGenPO[[#This Row],[Qty'']]</f>
        <v/>
      </c>
      <c r="T1918" s="278" t="n">
        <v>90</v>
      </c>
      <c r="U1918" s="291" t="n"/>
      <c r="V1918" s="7" t="inlineStr">
        <is>
          <t>V1000306 - Inter Supply (1992) Co., Ltd.</t>
        </is>
      </c>
      <c r="W1918" s="30" t="inlineStr">
        <is>
          <t>Recive bill and GRN already</t>
        </is>
      </c>
      <c r="X1918" s="5" t="inlineStr">
        <is>
          <t>GRN2526-0007808</t>
        </is>
      </c>
      <c r="Y1918" s="3" t="n">
        <v>46058</v>
      </c>
      <c r="Z1918" s="23" t="n"/>
      <c r="AA1918" s="17">
        <f>IF(RawDataGenPO[[#This Row],[Date Gen PO]]="","",RawDataGenPO[[#This Row],[Date recive bill]]-RawDataGenPO[[#This Row],[Date Gen PO]])</f>
        <v/>
      </c>
      <c r="AB1918" s="16">
        <f>IF(RawDataGenPO[[#This Row],[GRN-PO date]]&gt;RawDataGenPO[[#This Row],[Lead time delivery (day)]],"over deliverry","Ontime")</f>
        <v/>
      </c>
      <c r="AC1918" s="22" t="n"/>
    </row>
    <row r="1919" ht="15" customHeight="1">
      <c r="A1919" s="5">
        <f>ROW()-ROW(RawDataGenPO[[#Headers],[No.]])</f>
        <v/>
      </c>
      <c r="B1919" s="29" t="inlineStr">
        <is>
          <t>Expent  cost</t>
        </is>
      </c>
      <c r="C1919" s="373" t="n"/>
      <c r="D1919" s="374" t="n"/>
      <c r="E1919" s="374" t="n"/>
      <c r="F1919" s="281" t="n">
        <v>46043</v>
      </c>
      <c r="G1919" s="5" t="inlineStr">
        <is>
          <t>PR2526-04441</t>
        </is>
      </c>
      <c r="H1919" s="5" t="inlineStr">
        <is>
          <t>PO2526-06641</t>
        </is>
      </c>
      <c r="I1919" s="286" t="n">
        <v>46065</v>
      </c>
      <c r="J1919" s="26" t="n"/>
      <c r="K1919" s="20" t="n">
        <v>30</v>
      </c>
      <c r="L1919" s="5" t="inlineStr">
        <is>
          <t>SFST34000159</t>
        </is>
      </c>
      <c r="M1919" s="7" t="inlineStr">
        <is>
          <t>Consumable part for MN</t>
        </is>
      </c>
      <c r="N1919" s="7" t="inlineStr">
        <is>
          <t>Consumable part</t>
        </is>
      </c>
      <c r="O1919" s="11" t="n">
        <v>1</v>
      </c>
      <c r="P1919" s="10" t="inlineStr">
        <is>
          <t>waterchemical 500 ml. SONAX</t>
        </is>
      </c>
      <c r="Q1919" s="277" t="n">
        <v>12</v>
      </c>
      <c r="R1919" s="5" t="inlineStr">
        <is>
          <t>PCS.</t>
        </is>
      </c>
      <c r="S1919" s="284">
        <f>RawDataGenPO[[#This Row],[Total price]]/RawDataGenPO[[#This Row],[Qty'']]</f>
        <v/>
      </c>
      <c r="U1919" s="291" t="n"/>
      <c r="V1919" s="7" t="inlineStr">
        <is>
          <t>V1000306 - Inter Supply (1992) Co., Ltd.</t>
        </is>
      </c>
      <c r="W1919" s="30" t="inlineStr">
        <is>
          <t>Recive bill and GRN already</t>
        </is>
      </c>
      <c r="X1919" s="5" t="inlineStr">
        <is>
          <t>GRN2526-0008172</t>
        </is>
      </c>
      <c r="Y1919" s="3" t="n">
        <v>46070</v>
      </c>
      <c r="Z1919" s="23" t="n"/>
      <c r="AA1919" s="17">
        <f>IF(RawDataGenPO[[#This Row],[Date Gen PO]]="","",RawDataGenPO[[#This Row],[Date recive bill]]-RawDataGenPO[[#This Row],[Date Gen PO]])</f>
        <v/>
      </c>
      <c r="AB1919" s="16">
        <f>IF(RawDataGenPO[[#This Row],[GRN-PO date]]&gt;RawDataGenPO[[#This Row],[Lead time delivery (day)]],"over deliverry","Ontime")</f>
        <v/>
      </c>
      <c r="AC1919" s="22" t="n"/>
    </row>
    <row r="1920" ht="60" customHeight="1">
      <c r="A1920" s="5">
        <f>ROW()-ROW(RawDataGenPO[[#Headers],[No.]])</f>
        <v/>
      </c>
      <c r="B1920" s="29" t="inlineStr">
        <is>
          <t>Expent  cost</t>
        </is>
      </c>
      <c r="C1920" s="373" t="n"/>
      <c r="D1920" s="374" t="n"/>
      <c r="E1920" s="374" t="n"/>
      <c r="F1920" s="281" t="n">
        <v>46050</v>
      </c>
      <c r="G1920" s="5" t="inlineStr">
        <is>
          <t>PR2526-04524</t>
        </is>
      </c>
      <c r="H1920" s="5" t="inlineStr">
        <is>
          <t>PO2526-06281</t>
        </is>
      </c>
      <c r="I1920" s="286" t="n">
        <v>46051</v>
      </c>
      <c r="J1920" s="26" t="n"/>
      <c r="K1920" s="20" t="n">
        <v>60</v>
      </c>
      <c r="L1920" s="5" t="inlineStr">
        <is>
          <t>SFST81000048</t>
        </is>
      </c>
      <c r="M1920" s="7" t="inlineStr">
        <is>
          <t>PD Machine</t>
        </is>
      </c>
      <c r="N1920" s="7" t="inlineStr">
        <is>
          <t>Steam Bratt pan No.2</t>
        </is>
      </c>
      <c r="O1920" s="11" t="n">
        <v>1</v>
      </c>
      <c r="P1920" s="10" t="inlineStr">
        <is>
          <t>installation work Box Power Plug 380V
- Power Plug Box
RBC-01 cabinetstainless steel 304 waterproof 1 class
- Power Plug 3P+N+E 32A Weather Proof</t>
        </is>
      </c>
      <c r="Q1920" s="277" t="n">
        <v>1</v>
      </c>
      <c r="R1920" s="5" t="inlineStr">
        <is>
          <t>JOB.</t>
        </is>
      </c>
      <c r="S1920" s="284">
        <f>RawDataGenPO[[#This Row],[Total price]]/RawDataGenPO[[#This Row],[Qty'']]</f>
        <v/>
      </c>
      <c r="T1920" s="278" t="n">
        <v>13200</v>
      </c>
      <c r="U1920" s="291" t="n"/>
      <c r="V1920" s="33" t="inlineStr">
        <is>
          <t xml:space="preserve">V1000922 - WORMMEC COMPANY LIMITED
</t>
        </is>
      </c>
      <c r="W1920" s="30" t="inlineStr">
        <is>
          <t>Recive bill and GRN already</t>
        </is>
      </c>
      <c r="X1920" s="5" t="inlineStr">
        <is>
          <t>GRN2526-0007782</t>
        </is>
      </c>
      <c r="Y1920" s="3" t="n">
        <v>46057</v>
      </c>
      <c r="Z1920" s="23" t="n"/>
      <c r="AA1920" s="17">
        <f>IF(RawDataGenPO[[#This Row],[Date Gen PO]]="","",RawDataGenPO[[#This Row],[Date recive bill]]-RawDataGenPO[[#This Row],[Date Gen PO]])</f>
        <v/>
      </c>
      <c r="AB1920" s="16">
        <f>IF(RawDataGenPO[[#This Row],[GRN-PO date]]&gt;RawDataGenPO[[#This Row],[Lead time delivery (day)]],"over deliverry","Ontime")</f>
        <v/>
      </c>
      <c r="AC1920" s="22" t="n"/>
    </row>
    <row r="1921" ht="60" customHeight="1">
      <c r="A1921" s="5">
        <f>ROW()-ROW(RawDataGenPO[[#Headers],[No.]])</f>
        <v/>
      </c>
      <c r="B1921" s="29" t="inlineStr">
        <is>
          <t>Expent  cost</t>
        </is>
      </c>
      <c r="C1921" s="373" t="n"/>
      <c r="D1921" s="374" t="n"/>
      <c r="E1921" s="374" t="n"/>
      <c r="F1921" s="281" t="n">
        <v>46050</v>
      </c>
      <c r="G1921" s="5" t="inlineStr">
        <is>
          <t>PR2526-04524</t>
        </is>
      </c>
      <c r="H1921" s="5" t="inlineStr">
        <is>
          <t>PO2526-06281</t>
        </is>
      </c>
      <c r="I1921" s="286" t="n">
        <v>46051</v>
      </c>
      <c r="J1921" s="26" t="n"/>
      <c r="K1921" s="20" t="n">
        <v>60</v>
      </c>
      <c r="L1921" s="5" t="inlineStr">
        <is>
          <t>SFST81000048</t>
        </is>
      </c>
      <c r="M1921" s="7" t="inlineStr">
        <is>
          <t>PD Machine</t>
        </is>
      </c>
      <c r="N1921" s="7" t="inlineStr">
        <is>
          <t>Steam Bratt pan No.2</t>
        </is>
      </c>
      <c r="O1921" s="11" t="n">
        <v>2</v>
      </c>
      <c r="P1921" s="10" t="inlineStr">
        <is>
          <t>workruncable
- IEC01 6 sq.mm.
- workinletcable Power Plug 380 Vac
- workinletcable Main CB</t>
        </is>
      </c>
      <c r="Q1921" s="277" t="n">
        <v>1</v>
      </c>
      <c r="R1921" s="5" t="inlineStr">
        <is>
          <t>JOB.</t>
        </is>
      </c>
      <c r="S1921" s="284">
        <f>RawDataGenPO[[#This Row],[Total price]]/RawDataGenPO[[#This Row],[Qty'']]</f>
        <v/>
      </c>
      <c r="T1921" s="278" t="n">
        <v>1050</v>
      </c>
      <c r="U1921" s="291" t="n"/>
      <c r="V1921" s="33" t="inlineStr">
        <is>
          <t xml:space="preserve">V1000922 - WORMMEC COMPANY LIMITED
</t>
        </is>
      </c>
      <c r="W1921" s="30" t="inlineStr">
        <is>
          <t>Recive bill and GRN already</t>
        </is>
      </c>
      <c r="X1921" s="5" t="inlineStr">
        <is>
          <t>GRN2526-0007782</t>
        </is>
      </c>
      <c r="Y1921" s="3" t="n">
        <v>46057</v>
      </c>
      <c r="Z1921" s="23" t="n"/>
      <c r="AA1921" s="17">
        <f>IF(RawDataGenPO[[#This Row],[Date Gen PO]]="","",RawDataGenPO[[#This Row],[Date recive bill]]-RawDataGenPO[[#This Row],[Date Gen PO]])</f>
        <v/>
      </c>
      <c r="AB1921" s="16">
        <f>IF(RawDataGenPO[[#This Row],[GRN-PO date]]&gt;RawDataGenPO[[#This Row],[Lead time delivery (day)]],"over deliverry","Ontime")</f>
        <v/>
      </c>
      <c r="AC1921" s="22" t="n"/>
    </row>
    <row r="1922" ht="45" customHeight="1">
      <c r="A1922" s="5">
        <f>ROW()-ROW(RawDataGenPO[[#Headers],[No.]])</f>
        <v/>
      </c>
      <c r="B1922" s="29" t="inlineStr">
        <is>
          <t>Expent  cost</t>
        </is>
      </c>
      <c r="C1922" s="373" t="n"/>
      <c r="D1922" s="374" t="n"/>
      <c r="E1922" s="374" t="n"/>
      <c r="F1922" s="281" t="n">
        <v>46050</v>
      </c>
      <c r="G1922" s="5" t="inlineStr">
        <is>
          <t>PR2526-04524</t>
        </is>
      </c>
      <c r="H1922" s="5" t="inlineStr">
        <is>
          <t>PO2526-06281</t>
        </is>
      </c>
      <c r="I1922" s="286" t="n">
        <v>46051</v>
      </c>
      <c r="J1922" s="26" t="n"/>
      <c r="K1922" s="20" t="n">
        <v>60</v>
      </c>
      <c r="L1922" s="5" t="inlineStr">
        <is>
          <t>SFST81000048</t>
        </is>
      </c>
      <c r="M1922" s="7" t="inlineStr">
        <is>
          <t>PD Machine</t>
        </is>
      </c>
      <c r="N1922" s="7" t="inlineStr">
        <is>
          <t>Steam Bratt pan No.2</t>
        </is>
      </c>
      <c r="O1922" s="11" t="n">
        <v>3</v>
      </c>
      <c r="P1922" s="10" t="inlineStr">
        <is>
          <t>work Flexible waterproof
- Flex 1"
- Accessory</t>
        </is>
      </c>
      <c r="Q1922" s="277" t="n">
        <v>1</v>
      </c>
      <c r="R1922" s="5" t="inlineStr">
        <is>
          <t>JOB.</t>
        </is>
      </c>
      <c r="S1922" s="284">
        <f>RawDataGenPO[[#This Row],[Total price]]/RawDataGenPO[[#This Row],[Qty'']]</f>
        <v/>
      </c>
      <c r="T1922" s="278" t="n">
        <v>1250</v>
      </c>
      <c r="U1922" s="291" t="n"/>
      <c r="V1922" s="33" t="inlineStr">
        <is>
          <t xml:space="preserve">V1000922 - WORMMEC COMPANY LIMITED
</t>
        </is>
      </c>
      <c r="W1922" s="30" t="inlineStr">
        <is>
          <t>Recive bill and GRN already</t>
        </is>
      </c>
      <c r="X1922" s="5" t="inlineStr">
        <is>
          <t>GRN2526-0007782</t>
        </is>
      </c>
      <c r="Y1922" s="3" t="n">
        <v>46057</v>
      </c>
      <c r="Z1922" s="23" t="n"/>
      <c r="AA1922" s="17">
        <f>IF(RawDataGenPO[[#This Row],[Date Gen PO]]="","",RawDataGenPO[[#This Row],[Date recive bill]]-RawDataGenPO[[#This Row],[Date Gen PO]])</f>
        <v/>
      </c>
      <c r="AB1922" s="16">
        <f>IF(RawDataGenPO[[#This Row],[GRN-PO date]]&gt;RawDataGenPO[[#This Row],[Lead time delivery (day)]],"over deliverry","Ontime")</f>
        <v/>
      </c>
      <c r="AC1922" s="22" t="n"/>
    </row>
    <row r="1923" ht="30" customHeight="1">
      <c r="A1923" s="5">
        <f>ROW()-ROW(RawDataGenPO[[#Headers],[No.]])</f>
        <v/>
      </c>
      <c r="B1923" s="29" t="inlineStr">
        <is>
          <t>Expent  cost</t>
        </is>
      </c>
      <c r="C1923" s="373" t="n"/>
      <c r="D1923" s="374" t="n"/>
      <c r="E1923" s="374" t="n"/>
      <c r="F1923" s="281" t="n">
        <v>46050</v>
      </c>
      <c r="G1923" s="5" t="inlineStr">
        <is>
          <t>PR2526-04524</t>
        </is>
      </c>
      <c r="H1923" s="5" t="inlineStr">
        <is>
          <t>PO2526-06281</t>
        </is>
      </c>
      <c r="I1923" s="286" t="n">
        <v>46051</v>
      </c>
      <c r="J1923" s="26" t="n"/>
      <c r="K1923" s="20" t="n">
        <v>60</v>
      </c>
      <c r="L1923" s="5" t="inlineStr">
        <is>
          <t>SFST81000048</t>
        </is>
      </c>
      <c r="M1923" s="7" t="inlineStr">
        <is>
          <t>PD Machine</t>
        </is>
      </c>
      <c r="N1923" s="7" t="inlineStr">
        <is>
          <t>Steam Bratt pan No.2</t>
        </is>
      </c>
      <c r="O1923" s="11" t="n">
        <v>4</v>
      </c>
      <c r="P1923" s="10" t="inlineStr">
        <is>
          <t>Overhead and Profit</t>
        </is>
      </c>
      <c r="Q1923" s="277" t="n">
        <v>1</v>
      </c>
      <c r="R1923" s="5" t="inlineStr">
        <is>
          <t>JOB.</t>
        </is>
      </c>
      <c r="S1923" s="284">
        <f>RawDataGenPO[[#This Row],[Total price]]/RawDataGenPO[[#This Row],[Qty'']]</f>
        <v/>
      </c>
      <c r="T1923" s="278" t="n">
        <v>7500</v>
      </c>
      <c r="U1923" s="291" t="n"/>
      <c r="V1923" s="33" t="inlineStr">
        <is>
          <t xml:space="preserve">V1000922 - WORMMEC COMPANY LIMITED
</t>
        </is>
      </c>
      <c r="W1923" s="30" t="inlineStr">
        <is>
          <t>Recive bill and GRN already</t>
        </is>
      </c>
      <c r="X1923" s="5" t="inlineStr">
        <is>
          <t>GRN2526-0007782</t>
        </is>
      </c>
      <c r="Y1923" s="3" t="n">
        <v>46057</v>
      </c>
      <c r="Z1923" s="23" t="n"/>
      <c r="AA1923" s="17">
        <f>IF(RawDataGenPO[[#This Row],[Date Gen PO]]="","",RawDataGenPO[[#This Row],[Date recive bill]]-RawDataGenPO[[#This Row],[Date Gen PO]])</f>
        <v/>
      </c>
      <c r="AB1923" s="16">
        <f>IF(RawDataGenPO[[#This Row],[GRN-PO date]]&gt;RawDataGenPO[[#This Row],[Lead time delivery (day)]],"over deliverry","Ontime")</f>
        <v/>
      </c>
      <c r="AC1923" s="22" t="n"/>
    </row>
    <row r="1924" ht="15" customHeight="1">
      <c r="A1924" s="5">
        <f>ROW()-ROW(RawDataGenPO[[#Headers],[No.]])</f>
        <v/>
      </c>
      <c r="B1924" s="29" t="inlineStr">
        <is>
          <t>Expent  cost</t>
        </is>
      </c>
      <c r="C1924" s="373" t="n"/>
      <c r="D1924" s="374" t="n"/>
      <c r="E1924" s="374" t="n"/>
      <c r="F1924" s="281" t="n">
        <v>46050</v>
      </c>
      <c r="G1924" s="5" t="inlineStr">
        <is>
          <t>PR2526-04529</t>
        </is>
      </c>
      <c r="H1924" s="5" t="inlineStr">
        <is>
          <t>PO2526-06301</t>
        </is>
      </c>
      <c r="I1924" s="286" t="n">
        <v>46055</v>
      </c>
      <c r="J1924" s="26" t="n"/>
      <c r="K1924" s="20" t="n">
        <v>60</v>
      </c>
      <c r="L1924" s="5" t="inlineStr">
        <is>
          <t>SFST81000074</t>
        </is>
      </c>
      <c r="M1924" s="7" t="inlineStr">
        <is>
          <t>PD Machine</t>
        </is>
      </c>
      <c r="N1924" s="7" t="inlineStr">
        <is>
          <t>Electrical jobs</t>
        </is>
      </c>
      <c r="O1924" s="11" t="n">
        <v>1</v>
      </c>
      <c r="P1924" s="10" t="inlineStr">
        <is>
          <t>Transport water from Stage 2 to Stage 1</t>
        </is>
      </c>
      <c r="Q1924" s="277" t="n">
        <v>20</v>
      </c>
      <c r="R1924" s="5" t="inlineStr">
        <is>
          <t>Time</t>
        </is>
      </c>
      <c r="S1924" s="284">
        <f>RawDataGenPO[[#This Row],[Total price]]/RawDataGenPO[[#This Row],[Qty'']]</f>
        <v/>
      </c>
      <c r="T1924" s="278" t="n">
        <v>34000</v>
      </c>
      <c r="U1924" s="291" t="n"/>
      <c r="V1924" s="7" t="inlineStr">
        <is>
          <t>V1000930 - JS999 CO., LTD.</t>
        </is>
      </c>
      <c r="W1924" s="30" t="inlineStr">
        <is>
          <t>Recive bill and GRN already</t>
        </is>
      </c>
      <c r="X1924" s="5" t="inlineStr">
        <is>
          <t>GRN2526-0009513</t>
        </is>
      </c>
      <c r="Y1924" s="3" t="n">
        <v>46112</v>
      </c>
      <c r="Z1924" s="23" t="n"/>
      <c r="AA1924" s="17">
        <f>IF(RawDataGenPO[[#This Row],[Date Gen PO]]="","",RawDataGenPO[[#This Row],[Date recive bill]]-RawDataGenPO[[#This Row],[Date Gen PO]])</f>
        <v/>
      </c>
      <c r="AB1924" s="16">
        <f>IF(RawDataGenPO[[#This Row],[GRN-PO date]]&gt;RawDataGenPO[[#This Row],[Lead time delivery (day)]],"over deliverry","Ontime")</f>
        <v/>
      </c>
      <c r="AC1924" s="22" t="n"/>
    </row>
    <row r="1925" ht="15" customHeight="1">
      <c r="A1925" s="5">
        <f>ROW()-ROW(RawDataGenPO[[#Headers],[No.]])</f>
        <v/>
      </c>
      <c r="B1925" s="29" t="inlineStr">
        <is>
          <t>Expent  cost</t>
        </is>
      </c>
      <c r="C1925" s="373" t="n"/>
      <c r="D1925" s="374" t="n"/>
      <c r="E1925" s="374" t="n"/>
      <c r="F1925" s="281" t="n">
        <v>46050</v>
      </c>
      <c r="G1925" s="5" t="inlineStr">
        <is>
          <t>PR2526-04544</t>
        </is>
      </c>
      <c r="H1925" s="5" t="inlineStr">
        <is>
          <t>PO2526-06303</t>
        </is>
      </c>
      <c r="I1925" s="286" t="n">
        <v>46051</v>
      </c>
      <c r="J1925" s="26" t="n"/>
      <c r="K1925" s="20" t="n">
        <v>60</v>
      </c>
      <c r="L1925" s="5" t="inlineStr">
        <is>
          <t>SFST81000048</t>
        </is>
      </c>
      <c r="M1925" s="7" t="inlineStr">
        <is>
          <t>PD Machine</t>
        </is>
      </c>
      <c r="N1925" s="7" t="inlineStr">
        <is>
          <t>Electrical jobs</t>
        </is>
      </c>
      <c r="O1925" s="11" t="n">
        <v>1</v>
      </c>
      <c r="P1925" s="10" t="inlineStr">
        <is>
          <t>UPVC White Pipe 25 mm. dia.</t>
        </is>
      </c>
      <c r="Q1925" s="277" t="n">
        <v>60</v>
      </c>
      <c r="R1925" s="5" t="inlineStr">
        <is>
          <t>JOB.</t>
        </is>
      </c>
      <c r="S1925" s="284">
        <f>RawDataGenPO[[#This Row],[Total price]]/RawDataGenPO[[#This Row],[Qty'']]</f>
        <v/>
      </c>
      <c r="T1925" s="278" t="n">
        <v>3900</v>
      </c>
      <c r="U1925" s="291" t="n"/>
      <c r="V1925" s="7" t="inlineStr">
        <is>
          <t>V1000922 - WORMMEC COMPANY LIMITED</t>
        </is>
      </c>
      <c r="W1925" s="30" t="inlineStr">
        <is>
          <t xml:space="preserve">Waitting Supplier transportation </t>
        </is>
      </c>
      <c r="Z1925" s="23" t="n"/>
      <c r="AA1925" s="17">
        <f>IF(RawDataGenPO[[#This Row],[Date Gen PO]]="","",RawDataGenPO[[#This Row],[Date recive bill]]-RawDataGenPO[[#This Row],[Date Gen PO]])</f>
        <v/>
      </c>
      <c r="AB1925" s="16">
        <f>IF(RawDataGenPO[[#This Row],[GRN-PO date]]&gt;RawDataGenPO[[#This Row],[Lead time delivery (day)]],"over deliverry","Ontime")</f>
        <v/>
      </c>
      <c r="AC1925" s="22" t="n"/>
    </row>
    <row r="1926" ht="15" customHeight="1">
      <c r="A1926" s="5">
        <f>ROW()-ROW(RawDataGenPO[[#Headers],[No.]])</f>
        <v/>
      </c>
      <c r="B1926" s="29" t="inlineStr">
        <is>
          <t>Expent  cost</t>
        </is>
      </c>
      <c r="C1926" s="373" t="n"/>
      <c r="D1926" s="374" t="n"/>
      <c r="E1926" s="374" t="n"/>
      <c r="F1926" s="281" t="n">
        <v>46050</v>
      </c>
      <c r="G1926" s="5" t="inlineStr">
        <is>
          <t>PR2526-04544</t>
        </is>
      </c>
      <c r="H1926" s="5" t="inlineStr">
        <is>
          <t>PO2526-06303</t>
        </is>
      </c>
      <c r="I1926" s="286" t="n">
        <v>46051</v>
      </c>
      <c r="J1926" s="26" t="n"/>
      <c r="K1926" s="20" t="n">
        <v>60</v>
      </c>
      <c r="L1926" s="5" t="inlineStr">
        <is>
          <t>SFST81000048</t>
        </is>
      </c>
      <c r="M1926" s="7" t="inlineStr">
        <is>
          <t>PD Machine</t>
        </is>
      </c>
      <c r="N1926" s="7" t="inlineStr">
        <is>
          <t>Electrical jobs</t>
        </is>
      </c>
      <c r="O1926" s="11" t="n">
        <v>2</v>
      </c>
      <c r="P1926" s="10" t="inlineStr">
        <is>
          <t>EC01 2.5 sq.mm. "Phelp Dodge"</t>
        </is>
      </c>
      <c r="Q1926" s="277" t="n">
        <v>380</v>
      </c>
      <c r="R1926" s="5" t="inlineStr">
        <is>
          <t>JOB.</t>
        </is>
      </c>
      <c r="S1926" s="284">
        <f>RawDataGenPO[[#This Row],[Total price]]/RawDataGenPO[[#This Row],[Qty'']]</f>
        <v/>
      </c>
      <c r="T1926" s="278" t="n">
        <v>13300</v>
      </c>
      <c r="U1926" s="291" t="n"/>
      <c r="V1926" s="7" t="inlineStr">
        <is>
          <t>V1000922 - WORMMEC COMPANY LIMITED</t>
        </is>
      </c>
      <c r="W1926" s="30" t="inlineStr">
        <is>
          <t xml:space="preserve">Waitting Supplier transportation </t>
        </is>
      </c>
      <c r="Z1926" s="23" t="n"/>
      <c r="AA1926" s="17">
        <f>IF(RawDataGenPO[[#This Row],[Date Gen PO]]="","",RawDataGenPO[[#This Row],[Date recive bill]]-RawDataGenPO[[#This Row],[Date Gen PO]])</f>
        <v/>
      </c>
      <c r="AB1926" s="16">
        <f>IF(RawDataGenPO[[#This Row],[GRN-PO date]]&gt;RawDataGenPO[[#This Row],[Lead time delivery (day)]],"over deliverry","Ontime")</f>
        <v/>
      </c>
      <c r="AC1926" s="22" t="n"/>
    </row>
    <row r="1927" ht="15" customHeight="1">
      <c r="A1927" s="5">
        <f>ROW()-ROW(RawDataGenPO[[#Headers],[No.]])</f>
        <v/>
      </c>
      <c r="B1927" s="29" t="inlineStr">
        <is>
          <t>Expent  cost</t>
        </is>
      </c>
      <c r="C1927" s="373" t="n"/>
      <c r="D1927" s="374" t="n"/>
      <c r="E1927" s="374" t="n"/>
      <c r="F1927" s="281" t="n">
        <v>46050</v>
      </c>
      <c r="G1927" s="5" t="inlineStr">
        <is>
          <t>PR2526-04544</t>
        </is>
      </c>
      <c r="H1927" s="5" t="inlineStr">
        <is>
          <t>PO2526-06303</t>
        </is>
      </c>
      <c r="I1927" s="286" t="n">
        <v>46051</v>
      </c>
      <c r="J1927" s="26" t="n"/>
      <c r="K1927" s="20" t="n">
        <v>60</v>
      </c>
      <c r="L1927" s="5" t="inlineStr">
        <is>
          <t>SFST81000048</t>
        </is>
      </c>
      <c r="M1927" s="7" t="inlineStr">
        <is>
          <t>PD Machine</t>
        </is>
      </c>
      <c r="N1927" s="7" t="inlineStr">
        <is>
          <t>Electrical jobs</t>
        </is>
      </c>
      <c r="O1927" s="11" t="n">
        <v>3</v>
      </c>
      <c r="P1927" s="10" t="inlineStr">
        <is>
          <t>Power Plug 3P+N+E 32A Weather Proof "Bals"</t>
        </is>
      </c>
      <c r="Q1927" s="277" t="n">
        <v>2</v>
      </c>
      <c r="R1927" s="5" t="inlineStr">
        <is>
          <t>JOB.</t>
        </is>
      </c>
      <c r="S1927" s="284">
        <f>RawDataGenPO[[#This Row],[Total price]]/RawDataGenPO[[#This Row],[Qty'']]</f>
        <v/>
      </c>
      <c r="T1927" s="278" t="n">
        <v>1900</v>
      </c>
      <c r="U1927" s="291" t="n"/>
      <c r="V1927" s="7" t="inlineStr">
        <is>
          <t>V1000922 - WORMMEC COMPANY LIMITED</t>
        </is>
      </c>
      <c r="W1927" s="30" t="inlineStr">
        <is>
          <t xml:space="preserve">Waitting Supplier transportation </t>
        </is>
      </c>
      <c r="Z1927" s="23" t="n"/>
      <c r="AA1927" s="17">
        <f>IF(RawDataGenPO[[#This Row],[Date Gen PO]]="","",RawDataGenPO[[#This Row],[Date recive bill]]-RawDataGenPO[[#This Row],[Date Gen PO]])</f>
        <v/>
      </c>
      <c r="AB1927" s="16">
        <f>IF(RawDataGenPO[[#This Row],[GRN-PO date]]&gt;RawDataGenPO[[#This Row],[Lead time delivery (day)]],"over deliverry","Ontime")</f>
        <v/>
      </c>
      <c r="AC1927" s="22" t="n"/>
    </row>
    <row r="1928" ht="15" customHeight="1">
      <c r="A1928" s="5">
        <f>ROW()-ROW(RawDataGenPO[[#Headers],[No.]])</f>
        <v/>
      </c>
      <c r="B1928" s="29" t="inlineStr">
        <is>
          <t>Expent  cost</t>
        </is>
      </c>
      <c r="C1928" s="373" t="n"/>
      <c r="D1928" s="374" t="n"/>
      <c r="E1928" s="374" t="n"/>
      <c r="F1928" s="281" t="n">
        <v>46050</v>
      </c>
      <c r="G1928" s="5" t="inlineStr">
        <is>
          <t>PR2526-04544</t>
        </is>
      </c>
      <c r="H1928" s="5" t="inlineStr">
        <is>
          <t>PO2526-06303</t>
        </is>
      </c>
      <c r="I1928" s="286" t="n">
        <v>46051</v>
      </c>
      <c r="J1928" s="26" t="n"/>
      <c r="K1928" s="20" t="n">
        <v>60</v>
      </c>
      <c r="L1928" s="5" t="inlineStr">
        <is>
          <t>SFST81000048</t>
        </is>
      </c>
      <c r="M1928" s="7" t="inlineStr">
        <is>
          <t>PD Machine</t>
        </is>
      </c>
      <c r="N1928" s="7" t="inlineStr">
        <is>
          <t>Electrical jobs</t>
        </is>
      </c>
      <c r="O1928" s="11" t="n">
        <v>4</v>
      </c>
      <c r="P1928" s="10" t="inlineStr">
        <is>
          <t>PVC Box 6"x6"</t>
        </is>
      </c>
      <c r="Q1928" s="277" t="n">
        <v>2</v>
      </c>
      <c r="R1928" s="5" t="inlineStr">
        <is>
          <t>JOB.</t>
        </is>
      </c>
      <c r="S1928" s="284">
        <f>RawDataGenPO[[#This Row],[Total price]]/RawDataGenPO[[#This Row],[Qty'']]</f>
        <v/>
      </c>
      <c r="T1928" s="278" t="n">
        <v>400</v>
      </c>
      <c r="U1928" s="291" t="n"/>
      <c r="V1928" s="7" t="inlineStr">
        <is>
          <t>V1000922 - WORMMEC COMPANY LIMITED</t>
        </is>
      </c>
      <c r="W1928" s="30" t="inlineStr">
        <is>
          <t xml:space="preserve">Waitting Supplier transportation </t>
        </is>
      </c>
      <c r="Z1928" s="23" t="n"/>
      <c r="AA1928" s="17">
        <f>IF(RawDataGenPO[[#This Row],[Date Gen PO]]="","",RawDataGenPO[[#This Row],[Date recive bill]]-RawDataGenPO[[#This Row],[Date Gen PO]])</f>
        <v/>
      </c>
      <c r="AB1928" s="16">
        <f>IF(RawDataGenPO[[#This Row],[GRN-PO date]]&gt;RawDataGenPO[[#This Row],[Lead time delivery (day)]],"over deliverry","Ontime")</f>
        <v/>
      </c>
      <c r="AC1928" s="22" t="n"/>
    </row>
    <row r="1929" ht="15" customHeight="1">
      <c r="A1929" s="5">
        <f>ROW()-ROW(RawDataGenPO[[#Headers],[No.]])</f>
        <v/>
      </c>
      <c r="B1929" s="29" t="inlineStr">
        <is>
          <t>Expent  cost</t>
        </is>
      </c>
      <c r="C1929" s="373" t="n"/>
      <c r="D1929" s="374" t="n"/>
      <c r="E1929" s="374" t="n"/>
      <c r="F1929" s="281" t="n">
        <v>46050</v>
      </c>
      <c r="G1929" s="5" t="inlineStr">
        <is>
          <t>PR2526-04544</t>
        </is>
      </c>
      <c r="H1929" s="5" t="inlineStr">
        <is>
          <t>PO2526-06303</t>
        </is>
      </c>
      <c r="I1929" s="286" t="n">
        <v>46051</v>
      </c>
      <c r="J1929" s="26" t="n"/>
      <c r="K1929" s="20" t="n">
        <v>60</v>
      </c>
      <c r="L1929" s="5" t="inlineStr">
        <is>
          <t>SFST81000048</t>
        </is>
      </c>
      <c r="M1929" s="7" t="inlineStr">
        <is>
          <t>PD Machine</t>
        </is>
      </c>
      <c r="N1929" s="7" t="inlineStr">
        <is>
          <t>Electrical jobs</t>
        </is>
      </c>
      <c r="O1929" s="11" t="n">
        <v>5</v>
      </c>
      <c r="P1929" s="10" t="inlineStr">
        <is>
          <t>Pipe Fitting &amp; Accessories</t>
        </is>
      </c>
      <c r="Q1929" s="277" t="n">
        <v>1</v>
      </c>
      <c r="R1929" s="5" t="inlineStr">
        <is>
          <t>JOB.</t>
        </is>
      </c>
      <c r="S1929" s="284">
        <f>RawDataGenPO[[#This Row],[Total price]]/RawDataGenPO[[#This Row],[Qty'']]</f>
        <v/>
      </c>
      <c r="T1929" s="278" t="n">
        <v>3000</v>
      </c>
      <c r="U1929" s="291" t="n"/>
      <c r="V1929" s="7" t="inlineStr">
        <is>
          <t>V1000922 - WORMMEC COMPANY LIMITED</t>
        </is>
      </c>
      <c r="W1929" s="30" t="inlineStr">
        <is>
          <t xml:space="preserve">Waitting Supplier transportation </t>
        </is>
      </c>
      <c r="Z1929" s="23" t="n"/>
      <c r="AA1929" s="17">
        <f>IF(RawDataGenPO[[#This Row],[Date Gen PO]]="","",RawDataGenPO[[#This Row],[Date recive bill]]-RawDataGenPO[[#This Row],[Date Gen PO]])</f>
        <v/>
      </c>
      <c r="AB1929" s="16">
        <f>IF(RawDataGenPO[[#This Row],[GRN-PO date]]&gt;RawDataGenPO[[#This Row],[Lead time delivery (day)]],"over deliverry","Ontime")</f>
        <v/>
      </c>
      <c r="AC1929" s="22" t="n"/>
    </row>
    <row r="1930" ht="15" customHeight="1">
      <c r="A1930" s="5">
        <f>ROW()-ROW(RawDataGenPO[[#Headers],[No.]])</f>
        <v/>
      </c>
      <c r="B1930" s="29" t="inlineStr">
        <is>
          <t>Expent  cost</t>
        </is>
      </c>
      <c r="C1930" s="373" t="n"/>
      <c r="D1930" s="374" t="n"/>
      <c r="E1930" s="374" t="n"/>
      <c r="F1930" s="281" t="n">
        <v>46050</v>
      </c>
      <c r="G1930" s="5" t="inlineStr">
        <is>
          <t>PR2526-04544</t>
        </is>
      </c>
      <c r="H1930" s="5" t="inlineStr">
        <is>
          <t>PO2526-06303</t>
        </is>
      </c>
      <c r="I1930" s="286" t="n">
        <v>46051</v>
      </c>
      <c r="J1930" s="26" t="n"/>
      <c r="K1930" s="20" t="n">
        <v>60</v>
      </c>
      <c r="L1930" s="5" t="inlineStr">
        <is>
          <t>SFST81000048</t>
        </is>
      </c>
      <c r="M1930" s="7" t="inlineStr">
        <is>
          <t>PD Machine</t>
        </is>
      </c>
      <c r="N1930" s="7" t="inlineStr">
        <is>
          <t>Electrical jobs</t>
        </is>
      </c>
      <c r="O1930" s="11" t="n">
        <v>6</v>
      </c>
      <c r="P1930" s="10" t="inlineStr">
        <is>
          <t>Overhead and Profit</t>
        </is>
      </c>
      <c r="Q1930" s="277" t="n">
        <v>1</v>
      </c>
      <c r="R1930" s="5" t="inlineStr">
        <is>
          <t>JOB.</t>
        </is>
      </c>
      <c r="S1930" s="284">
        <f>RawDataGenPO[[#This Row],[Total price]]/RawDataGenPO[[#This Row],[Qty'']]</f>
        <v/>
      </c>
      <c r="T1930" s="278" t="n">
        <v>1500</v>
      </c>
      <c r="U1930" s="291" t="n"/>
      <c r="V1930" s="7" t="inlineStr">
        <is>
          <t>V1000922 - WORMMEC COMPANY LIMITED</t>
        </is>
      </c>
      <c r="W1930" s="30" t="inlineStr">
        <is>
          <t xml:space="preserve">Waitting Supplier transportation </t>
        </is>
      </c>
      <c r="Z1930" s="23" t="n"/>
      <c r="AA1930" s="17">
        <f>IF(RawDataGenPO[[#This Row],[Date Gen PO]]="","",RawDataGenPO[[#This Row],[Date recive bill]]-RawDataGenPO[[#This Row],[Date Gen PO]])</f>
        <v/>
      </c>
      <c r="AB1930" s="16">
        <f>IF(RawDataGenPO[[#This Row],[GRN-PO date]]&gt;RawDataGenPO[[#This Row],[Lead time delivery (day)]],"over deliverry","Ontime")</f>
        <v/>
      </c>
      <c r="AC1930" s="22" t="n"/>
    </row>
    <row r="1931" ht="15" customHeight="1">
      <c r="A1931" s="5">
        <f>ROW()-ROW(RawDataGenPO[[#Headers],[No.]])</f>
        <v/>
      </c>
      <c r="B1931" s="29" t="inlineStr">
        <is>
          <t>Expent  cost</t>
        </is>
      </c>
      <c r="C1931" s="373" t="n"/>
      <c r="D1931" s="374" t="n"/>
      <c r="E1931" s="374" t="n"/>
      <c r="F1931" s="281" t="n">
        <v>46050</v>
      </c>
      <c r="G1931" s="5" t="inlineStr">
        <is>
          <t>PR2526-04573</t>
        </is>
      </c>
      <c r="H1931" s="5" t="inlineStr">
        <is>
          <t>PO2526-06403</t>
        </is>
      </c>
      <c r="I1931" s="286" t="n">
        <v>46055</v>
      </c>
      <c r="J1931" s="26" t="n"/>
      <c r="K1931" s="20" t="n">
        <v>30</v>
      </c>
      <c r="L1931" s="5" t="inlineStr">
        <is>
          <t>SFST81000009</t>
        </is>
      </c>
      <c r="M1931" s="7" t="inlineStr">
        <is>
          <t>Consumable part for MN</t>
        </is>
      </c>
      <c r="N1931" s="7" t="inlineStr">
        <is>
          <t>Consumable part</t>
        </is>
      </c>
      <c r="O1931" s="11" t="n">
        <v>1</v>
      </c>
      <c r="P1931" s="10" t="inlineStr">
        <is>
          <t>PVC pipe 1/2" class 13.5</t>
        </is>
      </c>
      <c r="Q1931" s="277" t="n">
        <v>20</v>
      </c>
      <c r="R1931" s="5" t="inlineStr">
        <is>
          <t>PCS.</t>
        </is>
      </c>
      <c r="S1931" s="284">
        <f>RawDataGenPO[[#This Row],[Total price]]/RawDataGenPO[[#This Row],[Qty'']]</f>
        <v/>
      </c>
      <c r="T1931" s="278" t="n">
        <v>1080</v>
      </c>
      <c r="U1931" s="291" t="n"/>
      <c r="V1931" s="7" t="inlineStr">
        <is>
          <t>V1000306 - Inter Supply (1992) Co., Ltd.</t>
        </is>
      </c>
      <c r="W1931" s="30" t="inlineStr">
        <is>
          <t>Recive bill and GRN already</t>
        </is>
      </c>
      <c r="X1931" s="5" t="inlineStr">
        <is>
          <t>GRN2526-0007809</t>
        </is>
      </c>
      <c r="Y1931" s="3" t="n">
        <v>46058</v>
      </c>
      <c r="Z1931" s="23" t="n"/>
      <c r="AA1931" s="17">
        <f>IF(RawDataGenPO[[#This Row],[Date Gen PO]]="","",RawDataGenPO[[#This Row],[Date recive bill]]-RawDataGenPO[[#This Row],[Date Gen PO]])</f>
        <v/>
      </c>
      <c r="AB1931" s="16">
        <f>IF(RawDataGenPO[[#This Row],[GRN-PO date]]&gt;RawDataGenPO[[#This Row],[Lead time delivery (day)]],"over deliverry","Ontime")</f>
        <v/>
      </c>
      <c r="AC1931" s="22" t="n"/>
    </row>
    <row r="1932" ht="15" customHeight="1">
      <c r="A1932" s="5">
        <f>ROW()-ROW(RawDataGenPO[[#Headers],[No.]])</f>
        <v/>
      </c>
      <c r="B1932" s="29" t="inlineStr">
        <is>
          <t>Expent  cost</t>
        </is>
      </c>
      <c r="C1932" s="373" t="n"/>
      <c r="D1932" s="374" t="n"/>
      <c r="E1932" s="374" t="n"/>
      <c r="F1932" s="281" t="n">
        <v>46050</v>
      </c>
      <c r="G1932" s="5" t="inlineStr">
        <is>
          <t>PR2526-04573</t>
        </is>
      </c>
      <c r="H1932" s="5" t="inlineStr">
        <is>
          <t>PO2526-06403</t>
        </is>
      </c>
      <c r="I1932" s="286" t="n">
        <v>46055</v>
      </c>
      <c r="J1932" s="26" t="n"/>
      <c r="K1932" s="20" t="n">
        <v>30</v>
      </c>
      <c r="L1932" s="5" t="inlineStr">
        <is>
          <t>SFST81000009</t>
        </is>
      </c>
      <c r="M1932" s="7" t="inlineStr">
        <is>
          <t>Consumable part for MN</t>
        </is>
      </c>
      <c r="N1932" s="7" t="inlineStr">
        <is>
          <t>Consumable part</t>
        </is>
      </c>
      <c r="O1932" s="11" t="n">
        <v>2</v>
      </c>
      <c r="P1932" s="10" t="inlineStr">
        <is>
          <t>PVC pipe 3/4" class 13.5</t>
        </is>
      </c>
      <c r="Q1932" s="277" t="n">
        <v>10</v>
      </c>
      <c r="R1932" s="5" t="inlineStr">
        <is>
          <t>PCS.</t>
        </is>
      </c>
      <c r="S1932" s="284">
        <f>RawDataGenPO[[#This Row],[Total price]]/RawDataGenPO[[#This Row],[Qty'']]</f>
        <v/>
      </c>
      <c r="T1932" s="278" t="n">
        <v>650</v>
      </c>
      <c r="U1932" s="291" t="n"/>
      <c r="V1932" s="7" t="inlineStr">
        <is>
          <t>V1000306 - Inter Supply (1992) Co., Ltd.</t>
        </is>
      </c>
      <c r="W1932" s="30" t="inlineStr">
        <is>
          <t>Recive bill and GRN already</t>
        </is>
      </c>
      <c r="X1932" s="5" t="inlineStr">
        <is>
          <t>GRN2526-0007809</t>
        </is>
      </c>
      <c r="Y1932" s="3" t="n">
        <v>46058</v>
      </c>
      <c r="Z1932" s="23" t="n"/>
      <c r="AA1932" s="17">
        <f>IF(RawDataGenPO[[#This Row],[Date Gen PO]]="","",RawDataGenPO[[#This Row],[Date recive bill]]-RawDataGenPO[[#This Row],[Date Gen PO]])</f>
        <v/>
      </c>
      <c r="AB1932" s="16">
        <f>IF(RawDataGenPO[[#This Row],[GRN-PO date]]&gt;RawDataGenPO[[#This Row],[Lead time delivery (day)]],"over deliverry","Ontime")</f>
        <v/>
      </c>
      <c r="AC1932" s="22" t="n"/>
    </row>
    <row r="1933" ht="15" customHeight="1">
      <c r="A1933" s="5">
        <f>ROW()-ROW(RawDataGenPO[[#Headers],[No.]])</f>
        <v/>
      </c>
      <c r="B1933" s="29" t="inlineStr">
        <is>
          <t>Expent  cost</t>
        </is>
      </c>
      <c r="C1933" s="373" t="n"/>
      <c r="D1933" s="374" t="n"/>
      <c r="E1933" s="374" t="n"/>
      <c r="F1933" s="281" t="n">
        <v>46050</v>
      </c>
      <c r="G1933" s="5" t="inlineStr">
        <is>
          <t>PR2526-04573</t>
        </is>
      </c>
      <c r="H1933" s="5" t="inlineStr">
        <is>
          <t>PO2526-06403</t>
        </is>
      </c>
      <c r="I1933" s="286" t="n">
        <v>46055</v>
      </c>
      <c r="J1933" s="26" t="n"/>
      <c r="K1933" s="20" t="n">
        <v>30</v>
      </c>
      <c r="L1933" s="5" t="inlineStr">
        <is>
          <t>SFST81000009</t>
        </is>
      </c>
      <c r="M1933" s="7" t="inlineStr">
        <is>
          <t>Consumable part for MN</t>
        </is>
      </c>
      <c r="N1933" s="7" t="inlineStr">
        <is>
          <t>Consumable part</t>
        </is>
      </c>
      <c r="O1933" s="11" t="n">
        <v>3</v>
      </c>
      <c r="P1933" s="10" t="inlineStr">
        <is>
          <t>PVC pipe 1" class 13.5</t>
        </is>
      </c>
      <c r="Q1933" s="277" t="n">
        <v>10</v>
      </c>
      <c r="R1933" s="5" t="inlineStr">
        <is>
          <t>PCS.</t>
        </is>
      </c>
      <c r="S1933" s="284">
        <f>RawDataGenPO[[#This Row],[Total price]]/RawDataGenPO[[#This Row],[Qty'']]</f>
        <v/>
      </c>
      <c r="T1933" s="278" t="n">
        <v>1030</v>
      </c>
      <c r="U1933" s="291" t="n"/>
      <c r="V1933" s="7" t="inlineStr">
        <is>
          <t>V1000306 - Inter Supply (1992) Co., Ltd.</t>
        </is>
      </c>
      <c r="W1933" s="30" t="inlineStr">
        <is>
          <t>Recive bill and GRN already</t>
        </is>
      </c>
      <c r="X1933" s="5" t="inlineStr">
        <is>
          <t>GRN2526-0007809</t>
        </is>
      </c>
      <c r="Y1933" s="3" t="n">
        <v>46058</v>
      </c>
      <c r="Z1933" s="23" t="n"/>
      <c r="AA1933" s="17">
        <f>IF(RawDataGenPO[[#This Row],[Date Gen PO]]="","",RawDataGenPO[[#This Row],[Date recive bill]]-RawDataGenPO[[#This Row],[Date Gen PO]])</f>
        <v/>
      </c>
      <c r="AB1933" s="16">
        <f>IF(RawDataGenPO[[#This Row],[GRN-PO date]]&gt;RawDataGenPO[[#This Row],[Lead time delivery (day)]],"over deliverry","Ontime")</f>
        <v/>
      </c>
      <c r="AC1933" s="22" t="n"/>
    </row>
    <row r="1934" ht="15" customHeight="1">
      <c r="A1934" s="5">
        <f>ROW()-ROW(RawDataGenPO[[#Headers],[No.]])</f>
        <v/>
      </c>
      <c r="B1934" s="29" t="inlineStr">
        <is>
          <t>Expent  cost</t>
        </is>
      </c>
      <c r="C1934" s="373" t="n"/>
      <c r="D1934" s="374" t="n"/>
      <c r="E1934" s="374" t="n"/>
      <c r="F1934" s="281" t="n">
        <v>46050</v>
      </c>
      <c r="G1934" s="5" t="inlineStr">
        <is>
          <t>PR2526-04575</t>
        </is>
      </c>
      <c r="H1934" s="5" t="inlineStr">
        <is>
          <t>PR2526-04575</t>
        </is>
      </c>
      <c r="I1934" s="286" t="n">
        <v>46055</v>
      </c>
      <c r="J1934" s="26" t="n"/>
      <c r="K1934" s="20" t="n">
        <v>30</v>
      </c>
      <c r="L1934" s="5" t="inlineStr">
        <is>
          <t>SFST81000048</t>
        </is>
      </c>
      <c r="M1934" s="7" t="inlineStr">
        <is>
          <t>PD Machine</t>
        </is>
      </c>
      <c r="N1934" s="7" t="inlineStr">
        <is>
          <t>Machanical jobs</t>
        </is>
      </c>
      <c r="O1934" s="11" t="n">
        <v>1</v>
      </c>
      <c r="P1934" s="10" t="inlineStr">
        <is>
          <t>Blade sharpening for a vegetable slicer (2 PC/ Set)</t>
        </is>
      </c>
      <c r="Q1934" s="277" t="n">
        <v>1</v>
      </c>
      <c r="R1934" s="5" t="inlineStr">
        <is>
          <t>JOB.</t>
        </is>
      </c>
      <c r="S1934" s="284">
        <f>RawDataGenPO[[#This Row],[Total price]]/RawDataGenPO[[#This Row],[Qty'']]</f>
        <v/>
      </c>
      <c r="T1934" s="278" t="n">
        <v>1800</v>
      </c>
      <c r="U1934" s="291" t="n"/>
      <c r="V1934" s="7" t="inlineStr">
        <is>
          <t>V1000452 - SRIPIPAT ENGINEERING CO.,LTD.</t>
        </is>
      </c>
      <c r="W1934" s="30" t="inlineStr">
        <is>
          <t xml:space="preserve">Waitting Supplier transportation </t>
        </is>
      </c>
      <c r="Z1934" s="23" t="n"/>
      <c r="AA1934" s="17">
        <f>IF(RawDataGenPO[[#This Row],[Date Gen PO]]="","",RawDataGenPO[[#This Row],[Date recive bill]]-RawDataGenPO[[#This Row],[Date Gen PO]])</f>
        <v/>
      </c>
      <c r="AB1934" s="16">
        <f>IF(RawDataGenPO[[#This Row],[GRN-PO date]]&gt;RawDataGenPO[[#This Row],[Lead time delivery (day)]],"over deliverry","Ontime")</f>
        <v/>
      </c>
      <c r="AC1934" s="22" t="n"/>
    </row>
    <row r="1935" ht="15" customHeight="1">
      <c r="A1935" s="5">
        <f>ROW()-ROW(RawDataGenPO[[#Headers],[No.]])</f>
        <v/>
      </c>
      <c r="B1935" s="29" t="inlineStr">
        <is>
          <t>Expent  cost</t>
        </is>
      </c>
      <c r="C1935" s="373" t="n"/>
      <c r="D1935" s="374" t="n"/>
      <c r="E1935" s="374" t="n"/>
      <c r="F1935" s="281" t="n">
        <v>46050</v>
      </c>
      <c r="G1935" s="5" t="inlineStr">
        <is>
          <t>PR2526-04575</t>
        </is>
      </c>
      <c r="H1935" s="5" t="inlineStr">
        <is>
          <t>PR2526-04575</t>
        </is>
      </c>
      <c r="I1935" s="286" t="n">
        <v>46055</v>
      </c>
      <c r="J1935" s="26" t="n"/>
      <c r="K1935" s="20" t="n">
        <v>30</v>
      </c>
      <c r="L1935" s="5" t="inlineStr">
        <is>
          <t>SFST81000048</t>
        </is>
      </c>
      <c r="M1935" s="7" t="inlineStr">
        <is>
          <t>PD Machine</t>
        </is>
      </c>
      <c r="N1935" s="7" t="inlineStr">
        <is>
          <t>Machanical jobs</t>
        </is>
      </c>
      <c r="O1935" s="11" t="n">
        <v>2</v>
      </c>
      <c r="P1935" s="10" t="inlineStr">
        <is>
          <t>Screw for a vegetable slicer</t>
        </is>
      </c>
      <c r="Q1935" s="277" t="n">
        <v>1</v>
      </c>
      <c r="R1935" s="5" t="inlineStr">
        <is>
          <t>JOB.</t>
        </is>
      </c>
      <c r="S1935" s="284">
        <f>RawDataGenPO[[#This Row],[Total price]]/RawDataGenPO[[#This Row],[Qty'']]</f>
        <v/>
      </c>
      <c r="T1935" s="278" t="n">
        <v>200</v>
      </c>
      <c r="U1935" s="291" t="n"/>
      <c r="V1935" s="7" t="inlineStr">
        <is>
          <t>V1000452 - SRIPIPAT ENGINEERING CO.,LTD.</t>
        </is>
      </c>
      <c r="W1935" s="30" t="inlineStr">
        <is>
          <t>Recive bill and GRN already</t>
        </is>
      </c>
      <c r="X1935" s="5" t="inlineStr">
        <is>
          <t>GRN2526-0007698</t>
        </is>
      </c>
      <c r="Y1935" s="3" t="n">
        <v>46056</v>
      </c>
      <c r="Z1935" s="23" t="n"/>
      <c r="AA1935" s="17">
        <f>IF(RawDataGenPO[[#This Row],[Date Gen PO]]="","",RawDataGenPO[[#This Row],[Date recive bill]]-RawDataGenPO[[#This Row],[Date Gen PO]])</f>
        <v/>
      </c>
      <c r="AB1935" s="16">
        <f>IF(RawDataGenPO[[#This Row],[GRN-PO date]]&gt;RawDataGenPO[[#This Row],[Lead time delivery (day)]],"over deliverry","Ontime")</f>
        <v/>
      </c>
      <c r="AC1935" s="22" t="n"/>
    </row>
    <row r="1936" ht="45" customHeight="1">
      <c r="A1936" s="5">
        <f>ROW()-ROW(RawDataGenPO[[#Headers],[No.]])</f>
        <v/>
      </c>
      <c r="B1936" s="29" t="inlineStr">
        <is>
          <t>Expent  cost</t>
        </is>
      </c>
      <c r="C1936" s="373" t="n"/>
      <c r="D1936" s="374" t="n"/>
      <c r="E1936" s="374" t="n"/>
      <c r="F1936" s="281" t="n">
        <v>46052</v>
      </c>
      <c r="G1936" s="5" t="inlineStr">
        <is>
          <t>PR2526-04576</t>
        </is>
      </c>
      <c r="H1936" s="5" t="inlineStr">
        <is>
          <t>PO2526-06484</t>
        </is>
      </c>
      <c r="I1936" s="286" t="n">
        <v>46059</v>
      </c>
      <c r="J1936" s="26" t="n"/>
      <c r="K1936" s="20" t="n">
        <v>30</v>
      </c>
      <c r="L1936" s="5" t="inlineStr">
        <is>
          <t>SFST81000009</t>
        </is>
      </c>
      <c r="M1936" s="7" t="inlineStr">
        <is>
          <t>Machanical part</t>
        </is>
      </c>
      <c r="N1936" s="7" t="inlineStr">
        <is>
          <t>Machine Spare part</t>
        </is>
      </c>
      <c r="O1936" s="11" t="n">
        <v>1</v>
      </c>
      <c r="P1936" s="10" t="inlineStr">
        <is>
          <t>Keypad and Battery
- spare partmachinemeasuring "Lovibond"
Model. MD200 SN. 24/105019</t>
        </is>
      </c>
      <c r="Q1936" s="277" t="n">
        <v>1</v>
      </c>
      <c r="R1936" s="5" t="inlineStr">
        <is>
          <t>JOB.</t>
        </is>
      </c>
      <c r="S1936" s="284">
        <f>RawDataGenPO[[#This Row],[Total price]]/RawDataGenPO[[#This Row],[Qty'']]</f>
        <v/>
      </c>
      <c r="T1936" s="278" t="n">
        <v>3800</v>
      </c>
      <c r="U1936" s="291" t="n"/>
      <c r="V1936" s="7" t="inlineStr">
        <is>
          <t>V1001011 - U.P.V. Service Co., Ltd.</t>
        </is>
      </c>
      <c r="W1936" s="30" t="inlineStr">
        <is>
          <t>Recive bill and GRN already</t>
        </is>
      </c>
      <c r="X1936" s="5" t="inlineStr">
        <is>
          <t>GRN2526-0007863</t>
        </is>
      </c>
      <c r="Y1936" s="3" t="n">
        <v>46060</v>
      </c>
      <c r="Z1936" s="23" t="n"/>
      <c r="AA1936" s="17">
        <f>IF(RawDataGenPO[[#This Row],[Date Gen PO]]="","",RawDataGenPO[[#This Row],[Date recive bill]]-RawDataGenPO[[#This Row],[Date Gen PO]])</f>
        <v/>
      </c>
      <c r="AB1936" s="16">
        <f>IF(RawDataGenPO[[#This Row],[GRN-PO date]]&gt;RawDataGenPO[[#This Row],[Lead time delivery (day)]],"over deliverry","Ontime")</f>
        <v/>
      </c>
      <c r="AC1936" s="22" t="n"/>
    </row>
    <row r="1937" ht="15" customHeight="1">
      <c r="A1937" s="5">
        <f>ROW()-ROW(RawDataGenPO[[#Headers],[No.]])</f>
        <v/>
      </c>
      <c r="B1937" s="29" t="inlineStr">
        <is>
          <t>Expent  cost</t>
        </is>
      </c>
      <c r="C1937" s="373" t="n"/>
      <c r="D1937" s="374" t="n"/>
      <c r="E1937" s="374" t="n"/>
      <c r="F1937" s="281" t="n">
        <v>46052</v>
      </c>
      <c r="G1937" s="5" t="inlineStr">
        <is>
          <t>PR2526-04576</t>
        </is>
      </c>
      <c r="H1937" s="5" t="inlineStr">
        <is>
          <t>PO2526-06484</t>
        </is>
      </c>
      <c r="I1937" s="286" t="n">
        <v>46059</v>
      </c>
      <c r="J1937" s="26" t="n"/>
      <c r="K1937" s="20" t="n">
        <v>30</v>
      </c>
      <c r="L1937" s="5" t="inlineStr">
        <is>
          <t>SFST81000009</t>
        </is>
      </c>
      <c r="M1937" s="7" t="inlineStr">
        <is>
          <t>Machanical part</t>
        </is>
      </c>
      <c r="N1937" s="7" t="inlineStr">
        <is>
          <t>Machine Spare part</t>
        </is>
      </c>
      <c r="O1937" s="11" t="n">
        <v>2</v>
      </c>
      <c r="P1937" s="10" t="inlineStr">
        <is>
          <t>Service charge</t>
        </is>
      </c>
      <c r="Q1937" s="277" t="n">
        <v>1</v>
      </c>
      <c r="R1937" s="5" t="inlineStr">
        <is>
          <t>JOB.</t>
        </is>
      </c>
      <c r="S1937" s="284">
        <f>RawDataGenPO[[#This Row],[Total price]]/RawDataGenPO[[#This Row],[Qty'']]</f>
        <v/>
      </c>
      <c r="T1937" s="278" t="n">
        <v>1500</v>
      </c>
      <c r="U1937" s="291" t="n"/>
      <c r="V1937" s="7" t="inlineStr">
        <is>
          <t>V1001011 - U.P.V. Service Co., Ltd.</t>
        </is>
      </c>
      <c r="W1937" s="30" t="inlineStr">
        <is>
          <t>Recive bill and GRN already</t>
        </is>
      </c>
      <c r="X1937" s="5" t="inlineStr">
        <is>
          <t>GRN2526-0007864</t>
        </is>
      </c>
      <c r="Y1937" s="3" t="n">
        <v>46060</v>
      </c>
      <c r="Z1937" s="23" t="n"/>
      <c r="AA1937" s="17">
        <f>IF(RawDataGenPO[[#This Row],[Date Gen PO]]="","",RawDataGenPO[[#This Row],[Date recive bill]]-RawDataGenPO[[#This Row],[Date Gen PO]])</f>
        <v/>
      </c>
      <c r="AB1937" s="16">
        <f>IF(RawDataGenPO[[#This Row],[GRN-PO date]]&gt;RawDataGenPO[[#This Row],[Lead time delivery (day)]],"over deliverry","Ontime")</f>
        <v/>
      </c>
      <c r="AC1937" s="22" t="n"/>
    </row>
    <row r="1938" ht="30" customHeight="1">
      <c r="A1938" s="5">
        <f>ROW()-ROW(RawDataGenPO[[#Headers],[No.]])</f>
        <v/>
      </c>
      <c r="B1938" s="29" t="inlineStr">
        <is>
          <t>Expent  cost</t>
        </is>
      </c>
      <c r="C1938" s="373" t="n"/>
      <c r="D1938" s="374" t="n"/>
      <c r="E1938" s="374" t="n"/>
      <c r="F1938" s="281" t="n">
        <v>46052</v>
      </c>
      <c r="G1938" s="5" t="inlineStr">
        <is>
          <t>PR2526-04579</t>
        </is>
      </c>
      <c r="H1938" s="5" t="inlineStr">
        <is>
          <t>PO2526-06405</t>
        </is>
      </c>
      <c r="I1938" s="286" t="n">
        <v>46056</v>
      </c>
      <c r="J1938" s="26" t="n"/>
      <c r="K1938" s="20" t="n">
        <v>60</v>
      </c>
      <c r="L1938" s="5" t="inlineStr">
        <is>
          <t>SFST81000048</t>
        </is>
      </c>
      <c r="M1938" s="7" t="inlineStr">
        <is>
          <t>PD Machine</t>
        </is>
      </c>
      <c r="N1938" s="7" t="inlineStr">
        <is>
          <t>Pan Fryer machine No.1</t>
        </is>
      </c>
      <c r="O1938" s="11" t="n">
        <v>1</v>
      </c>
      <c r="P1938" s="10" t="inlineStr">
        <is>
          <t>Replacewheel
Dismantling workwheel</t>
        </is>
      </c>
      <c r="Q1938" s="277" t="n">
        <v>12</v>
      </c>
      <c r="R1938" s="5" t="inlineStr">
        <is>
          <t>JOB.</t>
        </is>
      </c>
      <c r="S1938" s="284">
        <f>RawDataGenPO[[#This Row],[Total price]]/RawDataGenPO[[#This Row],[Qty'']]</f>
        <v/>
      </c>
      <c r="T1938" s="278" t="n">
        <v>3000</v>
      </c>
      <c r="U1938" s="291" t="n"/>
      <c r="V1938" s="7" t="inlineStr">
        <is>
          <t>V1000922 - WORMMEC COMPANY LIMITED</t>
        </is>
      </c>
      <c r="W1938" s="30" t="inlineStr">
        <is>
          <t>Recive bill and GRN already</t>
        </is>
      </c>
      <c r="X1938" s="6" t="inlineStr">
        <is>
          <t>GRN2526-0008217,GRN2526-0008218</t>
        </is>
      </c>
      <c r="Y1938" s="3" t="n">
        <v>46071</v>
      </c>
      <c r="Z1938" s="23" t="n"/>
      <c r="AA1938" s="17">
        <f>IF(RawDataGenPO[[#This Row],[Date Gen PO]]="","",RawDataGenPO[[#This Row],[Date recive bill]]-RawDataGenPO[[#This Row],[Date Gen PO]])</f>
        <v/>
      </c>
      <c r="AB1938" s="16">
        <f>IF(RawDataGenPO[[#This Row],[GRN-PO date]]&gt;RawDataGenPO[[#This Row],[Lead time delivery (day)]],"over deliverry","Ontime")</f>
        <v/>
      </c>
      <c r="AC1938" s="22" t="n"/>
    </row>
    <row r="1939" ht="30" customHeight="1">
      <c r="A1939" s="5">
        <f>ROW()-ROW(RawDataGenPO[[#Headers],[No.]])</f>
        <v/>
      </c>
      <c r="B1939" s="29" t="inlineStr">
        <is>
          <t>Expent  cost</t>
        </is>
      </c>
      <c r="C1939" s="373" t="n"/>
      <c r="D1939" s="374" t="n"/>
      <c r="E1939" s="374" t="n"/>
      <c r="F1939" s="281" t="n">
        <v>46052</v>
      </c>
      <c r="G1939" s="5" t="inlineStr">
        <is>
          <t>PR2526-04579</t>
        </is>
      </c>
      <c r="H1939" s="5" t="inlineStr">
        <is>
          <t>PO2526-06405</t>
        </is>
      </c>
      <c r="I1939" s="286" t="n">
        <v>46056</v>
      </c>
      <c r="J1939" s="26" t="n"/>
      <c r="K1939" s="20" t="n">
        <v>60</v>
      </c>
      <c r="L1939" s="5" t="inlineStr">
        <is>
          <t>SFST81000048</t>
        </is>
      </c>
      <c r="M1939" s="7" t="inlineStr">
        <is>
          <t>PD Machine</t>
        </is>
      </c>
      <c r="N1939" s="7" t="inlineStr">
        <is>
          <t>Pan Fryer machine No.1</t>
        </is>
      </c>
      <c r="O1939" s="11" t="n">
        <v>2</v>
      </c>
      <c r="P1939" s="10" t="inlineStr">
        <is>
          <t>labor costworkweld</t>
        </is>
      </c>
      <c r="Q1939" s="277" t="n">
        <v>12</v>
      </c>
      <c r="R1939" s="5" t="inlineStr">
        <is>
          <t>JOB.</t>
        </is>
      </c>
      <c r="S1939" s="284">
        <f>RawDataGenPO[[#This Row],[Total price]]/RawDataGenPO[[#This Row],[Qty'']]</f>
        <v/>
      </c>
      <c r="T1939" s="278" t="n">
        <v>3000</v>
      </c>
      <c r="U1939" s="291" t="n"/>
      <c r="V1939" s="7" t="inlineStr">
        <is>
          <t>V1000922 - WORMMEC COMPANY LIMITED</t>
        </is>
      </c>
      <c r="W1939" s="30" t="inlineStr">
        <is>
          <t>Recive bill and GRN already</t>
        </is>
      </c>
      <c r="X1939" s="6" t="inlineStr">
        <is>
          <t>GRN2526-0008217,GRN2526-0008218</t>
        </is>
      </c>
      <c r="Y1939" s="3" t="n">
        <v>46071</v>
      </c>
      <c r="Z1939" s="23" t="n"/>
      <c r="AA1939" s="17">
        <f>IF(RawDataGenPO[[#This Row],[Date Gen PO]]="","",RawDataGenPO[[#This Row],[Date recive bill]]-RawDataGenPO[[#This Row],[Date Gen PO]])</f>
        <v/>
      </c>
      <c r="AB1939" s="16">
        <f>IF(RawDataGenPO[[#This Row],[GRN-PO date]]&gt;RawDataGenPO[[#This Row],[Lead time delivery (day)]],"over deliverry","Ontime")</f>
        <v/>
      </c>
      <c r="AC1939" s="22" t="n"/>
    </row>
    <row r="1940" ht="30" customHeight="1">
      <c r="A1940" s="5">
        <f>ROW()-ROW(RawDataGenPO[[#Headers],[No.]])</f>
        <v/>
      </c>
      <c r="B1940" s="29" t="inlineStr">
        <is>
          <t>Expent  cost</t>
        </is>
      </c>
      <c r="C1940" s="373" t="n"/>
      <c r="D1940" s="374" t="n"/>
      <c r="E1940" s="374" t="n"/>
      <c r="F1940" s="281" t="n">
        <v>46052</v>
      </c>
      <c r="G1940" s="5" t="inlineStr">
        <is>
          <t>PR2526-04579</t>
        </is>
      </c>
      <c r="H1940" s="5" t="inlineStr">
        <is>
          <t>PO2526-06405</t>
        </is>
      </c>
      <c r="I1940" s="286" t="n">
        <v>46056</v>
      </c>
      <c r="J1940" s="26" t="n"/>
      <c r="K1940" s="20" t="n">
        <v>60</v>
      </c>
      <c r="L1940" s="5" t="inlineStr">
        <is>
          <t>SFST81000048</t>
        </is>
      </c>
      <c r="M1940" s="7" t="inlineStr">
        <is>
          <t>PD Machine</t>
        </is>
      </c>
      <c r="N1940" s="7" t="inlineStr">
        <is>
          <t>Pan Fryer machine No.1</t>
        </is>
      </c>
      <c r="O1940" s="11" t="n">
        <v>3</v>
      </c>
      <c r="P1940" s="10" t="inlineStr">
        <is>
          <t>On site service, Transport, Hand Tools, Heavy Tools, and Overhead Profit</t>
        </is>
      </c>
      <c r="Q1940" s="277" t="n">
        <v>1</v>
      </c>
      <c r="R1940" s="5" t="inlineStr">
        <is>
          <t>JOB.</t>
        </is>
      </c>
      <c r="S1940" s="284">
        <f>RawDataGenPO[[#This Row],[Total price]]/RawDataGenPO[[#This Row],[Qty'']]</f>
        <v/>
      </c>
      <c r="T1940" s="278" t="n">
        <v>7500</v>
      </c>
      <c r="U1940" s="291" t="n"/>
      <c r="V1940" s="7" t="inlineStr">
        <is>
          <t>V1000922 - WORMMEC COMPANY LIMITED</t>
        </is>
      </c>
      <c r="W1940" s="30" t="inlineStr">
        <is>
          <t>Recive bill and GRN already</t>
        </is>
      </c>
      <c r="X1940" s="6" t="inlineStr">
        <is>
          <t>GRN2526-0008217,GRN2526-0008218</t>
        </is>
      </c>
      <c r="Y1940" s="3" t="n">
        <v>46071</v>
      </c>
      <c r="Z1940" s="23" t="n"/>
      <c r="AA1940" s="17">
        <f>IF(RawDataGenPO[[#This Row],[Date Gen PO]]="","",RawDataGenPO[[#This Row],[Date recive bill]]-RawDataGenPO[[#This Row],[Date Gen PO]])</f>
        <v/>
      </c>
      <c r="AB1940" s="16">
        <f>IF(RawDataGenPO[[#This Row],[GRN-PO date]]&gt;RawDataGenPO[[#This Row],[Lead time delivery (day)]],"over deliverry","Ontime")</f>
        <v/>
      </c>
      <c r="AC1940" s="22" t="n"/>
    </row>
    <row r="1941" ht="15" customHeight="1">
      <c r="A1941" s="5">
        <f>ROW()-ROW(RawDataGenPO[[#Headers],[No.]])</f>
        <v/>
      </c>
      <c r="B1941" s="29" t="inlineStr">
        <is>
          <t>Expent  cost</t>
        </is>
      </c>
      <c r="C1941" s="373" t="n"/>
      <c r="D1941" s="374" t="n"/>
      <c r="E1941" s="374" t="n"/>
      <c r="F1941" s="281" t="n">
        <v>46052</v>
      </c>
      <c r="G1941" s="5" t="inlineStr">
        <is>
          <t>PR2526-04610</t>
        </is>
      </c>
      <c r="H1941" s="5" t="inlineStr">
        <is>
          <t>PO2526-06516</t>
        </is>
      </c>
      <c r="I1941" s="286" t="n">
        <v>46061</v>
      </c>
      <c r="J1941" s="26" t="n"/>
      <c r="K1941" s="20" t="n">
        <v>30</v>
      </c>
      <c r="L1941" s="5" t="inlineStr">
        <is>
          <t>SFST34000174</t>
        </is>
      </c>
      <c r="M1941" s="7" t="inlineStr">
        <is>
          <t>Consumable part for MN</t>
        </is>
      </c>
      <c r="N1941" s="7" t="inlineStr">
        <is>
          <t>Consumable part</t>
        </is>
      </c>
      <c r="O1941" s="11" t="n">
        <v>1</v>
      </c>
      <c r="P1941" s="10" t="inlineStr">
        <is>
          <t>PP melt blown cartridge Filter, 10", 5 Micron</t>
        </is>
      </c>
      <c r="Q1941" s="277" t="n">
        <v>100</v>
      </c>
      <c r="R1941" s="5" t="inlineStr">
        <is>
          <t>PCS.</t>
        </is>
      </c>
      <c r="S1941" s="284">
        <f>RawDataGenPO[[#This Row],[Total price]]/RawDataGenPO[[#This Row],[Qty'']]</f>
        <v/>
      </c>
      <c r="T1941" s="278" t="n">
        <v>5500</v>
      </c>
      <c r="U1941" s="291" t="n"/>
      <c r="V1941" s="7" t="inlineStr">
        <is>
          <t>V1000878 - ROJANAPAT ENGINEERING CO., LTD</t>
        </is>
      </c>
      <c r="W1941" s="30" t="inlineStr">
        <is>
          <t>Recive bill and GRN already</t>
        </is>
      </c>
      <c r="X1941" s="5" t="inlineStr">
        <is>
          <t>GRN2526-0007923</t>
        </is>
      </c>
      <c r="Y1941" s="3" t="n">
        <v>46063</v>
      </c>
      <c r="Z1941" s="23" t="n"/>
      <c r="AA1941" s="17">
        <f>IF(RawDataGenPO[[#This Row],[Date Gen PO]]="","",RawDataGenPO[[#This Row],[Date recive bill]]-RawDataGenPO[[#This Row],[Date Gen PO]])</f>
        <v/>
      </c>
      <c r="AB1941" s="16">
        <f>IF(RawDataGenPO[[#This Row],[GRN-PO date]]&gt;RawDataGenPO[[#This Row],[Lead time delivery (day)]],"over deliverry","Ontime")</f>
        <v/>
      </c>
      <c r="AC1941" s="22" t="n"/>
    </row>
    <row r="1942" ht="15" customHeight="1">
      <c r="A1942" s="5">
        <f>ROW()-ROW(RawDataGenPO[[#Headers],[No.]])</f>
        <v/>
      </c>
      <c r="B1942" s="29" t="inlineStr">
        <is>
          <t>Expent  cost</t>
        </is>
      </c>
      <c r="C1942" s="373" t="n"/>
      <c r="D1942" s="374" t="n"/>
      <c r="E1942" s="374" t="n"/>
      <c r="F1942" s="281" t="n">
        <v>46052</v>
      </c>
      <c r="G1942" s="5" t="inlineStr">
        <is>
          <t>PR2526-04610</t>
        </is>
      </c>
      <c r="H1942" s="5" t="inlineStr">
        <is>
          <t>PO2526-06516</t>
        </is>
      </c>
      <c r="I1942" s="286" t="n">
        <v>46061</v>
      </c>
      <c r="J1942" s="26" t="n"/>
      <c r="K1942" s="20" t="n">
        <v>30</v>
      </c>
      <c r="L1942" s="5" t="inlineStr">
        <is>
          <t>SFST34000175</t>
        </is>
      </c>
      <c r="M1942" s="7" t="inlineStr">
        <is>
          <t>Consumable part for MN</t>
        </is>
      </c>
      <c r="N1942" s="7" t="inlineStr">
        <is>
          <t>Consumable part</t>
        </is>
      </c>
      <c r="O1942" s="11" t="n">
        <v>2</v>
      </c>
      <c r="P1942" s="10" t="inlineStr">
        <is>
          <t>PP melt blown cartridge Filter, 20", 5 Micron</t>
        </is>
      </c>
      <c r="Q1942" s="277" t="n">
        <v>80</v>
      </c>
      <c r="R1942" s="5" t="inlineStr">
        <is>
          <t>PCS.</t>
        </is>
      </c>
      <c r="S1942" s="284">
        <f>RawDataGenPO[[#This Row],[Total price]]/RawDataGenPO[[#This Row],[Qty'']]</f>
        <v/>
      </c>
      <c r="T1942" s="278" t="n">
        <v>9600</v>
      </c>
      <c r="U1942" s="291" t="n"/>
      <c r="V1942" s="7" t="inlineStr">
        <is>
          <t>V1000878 - ROJANAPAT ENGINEERING CO., LTD</t>
        </is>
      </c>
      <c r="W1942" s="30" t="inlineStr">
        <is>
          <t>Recive bill and GRN already</t>
        </is>
      </c>
      <c r="X1942" s="5" t="inlineStr">
        <is>
          <t>GRN2526-0007923</t>
        </is>
      </c>
      <c r="Y1942" s="3" t="n">
        <v>46063</v>
      </c>
      <c r="Z1942" s="23" t="n"/>
      <c r="AA1942" s="17">
        <f>IF(RawDataGenPO[[#This Row],[Date Gen PO]]="","",RawDataGenPO[[#This Row],[Date recive bill]]-RawDataGenPO[[#This Row],[Date Gen PO]])</f>
        <v/>
      </c>
      <c r="AB1942" s="16">
        <f>IF(RawDataGenPO[[#This Row],[GRN-PO date]]&gt;RawDataGenPO[[#This Row],[Lead time delivery (day)]],"over deliverry","Ontime")</f>
        <v/>
      </c>
      <c r="AC1942" s="22" t="n"/>
    </row>
    <row r="1943" ht="90" customHeight="1">
      <c r="A1943" s="5">
        <f>ROW()-ROW(RawDataGenPO[[#Headers],[No.]])</f>
        <v/>
      </c>
      <c r="B1943" s="29" t="inlineStr">
        <is>
          <t>Expent  cost</t>
        </is>
      </c>
      <c r="C1943" s="373" t="n"/>
      <c r="D1943" s="374" t="n"/>
      <c r="E1943" s="374" t="n"/>
      <c r="F1943" s="281" t="n">
        <v>46057</v>
      </c>
      <c r="G1943" s="5" t="inlineStr">
        <is>
          <t>PR2526-04619</t>
        </is>
      </c>
      <c r="H1943" s="5" t="inlineStr">
        <is>
          <t>PO2526-06516</t>
        </is>
      </c>
      <c r="I1943" s="286" t="n">
        <v>46063</v>
      </c>
      <c r="J1943" s="26" t="n"/>
      <c r="K1943" s="20" t="n">
        <v>60</v>
      </c>
      <c r="L1943" s="5" t="inlineStr">
        <is>
          <t>SFST81000048</t>
        </is>
      </c>
      <c r="M1943" s="7" t="inlineStr">
        <is>
          <t>Utility Jobs  (Boiler-Air compress-Transformer-LPG)</t>
        </is>
      </c>
      <c r="N1943" s="7" t="inlineStr">
        <is>
          <t>Steam Boiler  No.2</t>
        </is>
      </c>
      <c r="O1943" s="11" t="n">
        <v>1</v>
      </c>
      <c r="P1943" s="10" t="inlineStr">
        <is>
          <t>Service chargerepairboiler 1
detailswork
- inspectionwithrepairsystemlight blue
- inspectionwithrepair workhead
- inspectionwithrepairsystemgasinlethead
- adjustmsethead</t>
        </is>
      </c>
      <c r="Q1943" s="277" t="n">
        <v>1</v>
      </c>
      <c r="R1943" s="5" t="inlineStr">
        <is>
          <t>JOB.</t>
        </is>
      </c>
      <c r="S1943" s="284">
        <f>RawDataGenPO[[#This Row],[Total price]]/RawDataGenPO[[#This Row],[Qty'']]</f>
        <v/>
      </c>
      <c r="T1943" s="278" t="n">
        <v>12000</v>
      </c>
      <c r="U1943" s="291" t="n"/>
      <c r="V1943" s="7" t="inlineStr">
        <is>
          <t>V1000524 - C.MAX STEAM AND SUPPLY LIMITED PARTNERSHIP</t>
        </is>
      </c>
      <c r="W1943" s="30" t="inlineStr">
        <is>
          <t xml:space="preserve">Waitting Supplier transportation </t>
        </is>
      </c>
      <c r="Z1943" s="23" t="n"/>
      <c r="AA1943" s="17">
        <f>IF(RawDataGenPO[[#This Row],[Date Gen PO]]="","",RawDataGenPO[[#This Row],[Date recive bill]]-RawDataGenPO[[#This Row],[Date Gen PO]])</f>
        <v/>
      </c>
      <c r="AB1943" s="16">
        <f>IF(RawDataGenPO[[#This Row],[GRN-PO date]]&gt;RawDataGenPO[[#This Row],[Lead time delivery (day)]],"over deliverry","Ontime")</f>
        <v/>
      </c>
      <c r="AC1943" s="22" t="n"/>
    </row>
    <row r="1944" ht="15" customHeight="1">
      <c r="A1944" s="5">
        <f>ROW()-ROW(RawDataGenPO[[#Headers],[No.]])</f>
        <v/>
      </c>
      <c r="B1944" s="29" t="inlineStr">
        <is>
          <t>Expent  cost</t>
        </is>
      </c>
      <c r="C1944" s="373" t="n"/>
      <c r="D1944" s="374" t="n"/>
      <c r="E1944" s="374" t="n"/>
      <c r="F1944" s="281" t="n">
        <v>46057</v>
      </c>
      <c r="G1944" s="5" t="inlineStr">
        <is>
          <t>PR2526-04651</t>
        </is>
      </c>
      <c r="H1944" s="5" t="inlineStr">
        <is>
          <t xml:space="preserve">PO2526-06519 </t>
        </is>
      </c>
      <c r="I1944" s="286" t="n">
        <v>46059</v>
      </c>
      <c r="J1944" s="26" t="n"/>
      <c r="K1944" s="20" t="n">
        <v>60</v>
      </c>
      <c r="L1944" s="5" t="inlineStr">
        <is>
          <t>SFST81000050</t>
        </is>
      </c>
      <c r="M1944" s="7" t="inlineStr">
        <is>
          <t>Safety equipment</t>
        </is>
      </c>
      <c r="N1944" s="7" t="inlineStr">
        <is>
          <t>Safety equipment</t>
        </is>
      </c>
      <c r="O1944" s="11" t="n">
        <v>1</v>
      </c>
      <c r="P1944" s="10" t="inlineStr"/>
      <c r="Q1944" s="277" t="n">
        <v>30</v>
      </c>
      <c r="R1944" s="5" t="inlineStr">
        <is>
          <t>PCS.</t>
        </is>
      </c>
      <c r="S1944" s="284">
        <f>RawDataGenPO[[#This Row],[Total price]]/RawDataGenPO[[#This Row],[Qty'']]</f>
        <v/>
      </c>
      <c r="T1944" s="278" t="n">
        <v>1800</v>
      </c>
      <c r="U1944" s="291" t="n"/>
      <c r="V1944" s="7" t="inlineStr">
        <is>
          <t>V1000259 - JJP SUPPLY CO., LTD</t>
        </is>
      </c>
      <c r="W1944" s="30" t="inlineStr">
        <is>
          <t>Recive bill and GRN already</t>
        </is>
      </c>
      <c r="X1944" s="5" t="inlineStr">
        <is>
          <t>GRN2526-0008644</t>
        </is>
      </c>
      <c r="Y1944" s="3" t="n">
        <v>46085</v>
      </c>
      <c r="Z1944" s="23" t="n"/>
      <c r="AA1944" s="17">
        <f>IF(RawDataGenPO[[#This Row],[Date Gen PO]]="","",RawDataGenPO[[#This Row],[Date recive bill]]-RawDataGenPO[[#This Row],[Date Gen PO]])</f>
        <v/>
      </c>
      <c r="AB1944" s="16">
        <f>IF(RawDataGenPO[[#This Row],[GRN-PO date]]&gt;RawDataGenPO[[#This Row],[Lead time delivery (day)]],"over deliverry","Ontime")</f>
        <v/>
      </c>
      <c r="AC1944" s="22" t="n"/>
    </row>
    <row r="1945" ht="15" customHeight="1">
      <c r="A1945" s="5">
        <f>ROW()-ROW(RawDataGenPO[[#Headers],[No.]])</f>
        <v/>
      </c>
      <c r="B1945" s="29" t="inlineStr">
        <is>
          <t>Expent  cost</t>
        </is>
      </c>
      <c r="C1945" s="373" t="n"/>
      <c r="D1945" s="374" t="n"/>
      <c r="E1945" s="374" t="n"/>
      <c r="F1945" s="281" t="n">
        <v>46057</v>
      </c>
      <c r="G1945" s="5" t="inlineStr">
        <is>
          <t>PR2526-04652</t>
        </is>
      </c>
      <c r="H1945" s="5" t="inlineStr">
        <is>
          <t xml:space="preserve">PO2526-06515 </t>
        </is>
      </c>
      <c r="I1945" s="286" t="n">
        <v>46059</v>
      </c>
      <c r="J1945" s="26" t="n"/>
      <c r="K1945" s="20" t="n">
        <v>60</v>
      </c>
      <c r="L1945" s="5" t="inlineStr">
        <is>
          <t>SFST81000048</t>
        </is>
      </c>
      <c r="M1945" s="7" t="inlineStr">
        <is>
          <t>PD Machine</t>
        </is>
      </c>
      <c r="N1945" s="7" t="inlineStr">
        <is>
          <t>Can Opener No.1</t>
        </is>
      </c>
      <c r="O1945" s="11" t="n">
        <v>1</v>
      </c>
      <c r="P1945" s="10" t="inlineStr">
        <is>
          <t>400510 Cyl Standard C/opener</t>
        </is>
      </c>
      <c r="Q1945" s="277" t="n">
        <v>1</v>
      </c>
      <c r="R1945" s="5" t="inlineStr">
        <is>
          <t>JOB.</t>
        </is>
      </c>
      <c r="S1945" s="284">
        <f>RawDataGenPO[[#This Row],[Total price]]/RawDataGenPO[[#This Row],[Qty'']]</f>
        <v/>
      </c>
      <c r="T1945" s="278" t="n">
        <v>28900</v>
      </c>
      <c r="U1945" s="291" t="n"/>
      <c r="V1945" s="7" t="inlineStr">
        <is>
          <t>V1000313 - Somerville (Siam) Co., Ltd.</t>
        </is>
      </c>
      <c r="W1945" s="30" t="inlineStr">
        <is>
          <t>Recive bill and GRN already</t>
        </is>
      </c>
      <c r="X1945" s="5" t="inlineStr">
        <is>
          <t>GRN2526-0009208</t>
        </is>
      </c>
      <c r="Y1945" s="3" t="n">
        <v>46100</v>
      </c>
      <c r="Z1945" s="23" t="n"/>
      <c r="AA1945" s="17">
        <f>IF(RawDataGenPO[[#This Row],[Date Gen PO]]="","",RawDataGenPO[[#This Row],[Date recive bill]]-RawDataGenPO[[#This Row],[Date Gen PO]])</f>
        <v/>
      </c>
      <c r="AB1945" s="16">
        <f>IF(RawDataGenPO[[#This Row],[GRN-PO date]]&gt;RawDataGenPO[[#This Row],[Lead time delivery (day)]],"over deliverry","Ontime")</f>
        <v/>
      </c>
      <c r="AC1945" s="22" t="n"/>
    </row>
    <row r="1946" ht="30" customHeight="1">
      <c r="A1946" s="5">
        <f>ROW()-ROW(RawDataGenPO[[#Headers],[No.]])</f>
        <v/>
      </c>
      <c r="B1946" s="29" t="inlineStr">
        <is>
          <t>Expent  cost</t>
        </is>
      </c>
      <c r="C1946" s="373" t="n"/>
      <c r="D1946" s="374" t="n"/>
      <c r="E1946" s="374" t="n"/>
      <c r="F1946" s="281" t="n">
        <v>46057</v>
      </c>
      <c r="G1946" s="5" t="inlineStr">
        <is>
          <t>PR2526-04653</t>
        </is>
      </c>
      <c r="H1946" s="5" t="inlineStr">
        <is>
          <t>PO2526-06520</t>
        </is>
      </c>
      <c r="I1946" s="286" t="n">
        <v>46059</v>
      </c>
      <c r="J1946" s="26" t="n"/>
      <c r="K1946" s="20" t="n">
        <v>30</v>
      </c>
      <c r="L1946" s="5" t="inlineStr">
        <is>
          <t>SFST81000048</t>
        </is>
      </c>
      <c r="M1946" s="7" t="inlineStr">
        <is>
          <t>PD Machine</t>
        </is>
      </c>
      <c r="N1946" s="7" t="inlineStr">
        <is>
          <t>Vacuum Tumbler large No.3</t>
        </is>
      </c>
      <c r="O1946" s="11" t="n">
        <v>1</v>
      </c>
      <c r="P1946" s="10" t="inlineStr">
        <is>
          <t>Gasket *440 Blue
Vacuum Tumbler Nowicki ma-500ps</t>
        </is>
      </c>
      <c r="Q1946" s="277" t="n">
        <v>1</v>
      </c>
      <c r="R1946" s="5" t="inlineStr">
        <is>
          <t>PCS.</t>
        </is>
      </c>
      <c r="S1946" s="284">
        <f>RawDataGenPO[[#This Row],[Total price]]/RawDataGenPO[[#This Row],[Qty'']]</f>
        <v/>
      </c>
      <c r="T1946" s="278" t="n">
        <v>20960</v>
      </c>
      <c r="U1946" s="291" t="n"/>
      <c r="V1946" s="7" t="inlineStr">
        <is>
          <t>V1000666 - HITEC FOOD EQUIPMENT CO.,LTD.</t>
        </is>
      </c>
      <c r="W1946" s="30" t="inlineStr">
        <is>
          <t>Recive bill and GRN already</t>
        </is>
      </c>
      <c r="X1946" s="5" t="inlineStr">
        <is>
          <t>GRN2526-0008243</t>
        </is>
      </c>
      <c r="Y1946" s="3" t="n">
        <v>46072</v>
      </c>
      <c r="Z1946" s="23" t="n"/>
      <c r="AA1946" s="17">
        <f>IF(RawDataGenPO[[#This Row],[Date Gen PO]]="","",RawDataGenPO[[#This Row],[Date recive bill]]-RawDataGenPO[[#This Row],[Date Gen PO]])</f>
        <v/>
      </c>
      <c r="AB1946" s="16">
        <f>IF(RawDataGenPO[[#This Row],[GRN-PO date]]&gt;RawDataGenPO[[#This Row],[Lead time delivery (day)]],"over deliverry","Ontime")</f>
        <v/>
      </c>
      <c r="AC1946" s="22" t="n"/>
    </row>
    <row r="1947" ht="15" customHeight="1">
      <c r="A1947" s="5">
        <f>ROW()-ROW(RawDataGenPO[[#Headers],[No.]])</f>
        <v/>
      </c>
      <c r="B1947" s="29" t="inlineStr">
        <is>
          <t>Expent  cost</t>
        </is>
      </c>
      <c r="C1947" s="373" t="n"/>
      <c r="D1947" s="374" t="n"/>
      <c r="E1947" s="374" t="n"/>
      <c r="F1947" s="281" t="n">
        <v>46057</v>
      </c>
      <c r="G1947" s="5" t="inlineStr">
        <is>
          <t>PR2526-04654</t>
        </is>
      </c>
      <c r="H1947" s="5" t="inlineStr">
        <is>
          <t>PO2526-06507</t>
        </is>
      </c>
      <c r="I1947" s="286" t="n">
        <v>46059</v>
      </c>
      <c r="J1947" s="26" t="n"/>
      <c r="K1947" s="20" t="n">
        <v>60</v>
      </c>
      <c r="L1947" s="5" t="inlineStr">
        <is>
          <t>SFST81000009</t>
        </is>
      </c>
      <c r="M1947" s="7" t="inlineStr">
        <is>
          <t>Consumable part for MN</t>
        </is>
      </c>
      <c r="N1947" s="7" t="inlineStr">
        <is>
          <t>Consumable part</t>
        </is>
      </c>
      <c r="O1947" s="11" t="n">
        <v>1</v>
      </c>
      <c r="P1947" s="10" t="inlineStr">
        <is>
          <t>m - floor # 9391 + 9305</t>
        </is>
      </c>
      <c r="Q1947" s="277" t="n">
        <v>6</v>
      </c>
      <c r="R1947" s="5" t="inlineStr">
        <is>
          <t>PCS.</t>
        </is>
      </c>
      <c r="S1947" s="284">
        <f>RawDataGenPO[[#This Row],[Total price]]/RawDataGenPO[[#This Row],[Qty'']]</f>
        <v/>
      </c>
      <c r="T1947" s="278" t="n">
        <v>9196.32</v>
      </c>
      <c r="U1947" s="291" t="n"/>
      <c r="V1947" s="7" t="inlineStr">
        <is>
          <t>V1000657 - SANGSIAM HARDWARE LTD., PART</t>
        </is>
      </c>
      <c r="W1947" s="30" t="inlineStr">
        <is>
          <t>Recive bill and GRN already</t>
        </is>
      </c>
      <c r="X1947" s="5" t="inlineStr">
        <is>
          <t>GRN2526-0008482</t>
        </is>
      </c>
      <c r="Y1947" s="3" t="n">
        <v>46083</v>
      </c>
      <c r="Z1947" s="23" t="n"/>
      <c r="AA1947" s="17">
        <f>IF(RawDataGenPO[[#This Row],[Date Gen PO]]="","",RawDataGenPO[[#This Row],[Date recive bill]]-RawDataGenPO[[#This Row],[Date Gen PO]])</f>
        <v/>
      </c>
      <c r="AB1947" s="16">
        <f>IF(RawDataGenPO[[#This Row],[GRN-PO date]]&gt;RawDataGenPO[[#This Row],[Lead time delivery (day)]],"over deliverry","Ontime")</f>
        <v/>
      </c>
      <c r="AC1947" s="22" t="n"/>
    </row>
    <row r="1948" ht="15" customHeight="1">
      <c r="A1948" s="5">
        <f>ROW()-ROW(RawDataGenPO[[#Headers],[No.]])</f>
        <v/>
      </c>
      <c r="B1948" s="29" t="inlineStr">
        <is>
          <t>Expent  cost</t>
        </is>
      </c>
      <c r="C1948" s="373" t="n"/>
      <c r="D1948" s="374" t="n"/>
      <c r="E1948" s="374" t="n"/>
      <c r="F1948" s="281" t="n">
        <v>46057</v>
      </c>
      <c r="G1948" s="5" t="inlineStr">
        <is>
          <t>PR2526-04654</t>
        </is>
      </c>
      <c r="H1948" s="5" t="inlineStr">
        <is>
          <t>PO2526-06507</t>
        </is>
      </c>
      <c r="I1948" s="286" t="n">
        <v>46059</v>
      </c>
      <c r="J1948" s="26" t="n"/>
      <c r="K1948" s="20" t="n">
        <v>60</v>
      </c>
      <c r="L1948" s="5" t="inlineStr">
        <is>
          <t>SFST81000009</t>
        </is>
      </c>
      <c r="M1948" s="7" t="inlineStr">
        <is>
          <t>Consumable part for MN</t>
        </is>
      </c>
      <c r="N1948" s="7" t="inlineStr">
        <is>
          <t>Consumable part</t>
        </is>
      </c>
      <c r="O1948" s="11" t="n">
        <v>2</v>
      </c>
      <c r="P1948" s="10" t="inlineStr">
        <is>
          <t>m - # 160</t>
        </is>
      </c>
      <c r="Q1948" s="277" t="n">
        <v>8</v>
      </c>
      <c r="R1948" s="5" t="inlineStr">
        <is>
          <t>PCS.</t>
        </is>
      </c>
      <c r="S1948" s="284">
        <f>RawDataGenPO[[#This Row],[Total price]]/RawDataGenPO[[#This Row],[Qty'']]</f>
        <v/>
      </c>
      <c r="T1948" s="278" t="n">
        <v>4635.52</v>
      </c>
      <c r="U1948" s="291" t="n"/>
      <c r="V1948" s="7" t="inlineStr">
        <is>
          <t>V1000657 - SANGSIAM HARDWARE LTD., PART</t>
        </is>
      </c>
      <c r="W1948" s="30" t="inlineStr">
        <is>
          <t>Recive bill and GRN already</t>
        </is>
      </c>
      <c r="X1948" s="5" t="inlineStr">
        <is>
          <t>GRN2526-0008482</t>
        </is>
      </c>
      <c r="Y1948" s="3" t="n">
        <v>46083</v>
      </c>
      <c r="Z1948" s="23" t="n"/>
      <c r="AA1948" s="17">
        <f>IF(RawDataGenPO[[#This Row],[Date Gen PO]]="","",RawDataGenPO[[#This Row],[Date recive bill]]-RawDataGenPO[[#This Row],[Date Gen PO]])</f>
        <v/>
      </c>
      <c r="AB1948" s="16">
        <f>IF(RawDataGenPO[[#This Row],[GRN-PO date]]&gt;RawDataGenPO[[#This Row],[Lead time delivery (day)]],"over deliverry","Ontime")</f>
        <v/>
      </c>
      <c r="AC1948" s="22" t="n"/>
    </row>
    <row r="1949" ht="15" customHeight="1">
      <c r="A1949" s="5">
        <f>ROW()-ROW(RawDataGenPO[[#Headers],[No.]])</f>
        <v/>
      </c>
      <c r="B1949" s="29" t="inlineStr">
        <is>
          <t>Expent  cost</t>
        </is>
      </c>
      <c r="C1949" s="373" t="n"/>
      <c r="D1949" s="374" t="n"/>
      <c r="E1949" s="374" t="n"/>
      <c r="F1949" s="281" t="n">
        <v>46057</v>
      </c>
      <c r="G1949" s="5" t="inlineStr">
        <is>
          <t>PR2526-04654</t>
        </is>
      </c>
      <c r="H1949" s="5" t="inlineStr">
        <is>
          <t>PO2526-06508</t>
        </is>
      </c>
      <c r="I1949" s="286" t="n">
        <v>46059</v>
      </c>
      <c r="J1949" s="26" t="n"/>
      <c r="K1949" s="20" t="n">
        <v>30</v>
      </c>
      <c r="L1949" s="5" t="inlineStr">
        <is>
          <t>SFST81000009</t>
        </is>
      </c>
      <c r="M1949" s="7" t="inlineStr">
        <is>
          <t>Consumable part for MN</t>
        </is>
      </c>
      <c r="N1949" s="7" t="inlineStr">
        <is>
          <t>Consumable part</t>
        </is>
      </c>
      <c r="O1949" s="11" t="n">
        <v>1</v>
      </c>
      <c r="P1949" s="10" t="inlineStr">
        <is>
          <t>"Red Fox" No.36 (300) Silver</t>
        </is>
      </c>
      <c r="Q1949" s="277" t="n">
        <v>2</v>
      </c>
      <c r="R1949" s="5" t="inlineStr">
        <is>
          <t>BOX.</t>
        </is>
      </c>
      <c r="S1949" s="284">
        <f>RawDataGenPO[[#This Row],[Total price]]/RawDataGenPO[[#This Row],[Qty'']]</f>
        <v/>
      </c>
      <c r="T1949" s="278" t="n">
        <v>960</v>
      </c>
      <c r="U1949" s="291" t="n"/>
      <c r="V1949" s="7" t="inlineStr">
        <is>
          <t>V1000306 - Inter Supply (1992) Co., Ltd.</t>
        </is>
      </c>
      <c r="W1949" s="30" t="inlineStr">
        <is>
          <t>Recive bill and GRN already</t>
        </is>
      </c>
      <c r="X1949" s="5" t="inlineStr">
        <is>
          <t>GRN2526-0008171</t>
        </is>
      </c>
      <c r="Y1949" s="3" t="n">
        <v>46070</v>
      </c>
      <c r="Z1949" s="23" t="n"/>
      <c r="AA1949" s="17">
        <f>IF(RawDataGenPO[[#This Row],[Date Gen PO]]="","",RawDataGenPO[[#This Row],[Date recive bill]]-RawDataGenPO[[#This Row],[Date Gen PO]])</f>
        <v/>
      </c>
      <c r="AB1949" s="16">
        <f>IF(RawDataGenPO[[#This Row],[GRN-PO date]]&gt;RawDataGenPO[[#This Row],[Lead time delivery (day)]],"over deliverry","Ontime")</f>
        <v/>
      </c>
      <c r="AC1949" s="22" t="n"/>
    </row>
    <row r="1950" ht="15" customHeight="1">
      <c r="A1950" s="5">
        <f>ROW()-ROW(RawDataGenPO[[#Headers],[No.]])</f>
        <v/>
      </c>
      <c r="B1950" s="29" t="inlineStr">
        <is>
          <t>Expent  cost</t>
        </is>
      </c>
      <c r="C1950" s="373" t="n"/>
      <c r="D1950" s="374" t="n"/>
      <c r="E1950" s="374" t="n"/>
      <c r="F1950" s="281" t="n">
        <v>46057</v>
      </c>
      <c r="G1950" s="5" t="inlineStr">
        <is>
          <t>PR2526-04654</t>
        </is>
      </c>
      <c r="H1950" s="5" t="inlineStr">
        <is>
          <t>PO2526-06508</t>
        </is>
      </c>
      <c r="I1950" s="286" t="n">
        <v>46059</v>
      </c>
      <c r="J1950" s="26" t="n"/>
      <c r="K1950" s="20" t="n">
        <v>30</v>
      </c>
      <c r="L1950" s="5" t="inlineStr">
        <is>
          <t>SFST81000009</t>
        </is>
      </c>
      <c r="M1950" s="7" t="inlineStr">
        <is>
          <t>Consumable part for MN</t>
        </is>
      </c>
      <c r="N1950" s="7" t="inlineStr">
        <is>
          <t>Consumable part</t>
        </is>
      </c>
      <c r="O1950" s="11" t="n">
        <v>2</v>
      </c>
      <c r="P1950" s="10" t="inlineStr">
        <is>
          <t>"Red Fox" No.40 (200) White</t>
        </is>
      </c>
      <c r="Q1950" s="277" t="n">
        <v>2</v>
      </c>
      <c r="R1950" s="5" t="inlineStr">
        <is>
          <t>BOX.</t>
        </is>
      </c>
      <c r="S1950" s="284">
        <f>RawDataGenPO[[#This Row],[Total price]]/RawDataGenPO[[#This Row],[Qty'']]</f>
        <v/>
      </c>
      <c r="T1950" s="278" t="n">
        <v>960</v>
      </c>
      <c r="U1950" s="291" t="n"/>
      <c r="V1950" s="7" t="inlineStr">
        <is>
          <t>V1000306 - Inter Supply (1992) Co., Ltd.</t>
        </is>
      </c>
      <c r="W1950" s="30" t="inlineStr">
        <is>
          <t>Recive bill and GRN already</t>
        </is>
      </c>
      <c r="X1950" s="5" t="inlineStr">
        <is>
          <t>GRN2526-0008171</t>
        </is>
      </c>
      <c r="Y1950" s="3" t="n">
        <v>46070</v>
      </c>
      <c r="Z1950" s="23" t="n"/>
      <c r="AA1950" s="17">
        <f>IF(RawDataGenPO[[#This Row],[Date Gen PO]]="","",RawDataGenPO[[#This Row],[Date recive bill]]-RawDataGenPO[[#This Row],[Date Gen PO]])</f>
        <v/>
      </c>
      <c r="AB1950" s="16">
        <f>IF(RawDataGenPO[[#This Row],[GRN-PO date]]&gt;RawDataGenPO[[#This Row],[Lead time delivery (day)]],"over deliverry","Ontime")</f>
        <v/>
      </c>
      <c r="AC1950" s="22" t="n"/>
    </row>
    <row r="1951" ht="75" customHeight="1">
      <c r="A1951" s="5">
        <f>ROW()-ROW(RawDataGenPO[[#Headers],[No.]])</f>
        <v/>
      </c>
      <c r="B1951" s="29" t="inlineStr">
        <is>
          <t>Expent  cost</t>
        </is>
      </c>
      <c r="C1951" s="373" t="n"/>
      <c r="D1951" s="374" t="n"/>
      <c r="E1951" s="374" t="n"/>
      <c r="F1951" s="281" t="n">
        <v>46059</v>
      </c>
      <c r="G1951" s="5" t="inlineStr">
        <is>
          <t>PR2526-04707</t>
        </is>
      </c>
      <c r="H1951" s="5" t="inlineStr">
        <is>
          <t xml:space="preserve">PO2526-06610 </t>
        </is>
      </c>
      <c r="I1951" s="286" t="n">
        <v>46065</v>
      </c>
      <c r="J1951" s="26" t="n"/>
      <c r="K1951" s="20" t="n">
        <v>60</v>
      </c>
      <c r="L1951" s="5" t="inlineStr">
        <is>
          <t>SFST81000009</t>
        </is>
      </c>
      <c r="M1951" s="7" t="inlineStr">
        <is>
          <t>Annual cost</t>
        </is>
      </c>
      <c r="N1951" s="7" t="inlineStr">
        <is>
          <t>Safety  annual jobs</t>
        </is>
      </c>
      <c r="O1951" s="11" t="n">
        <v>1</v>
      </c>
      <c r="P1951" s="10" t="inlineStr">
        <is>
          <t>Wastewater analysis and measurement fee
- Influent
- Effluent
- discharge point in front of factory
- PH, BOD, COD, DO, TSS, TDS, O&amp;G, TKN, Cond, Sal</t>
        </is>
      </c>
      <c r="Q1951" s="277" t="n">
        <v>1</v>
      </c>
      <c r="R1951" s="5" t="inlineStr">
        <is>
          <t>JOB.</t>
        </is>
      </c>
      <c r="S1951" s="284">
        <f>RawDataGenPO[[#This Row],[Total price]]/RawDataGenPO[[#This Row],[Qty'']]</f>
        <v/>
      </c>
      <c r="T1951" s="278" t="n">
        <v>5250</v>
      </c>
      <c r="U1951" s="291" t="n"/>
      <c r="V1951" s="7" t="inlineStr">
        <is>
          <t>V1000124 - S.P.J. SCIENTIFIC CO., LTD.</t>
        </is>
      </c>
      <c r="W1951" s="30" t="inlineStr">
        <is>
          <t>Recive bill and GRN already</t>
        </is>
      </c>
      <c r="X1951" s="5" t="inlineStr">
        <is>
          <t>GRN2526-0009015</t>
        </is>
      </c>
      <c r="Y1951" s="3" t="n">
        <v>46094</v>
      </c>
      <c r="Z1951" s="23" t="n"/>
      <c r="AA1951" s="17">
        <f>IF(RawDataGenPO[[#This Row],[Date Gen PO]]="","",RawDataGenPO[[#This Row],[Date recive bill]]-RawDataGenPO[[#This Row],[Date Gen PO]])</f>
        <v/>
      </c>
      <c r="AB1951" s="16">
        <f>IF(RawDataGenPO[[#This Row],[GRN-PO date]]&gt;RawDataGenPO[[#This Row],[Lead time delivery (day)]],"over deliverry","Ontime")</f>
        <v/>
      </c>
      <c r="AC1951" s="22" t="n"/>
    </row>
    <row r="1952" ht="15" customHeight="1">
      <c r="A1952" s="5">
        <f>ROW()-ROW(RawDataGenPO[[#Headers],[No.]])</f>
        <v/>
      </c>
      <c r="B1952" s="29" t="inlineStr">
        <is>
          <t>Expent  cost</t>
        </is>
      </c>
      <c r="C1952" s="373" t="n"/>
      <c r="D1952" s="374" t="n"/>
      <c r="E1952" s="374" t="n"/>
      <c r="F1952" s="281" t="n">
        <v>46059</v>
      </c>
      <c r="G1952" s="5" t="inlineStr">
        <is>
          <t>PR2526-04708</t>
        </is>
      </c>
      <c r="H1952" s="5" t="inlineStr">
        <is>
          <t>PO2526-06599</t>
        </is>
      </c>
      <c r="I1952" s="286" t="n">
        <v>46069</v>
      </c>
      <c r="J1952" s="26" t="n"/>
      <c r="K1952" s="20" t="n">
        <v>60</v>
      </c>
      <c r="L1952" s="5" t="inlineStr">
        <is>
          <t>SFST81000074</t>
        </is>
      </c>
      <c r="M1952" s="7" t="inlineStr">
        <is>
          <t>Utility Jobs  (Boiler-Air compress-Transformer-LPG)</t>
        </is>
      </c>
      <c r="N1952" s="7" t="inlineStr">
        <is>
          <t>Utility jobs</t>
        </is>
      </c>
      <c r="O1952" s="11" t="n">
        <v>1</v>
      </c>
      <c r="P1952" s="10" t="inlineStr">
        <is>
          <t>transport costwater 9000 L</t>
        </is>
      </c>
      <c r="Q1952" s="277" t="n">
        <v>20</v>
      </c>
      <c r="R1952" s="5" t="inlineStr">
        <is>
          <t>Time</t>
        </is>
      </c>
      <c r="S1952" s="284">
        <f>RawDataGenPO[[#This Row],[Total price]]/RawDataGenPO[[#This Row],[Qty'']]</f>
        <v/>
      </c>
      <c r="T1952" s="278" t="n">
        <v>34000</v>
      </c>
      <c r="U1952" s="291" t="n"/>
      <c r="V1952" s="7" t="inlineStr">
        <is>
          <t>V1000930 - JS999 CO., LTD.</t>
        </is>
      </c>
      <c r="W1952" s="30" t="inlineStr">
        <is>
          <t>Recive bill and GRN already</t>
        </is>
      </c>
      <c r="X1952" s="5" t="inlineStr">
        <is>
          <t>GRN2526-0009512</t>
        </is>
      </c>
      <c r="Y1952" s="3" t="n">
        <v>46112</v>
      </c>
      <c r="Z1952" s="23" t="n"/>
      <c r="AA1952" s="17">
        <f>IF(RawDataGenPO[[#This Row],[Date Gen PO]]="","",RawDataGenPO[[#This Row],[Date recive bill]]-RawDataGenPO[[#This Row],[Date Gen PO]])</f>
        <v/>
      </c>
      <c r="AB1952" s="16">
        <f>IF(RawDataGenPO[[#This Row],[GRN-PO date]]&gt;RawDataGenPO[[#This Row],[Lead time delivery (day)]],"over deliverry","Ontime")</f>
        <v/>
      </c>
      <c r="AC1952" s="22" t="n"/>
    </row>
    <row r="1953" ht="75" customHeight="1">
      <c r="A1953" s="5">
        <f>ROW()-ROW(RawDataGenPO[[#Headers],[No.]])</f>
        <v/>
      </c>
      <c r="B1953" s="29" t="inlineStr">
        <is>
          <t>CAPEX  (Budget)</t>
        </is>
      </c>
      <c r="C1953" s="373" t="n"/>
      <c r="D1953" s="374" t="n"/>
      <c r="E1953" s="374" t="n"/>
      <c r="F1953" s="281" t="n">
        <v>46059</v>
      </c>
      <c r="G1953" s="5" t="inlineStr">
        <is>
          <t>PR2526-04730</t>
        </is>
      </c>
      <c r="H1953" s="5" t="inlineStr">
        <is>
          <t xml:space="preserve">PO2526-06703 </t>
        </is>
      </c>
      <c r="I1953" s="286" t="n">
        <v>46069</v>
      </c>
      <c r="J1953" s="26" t="n"/>
      <c r="K1953" s="20" t="n">
        <v>60</v>
      </c>
      <c r="L1953" s="5" t="inlineStr">
        <is>
          <t>SFST82000007</t>
        </is>
      </c>
      <c r="M1953" s="7" t="inlineStr">
        <is>
          <t>Machanical part</t>
        </is>
      </c>
      <c r="N1953" s="7" t="inlineStr">
        <is>
          <t>Machanical part</t>
        </is>
      </c>
      <c r="O1953" s="11" t="n">
        <v>1</v>
      </c>
      <c r="P1953" s="10" t="inlineStr">
        <is>
          <t>FLIR E6 Pro
IR Resolution: 240 x 180 Pixels
Temperature range: -20°C to 550°C
Warranty 1 Year</t>
        </is>
      </c>
      <c r="Q1953" s="277" t="n">
        <v>1</v>
      </c>
      <c r="R1953" s="5" t="inlineStr">
        <is>
          <t>EA.</t>
        </is>
      </c>
      <c r="S1953" s="284">
        <f>RawDataGenPO[[#This Row],[Total price]]/RawDataGenPO[[#This Row],[Qty'']]</f>
        <v/>
      </c>
      <c r="T1953" s="278" t="n">
        <v>76000</v>
      </c>
      <c r="U1953" s="291" t="n"/>
      <c r="V1953" s="7" t="inlineStr">
        <is>
          <t>V1001023 - LEGA CORPORATION CO.,LTD.</t>
        </is>
      </c>
      <c r="W1953" s="30" t="inlineStr">
        <is>
          <t>Recive bill and GRN already</t>
        </is>
      </c>
      <c r="X1953" s="5" t="inlineStr">
        <is>
          <t>GRN2526-0008677</t>
        </is>
      </c>
      <c r="Y1953" s="3" t="n">
        <v>46086</v>
      </c>
      <c r="Z1953" s="23" t="n"/>
      <c r="AA1953" s="17">
        <f>IF(RawDataGenPO[[#This Row],[Date Gen PO]]="","",RawDataGenPO[[#This Row],[Date recive bill]]-RawDataGenPO[[#This Row],[Date Gen PO]])</f>
        <v/>
      </c>
      <c r="AB1953" s="16">
        <f>IF(RawDataGenPO[[#This Row],[GRN-PO date]]&gt;RawDataGenPO[[#This Row],[Lead time delivery (day)]],"over deliverry","Ontime")</f>
        <v/>
      </c>
      <c r="AC1953" s="22" t="n"/>
    </row>
    <row r="1954" ht="315" customHeight="1">
      <c r="A1954" s="5">
        <f>ROW()-ROW(RawDataGenPO[[#Headers],[No.]])</f>
        <v/>
      </c>
      <c r="B1954" s="29" t="inlineStr">
        <is>
          <t>CAPEX  (Budget)</t>
        </is>
      </c>
      <c r="C1954" s="373" t="n"/>
      <c r="D1954" s="374" t="n"/>
      <c r="E1954" s="374" t="n"/>
      <c r="F1954" s="281" t="n">
        <v>46059</v>
      </c>
      <c r="G1954" s="5" t="inlineStr">
        <is>
          <t>PR2526-04731</t>
        </is>
      </c>
      <c r="H1954" s="5" t="inlineStr">
        <is>
          <t>PO2526-06654</t>
        </is>
      </c>
      <c r="I1954" s="286" t="n">
        <v>46065</v>
      </c>
      <c r="J1954" s="26" t="n"/>
      <c r="K1954" s="20" t="n">
        <v>60</v>
      </c>
      <c r="L1954" s="5" t="inlineStr">
        <is>
          <t>SFST82000007</t>
        </is>
      </c>
      <c r="M1954" s="7" t="inlineStr">
        <is>
          <t>Machanical part</t>
        </is>
      </c>
      <c r="N1954" s="7" t="inlineStr">
        <is>
          <t>Machanical part</t>
        </is>
      </c>
      <c r="O1954" s="11" t="n">
        <v>1</v>
      </c>
      <c r="P1954" s="10" t="inlineStr">
        <is>
          <t>Falcon Max Mig 225 machineweld Co2 system DC Inverter (P00017)
Falcon Max Mig 225 machineweld Co2 S:UU DC Inverter :
1.1 setcableweld Co2 length 5 m quantity 1 set
1.2 setcableweldlight blue length 5 m quantity 1 set
1.3 setcableW length 4 mquantity 1 set
1.4 glovesquantity 1 pair
1.5 frontcoveradjustmquantity 1 piece
1.6 welding rod FCW JF-201 # 1.0 mm (5kg)quantity 1 box
1.7 Nozzle Dip Gel 400gquantity 1
1.8 220Vquantity 1 pcs
2. setcableweld spool gun alumm (P00076) setcableweld spool gun alumm</t>
        </is>
      </c>
      <c r="Q1954" s="277" t="n">
        <v>1</v>
      </c>
      <c r="R1954" s="5" t="inlineStr">
        <is>
          <t>SET</t>
        </is>
      </c>
      <c r="S1954" s="284">
        <f>RawDataGenPO[[#This Row],[Total price]]/RawDataGenPO[[#This Row],[Qty'']]</f>
        <v/>
      </c>
      <c r="T1954" s="278" t="n">
        <v>27800</v>
      </c>
      <c r="U1954" s="291" t="n"/>
      <c r="V1954" s="7" t="inlineStr">
        <is>
          <t>V1001019 - PRO WELDING &amp; TOOLS COMPANY LIMITED</t>
        </is>
      </c>
      <c r="W1954" s="30" t="inlineStr">
        <is>
          <t xml:space="preserve">Waitting Supplier transportation </t>
        </is>
      </c>
      <c r="Z1954" s="23" t="n"/>
      <c r="AA1954" s="17">
        <f>IF(RawDataGenPO[[#This Row],[Date Gen PO]]="","",RawDataGenPO[[#This Row],[Date recive bill]]-RawDataGenPO[[#This Row],[Date Gen PO]])</f>
        <v/>
      </c>
      <c r="AB1954" s="16">
        <f>IF(RawDataGenPO[[#This Row],[GRN-PO date]]&gt;RawDataGenPO[[#This Row],[Lead time delivery (day)]],"over deliverry","Ontime")</f>
        <v/>
      </c>
      <c r="AC1954" s="22" t="n"/>
    </row>
    <row r="1955" ht="60" customHeight="1">
      <c r="A1955" s="5">
        <f>ROW()-ROW(RawDataGenPO[[#Headers],[No.]])</f>
        <v/>
      </c>
      <c r="B1955" s="29" t="inlineStr">
        <is>
          <t>CAPEX  (Budget)</t>
        </is>
      </c>
      <c r="C1955" s="373" t="n"/>
      <c r="D1955" s="374" t="n"/>
      <c r="E1955" s="374" t="n"/>
      <c r="F1955" s="281" t="n">
        <v>46059</v>
      </c>
      <c r="G1955" s="5" t="inlineStr">
        <is>
          <t>PR2526-04731</t>
        </is>
      </c>
      <c r="H1955" s="5" t="inlineStr">
        <is>
          <t xml:space="preserve">PO2526-06639 </t>
        </is>
      </c>
      <c r="I1955" s="286" t="n">
        <v>46065</v>
      </c>
      <c r="J1955" s="26" t="n"/>
      <c r="K1955" s="20" t="n">
        <v>30</v>
      </c>
      <c r="L1955" s="5" t="inlineStr">
        <is>
          <t>SFST82000007</t>
        </is>
      </c>
      <c r="M1955" s="7" t="inlineStr">
        <is>
          <t>Machanical part</t>
        </is>
      </c>
      <c r="N1955" s="7" t="inlineStr">
        <is>
          <t>Machanical part</t>
        </is>
      </c>
      <c r="O1955" s="11" t="n">
        <v>2</v>
      </c>
      <c r="P1955" s="10" t="inlineStr">
        <is>
          <t>gasoutlet size 1.5 Q / withgas
air linepair -</t>
        </is>
      </c>
      <c r="Q1955" s="277" t="n">
        <v>2</v>
      </c>
      <c r="R1955" s="5" t="inlineStr">
        <is>
          <t>SET</t>
        </is>
      </c>
      <c r="S1955" s="284">
        <f>RawDataGenPO[[#This Row],[Total price]]/RawDataGenPO[[#This Row],[Qty'']]</f>
        <v/>
      </c>
      <c r="T1955" s="278" t="n">
        <v>7520</v>
      </c>
      <c r="U1955" s="291" t="n"/>
      <c r="V1955" s="7" t="inlineStr">
        <is>
          <t>V1000475 - Klong Karn Kha Trading</t>
        </is>
      </c>
      <c r="W1955" s="30" t="inlineStr">
        <is>
          <t>Recive bill and GRN already</t>
        </is>
      </c>
      <c r="X1955" s="5" t="inlineStr">
        <is>
          <t>GRN2526-0008100</t>
        </is>
      </c>
      <c r="Y1955" s="3" t="n">
        <v>46069</v>
      </c>
      <c r="Z1955" s="23" t="n"/>
      <c r="AA1955" s="17">
        <f>IF(RawDataGenPO[[#This Row],[Date Gen PO]]="","",RawDataGenPO[[#This Row],[Date recive bill]]-RawDataGenPO[[#This Row],[Date Gen PO]])</f>
        <v/>
      </c>
      <c r="AB1955" s="16">
        <f>IF(RawDataGenPO[[#This Row],[GRN-PO date]]&gt;RawDataGenPO[[#This Row],[Lead time delivery (day)]],"over deliverry","Ontime")</f>
        <v/>
      </c>
      <c r="AC1955" s="22" t="n"/>
    </row>
    <row r="1956" ht="30" customHeight="1">
      <c r="A1956" s="5">
        <f>ROW()-ROW(RawDataGenPO[[#Headers],[No.]])</f>
        <v/>
      </c>
      <c r="B1956" s="29" t="inlineStr">
        <is>
          <t>Expent  cost</t>
        </is>
      </c>
      <c r="C1956" s="373" t="n"/>
      <c r="D1956" s="374" t="n"/>
      <c r="E1956" s="374" t="n"/>
      <c r="F1956" s="281" t="n">
        <v>46060</v>
      </c>
      <c r="G1956" s="5" t="inlineStr">
        <is>
          <t>PR2526-04740</t>
        </is>
      </c>
      <c r="H1956" s="5" t="inlineStr">
        <is>
          <t>PO2526-06602</t>
        </is>
      </c>
      <c r="I1956" s="286" t="n">
        <v>46064</v>
      </c>
      <c r="J1956" s="26" t="n"/>
      <c r="K1956" s="20" t="n">
        <v>30</v>
      </c>
      <c r="L1956" s="5" t="inlineStr">
        <is>
          <t>SFST81000048</t>
        </is>
      </c>
      <c r="M1956" s="7" t="inlineStr">
        <is>
          <t>Cooling machine for PD line</t>
        </is>
      </c>
      <c r="N1956" s="7" t="inlineStr">
        <is>
          <t>Condencer Unit No.9 (COLD5)</t>
        </is>
      </c>
      <c r="O1956" s="11" t="n">
        <v>1</v>
      </c>
      <c r="P1956" s="10" t="inlineStr">
        <is>
          <t>nitrogen
2,500 X 1.00 lot</t>
        </is>
      </c>
      <c r="Q1956" s="277" t="n">
        <v>1</v>
      </c>
      <c r="R1956" s="5" t="inlineStr">
        <is>
          <t>JOB.</t>
        </is>
      </c>
      <c r="S1956" s="284">
        <f>RawDataGenPO[[#This Row],[Total price]]/RawDataGenPO[[#This Row],[Qty'']]</f>
        <v/>
      </c>
      <c r="T1956" s="278" t="n">
        <v>2500</v>
      </c>
      <c r="U1956" s="291" t="n"/>
      <c r="V1956" s="7" t="inlineStr">
        <is>
          <t>V1000554 - SHANTECH (THAILAND) CO.,LTD.</t>
        </is>
      </c>
      <c r="W1956" s="30" t="inlineStr">
        <is>
          <t>Recive bill and GRN already</t>
        </is>
      </c>
      <c r="X1956" s="5" t="inlineStr">
        <is>
          <t>GRN2526-0008858</t>
        </is>
      </c>
      <c r="Y1956" s="3" t="n">
        <v>46091</v>
      </c>
      <c r="Z1956" s="23" t="n"/>
      <c r="AA1956" s="17">
        <f>IF(RawDataGenPO[[#This Row],[Date Gen PO]]="","",RawDataGenPO[[#This Row],[Date recive bill]]-RawDataGenPO[[#This Row],[Date Gen PO]])</f>
        <v/>
      </c>
      <c r="AB1956" s="16">
        <f>IF(RawDataGenPO[[#This Row],[GRN-PO date]]&gt;RawDataGenPO[[#This Row],[Lead time delivery (day)]],"over deliverry","Ontime")</f>
        <v/>
      </c>
      <c r="AC1956" s="22" t="n"/>
    </row>
    <row r="1957" ht="15" customHeight="1">
      <c r="A1957" s="5">
        <f>ROW()-ROW(RawDataGenPO[[#Headers],[No.]])</f>
        <v/>
      </c>
      <c r="B1957" s="29" t="inlineStr">
        <is>
          <t>Expent  cost</t>
        </is>
      </c>
      <c r="C1957" s="373" t="n"/>
      <c r="D1957" s="374" t="n"/>
      <c r="E1957" s="374" t="n"/>
      <c r="F1957" s="281" t="n">
        <v>46060</v>
      </c>
      <c r="G1957" s="5" t="inlineStr">
        <is>
          <t>PR2526-04740</t>
        </is>
      </c>
      <c r="H1957" s="5" t="inlineStr">
        <is>
          <t>PO2526-06602</t>
        </is>
      </c>
      <c r="I1957" s="286" t="n">
        <v>46064</v>
      </c>
      <c r="J1957" s="26" t="n"/>
      <c r="K1957" s="20" t="n">
        <v>30</v>
      </c>
      <c r="L1957" s="5" t="inlineStr">
        <is>
          <t>SFST81000048</t>
        </is>
      </c>
      <c r="M1957" s="7" t="inlineStr">
        <is>
          <t>Cooling machine for PD line</t>
        </is>
      </c>
      <c r="N1957" s="7" t="inlineStr">
        <is>
          <t>Condencer Unit No.9 (COLD5)</t>
        </is>
      </c>
      <c r="O1957" s="11" t="n">
        <v>2</v>
      </c>
      <c r="P1957" s="10" t="inlineStr">
        <is>
          <t>Service charge + travel cost</t>
        </is>
      </c>
      <c r="Q1957" s="277" t="n">
        <v>1</v>
      </c>
      <c r="R1957" s="5" t="inlineStr">
        <is>
          <t>JOB.</t>
        </is>
      </c>
      <c r="S1957" s="284">
        <f>RawDataGenPO[[#This Row],[Total price]]/RawDataGenPO[[#This Row],[Qty'']]</f>
        <v/>
      </c>
      <c r="T1957" s="278" t="n">
        <v>14000</v>
      </c>
      <c r="U1957" s="291" t="n"/>
      <c r="V1957" s="7" t="inlineStr">
        <is>
          <t>V1000554 - SHANTECH (THAILAND) CO.,LTD.</t>
        </is>
      </c>
      <c r="W1957" s="30" t="inlineStr">
        <is>
          <t>Recive bill and GRN already</t>
        </is>
      </c>
      <c r="X1957" s="5" t="inlineStr">
        <is>
          <t>GRN2526-0008858</t>
        </is>
      </c>
      <c r="Y1957" s="3" t="n">
        <v>46091</v>
      </c>
      <c r="Z1957" s="23" t="n"/>
      <c r="AA1957" s="17">
        <f>IF(RawDataGenPO[[#This Row],[Date Gen PO]]="","",RawDataGenPO[[#This Row],[Date recive bill]]-RawDataGenPO[[#This Row],[Date Gen PO]])</f>
        <v/>
      </c>
      <c r="AB1957" s="16">
        <f>IF(RawDataGenPO[[#This Row],[GRN-PO date]]&gt;RawDataGenPO[[#This Row],[Lead time delivery (day)]],"over deliverry","Ontime")</f>
        <v/>
      </c>
      <c r="AC1957" s="22" t="n"/>
    </row>
    <row r="1958" ht="15" customHeight="1">
      <c r="A1958" s="5">
        <f>ROW()-ROW(RawDataGenPO[[#Headers],[No.]])</f>
        <v/>
      </c>
      <c r="B1958" s="29" t="inlineStr">
        <is>
          <t>Expent  cost</t>
        </is>
      </c>
      <c r="C1958" s="373" t="n"/>
      <c r="D1958" s="374" t="n"/>
      <c r="E1958" s="374" t="n"/>
      <c r="F1958" s="281" t="n">
        <v>46062</v>
      </c>
      <c r="G1958" s="5" t="inlineStr">
        <is>
          <t>PR2526-04755</t>
        </is>
      </c>
      <c r="H1958" s="5" t="inlineStr">
        <is>
          <t>PO2526-06598</t>
        </is>
      </c>
      <c r="I1958" s="286" t="n">
        <v>46064</v>
      </c>
      <c r="J1958" s="26" t="n"/>
      <c r="K1958" s="20" t="n">
        <v>30</v>
      </c>
      <c r="L1958" s="5" t="inlineStr">
        <is>
          <t>SFST81000009</t>
        </is>
      </c>
      <c r="M1958" s="7" t="inlineStr">
        <is>
          <t>Consumable part for MN</t>
        </is>
      </c>
      <c r="N1958" s="7" t="inlineStr">
        <is>
          <t>Consumable part</t>
        </is>
      </c>
      <c r="O1958" s="11" t="n">
        <v>1</v>
      </c>
      <c r="P1958" s="10" t="inlineStr">
        <is>
          <t>Rag for wiping and cleaning machinery: Size A4 white 25 kg/Bag</t>
        </is>
      </c>
      <c r="Q1958" s="277" t="n">
        <v>2</v>
      </c>
      <c r="R1958" s="5" t="inlineStr">
        <is>
          <t>Bag.</t>
        </is>
      </c>
      <c r="S1958" s="284">
        <f>RawDataGenPO[[#This Row],[Total price]]/RawDataGenPO[[#This Row],[Qty'']]</f>
        <v/>
      </c>
      <c r="T1958" s="278" t="n">
        <v>2450</v>
      </c>
      <c r="U1958" s="291" t="n"/>
      <c r="V1958" s="7" t="inlineStr">
        <is>
          <t>V1000603 - TM SUKSAP TRADING LIMITED PARTNERSHIP</t>
        </is>
      </c>
      <c r="W1958" s="30" t="inlineStr">
        <is>
          <t>Recive bill and GRN already</t>
        </is>
      </c>
      <c r="X1958" s="5" t="inlineStr">
        <is>
          <t>GRN2526-0008211</t>
        </is>
      </c>
      <c r="Y1958" s="3" t="n">
        <v>46071</v>
      </c>
      <c r="Z1958" s="23" t="n"/>
      <c r="AA1958" s="17">
        <f>IF(RawDataGenPO[[#This Row],[Date Gen PO]]="","",RawDataGenPO[[#This Row],[Date recive bill]]-RawDataGenPO[[#This Row],[Date Gen PO]])</f>
        <v/>
      </c>
      <c r="AB1958" s="16">
        <f>IF(RawDataGenPO[[#This Row],[GRN-PO date]]&gt;RawDataGenPO[[#This Row],[Lead time delivery (day)]],"over deliverry","Ontime")</f>
        <v/>
      </c>
      <c r="AC1958" s="22" t="n"/>
    </row>
    <row r="1959" ht="15" customHeight="1">
      <c r="A1959" s="5">
        <f>ROW()-ROW(RawDataGenPO[[#Headers],[No.]])</f>
        <v/>
      </c>
      <c r="B1959" s="29" t="inlineStr">
        <is>
          <t>Expent  cost</t>
        </is>
      </c>
      <c r="C1959" s="373" t="n"/>
      <c r="D1959" s="374" t="n"/>
      <c r="E1959" s="374" t="n"/>
      <c r="F1959" s="281" t="n">
        <v>46063</v>
      </c>
      <c r="G1959" s="5" t="inlineStr">
        <is>
          <t>PR2526-04772</t>
        </is>
      </c>
      <c r="H1959" s="5" t="inlineStr">
        <is>
          <t xml:space="preserve">PO2526-06706 </t>
        </is>
      </c>
      <c r="I1959" s="286" t="n"/>
      <c r="J1959" s="26" t="n"/>
      <c r="K1959" s="20" t="n"/>
      <c r="L1959" s="5" t="inlineStr">
        <is>
          <t>SFST81000064</t>
        </is>
      </c>
      <c r="M1959" s="7" t="inlineStr">
        <is>
          <t>Annual cost</t>
        </is>
      </c>
      <c r="N1959" s="7" t="inlineStr">
        <is>
          <t>Safety  annual jobs</t>
        </is>
      </c>
      <c r="O1959" s="11" t="n">
        <v>1</v>
      </c>
      <c r="P1959" s="10" t="inlineStr">
        <is>
          <t>Service chargeWmeasuring machine X-Ray</t>
        </is>
      </c>
      <c r="Q1959" s="277" t="n">
        <v>1</v>
      </c>
      <c r="R1959" s="5" t="inlineStr">
        <is>
          <t>JOB.</t>
        </is>
      </c>
      <c r="S1959" s="284">
        <f>RawDataGenPO[[#This Row],[Total price]]/RawDataGenPO[[#This Row],[Qty'']]</f>
        <v/>
      </c>
      <c r="U1959" s="291" t="n"/>
      <c r="V1959" s="7" t="inlineStr">
        <is>
          <t>V1000833 - mWchemical andmachinehand</t>
        </is>
      </c>
      <c r="W1959" s="30" t="inlineStr">
        <is>
          <t xml:space="preserve">Waitting Supplier transportation </t>
        </is>
      </c>
      <c r="Z1959" s="23" t="n"/>
      <c r="AA1959" s="17">
        <f>IF(RawDataGenPO[[#This Row],[Date Gen PO]]="","",RawDataGenPO[[#This Row],[Date recive bill]]-RawDataGenPO[[#This Row],[Date Gen PO]])</f>
        <v/>
      </c>
      <c r="AB1959" s="16">
        <f>IF(RawDataGenPO[[#This Row],[GRN-PO date]]&gt;RawDataGenPO[[#This Row],[Lead time delivery (day)]],"over deliverry","Ontime")</f>
        <v/>
      </c>
      <c r="AC1959" s="22" t="n"/>
    </row>
    <row r="1960" ht="15" customHeight="1">
      <c r="A1960" s="5">
        <f>ROW()-ROW(RawDataGenPO[[#Headers],[No.]])</f>
        <v/>
      </c>
      <c r="B1960" s="29" t="inlineStr">
        <is>
          <t>Expent  cost</t>
        </is>
      </c>
      <c r="C1960" s="373" t="n"/>
      <c r="D1960" s="374" t="n"/>
      <c r="E1960" s="374" t="n"/>
      <c r="F1960" s="281" t="n">
        <v>46064</v>
      </c>
      <c r="G1960" s="5" t="inlineStr">
        <is>
          <t>PR2526-04805</t>
        </is>
      </c>
      <c r="H1960" s="5" t="inlineStr">
        <is>
          <t>PO2526-06742</t>
        </is>
      </c>
      <c r="I1960" s="286" t="n">
        <v>46071</v>
      </c>
      <c r="J1960" s="26" t="n"/>
      <c r="K1960" s="20" t="n">
        <v>30</v>
      </c>
      <c r="L1960" s="5" t="inlineStr">
        <is>
          <t>SFST81000048</t>
        </is>
      </c>
      <c r="M1960" s="7" t="inlineStr">
        <is>
          <t>PD Machine</t>
        </is>
      </c>
      <c r="N1960" s="7" t="inlineStr">
        <is>
          <t>Vegetable Dicing Machine  Robot coupe CL-50 No.1</t>
        </is>
      </c>
      <c r="O1960" s="11" t="n">
        <v>1</v>
      </c>
      <c r="P1960" s="10" t="inlineStr">
        <is>
          <t xml:space="preserve"> "Robot Coupe" Motor H50 (CL50) Part No 3114s</t>
        </is>
      </c>
      <c r="Q1960" s="277" t="n">
        <v>3</v>
      </c>
      <c r="R1960" s="5" t="inlineStr">
        <is>
          <t>PCS.</t>
        </is>
      </c>
      <c r="S1960" s="284">
        <f>RawDataGenPO[[#This Row],[Total price]]/RawDataGenPO[[#This Row],[Qty'']]</f>
        <v/>
      </c>
      <c r="T1960" s="278" t="n">
        <v>43500</v>
      </c>
      <c r="U1960" s="291" t="n"/>
      <c r="V1960" s="7" t="inlineStr">
        <is>
          <t>V1000285 - BANGKOK SEVENFIVE CO., LTD</t>
        </is>
      </c>
      <c r="W1960" s="30" t="inlineStr">
        <is>
          <t>Recive bill and GRN already</t>
        </is>
      </c>
      <c r="X1960" s="5" t="inlineStr">
        <is>
          <t>GRN2526-0008477</t>
        </is>
      </c>
      <c r="Y1960" s="3" t="n">
        <v>46083</v>
      </c>
      <c r="Z1960" s="23" t="n"/>
      <c r="AA1960" s="17">
        <f>IF(RawDataGenPO[[#This Row],[Date Gen PO]]="","",RawDataGenPO[[#This Row],[Date recive bill]]-RawDataGenPO[[#This Row],[Date Gen PO]])</f>
        <v/>
      </c>
      <c r="AB1960" s="16">
        <f>IF(RawDataGenPO[[#This Row],[GRN-PO date]]&gt;RawDataGenPO[[#This Row],[Lead time delivery (day)]],"over deliverry","Ontime")</f>
        <v/>
      </c>
      <c r="AC1960" s="22" t="n"/>
    </row>
    <row r="1961" ht="135" customHeight="1">
      <c r="A1961" s="5">
        <f>ROW()-ROW(RawDataGenPO[[#Headers],[No.]])</f>
        <v/>
      </c>
      <c r="B1961" s="29" t="inlineStr">
        <is>
          <t>Expent  cost</t>
        </is>
      </c>
      <c r="C1961" s="373" t="n"/>
      <c r="D1961" s="374" t="n"/>
      <c r="E1961" s="374" t="n"/>
      <c r="F1961" s="281" t="n">
        <v>46064</v>
      </c>
      <c r="G1961" s="5" t="inlineStr">
        <is>
          <t>PR2526-04806</t>
        </is>
      </c>
      <c r="H1961" s="5" t="inlineStr">
        <is>
          <t>PO2526-06743</t>
        </is>
      </c>
      <c r="I1961" s="286" t="n">
        <v>46071</v>
      </c>
      <c r="J1961" s="26" t="n"/>
      <c r="K1961" s="20" t="n">
        <v>60</v>
      </c>
      <c r="L1961" s="5" t="inlineStr">
        <is>
          <t>SFST81000048</t>
        </is>
      </c>
      <c r="M1961" s="7" t="inlineStr">
        <is>
          <t>Utility Jobs  (Boiler-Air compress-Transformer-LPG)</t>
        </is>
      </c>
      <c r="N1961" s="7" t="inlineStr">
        <is>
          <t>Utility jobs</t>
        </is>
      </c>
      <c r="O1961" s="11" t="n">
        <v>1</v>
      </c>
      <c r="P1961" s="10" t="inlineStr">
        <is>
          <t>water stainless steel
- material stainless steel sus 304 thick 1.5 mm
- size 1200×1200×150 cm
details
- mtype mboxstainless steel 1"x1"thick 1.5 mmpcs
- boxstainless steel 1"x2"thick 1.5 mmcenter
- pipe Drain 1" length 150 mm
- m linecenter 60 mmthick 2.0 mm
-weldmtype</t>
        </is>
      </c>
      <c r="Q1961" s="277" t="n">
        <v>4</v>
      </c>
      <c r="R1961" s="5" t="inlineStr">
        <is>
          <t>Set</t>
        </is>
      </c>
      <c r="S1961" s="284">
        <f>RawDataGenPO[[#This Row],[Total price]]/RawDataGenPO[[#This Row],[Qty'']]</f>
        <v/>
      </c>
      <c r="T1961" s="278" t="n">
        <v>34000</v>
      </c>
      <c r="U1961" s="291" t="n"/>
      <c r="V1961" s="7" t="inlineStr">
        <is>
          <t>V1000798 - MGO SERVICE LIMITED PARTNERSHIP</t>
        </is>
      </c>
      <c r="W1961" s="30" t="inlineStr">
        <is>
          <t>Recive bill and GRN already</t>
        </is>
      </c>
      <c r="X1961" s="5" t="inlineStr">
        <is>
          <t>GRN2526-0008859</t>
        </is>
      </c>
      <c r="Y1961" s="3" t="n">
        <v>46091</v>
      </c>
      <c r="Z1961" s="23" t="n"/>
      <c r="AA1961" s="17">
        <f>IF(RawDataGenPO[[#This Row],[Date Gen PO]]="","",RawDataGenPO[[#This Row],[Date recive bill]]-RawDataGenPO[[#This Row],[Date Gen PO]])</f>
        <v/>
      </c>
      <c r="AB1961" s="16">
        <f>IF(RawDataGenPO[[#This Row],[GRN-PO date]]&gt;RawDataGenPO[[#This Row],[Lead time delivery (day)]],"over deliverry","Ontime")</f>
        <v/>
      </c>
      <c r="AC1961" s="22" t="n"/>
    </row>
    <row r="1962" ht="30" customHeight="1">
      <c r="A1962" s="5">
        <f>ROW()-ROW(RawDataGenPO[[#Headers],[No.]])</f>
        <v/>
      </c>
      <c r="B1962" s="29" t="inlineStr">
        <is>
          <t>Expent  cost</t>
        </is>
      </c>
      <c r="C1962" s="373" t="n"/>
      <c r="D1962" s="374" t="n"/>
      <c r="E1962" s="374" t="n"/>
      <c r="F1962" s="281" t="n">
        <v>46064</v>
      </c>
      <c r="G1962" s="5" t="inlineStr">
        <is>
          <t>PR2526-04806</t>
        </is>
      </c>
      <c r="H1962" s="5" t="inlineStr">
        <is>
          <t>PO2526-06743</t>
        </is>
      </c>
      <c r="I1962" s="286" t="n">
        <v>46071</v>
      </c>
      <c r="J1962" s="26" t="n"/>
      <c r="K1962" s="20" t="n">
        <v>60</v>
      </c>
      <c r="L1962" s="5" t="inlineStr">
        <is>
          <t>SFST81000048</t>
        </is>
      </c>
      <c r="M1962" s="7" t="inlineStr">
        <is>
          <t>Utility Jobs  (Boiler-Air compress-Transformer-LPG)</t>
        </is>
      </c>
      <c r="N1962" s="7" t="inlineStr">
        <is>
          <t>Utility jobs</t>
        </is>
      </c>
      <c r="O1962" s="11" t="n">
        <v>2</v>
      </c>
      <c r="P1962" s="10" t="inlineStr">
        <is>
          <t>labor costinstallwater stainless steel
- runpipewastewater</t>
        </is>
      </c>
      <c r="Q1962" s="277" t="n">
        <v>4</v>
      </c>
      <c r="R1962" s="5" t="inlineStr">
        <is>
          <t>JOB.</t>
        </is>
      </c>
      <c r="S1962" s="284">
        <f>RawDataGenPO[[#This Row],[Total price]]/RawDataGenPO[[#This Row],[Qty'']]</f>
        <v/>
      </c>
      <c r="T1962" s="278" t="n">
        <v>18000</v>
      </c>
      <c r="U1962" s="291" t="n"/>
      <c r="V1962" s="7" t="inlineStr">
        <is>
          <t>V1000798 - MGO SERVICE LIMITED PARTNERSHIP</t>
        </is>
      </c>
      <c r="W1962" s="30" t="inlineStr">
        <is>
          <t>Recive bill and GRN already</t>
        </is>
      </c>
      <c r="X1962" s="5" t="inlineStr">
        <is>
          <t>GRN2526-0008859</t>
        </is>
      </c>
      <c r="Y1962" s="3" t="n">
        <v>46091</v>
      </c>
      <c r="Z1962" s="23" t="n"/>
      <c r="AA1962" s="17">
        <f>IF(RawDataGenPO[[#This Row],[Date Gen PO]]="","",RawDataGenPO[[#This Row],[Date recive bill]]-RawDataGenPO[[#This Row],[Date Gen PO]])</f>
        <v/>
      </c>
      <c r="AB1962" s="16">
        <f>IF(RawDataGenPO[[#This Row],[GRN-PO date]]&gt;RawDataGenPO[[#This Row],[Lead time delivery (day)]],"over deliverry","Ontime")</f>
        <v/>
      </c>
      <c r="AC1962" s="22" t="n"/>
    </row>
    <row r="1963" ht="30" customHeight="1">
      <c r="A1963" s="5">
        <f>ROW()-ROW(RawDataGenPO[[#Headers],[No.]])</f>
        <v/>
      </c>
      <c r="B1963" s="29" t="inlineStr">
        <is>
          <t>Expent  cost</t>
        </is>
      </c>
      <c r="C1963" s="373" t="n"/>
      <c r="D1963" s="374" t="n"/>
      <c r="E1963" s="374" t="n"/>
      <c r="F1963" s="281" t="n">
        <v>46064</v>
      </c>
      <c r="G1963" s="5" t="inlineStr">
        <is>
          <t xml:space="preserve">PR2526-04808 </t>
        </is>
      </c>
      <c r="H1963" s="5" t="inlineStr">
        <is>
          <t>PO2526-06705</t>
        </is>
      </c>
      <c r="I1963" s="286" t="n">
        <v>46069</v>
      </c>
      <c r="J1963" s="26" t="n"/>
      <c r="K1963" s="20" t="n">
        <v>30</v>
      </c>
      <c r="L1963" s="5" t="inlineStr">
        <is>
          <t>SFST81000048</t>
        </is>
      </c>
      <c r="M1963" s="7" t="inlineStr">
        <is>
          <t>PD Machine</t>
        </is>
      </c>
      <c r="N1963" s="7" t="inlineStr">
        <is>
          <t>X-Ray machine No.1</t>
        </is>
      </c>
      <c r="O1963" s="11" t="n">
        <v>1</v>
      </c>
      <c r="P1963" s="10" t="inlineStr">
        <is>
          <t>belt PU thick 1.5 mm. white
Size: W=382 mm. x L. 1255 mm. connectorround K6</t>
        </is>
      </c>
      <c r="Q1963" s="277" t="n">
        <v>1</v>
      </c>
      <c r="R1963" s="5" t="inlineStr">
        <is>
          <t>PCS.</t>
        </is>
      </c>
      <c r="S1963" s="284">
        <f>RawDataGenPO[[#This Row],[Total price]]/RawDataGenPO[[#This Row],[Qty'']]</f>
        <v/>
      </c>
      <c r="T1963" s="278" t="n">
        <v>3200</v>
      </c>
      <c r="U1963" s="291" t="n"/>
      <c r="V1963" s="7" t="inlineStr">
        <is>
          <t>V1000585 - MARUAY BELT COMPANY LIMITED</t>
        </is>
      </c>
      <c r="W1963" s="30" t="inlineStr">
        <is>
          <t>Recive bill and GRN already</t>
        </is>
      </c>
      <c r="X1963" s="5" t="inlineStr">
        <is>
          <t>GRN2526-0008179</t>
        </is>
      </c>
      <c r="Y1963" s="3" t="n">
        <v>46070</v>
      </c>
      <c r="Z1963" s="23" t="n"/>
      <c r="AA1963" s="17">
        <f>IF(RawDataGenPO[[#This Row],[Date Gen PO]]="","",RawDataGenPO[[#This Row],[Date recive bill]]-RawDataGenPO[[#This Row],[Date Gen PO]])</f>
        <v/>
      </c>
      <c r="AB1963" s="16">
        <f>IF(RawDataGenPO[[#This Row],[GRN-PO date]]&gt;RawDataGenPO[[#This Row],[Lead time delivery (day)]],"over deliverry","Ontime")</f>
        <v/>
      </c>
      <c r="AC1963" s="22" t="n"/>
    </row>
    <row r="1964" ht="15" customHeight="1">
      <c r="A1964" s="5">
        <f>ROW()-ROW(RawDataGenPO[[#Headers],[No.]])</f>
        <v/>
      </c>
      <c r="B1964" s="29" t="inlineStr">
        <is>
          <t>Expent  cost</t>
        </is>
      </c>
      <c r="C1964" s="373" t="n"/>
      <c r="D1964" s="374" t="n"/>
      <c r="E1964" s="374" t="n"/>
      <c r="F1964" s="281" t="n">
        <v>46065</v>
      </c>
      <c r="G1964" s="5" t="inlineStr">
        <is>
          <t>PR2526-04813</t>
        </is>
      </c>
      <c r="H1964" s="5" t="inlineStr">
        <is>
          <t>PO2526-06744</t>
        </is>
      </c>
      <c r="I1964" s="286" t="n">
        <v>46071</v>
      </c>
      <c r="J1964" s="26" t="n"/>
      <c r="K1964" s="20" t="n">
        <v>30</v>
      </c>
      <c r="L1964" s="5" t="inlineStr">
        <is>
          <t>SFST81000009</t>
        </is>
      </c>
      <c r="M1964" s="7" t="inlineStr">
        <is>
          <t>Consumable part for MN</t>
        </is>
      </c>
      <c r="N1964" s="7" t="inlineStr">
        <is>
          <t>Consumable part</t>
        </is>
      </c>
      <c r="O1964" s="11" t="n">
        <v>1</v>
      </c>
      <c r="P1964" s="10" t="inlineStr">
        <is>
          <t>boxwaterproof waterproof boxcable white PVC size 4x4 inch</t>
        </is>
      </c>
      <c r="Q1964" s="277" t="n">
        <v>20</v>
      </c>
      <c r="R1964" s="5" t="inlineStr">
        <is>
          <t>PCS.</t>
        </is>
      </c>
      <c r="S1964" s="284">
        <f>RawDataGenPO[[#This Row],[Total price]]/RawDataGenPO[[#This Row],[Qty'']]</f>
        <v/>
      </c>
      <c r="T1964" s="278" t="n">
        <v>740</v>
      </c>
      <c r="U1964" s="291" t="n"/>
      <c r="V1964" s="7" t="inlineStr">
        <is>
          <t>V1000276 - SN. ELECTRIC AND SUPPLY CO., LTD.</t>
        </is>
      </c>
      <c r="W1964" s="30" t="inlineStr">
        <is>
          <t>Recive bill and GRN already</t>
        </is>
      </c>
      <c r="X1964" s="5" t="inlineStr">
        <is>
          <t>GRN2526-0008302</t>
        </is>
      </c>
      <c r="Y1964" s="3" t="n">
        <v>46073</v>
      </c>
      <c r="Z1964" s="23" t="n"/>
      <c r="AA1964" s="17">
        <f>IF(RawDataGenPO[[#This Row],[Date Gen PO]]="","",RawDataGenPO[[#This Row],[Date recive bill]]-RawDataGenPO[[#This Row],[Date Gen PO]])</f>
        <v/>
      </c>
      <c r="AB1964" s="16">
        <f>IF(RawDataGenPO[[#This Row],[GRN-PO date]]&gt;RawDataGenPO[[#This Row],[Lead time delivery (day)]],"over deliverry","Ontime")</f>
        <v/>
      </c>
      <c r="AC1964" s="22" t="n"/>
    </row>
    <row r="1965" ht="15" customHeight="1">
      <c r="A1965" s="5">
        <f>ROW()-ROW(RawDataGenPO[[#Headers],[No.]])</f>
        <v/>
      </c>
      <c r="B1965" s="29" t="inlineStr">
        <is>
          <t>Expent  cost</t>
        </is>
      </c>
      <c r="C1965" s="373" t="n"/>
      <c r="D1965" s="374" t="n"/>
      <c r="E1965" s="374" t="n"/>
      <c r="F1965" s="281" t="n">
        <v>46065</v>
      </c>
      <c r="G1965" s="5" t="inlineStr">
        <is>
          <t>PR2526-04813</t>
        </is>
      </c>
      <c r="H1965" s="5" t="inlineStr">
        <is>
          <t>PO2526-06744</t>
        </is>
      </c>
      <c r="I1965" s="286" t="n">
        <v>46071</v>
      </c>
      <c r="J1965" s="26" t="n"/>
      <c r="K1965" s="20" t="n">
        <v>30</v>
      </c>
      <c r="L1965" s="5" t="inlineStr">
        <is>
          <t>SFST81000009</t>
        </is>
      </c>
      <c r="M1965" s="7" t="inlineStr">
        <is>
          <t>Consumable part for MN</t>
        </is>
      </c>
      <c r="N1965" s="7" t="inlineStr">
        <is>
          <t>Consumable part</t>
        </is>
      </c>
      <c r="O1965" s="11" t="n">
        <v>2</v>
      </c>
      <c r="P1965" s="10" t="inlineStr">
        <is>
          <t>boxwaterproof waterproof boxcable white PVC size 2x4 inch</t>
        </is>
      </c>
      <c r="Q1965" s="277" t="n">
        <v>20</v>
      </c>
      <c r="R1965" s="5" t="inlineStr">
        <is>
          <t>PCS.</t>
        </is>
      </c>
      <c r="S1965" s="284">
        <f>RawDataGenPO[[#This Row],[Total price]]/RawDataGenPO[[#This Row],[Qty'']]</f>
        <v/>
      </c>
      <c r="T1965" s="278" t="n">
        <v>400</v>
      </c>
      <c r="U1965" s="291" t="n"/>
      <c r="V1965" s="7" t="inlineStr">
        <is>
          <t>V1000276 - SN. ELECTRIC AND SUPPLY CO., LTD.</t>
        </is>
      </c>
      <c r="W1965" s="30" t="inlineStr">
        <is>
          <t>Recive bill and GRN already</t>
        </is>
      </c>
      <c r="X1965" s="5" t="inlineStr">
        <is>
          <t>GRN2526-0008302</t>
        </is>
      </c>
      <c r="Y1965" s="3" t="n">
        <v>46073</v>
      </c>
      <c r="Z1965" s="23" t="n"/>
      <c r="AA1965" s="17">
        <f>IF(RawDataGenPO[[#This Row],[Date Gen PO]]="","",RawDataGenPO[[#This Row],[Date recive bill]]-RawDataGenPO[[#This Row],[Date Gen PO]])</f>
        <v/>
      </c>
      <c r="AB1965" s="16">
        <f>IF(RawDataGenPO[[#This Row],[GRN-PO date]]&gt;RawDataGenPO[[#This Row],[Lead time delivery (day)]],"over deliverry","Ontime")</f>
        <v/>
      </c>
      <c r="AC1965" s="22" t="n"/>
    </row>
    <row r="1966" ht="15" customHeight="1">
      <c r="A1966" s="5">
        <f>ROW()-ROW(RawDataGenPO[[#Headers],[No.]])</f>
        <v/>
      </c>
      <c r="B1966" s="29" t="inlineStr">
        <is>
          <t>Expent  cost</t>
        </is>
      </c>
      <c r="C1966" s="373" t="n"/>
      <c r="D1966" s="374" t="n"/>
      <c r="E1966" s="374" t="n"/>
      <c r="F1966" s="281" t="n">
        <v>46065</v>
      </c>
      <c r="G1966" s="5" t="inlineStr">
        <is>
          <t>PR2526-04813</t>
        </is>
      </c>
      <c r="H1966" s="5" t="inlineStr">
        <is>
          <t>PO2526-06744</t>
        </is>
      </c>
      <c r="I1966" s="286" t="n">
        <v>46071</v>
      </c>
      <c r="J1966" s="26" t="n"/>
      <c r="K1966" s="20" t="n">
        <v>30</v>
      </c>
      <c r="L1966" s="5" t="inlineStr">
        <is>
          <t>SFST81000009</t>
        </is>
      </c>
      <c r="M1966" s="7" t="inlineStr">
        <is>
          <t>Consumable part for MN</t>
        </is>
      </c>
      <c r="N1966" s="7" t="inlineStr">
        <is>
          <t>Consumable part</t>
        </is>
      </c>
      <c r="O1966" s="11" t="n">
        <v>3</v>
      </c>
      <c r="P1966" s="10" t="inlineStr">
        <is>
          <t>starter S10-P (1 box 25 pcs)</t>
        </is>
      </c>
      <c r="Q1966" s="277" t="n">
        <v>50</v>
      </c>
      <c r="R1966" s="5" t="inlineStr">
        <is>
          <t>PCS.</t>
        </is>
      </c>
      <c r="S1966" s="284">
        <f>RawDataGenPO[[#This Row],[Total price]]/RawDataGenPO[[#This Row],[Qty'']]</f>
        <v/>
      </c>
      <c r="T1966" s="278" t="n">
        <v>950</v>
      </c>
      <c r="U1966" s="291" t="n"/>
      <c r="V1966" s="7" t="inlineStr">
        <is>
          <t>V1000276 - SN. ELECTRIC AND SUPPLY CO., LTD.</t>
        </is>
      </c>
      <c r="W1966" s="30" t="inlineStr">
        <is>
          <t>Recive bill and GRN already</t>
        </is>
      </c>
      <c r="X1966" s="5" t="inlineStr">
        <is>
          <t>GRN2526-0008302</t>
        </is>
      </c>
      <c r="Y1966" s="3" t="n">
        <v>46073</v>
      </c>
      <c r="Z1966" s="23" t="n"/>
      <c r="AA1966" s="17">
        <f>IF(RawDataGenPO[[#This Row],[Date Gen PO]]="","",RawDataGenPO[[#This Row],[Date recive bill]]-RawDataGenPO[[#This Row],[Date Gen PO]])</f>
        <v/>
      </c>
      <c r="AB1966" s="16">
        <f>IF(RawDataGenPO[[#This Row],[GRN-PO date]]&gt;RawDataGenPO[[#This Row],[Lead time delivery (day)]],"over deliverry","Ontime")</f>
        <v/>
      </c>
      <c r="AC1966" s="22" t="n"/>
    </row>
    <row r="1967" ht="15" customHeight="1">
      <c r="A1967" s="5">
        <f>ROW()-ROW(RawDataGenPO[[#Headers],[No.]])</f>
        <v/>
      </c>
      <c r="B1967" s="29" t="inlineStr">
        <is>
          <t>Expent  cost</t>
        </is>
      </c>
      <c r="C1967" s="373" t="n"/>
      <c r="D1967" s="374" t="n"/>
      <c r="E1967" s="374" t="n"/>
      <c r="F1967" s="281" t="n">
        <v>46065</v>
      </c>
      <c r="G1967" s="5" t="inlineStr">
        <is>
          <t>PR2526-04813</t>
        </is>
      </c>
      <c r="H1967" s="5" t="inlineStr">
        <is>
          <t>PO2526-06744</t>
        </is>
      </c>
      <c r="I1967" s="286" t="n">
        <v>46071</v>
      </c>
      <c r="J1967" s="26" t="n"/>
      <c r="K1967" s="20" t="n">
        <v>30</v>
      </c>
      <c r="L1967" s="5" t="inlineStr">
        <is>
          <t>SFST81000009</t>
        </is>
      </c>
      <c r="M1967" s="7" t="inlineStr">
        <is>
          <t>Consumable part for MN</t>
        </is>
      </c>
      <c r="N1967" s="7" t="inlineStr">
        <is>
          <t>Consumable part</t>
        </is>
      </c>
      <c r="O1967" s="11" t="n">
        <v>4</v>
      </c>
      <c r="P1967" s="10" t="inlineStr">
        <is>
          <t>Thai Yazaki electrical cable VCT 3x2.5 length 100 m</t>
        </is>
      </c>
      <c r="Q1967" s="277" t="n">
        <v>100</v>
      </c>
      <c r="R1967" s="5" t="inlineStr">
        <is>
          <t>PCS.</t>
        </is>
      </c>
      <c r="S1967" s="284">
        <f>RawDataGenPO[[#This Row],[Total price]]/RawDataGenPO[[#This Row],[Qty'']]</f>
        <v/>
      </c>
      <c r="T1967" s="278" t="n">
        <v>7225</v>
      </c>
      <c r="U1967" s="291" t="n"/>
      <c r="V1967" s="7" t="inlineStr">
        <is>
          <t>V1000276 - SN. ELECTRIC AND SUPPLY CO., LTD.</t>
        </is>
      </c>
      <c r="W1967" s="30" t="inlineStr">
        <is>
          <t>Recive bill and GRN already</t>
        </is>
      </c>
      <c r="X1967" s="5" t="inlineStr">
        <is>
          <t>GRN2526-0008302</t>
        </is>
      </c>
      <c r="Y1967" s="3" t="n">
        <v>46073</v>
      </c>
      <c r="Z1967" s="23" t="n"/>
      <c r="AA1967" s="17">
        <f>IF(RawDataGenPO[[#This Row],[Date Gen PO]]="","",RawDataGenPO[[#This Row],[Date recive bill]]-RawDataGenPO[[#This Row],[Date Gen PO]])</f>
        <v/>
      </c>
      <c r="AB1967" s="16">
        <f>IF(RawDataGenPO[[#This Row],[GRN-PO date]]&gt;RawDataGenPO[[#This Row],[Lead time delivery (day)]],"over deliverry","Ontime")</f>
        <v/>
      </c>
      <c r="AC1967" s="22" t="n"/>
    </row>
    <row r="1968" ht="15" customHeight="1">
      <c r="A1968" s="5">
        <f>ROW()-ROW(RawDataGenPO[[#Headers],[No.]])</f>
        <v/>
      </c>
      <c r="B1968" s="29" t="inlineStr">
        <is>
          <t>Expent  cost</t>
        </is>
      </c>
      <c r="C1968" s="373" t="n"/>
      <c r="D1968" s="374" t="n"/>
      <c r="E1968" s="374" t="n"/>
      <c r="F1968" s="281" t="n">
        <v>46065</v>
      </c>
      <c r="G1968" s="5" t="inlineStr">
        <is>
          <t>PR2526-04814</t>
        </is>
      </c>
      <c r="H1968" s="5" t="inlineStr">
        <is>
          <t>PO2526-06745</t>
        </is>
      </c>
      <c r="I1968" s="286" t="n">
        <v>46071</v>
      </c>
      <c r="J1968" s="26" t="n"/>
      <c r="K1968" s="20" t="n">
        <v>60</v>
      </c>
      <c r="L1968" s="5" t="inlineStr">
        <is>
          <t>SFST81000050</t>
        </is>
      </c>
      <c r="M1968" s="7" t="inlineStr">
        <is>
          <t>Cooling machine for PD line</t>
        </is>
      </c>
      <c r="N1968" s="7" t="inlineStr">
        <is>
          <t>Cooling  part</t>
        </is>
      </c>
      <c r="O1968" s="11" t="n">
        <v>1</v>
      </c>
      <c r="P1968" s="10" t="inlineStr">
        <is>
          <t>DANFOSS Shut-off ball valve Model: GBC 6s 1/4" code 009L7020</t>
        </is>
      </c>
      <c r="Q1968" s="277" t="n">
        <v>2</v>
      </c>
      <c r="R1968" s="5" t="inlineStr">
        <is>
          <t>PCS.</t>
        </is>
      </c>
      <c r="S1968" s="284">
        <f>RawDataGenPO[[#This Row],[Total price]]/RawDataGenPO[[#This Row],[Qty'']]</f>
        <v/>
      </c>
      <c r="T1968" s="278" t="n">
        <v>1052</v>
      </c>
      <c r="U1968" s="291" t="n"/>
      <c r="V1968" s="7" t="inlineStr">
        <is>
          <t>V1000310 - BOONBAWORN ENGINEERING CO., LTD</t>
        </is>
      </c>
      <c r="W1968" s="30" t="inlineStr">
        <is>
          <t>Recive bill and GRN already</t>
        </is>
      </c>
      <c r="X1968" s="5" t="inlineStr">
        <is>
          <t>GRN2526-0008475</t>
        </is>
      </c>
      <c r="Y1968" s="3" t="n">
        <v>46083</v>
      </c>
      <c r="Z1968" s="23" t="n"/>
      <c r="AA1968" s="17">
        <f>IF(RawDataGenPO[[#This Row],[Date Gen PO]]="","",RawDataGenPO[[#This Row],[Date recive bill]]-RawDataGenPO[[#This Row],[Date Gen PO]])</f>
        <v/>
      </c>
      <c r="AB1968" s="16">
        <f>IF(RawDataGenPO[[#This Row],[GRN-PO date]]&gt;RawDataGenPO[[#This Row],[Lead time delivery (day)]],"over deliverry","Ontime")</f>
        <v/>
      </c>
      <c r="AC1968" s="22" t="n"/>
    </row>
    <row r="1969" ht="15" customHeight="1">
      <c r="A1969" s="5">
        <f>ROW()-ROW(RawDataGenPO[[#Headers],[No.]])</f>
        <v/>
      </c>
      <c r="B1969" s="29" t="inlineStr">
        <is>
          <t>Expent  cost</t>
        </is>
      </c>
      <c r="C1969" s="373" t="n"/>
      <c r="D1969" s="374" t="n"/>
      <c r="E1969" s="374" t="n"/>
      <c r="F1969" s="281" t="n">
        <v>46065</v>
      </c>
      <c r="G1969" s="5" t="inlineStr">
        <is>
          <t>PR2526-04814</t>
        </is>
      </c>
      <c r="H1969" s="5" t="inlineStr">
        <is>
          <t>PO2526-06745</t>
        </is>
      </c>
      <c r="I1969" s="286" t="n">
        <v>46071</v>
      </c>
      <c r="J1969" s="26" t="n"/>
      <c r="K1969" s="20" t="n">
        <v>60</v>
      </c>
      <c r="L1969" s="5" t="inlineStr">
        <is>
          <t>SFST81000050</t>
        </is>
      </c>
      <c r="M1969" s="7" t="inlineStr">
        <is>
          <t>Cooling machine for PD line</t>
        </is>
      </c>
      <c r="N1969" s="7" t="inlineStr">
        <is>
          <t>Cooling  part</t>
        </is>
      </c>
      <c r="O1969" s="11" t="n">
        <v>2</v>
      </c>
      <c r="P1969" s="10" t="inlineStr">
        <is>
          <t>DANFOSS Shut-off ball valve Model: GBC 10S 3/8" code 009L7021</t>
        </is>
      </c>
      <c r="Q1969" s="277" t="n">
        <v>2</v>
      </c>
      <c r="R1969" s="5" t="inlineStr">
        <is>
          <t>PCS.</t>
        </is>
      </c>
      <c r="S1969" s="284">
        <f>RawDataGenPO[[#This Row],[Total price]]/RawDataGenPO[[#This Row],[Qty'']]</f>
        <v/>
      </c>
      <c r="T1969" s="278" t="n">
        <v>1062</v>
      </c>
      <c r="U1969" s="291" t="n"/>
      <c r="V1969" s="7" t="inlineStr">
        <is>
          <t>V1000310 - BOONBAWORN ENGINEERING CO., LTD</t>
        </is>
      </c>
      <c r="W1969" s="30" t="inlineStr">
        <is>
          <t>Recive bill and GRN already</t>
        </is>
      </c>
      <c r="X1969" s="5" t="inlineStr">
        <is>
          <t>GRN2526-0008475</t>
        </is>
      </c>
      <c r="Y1969" s="3" t="n">
        <v>46083</v>
      </c>
      <c r="Z1969" s="23" t="n"/>
      <c r="AA1969" s="17">
        <f>IF(RawDataGenPO[[#This Row],[Date Gen PO]]="","",RawDataGenPO[[#This Row],[Date recive bill]]-RawDataGenPO[[#This Row],[Date Gen PO]])</f>
        <v/>
      </c>
      <c r="AB1969" s="16">
        <f>IF(RawDataGenPO[[#This Row],[GRN-PO date]]&gt;RawDataGenPO[[#This Row],[Lead time delivery (day)]],"over deliverry","Ontime")</f>
        <v/>
      </c>
      <c r="AC1969" s="22" t="n"/>
    </row>
    <row r="1970" ht="15" customHeight="1">
      <c r="A1970" s="5">
        <f>ROW()-ROW(RawDataGenPO[[#Headers],[No.]])</f>
        <v/>
      </c>
      <c r="B1970" s="29" t="inlineStr">
        <is>
          <t>Expent  cost</t>
        </is>
      </c>
      <c r="C1970" s="373" t="n"/>
      <c r="D1970" s="374" t="n"/>
      <c r="E1970" s="374" t="n"/>
      <c r="F1970" s="281" t="n">
        <v>46065</v>
      </c>
      <c r="G1970" s="5" t="inlineStr">
        <is>
          <t>PR2526-04814</t>
        </is>
      </c>
      <c r="H1970" s="5" t="inlineStr">
        <is>
          <t>PO2526-06745</t>
        </is>
      </c>
      <c r="I1970" s="286" t="n">
        <v>46071</v>
      </c>
      <c r="J1970" s="26" t="n"/>
      <c r="K1970" s="20" t="n">
        <v>60</v>
      </c>
      <c r="L1970" s="5" t="inlineStr">
        <is>
          <t>SFST81000050</t>
        </is>
      </c>
      <c r="M1970" s="7" t="inlineStr">
        <is>
          <t>Cooling machine for PD line</t>
        </is>
      </c>
      <c r="N1970" s="7" t="inlineStr">
        <is>
          <t>Cooling  part</t>
        </is>
      </c>
      <c r="O1970" s="11" t="n">
        <v>3</v>
      </c>
      <c r="P1970" s="10" t="inlineStr">
        <is>
          <t>DANFOSS Shut-off ball valve Model: GBC 12s size 1/2" code 009L7022</t>
        </is>
      </c>
      <c r="Q1970" s="277" t="n">
        <v>2</v>
      </c>
      <c r="R1970" s="5" t="inlineStr">
        <is>
          <t>PCS.</t>
        </is>
      </c>
      <c r="S1970" s="284">
        <f>RawDataGenPO[[#This Row],[Total price]]/RawDataGenPO[[#This Row],[Qty'']]</f>
        <v/>
      </c>
      <c r="T1970" s="278" t="n">
        <v>1126</v>
      </c>
      <c r="U1970" s="291" t="n"/>
      <c r="V1970" s="7" t="inlineStr">
        <is>
          <t>V1000310 - BOONBAWORN ENGINEERING CO., LTD</t>
        </is>
      </c>
      <c r="W1970" s="30" t="inlineStr">
        <is>
          <t>Recive bill and GRN already</t>
        </is>
      </c>
      <c r="X1970" s="5" t="inlineStr">
        <is>
          <t>GRN2526-0008475</t>
        </is>
      </c>
      <c r="Y1970" s="3" t="n">
        <v>46083</v>
      </c>
      <c r="Z1970" s="23" t="n"/>
      <c r="AA1970" s="17">
        <f>IF(RawDataGenPO[[#This Row],[Date Gen PO]]="","",RawDataGenPO[[#This Row],[Date recive bill]]-RawDataGenPO[[#This Row],[Date Gen PO]])</f>
        <v/>
      </c>
      <c r="AB1970" s="16">
        <f>IF(RawDataGenPO[[#This Row],[GRN-PO date]]&gt;RawDataGenPO[[#This Row],[Lead time delivery (day)]],"over deliverry","Ontime")</f>
        <v/>
      </c>
      <c r="AC1970" s="22" t="n"/>
    </row>
    <row r="1971" ht="15" customHeight="1">
      <c r="A1971" s="5">
        <f>ROW()-ROW(RawDataGenPO[[#Headers],[No.]])</f>
        <v/>
      </c>
      <c r="B1971" s="29" t="inlineStr">
        <is>
          <t>Expent  cost</t>
        </is>
      </c>
      <c r="C1971" s="373" t="n"/>
      <c r="D1971" s="374" t="n"/>
      <c r="E1971" s="374" t="n"/>
      <c r="F1971" s="281" t="n">
        <v>46065</v>
      </c>
      <c r="G1971" s="5" t="inlineStr">
        <is>
          <t>PR2526-04814</t>
        </is>
      </c>
      <c r="H1971" s="5" t="inlineStr">
        <is>
          <t>PO2526-06745</t>
        </is>
      </c>
      <c r="I1971" s="286" t="n">
        <v>46071</v>
      </c>
      <c r="J1971" s="26" t="n"/>
      <c r="K1971" s="20" t="n">
        <v>60</v>
      </c>
      <c r="L1971" s="5" t="inlineStr">
        <is>
          <t>SFST81000050</t>
        </is>
      </c>
      <c r="M1971" s="7" t="inlineStr">
        <is>
          <t>Cooling machine for PD line</t>
        </is>
      </c>
      <c r="N1971" s="7" t="inlineStr">
        <is>
          <t>Cooling  part</t>
        </is>
      </c>
      <c r="O1971" s="11" t="n">
        <v>4</v>
      </c>
      <c r="P1971" s="10" t="inlineStr">
        <is>
          <t>DANFOSS Shut-off ball valve Model: GBC 16s size 5/8" code 009L7023</t>
        </is>
      </c>
      <c r="Q1971" s="277" t="n">
        <v>2</v>
      </c>
      <c r="R1971" s="5" t="inlineStr">
        <is>
          <t>PCS.</t>
        </is>
      </c>
      <c r="S1971" s="284">
        <f>RawDataGenPO[[#This Row],[Total price]]/RawDataGenPO[[#This Row],[Qty'']]</f>
        <v/>
      </c>
      <c r="T1971" s="278" t="n">
        <v>1126</v>
      </c>
      <c r="U1971" s="291" t="n"/>
      <c r="V1971" s="7" t="inlineStr">
        <is>
          <t>V1000310 - BOONBAWORN ENGINEERING CO., LTD</t>
        </is>
      </c>
      <c r="W1971" s="30" t="inlineStr">
        <is>
          <t>Recive bill and GRN already</t>
        </is>
      </c>
      <c r="X1971" s="5" t="inlineStr">
        <is>
          <t>GRN2526-0008475</t>
        </is>
      </c>
      <c r="Y1971" s="3" t="n">
        <v>46083</v>
      </c>
      <c r="Z1971" s="23" t="n"/>
      <c r="AA1971" s="17">
        <f>IF(RawDataGenPO[[#This Row],[Date Gen PO]]="","",RawDataGenPO[[#This Row],[Date recive bill]]-RawDataGenPO[[#This Row],[Date Gen PO]])</f>
        <v/>
      </c>
      <c r="AB1971" s="16">
        <f>IF(RawDataGenPO[[#This Row],[GRN-PO date]]&gt;RawDataGenPO[[#This Row],[Lead time delivery (day)]],"over deliverry","Ontime")</f>
        <v/>
      </c>
      <c r="AC1971" s="22" t="n"/>
    </row>
    <row r="1972" ht="15" customHeight="1">
      <c r="A1972" s="5">
        <f>ROW()-ROW(RawDataGenPO[[#Headers],[No.]])</f>
        <v/>
      </c>
      <c r="B1972" s="29" t="inlineStr">
        <is>
          <t>Expent  cost</t>
        </is>
      </c>
      <c r="C1972" s="373" t="n"/>
      <c r="D1972" s="374" t="n"/>
      <c r="E1972" s="374" t="n"/>
      <c r="F1972" s="281" t="n">
        <v>46065</v>
      </c>
      <c r="G1972" s="5" t="inlineStr">
        <is>
          <t>PR2526-04814</t>
        </is>
      </c>
      <c r="H1972" s="5" t="inlineStr">
        <is>
          <t>PO2526-06745</t>
        </is>
      </c>
      <c r="I1972" s="286" t="n">
        <v>46071</v>
      </c>
      <c r="J1972" s="26" t="n"/>
      <c r="K1972" s="20" t="n">
        <v>60</v>
      </c>
      <c r="L1972" s="5" t="inlineStr">
        <is>
          <t>SFST81000050</t>
        </is>
      </c>
      <c r="M1972" s="7" t="inlineStr">
        <is>
          <t>Cooling machine for PD line</t>
        </is>
      </c>
      <c r="N1972" s="7" t="inlineStr">
        <is>
          <t>Cooling  part</t>
        </is>
      </c>
      <c r="O1972" s="11" t="n">
        <v>5</v>
      </c>
      <c r="P1972" s="10" t="inlineStr">
        <is>
          <t>DANFOSS Shut-off ball valve Model: GBC 18s size 3/4" code 009L7024</t>
        </is>
      </c>
      <c r="Q1972" s="277" t="n">
        <v>2</v>
      </c>
      <c r="R1972" s="5" t="inlineStr">
        <is>
          <t>PCS.</t>
        </is>
      </c>
      <c r="S1972" s="284">
        <f>RawDataGenPO[[#This Row],[Total price]]/RawDataGenPO[[#This Row],[Qty'']]</f>
        <v/>
      </c>
      <c r="T1972" s="278" t="n">
        <v>1752</v>
      </c>
      <c r="U1972" s="291" t="n"/>
      <c r="V1972" s="7" t="inlineStr">
        <is>
          <t>V1000310 - BOONBAWORN ENGINEERING CO., LTD</t>
        </is>
      </c>
      <c r="W1972" s="30" t="inlineStr">
        <is>
          <t>Recive bill and GRN already</t>
        </is>
      </c>
      <c r="X1972" s="5" t="inlineStr">
        <is>
          <t>GRN2526-0008475</t>
        </is>
      </c>
      <c r="Y1972" s="3" t="n">
        <v>46083</v>
      </c>
      <c r="Z1972" s="23" t="n"/>
      <c r="AA1972" s="17">
        <f>IF(RawDataGenPO[[#This Row],[Date Gen PO]]="","",RawDataGenPO[[#This Row],[Date recive bill]]-RawDataGenPO[[#This Row],[Date Gen PO]])</f>
        <v/>
      </c>
      <c r="AB1972" s="16">
        <f>IF(RawDataGenPO[[#This Row],[GRN-PO date]]&gt;RawDataGenPO[[#This Row],[Lead time delivery (day)]],"over deliverry","Ontime")</f>
        <v/>
      </c>
      <c r="AC1972" s="22" t="n"/>
    </row>
    <row r="1973" ht="15" customHeight="1">
      <c r="A1973" s="5">
        <f>ROW()-ROW(RawDataGenPO[[#Headers],[No.]])</f>
        <v/>
      </c>
      <c r="B1973" s="29" t="inlineStr">
        <is>
          <t>Expent  cost</t>
        </is>
      </c>
      <c r="C1973" s="373" t="n"/>
      <c r="D1973" s="374" t="n"/>
      <c r="E1973" s="374" t="n"/>
      <c r="F1973" s="281" t="n">
        <v>46065</v>
      </c>
      <c r="G1973" s="5" t="inlineStr">
        <is>
          <t>PR2526-04814</t>
        </is>
      </c>
      <c r="H1973" s="5" t="inlineStr">
        <is>
          <t>PO2526-06745</t>
        </is>
      </c>
      <c r="I1973" s="286" t="n">
        <v>46071</v>
      </c>
      <c r="J1973" s="26" t="n"/>
      <c r="K1973" s="20" t="n">
        <v>60</v>
      </c>
      <c r="L1973" s="5" t="inlineStr">
        <is>
          <t>SFST81000050</t>
        </is>
      </c>
      <c r="M1973" s="7" t="inlineStr">
        <is>
          <t>Cooling machine for PD line</t>
        </is>
      </c>
      <c r="N1973" s="7" t="inlineStr">
        <is>
          <t>Cooling  part</t>
        </is>
      </c>
      <c r="O1973" s="11" t="n">
        <v>6</v>
      </c>
      <c r="P1973" s="10" t="inlineStr">
        <is>
          <t>DANFOSS Shut-off ball valve Model: GBC 22s 7/8" code 009L7025</t>
        </is>
      </c>
      <c r="Q1973" s="277" t="n">
        <v>2</v>
      </c>
      <c r="R1973" s="5" t="inlineStr">
        <is>
          <t>PCS.</t>
        </is>
      </c>
      <c r="S1973" s="284">
        <f>RawDataGenPO[[#This Row],[Total price]]/RawDataGenPO[[#This Row],[Qty'']]</f>
        <v/>
      </c>
      <c r="T1973" s="278" t="n">
        <v>1870</v>
      </c>
      <c r="U1973" s="291" t="n"/>
      <c r="V1973" s="7" t="inlineStr">
        <is>
          <t>V1000310 - BOONBAWORN ENGINEERING CO., LTD</t>
        </is>
      </c>
      <c r="W1973" s="30" t="inlineStr">
        <is>
          <t>Recive bill and GRN already</t>
        </is>
      </c>
      <c r="X1973" s="5" t="inlineStr">
        <is>
          <t>GRN2526-0008475</t>
        </is>
      </c>
      <c r="Y1973" s="3" t="n">
        <v>46083</v>
      </c>
      <c r="Z1973" s="23" t="n"/>
      <c r="AA1973" s="17">
        <f>IF(RawDataGenPO[[#This Row],[Date Gen PO]]="","",RawDataGenPO[[#This Row],[Date recive bill]]-RawDataGenPO[[#This Row],[Date Gen PO]])</f>
        <v/>
      </c>
      <c r="AB1973" s="16">
        <f>IF(RawDataGenPO[[#This Row],[GRN-PO date]]&gt;RawDataGenPO[[#This Row],[Lead time delivery (day)]],"over deliverry","Ontime")</f>
        <v/>
      </c>
      <c r="AC1973" s="22" t="n"/>
    </row>
    <row r="1974" ht="15" customHeight="1">
      <c r="A1974" s="5">
        <f>ROW()-ROW(RawDataGenPO[[#Headers],[No.]])</f>
        <v/>
      </c>
      <c r="B1974" s="29" t="inlineStr">
        <is>
          <t>Expent  cost</t>
        </is>
      </c>
      <c r="C1974" s="373" t="n"/>
      <c r="D1974" s="374" t="n"/>
      <c r="E1974" s="374" t="n"/>
      <c r="F1974" s="281" t="n">
        <v>46065</v>
      </c>
      <c r="G1974" s="5" t="inlineStr">
        <is>
          <t>PR2526-04814</t>
        </is>
      </c>
      <c r="H1974" s="5" t="inlineStr">
        <is>
          <t>PO2526-06745</t>
        </is>
      </c>
      <c r="I1974" s="286" t="n">
        <v>46071</v>
      </c>
      <c r="J1974" s="26" t="n"/>
      <c r="K1974" s="20" t="n">
        <v>60</v>
      </c>
      <c r="L1974" s="5" t="inlineStr">
        <is>
          <t>SFST81000050</t>
        </is>
      </c>
      <c r="M1974" s="7" t="inlineStr">
        <is>
          <t>Cooling machine for PD line</t>
        </is>
      </c>
      <c r="N1974" s="7" t="inlineStr">
        <is>
          <t>Cooling  part</t>
        </is>
      </c>
      <c r="O1974" s="11" t="n">
        <v>7</v>
      </c>
      <c r="P1974" s="10" t="inlineStr">
        <is>
          <t>DANFOSS Shut-off ball valve Model: GBC 28s 1-1/8" code 009L7026</t>
        </is>
      </c>
      <c r="Q1974" s="277" t="n">
        <v>2</v>
      </c>
      <c r="R1974" s="5" t="inlineStr">
        <is>
          <t>PCS.</t>
        </is>
      </c>
      <c r="S1974" s="284">
        <f>RawDataGenPO[[#This Row],[Total price]]/RawDataGenPO[[#This Row],[Qty'']]</f>
        <v/>
      </c>
      <c r="T1974" s="278" t="n">
        <v>3080</v>
      </c>
      <c r="U1974" s="291" t="n"/>
      <c r="V1974" s="7" t="inlineStr">
        <is>
          <t>V1000310 - BOONBAWORN ENGINEERING CO., LTD</t>
        </is>
      </c>
      <c r="W1974" s="30" t="inlineStr">
        <is>
          <t>Recive bill and GRN already</t>
        </is>
      </c>
      <c r="X1974" s="5" t="inlineStr">
        <is>
          <t>GRN2526-0008475</t>
        </is>
      </c>
      <c r="Y1974" s="3" t="n">
        <v>46083</v>
      </c>
      <c r="Z1974" s="23" t="n"/>
      <c r="AA1974" s="17">
        <f>IF(RawDataGenPO[[#This Row],[Date Gen PO]]="","",RawDataGenPO[[#This Row],[Date recive bill]]-RawDataGenPO[[#This Row],[Date Gen PO]])</f>
        <v/>
      </c>
      <c r="AB1974" s="16">
        <f>IF(RawDataGenPO[[#This Row],[GRN-PO date]]&gt;RawDataGenPO[[#This Row],[Lead time delivery (day)]],"over deliverry","Ontime")</f>
        <v/>
      </c>
      <c r="AC1974" s="22" t="n"/>
    </row>
    <row r="1975" ht="15" customHeight="1">
      <c r="A1975" s="5">
        <f>ROW()-ROW(RawDataGenPO[[#Headers],[No.]])</f>
        <v/>
      </c>
      <c r="B1975" s="29" t="inlineStr">
        <is>
          <t>Expent  cost</t>
        </is>
      </c>
      <c r="C1975" s="373" t="n"/>
      <c r="D1975" s="374" t="n"/>
      <c r="E1975" s="374" t="n"/>
      <c r="F1975" s="281" t="n">
        <v>46065</v>
      </c>
      <c r="G1975" s="5" t="inlineStr">
        <is>
          <t>PR2526-04814</t>
        </is>
      </c>
      <c r="H1975" s="5" t="inlineStr">
        <is>
          <t>PO2526-06745</t>
        </is>
      </c>
      <c r="I1975" s="286" t="n">
        <v>46071</v>
      </c>
      <c r="J1975" s="26" t="n"/>
      <c r="K1975" s="20" t="n">
        <v>60</v>
      </c>
      <c r="L1975" s="5" t="inlineStr">
        <is>
          <t>SFST81000050</t>
        </is>
      </c>
      <c r="M1975" s="7" t="inlineStr">
        <is>
          <t>Cooling machine for PD line</t>
        </is>
      </c>
      <c r="N1975" s="7" t="inlineStr">
        <is>
          <t>Cooling  part</t>
        </is>
      </c>
      <c r="O1975" s="11" t="n">
        <v>8</v>
      </c>
      <c r="P1975" s="10" t="inlineStr">
        <is>
          <t>DANFOSS Shut-off ball valve Model: GBC 35s 1-3/8" code 009L7027</t>
        </is>
      </c>
      <c r="Q1975" s="277" t="n">
        <v>2</v>
      </c>
      <c r="R1975" s="5" t="inlineStr">
        <is>
          <t>PCS.</t>
        </is>
      </c>
      <c r="S1975" s="284">
        <f>RawDataGenPO[[#This Row],[Total price]]/RawDataGenPO[[#This Row],[Qty'']]</f>
        <v/>
      </c>
      <c r="T1975" s="278" t="n">
        <v>5330</v>
      </c>
      <c r="U1975" s="291" t="n"/>
      <c r="V1975" s="7" t="inlineStr">
        <is>
          <t>V1000310 - BOONBAWORN ENGINEERING CO., LTD</t>
        </is>
      </c>
      <c r="W1975" s="30" t="inlineStr">
        <is>
          <t>Recive bill and GRN already</t>
        </is>
      </c>
      <c r="X1975" s="5" t="inlineStr">
        <is>
          <t>GRN2526-0008475</t>
        </is>
      </c>
      <c r="Y1975" s="3" t="n">
        <v>46083</v>
      </c>
      <c r="Z1975" s="23" t="n"/>
      <c r="AA1975" s="17">
        <f>IF(RawDataGenPO[[#This Row],[Date Gen PO]]="","",RawDataGenPO[[#This Row],[Date recive bill]]-RawDataGenPO[[#This Row],[Date Gen PO]])</f>
        <v/>
      </c>
      <c r="AB1975" s="16">
        <f>IF(RawDataGenPO[[#This Row],[GRN-PO date]]&gt;RawDataGenPO[[#This Row],[Lead time delivery (day)]],"over deliverry","Ontime")</f>
        <v/>
      </c>
      <c r="AC1975" s="22" t="n"/>
    </row>
    <row r="1976" ht="15" customHeight="1">
      <c r="A1976" s="5">
        <f>ROW()-ROW(RawDataGenPO[[#Headers],[No.]])</f>
        <v/>
      </c>
      <c r="B1976" s="29" t="inlineStr">
        <is>
          <t>Expent  cost</t>
        </is>
      </c>
      <c r="C1976" s="373" t="n"/>
      <c r="D1976" s="374" t="n"/>
      <c r="E1976" s="374" t="n"/>
      <c r="F1976" s="281" t="n">
        <v>46065</v>
      </c>
      <c r="G1976" s="5" t="inlineStr">
        <is>
          <t>PR2526-04814</t>
        </is>
      </c>
      <c r="H1976" s="5" t="inlineStr">
        <is>
          <t>PO2526-06745</t>
        </is>
      </c>
      <c r="I1976" s="286" t="n">
        <v>46071</v>
      </c>
      <c r="J1976" s="26" t="n"/>
      <c r="K1976" s="20" t="n">
        <v>60</v>
      </c>
      <c r="L1976" s="5" t="inlineStr">
        <is>
          <t>SFST81000050</t>
        </is>
      </c>
      <c r="M1976" s="7" t="inlineStr">
        <is>
          <t>Cooling machine for PD line</t>
        </is>
      </c>
      <c r="N1976" s="7" t="inlineStr">
        <is>
          <t>Cooling  part</t>
        </is>
      </c>
      <c r="O1976" s="11" t="n">
        <v>9</v>
      </c>
      <c r="P1976" s="10" t="inlineStr">
        <is>
          <t>DANFOSS Shut-off ball valve Model: GBC 42s 1-5/8" code 009L7028</t>
        </is>
      </c>
      <c r="Q1976" s="277" t="n">
        <v>2</v>
      </c>
      <c r="R1976" s="5" t="inlineStr">
        <is>
          <t>PCS.</t>
        </is>
      </c>
      <c r="S1976" s="284">
        <f>RawDataGenPO[[#This Row],[Total price]]/RawDataGenPO[[#This Row],[Qty'']]</f>
        <v/>
      </c>
      <c r="T1976" s="278" t="n">
        <v>5934</v>
      </c>
      <c r="U1976" s="291" t="n"/>
      <c r="V1976" s="7" t="inlineStr">
        <is>
          <t>V1000310 - BOONBAWORN ENGINEERING CO., LTD</t>
        </is>
      </c>
      <c r="W1976" s="30" t="inlineStr">
        <is>
          <t>Recive bill and GRN already</t>
        </is>
      </c>
      <c r="X1976" s="5" t="inlineStr">
        <is>
          <t>GRN2526-0008475</t>
        </is>
      </c>
      <c r="Y1976" s="3" t="n">
        <v>46083</v>
      </c>
      <c r="Z1976" s="23" t="n"/>
      <c r="AA1976" s="17">
        <f>IF(RawDataGenPO[[#This Row],[Date Gen PO]]="","",RawDataGenPO[[#This Row],[Date recive bill]]-RawDataGenPO[[#This Row],[Date Gen PO]])</f>
        <v/>
      </c>
      <c r="AB1976" s="16">
        <f>IF(RawDataGenPO[[#This Row],[GRN-PO date]]&gt;RawDataGenPO[[#This Row],[Lead time delivery (day)]],"over deliverry","Ontime")</f>
        <v/>
      </c>
      <c r="AC1976" s="22" t="n"/>
    </row>
    <row r="1977" ht="15" customHeight="1">
      <c r="A1977" s="5">
        <f>ROW()-ROW(RawDataGenPO[[#Headers],[No.]])</f>
        <v/>
      </c>
      <c r="B1977" s="29" t="inlineStr">
        <is>
          <t>Expent  cost</t>
        </is>
      </c>
      <c r="C1977" s="373" t="n"/>
      <c r="D1977" s="374" t="n"/>
      <c r="E1977" s="374" t="n"/>
      <c r="F1977" s="281" t="n">
        <v>46070</v>
      </c>
      <c r="G1977" s="5" t="inlineStr">
        <is>
          <t>PR2526-04848</t>
        </is>
      </c>
      <c r="H1977" s="31" t="inlineStr">
        <is>
          <t>PO2526-06949</t>
        </is>
      </c>
      <c r="I1977" s="286" t="n">
        <v>46080</v>
      </c>
      <c r="J1977" s="26" t="n"/>
      <c r="K1977" s="20" t="n">
        <v>60</v>
      </c>
      <c r="L1977" s="5" t="inlineStr">
        <is>
          <t>SFST81000050</t>
        </is>
      </c>
      <c r="M1977" s="7" t="inlineStr">
        <is>
          <t>Cooling machine for PD line</t>
        </is>
      </c>
      <c r="N1977" s="7" t="inlineStr">
        <is>
          <t>Cooling  part</t>
        </is>
      </c>
      <c r="O1977" s="11" t="n">
        <v>1</v>
      </c>
      <c r="P1977" s="10" t="inlineStr">
        <is>
          <t>EWPA050,4-20mA, 0-50 Bar, 1/4"Male</t>
        </is>
      </c>
      <c r="Q1977" s="277" t="n">
        <v>3</v>
      </c>
      <c r="R1977" s="5" t="inlineStr">
        <is>
          <t>PCS.</t>
        </is>
      </c>
      <c r="S1977" s="284">
        <f>RawDataGenPO[[#This Row],[Total price]]/RawDataGenPO[[#This Row],[Qty'']]</f>
        <v/>
      </c>
      <c r="T1977" s="278" t="n">
        <v>20910</v>
      </c>
      <c r="U1977" s="291" t="n"/>
      <c r="V1977" s="7" t="inlineStr">
        <is>
          <t>V1001028 - Supreme Lines CO., LTD.</t>
        </is>
      </c>
      <c r="W1977" s="30" t="inlineStr">
        <is>
          <t>Recive bill and GRN already</t>
        </is>
      </c>
      <c r="X1977" s="5" t="inlineStr">
        <is>
          <t>GRN2526-0009206</t>
        </is>
      </c>
      <c r="Y1977" s="3" t="n">
        <v>46100</v>
      </c>
      <c r="Z1977" s="23" t="n"/>
      <c r="AA1977" s="17">
        <f>IF(RawDataGenPO[[#This Row],[Date Gen PO]]="","",RawDataGenPO[[#This Row],[Date recive bill]]-RawDataGenPO[[#This Row],[Date Gen PO]])</f>
        <v/>
      </c>
      <c r="AB1977" s="16">
        <f>IF(RawDataGenPO[[#This Row],[GRN-PO date]]&gt;RawDataGenPO[[#This Row],[Lead time delivery (day)]],"over deliverry","Ontime")</f>
        <v/>
      </c>
      <c r="AC1977" s="22" t="n"/>
    </row>
    <row r="1978" ht="30" customHeight="1">
      <c r="A1978" s="5">
        <f>ROW()-ROW(RawDataGenPO[[#Headers],[No.]])</f>
        <v/>
      </c>
      <c r="B1978" s="29" t="inlineStr">
        <is>
          <t>Expent  cost</t>
        </is>
      </c>
      <c r="C1978" s="373" t="n"/>
      <c r="D1978" s="374" t="n"/>
      <c r="E1978" s="374" t="n"/>
      <c r="F1978" s="281" t="n">
        <v>46072</v>
      </c>
      <c r="G1978" s="5" t="inlineStr">
        <is>
          <t>PR2526-04927</t>
        </is>
      </c>
      <c r="H1978" s="5" t="inlineStr">
        <is>
          <t xml:space="preserve">PO2526-06950 </t>
        </is>
      </c>
      <c r="I1978" s="286" t="n">
        <v>46080</v>
      </c>
      <c r="J1978" s="26" t="n"/>
      <c r="K1978" s="20" t="n">
        <v>30</v>
      </c>
      <c r="L1978" s="5" t="inlineStr">
        <is>
          <t>SFST81000048</t>
        </is>
      </c>
      <c r="M1978" s="7" t="inlineStr">
        <is>
          <t>PD Machine</t>
        </is>
      </c>
      <c r="N1978" s="7" t="inlineStr">
        <is>
          <t>Vacuum Tumbler large No.3</t>
        </is>
      </c>
      <c r="O1978" s="11" t="n">
        <v>1</v>
      </c>
      <c r="P1978" s="10" t="inlineStr">
        <is>
          <t>Service chargeinletWmachine Tumbler MA-500PS issue systemWmnotwork (daym)</t>
        </is>
      </c>
      <c r="Q1978" s="277" t="n">
        <v>1</v>
      </c>
      <c r="R1978" s="5" t="inlineStr">
        <is>
          <t>JOB.</t>
        </is>
      </c>
      <c r="S1978" s="284">
        <f>RawDataGenPO[[#This Row],[Total price]]/RawDataGenPO[[#This Row],[Qty'']]</f>
        <v/>
      </c>
      <c r="T1978" s="278" t="n">
        <v>4400</v>
      </c>
      <c r="U1978" s="291" t="n"/>
      <c r="V1978" s="7" t="inlineStr">
        <is>
          <t>V1000666 - HITEC FOOD EQUIPMENT CO.,LTD.</t>
        </is>
      </c>
      <c r="W1978" s="30" t="inlineStr">
        <is>
          <t>Recive bill and GRN already</t>
        </is>
      </c>
      <c r="X1978" s="5" t="inlineStr">
        <is>
          <t>GRN2526-0008857</t>
        </is>
      </c>
      <c r="Y1978" s="3" t="n">
        <v>46091</v>
      </c>
      <c r="Z1978" s="23" t="n"/>
      <c r="AA1978" s="17">
        <f>IF(RawDataGenPO[[#This Row],[Date Gen PO]]="","",RawDataGenPO[[#This Row],[Date recive bill]]-RawDataGenPO[[#This Row],[Date Gen PO]])</f>
        <v/>
      </c>
      <c r="AB1978" s="16">
        <f>IF(RawDataGenPO[[#This Row],[GRN-PO date]]&gt;RawDataGenPO[[#This Row],[Lead time delivery (day)]],"over deliverry","Ontime")</f>
        <v/>
      </c>
      <c r="AC1978" s="22" t="n"/>
    </row>
    <row r="1979" ht="15" customHeight="1">
      <c r="A1979" s="5">
        <f>ROW()-ROW(RawDataGenPO[[#Headers],[No.]])</f>
        <v/>
      </c>
      <c r="B1979" s="29" t="inlineStr">
        <is>
          <t>Expent  cost</t>
        </is>
      </c>
      <c r="C1979" s="373" t="n"/>
      <c r="D1979" s="374" t="n"/>
      <c r="E1979" s="374" t="n"/>
      <c r="F1979" s="281" t="n">
        <v>46076</v>
      </c>
      <c r="G1979" s="5" t="inlineStr">
        <is>
          <t>PR2526-04960</t>
        </is>
      </c>
      <c r="H1979" s="5" t="inlineStr">
        <is>
          <t>PO2526-06952</t>
        </is>
      </c>
      <c r="I1979" s="286" t="n">
        <v>46080</v>
      </c>
      <c r="J1979" s="26" t="n"/>
      <c r="K1979" s="20" t="n">
        <v>30</v>
      </c>
      <c r="L1979" s="5" t="inlineStr">
        <is>
          <t>SFST34000054</t>
        </is>
      </c>
      <c r="M1979" s="7" t="inlineStr">
        <is>
          <t>Refrigerant-oil for cooling M/C</t>
        </is>
      </c>
      <c r="N1979" s="7" t="inlineStr">
        <is>
          <t>Refrigerant</t>
        </is>
      </c>
      <c r="O1979" s="11" t="n">
        <v>1</v>
      </c>
      <c r="P1979" s="10" t="inlineStr">
        <is>
          <t>R507 Refrigerant,(1 Tank 11.3 kg/Tank)</t>
        </is>
      </c>
      <c r="Q1979" s="277" t="n">
        <v>25</v>
      </c>
      <c r="R1979" s="5" t="inlineStr">
        <is>
          <t>DRUM.</t>
        </is>
      </c>
      <c r="S1979" s="284">
        <f>RawDataGenPO[[#This Row],[Total price]]/RawDataGenPO[[#This Row],[Qty'']]</f>
        <v/>
      </c>
      <c r="T1979" s="278" t="n">
        <v>73250</v>
      </c>
      <c r="U1979" s="291" t="n"/>
      <c r="V1979" s="7" t="inlineStr">
        <is>
          <t>V1000271 - 395 Shop Limited Partnership</t>
        </is>
      </c>
      <c r="W1979" s="30" t="inlineStr">
        <is>
          <t>Recive bill and GRN already</t>
        </is>
      </c>
      <c r="X1979" s="5" t="inlineStr">
        <is>
          <t>GRN2526-0008645</t>
        </is>
      </c>
      <c r="Y1979" s="3" t="n">
        <v>46085</v>
      </c>
      <c r="Z1979" s="23" t="n"/>
      <c r="AA1979" s="17">
        <f>IF(RawDataGenPO[[#This Row],[Date Gen PO]]="","",RawDataGenPO[[#This Row],[Date recive bill]]-RawDataGenPO[[#This Row],[Date Gen PO]])</f>
        <v/>
      </c>
      <c r="AB1979" s="16">
        <f>IF(RawDataGenPO[[#This Row],[GRN-PO date]]&gt;RawDataGenPO[[#This Row],[Lead time delivery (day)]],"over deliverry","Ontime")</f>
        <v/>
      </c>
      <c r="AC1979" s="22" t="n"/>
    </row>
    <row r="1980" ht="15" customHeight="1">
      <c r="A1980" s="5">
        <f>ROW()-ROW(RawDataGenPO[[#Headers],[No.]])</f>
        <v/>
      </c>
      <c r="B1980" s="29" t="inlineStr">
        <is>
          <t>Expent  cost</t>
        </is>
      </c>
      <c r="C1980" s="373" t="n"/>
      <c r="D1980" s="374" t="n"/>
      <c r="E1980" s="374" t="n"/>
      <c r="F1980" s="281" t="n">
        <v>46076</v>
      </c>
      <c r="G1980" s="5" t="inlineStr">
        <is>
          <t>PR2526-04961</t>
        </is>
      </c>
      <c r="H1980" s="5" t="inlineStr">
        <is>
          <t>PO2526-06953</t>
        </is>
      </c>
      <c r="I1980" s="286" t="n">
        <v>46080</v>
      </c>
      <c r="J1980" s="26" t="n"/>
      <c r="K1980" s="20" t="n">
        <v>60</v>
      </c>
      <c r="L1980" s="5" t="inlineStr">
        <is>
          <t>SFST81000050</t>
        </is>
      </c>
      <c r="M1980" s="7" t="inlineStr">
        <is>
          <t>Machanical part</t>
        </is>
      </c>
      <c r="N1980" s="7" t="inlineStr">
        <is>
          <t>Machine Spare part</t>
        </is>
      </c>
      <c r="O1980" s="11" t="n">
        <v>1</v>
      </c>
      <c r="P1980" s="10" t="inlineStr">
        <is>
          <t>setpiecem Sharp model EMC-15 6 piecem 12</t>
        </is>
      </c>
      <c r="Q1980" s="277" t="n">
        <v>6</v>
      </c>
      <c r="R1980" s="5" t="inlineStr">
        <is>
          <t>PCS.</t>
        </is>
      </c>
      <c r="S1980" s="284">
        <f>RawDataGenPO[[#This Row],[Total price]]/RawDataGenPO[[#This Row],[Qty'']]</f>
        <v/>
      </c>
      <c r="T1980" s="278" t="n">
        <v>2670</v>
      </c>
      <c r="U1980" s="291" t="n"/>
      <c r="V1980" s="7" t="inlineStr">
        <is>
          <t>V1000259 - JJP SUPPLY CO., LTD</t>
        </is>
      </c>
      <c r="W1980" s="30" t="inlineStr">
        <is>
          <t>Recive bill and GRN already</t>
        </is>
      </c>
      <c r="X1980" s="5" t="inlineStr">
        <is>
          <t>GRN2526-0008714</t>
        </is>
      </c>
      <c r="Y1980" s="3" t="n">
        <v>46087</v>
      </c>
      <c r="Z1980" s="23" t="n"/>
      <c r="AA1980" s="17">
        <f>IF(RawDataGenPO[[#This Row],[Date Gen PO]]="","",RawDataGenPO[[#This Row],[Date recive bill]]-RawDataGenPO[[#This Row],[Date Gen PO]])</f>
        <v/>
      </c>
      <c r="AB1980" s="16">
        <f>IF(RawDataGenPO[[#This Row],[GRN-PO date]]&gt;RawDataGenPO[[#This Row],[Lead time delivery (day)]],"over deliverry","Ontime")</f>
        <v/>
      </c>
      <c r="AC1980" s="22" t="n"/>
    </row>
    <row r="1981" ht="15" customHeight="1">
      <c r="A1981" s="5">
        <f>ROW()-ROW(RawDataGenPO[[#Headers],[No.]])</f>
        <v/>
      </c>
      <c r="B1981" s="29" t="inlineStr">
        <is>
          <t>Expent  cost</t>
        </is>
      </c>
      <c r="C1981" s="373" t="n"/>
      <c r="D1981" s="374" t="n"/>
      <c r="E1981" s="374" t="n"/>
      <c r="F1981" s="281" t="n">
        <v>46076</v>
      </c>
      <c r="G1981" s="5" t="inlineStr">
        <is>
          <t>PR2526-04961</t>
        </is>
      </c>
      <c r="H1981" s="5" t="inlineStr">
        <is>
          <t>PO2526-06953</t>
        </is>
      </c>
      <c r="I1981" s="286" t="n">
        <v>46080</v>
      </c>
      <c r="J1981" s="26" t="n"/>
      <c r="K1981" s="20" t="n">
        <v>60</v>
      </c>
      <c r="L1981" s="5" t="inlineStr">
        <is>
          <t>SFST81000050</t>
        </is>
      </c>
      <c r="M1981" s="7" t="inlineStr">
        <is>
          <t>Machanical part</t>
        </is>
      </c>
      <c r="N1981" s="7" t="inlineStr">
        <is>
          <t>Machine Spare part</t>
        </is>
      </c>
      <c r="O1981" s="11" t="n">
        <v>2</v>
      </c>
      <c r="P1981" s="10" t="inlineStr">
        <is>
          <t>machine Sharp model EMC-15</t>
        </is>
      </c>
      <c r="Q1981" s="277" t="n">
        <v>6</v>
      </c>
      <c r="R1981" s="5" t="inlineStr">
        <is>
          <t>PCS.</t>
        </is>
      </c>
      <c r="S1981" s="284">
        <f>RawDataGenPO[[#This Row],[Total price]]/RawDataGenPO[[#This Row],[Qty'']]</f>
        <v/>
      </c>
      <c r="T1981" s="278" t="n">
        <v>900</v>
      </c>
      <c r="U1981" s="291" t="n"/>
      <c r="V1981" s="7" t="inlineStr">
        <is>
          <t>V1000259 - JJP SUPPLY CO., LTD</t>
        </is>
      </c>
      <c r="W1981" s="30" t="inlineStr">
        <is>
          <t>Recive bill and GRN already</t>
        </is>
      </c>
      <c r="X1981" s="5" t="inlineStr">
        <is>
          <t>GRN2526-0008714</t>
        </is>
      </c>
      <c r="Y1981" s="3" t="n">
        <v>46087</v>
      </c>
      <c r="Z1981" s="23" t="n"/>
      <c r="AA1981" s="17">
        <f>IF(RawDataGenPO[[#This Row],[Date Gen PO]]="","",RawDataGenPO[[#This Row],[Date recive bill]]-RawDataGenPO[[#This Row],[Date Gen PO]])</f>
        <v/>
      </c>
      <c r="AB1981" s="16">
        <f>IF(RawDataGenPO[[#This Row],[GRN-PO date]]&gt;RawDataGenPO[[#This Row],[Lead time delivery (day)]],"over deliverry","Ontime")</f>
        <v/>
      </c>
      <c r="AC1981" s="22" t="n"/>
    </row>
    <row r="1982" ht="15" customHeight="1">
      <c r="A1982" s="5">
        <f>ROW()-ROW(RawDataGenPO[[#Headers],[No.]])</f>
        <v/>
      </c>
      <c r="B1982" s="29" t="inlineStr">
        <is>
          <t>Expent  cost</t>
        </is>
      </c>
      <c r="C1982" s="373" t="n"/>
      <c r="D1982" s="374" t="n"/>
      <c r="E1982" s="374" t="n"/>
      <c r="F1982" s="281" t="n">
        <v>46076</v>
      </c>
      <c r="G1982" s="5" t="inlineStr">
        <is>
          <t>PR2526-04961</t>
        </is>
      </c>
      <c r="H1982" s="5" t="inlineStr">
        <is>
          <t>PO2526-06953</t>
        </is>
      </c>
      <c r="I1982" s="286" t="n">
        <v>46080</v>
      </c>
      <c r="J1982" s="26" t="n"/>
      <c r="K1982" s="20" t="n">
        <v>60</v>
      </c>
      <c r="L1982" s="5" t="inlineStr">
        <is>
          <t>SFST81000050</t>
        </is>
      </c>
      <c r="M1982" s="7" t="inlineStr">
        <is>
          <t>Machanical part</t>
        </is>
      </c>
      <c r="N1982" s="7" t="inlineStr">
        <is>
          <t>Machine Spare part</t>
        </is>
      </c>
      <c r="O1982" s="11" t="n">
        <v>3</v>
      </c>
      <c r="P1982" s="10" t="inlineStr">
        <is>
          <t>mWmachine Sharp model EMC-15</t>
        </is>
      </c>
      <c r="Q1982" s="277" t="n">
        <v>6</v>
      </c>
      <c r="R1982" s="5" t="inlineStr">
        <is>
          <t>PCS.</t>
        </is>
      </c>
      <c r="S1982" s="284">
        <f>RawDataGenPO[[#This Row],[Total price]]/RawDataGenPO[[#This Row],[Qty'']]</f>
        <v/>
      </c>
      <c r="T1982" s="278" t="n">
        <v>750</v>
      </c>
      <c r="U1982" s="291" t="n"/>
      <c r="V1982" s="7" t="inlineStr">
        <is>
          <t>V1000259 - JJP SUPPLY CO., LTD</t>
        </is>
      </c>
      <c r="W1982" s="30" t="inlineStr">
        <is>
          <t>Recive bill and GRN already</t>
        </is>
      </c>
      <c r="X1982" s="5" t="inlineStr">
        <is>
          <t>GRN2526-0008714</t>
        </is>
      </c>
      <c r="Y1982" s="3" t="n">
        <v>46087</v>
      </c>
      <c r="Z1982" s="23" t="n"/>
      <c r="AA1982" s="17">
        <f>IF(RawDataGenPO[[#This Row],[Date Gen PO]]="","",RawDataGenPO[[#This Row],[Date recive bill]]-RawDataGenPO[[#This Row],[Date Gen PO]])</f>
        <v/>
      </c>
      <c r="AB1982" s="16">
        <f>IF(RawDataGenPO[[#This Row],[GRN-PO date]]&gt;RawDataGenPO[[#This Row],[Lead time delivery (day)]],"over deliverry","Ontime")</f>
        <v/>
      </c>
      <c r="AC1982" s="22" t="n"/>
    </row>
    <row r="1983" ht="15" customHeight="1">
      <c r="A1983" s="5">
        <f>ROW()-ROW(RawDataGenPO[[#Headers],[No.]])</f>
        <v/>
      </c>
      <c r="B1983" s="29" t="inlineStr">
        <is>
          <t>Expent  cost</t>
        </is>
      </c>
      <c r="C1983" s="373" t="n"/>
      <c r="D1983" s="374" t="n"/>
      <c r="E1983" s="374" t="n"/>
      <c r="F1983" s="281" t="n">
        <v>46076</v>
      </c>
      <c r="G1983" s="5" t="inlineStr">
        <is>
          <t>PR2526-04967</t>
        </is>
      </c>
      <c r="H1983" s="5" t="inlineStr">
        <is>
          <t>PO2526-06979</t>
        </is>
      </c>
      <c r="I1983" s="286" t="n">
        <v>46083</v>
      </c>
      <c r="J1983" s="26" t="n"/>
      <c r="K1983" s="20" t="n">
        <v>60</v>
      </c>
      <c r="L1983" s="5" t="inlineStr">
        <is>
          <t>SFST81000050</t>
        </is>
      </c>
      <c r="M1983" s="7" t="inlineStr">
        <is>
          <t>Machanical part</t>
        </is>
      </c>
      <c r="N1983" s="7" t="inlineStr">
        <is>
          <t>Machine Spare part</t>
        </is>
      </c>
      <c r="O1983" s="11" t="n">
        <v>1</v>
      </c>
      <c r="P1983" s="10" t="inlineStr">
        <is>
          <t>Mini Steel Hook 9912</t>
        </is>
      </c>
      <c r="Q1983" s="277" t="n">
        <v>8</v>
      </c>
      <c r="R1983" s="5" t="inlineStr">
        <is>
          <t>PCS.</t>
        </is>
      </c>
      <c r="S1983" s="284">
        <f>RawDataGenPO[[#This Row],[Total price]]/RawDataGenPO[[#This Row],[Qty'']]</f>
        <v/>
      </c>
      <c r="T1983" s="278" t="n">
        <v>640</v>
      </c>
      <c r="U1983" s="291" t="n"/>
      <c r="V1983" s="7" t="inlineStr">
        <is>
          <t>V1001029 - CWT SMART DISPLAY CO.,LTD.</t>
        </is>
      </c>
      <c r="W1983" s="30" t="inlineStr">
        <is>
          <t>Recive bill and GRN already</t>
        </is>
      </c>
      <c r="X1983" s="5" t="inlineStr">
        <is>
          <t>GRN2526-0009205</t>
        </is>
      </c>
      <c r="Y1983" s="3" t="n">
        <v>46100</v>
      </c>
      <c r="Z1983" s="23" t="n"/>
      <c r="AA1983" s="17">
        <f>IF(RawDataGenPO[[#This Row],[Date Gen PO]]="","",RawDataGenPO[[#This Row],[Date recive bill]]-RawDataGenPO[[#This Row],[Date Gen PO]])</f>
        <v/>
      </c>
      <c r="AB1983" s="16">
        <f>IF(RawDataGenPO[[#This Row],[GRN-PO date]]&gt;RawDataGenPO[[#This Row],[Lead time delivery (day)]],"over deliverry","Ontime")</f>
        <v/>
      </c>
      <c r="AC1983" s="22" t="n"/>
    </row>
    <row r="1984" ht="15" customHeight="1">
      <c r="A1984" s="5">
        <f>ROW()-ROW(RawDataGenPO[[#Headers],[No.]])</f>
        <v/>
      </c>
      <c r="B1984" s="29" t="inlineStr">
        <is>
          <t>Expent  cost</t>
        </is>
      </c>
      <c r="C1984" s="373" t="n"/>
      <c r="D1984" s="374" t="n"/>
      <c r="E1984" s="374" t="n"/>
      <c r="F1984" s="281" t="n">
        <v>46076</v>
      </c>
      <c r="G1984" s="5" t="inlineStr">
        <is>
          <t>PR2526-04967</t>
        </is>
      </c>
      <c r="H1984" s="5" t="inlineStr">
        <is>
          <t>PO2526-06979</t>
        </is>
      </c>
      <c r="I1984" s="286" t="n">
        <v>46083</v>
      </c>
      <c r="J1984" s="26" t="n"/>
      <c r="K1984" s="20" t="n">
        <v>60</v>
      </c>
      <c r="L1984" s="5" t="inlineStr">
        <is>
          <t>SFST81000050</t>
        </is>
      </c>
      <c r="M1984" s="7" t="inlineStr">
        <is>
          <t>Machanical part</t>
        </is>
      </c>
      <c r="N1984" s="7" t="inlineStr">
        <is>
          <t>Machine Spare part</t>
        </is>
      </c>
      <c r="O1984" s="11" t="n">
        <v>2</v>
      </c>
      <c r="P1984" s="10" t="inlineStr">
        <is>
          <t>Mini Steel Hook 9913</t>
        </is>
      </c>
      <c r="Q1984" s="277" t="n">
        <v>80</v>
      </c>
      <c r="R1984" s="5" t="inlineStr">
        <is>
          <t>PCS.</t>
        </is>
      </c>
      <c r="S1984" s="284">
        <f>RawDataGenPO[[#This Row],[Total price]]/RawDataGenPO[[#This Row],[Qty'']]</f>
        <v/>
      </c>
      <c r="T1984" s="278" t="n">
        <v>1200</v>
      </c>
      <c r="U1984" s="291" t="n"/>
      <c r="V1984" s="7" t="inlineStr">
        <is>
          <t>V1001029 - CWT SMART DISPLAY CO.,LTD.</t>
        </is>
      </c>
      <c r="W1984" s="30" t="inlineStr">
        <is>
          <t>Recive bill and GRN already</t>
        </is>
      </c>
      <c r="X1984" s="5" t="inlineStr">
        <is>
          <t>GRN2526-0009205</t>
        </is>
      </c>
      <c r="Y1984" s="3" t="n">
        <v>46100</v>
      </c>
      <c r="Z1984" s="23" t="n"/>
      <c r="AA1984" s="17">
        <f>IF(RawDataGenPO[[#This Row],[Date Gen PO]]="","",RawDataGenPO[[#This Row],[Date recive bill]]-RawDataGenPO[[#This Row],[Date Gen PO]])</f>
        <v/>
      </c>
      <c r="AB1984" s="16">
        <f>IF(RawDataGenPO[[#This Row],[GRN-PO date]]&gt;RawDataGenPO[[#This Row],[Lead time delivery (day)]],"over deliverry","Ontime")</f>
        <v/>
      </c>
      <c r="AC1984" s="22" t="n"/>
    </row>
    <row r="1985" ht="15" customHeight="1">
      <c r="A1985" s="5">
        <f>ROW()-ROW(RawDataGenPO[[#Headers],[No.]])</f>
        <v/>
      </c>
      <c r="B1985" s="29" t="inlineStr">
        <is>
          <t>Expent  cost</t>
        </is>
      </c>
      <c r="C1985" s="373" t="n"/>
      <c r="D1985" s="374" t="n"/>
      <c r="E1985" s="374" t="n"/>
      <c r="F1985" s="281" t="n">
        <v>46076</v>
      </c>
      <c r="G1985" s="5" t="inlineStr">
        <is>
          <t>PR2526-04967</t>
        </is>
      </c>
      <c r="H1985" s="5" t="inlineStr">
        <is>
          <t>PO2526-06979</t>
        </is>
      </c>
      <c r="I1985" s="286" t="n">
        <v>46083</v>
      </c>
      <c r="J1985" s="26" t="n"/>
      <c r="K1985" s="20" t="n">
        <v>60</v>
      </c>
      <c r="L1985" s="5" t="inlineStr">
        <is>
          <t>SFST81000050</t>
        </is>
      </c>
      <c r="M1985" s="7" t="inlineStr">
        <is>
          <t>Machanical part</t>
        </is>
      </c>
      <c r="N1985" s="7" t="inlineStr">
        <is>
          <t>Machine Spare part</t>
        </is>
      </c>
      <c r="O1985" s="11" t="n">
        <v>3</v>
      </c>
      <c r="P1985" s="10" t="inlineStr">
        <is>
          <t>Mini Steel Hook 9917</t>
        </is>
      </c>
      <c r="Q1985" s="277" t="n">
        <v>80</v>
      </c>
      <c r="R1985" s="5" t="inlineStr">
        <is>
          <t>PCS.</t>
        </is>
      </c>
      <c r="S1985" s="284">
        <f>RawDataGenPO[[#This Row],[Total price]]/RawDataGenPO[[#This Row],[Qty'']]</f>
        <v/>
      </c>
      <c r="T1985" s="278" t="n">
        <v>880</v>
      </c>
      <c r="U1985" s="291" t="n"/>
      <c r="V1985" s="7" t="inlineStr">
        <is>
          <t>V1001029 - CWT SMART DISPLAY CO.,LTD.</t>
        </is>
      </c>
      <c r="W1985" s="30" t="inlineStr">
        <is>
          <t>Recive bill and GRN already</t>
        </is>
      </c>
      <c r="X1985" s="5" t="inlineStr">
        <is>
          <t>GRN2526-0009205</t>
        </is>
      </c>
      <c r="Y1985" s="3" t="n">
        <v>46100</v>
      </c>
      <c r="Z1985" s="23" t="n"/>
      <c r="AA1985" s="17">
        <f>IF(RawDataGenPO[[#This Row],[Date Gen PO]]="","",RawDataGenPO[[#This Row],[Date recive bill]]-RawDataGenPO[[#This Row],[Date Gen PO]])</f>
        <v/>
      </c>
      <c r="AB1985" s="16">
        <f>IF(RawDataGenPO[[#This Row],[GRN-PO date]]&gt;RawDataGenPO[[#This Row],[Lead time delivery (day)]],"over deliverry","Ontime")</f>
        <v/>
      </c>
      <c r="AC1985" s="22" t="n"/>
    </row>
    <row r="1986" ht="15" customHeight="1">
      <c r="A1986" s="5">
        <f>ROW()-ROW(RawDataGenPO[[#Headers],[No.]])</f>
        <v/>
      </c>
      <c r="B1986" s="29" t="inlineStr">
        <is>
          <t>Expent  cost</t>
        </is>
      </c>
      <c r="C1986" s="373" t="n"/>
      <c r="D1986" s="374" t="n"/>
      <c r="E1986" s="374" t="n"/>
      <c r="F1986" s="281" t="n">
        <v>46076</v>
      </c>
      <c r="G1986" s="5" t="inlineStr">
        <is>
          <t>PR2526-04967</t>
        </is>
      </c>
      <c r="H1986" s="5" t="inlineStr">
        <is>
          <t>PO2526-06979</t>
        </is>
      </c>
      <c r="I1986" s="286" t="n">
        <v>46083</v>
      </c>
      <c r="J1986" s="26" t="n"/>
      <c r="K1986" s="20" t="n">
        <v>60</v>
      </c>
      <c r="L1986" s="5" t="inlineStr">
        <is>
          <t>SFST81000050</t>
        </is>
      </c>
      <c r="M1986" s="7" t="inlineStr">
        <is>
          <t>Machanical part</t>
        </is>
      </c>
      <c r="N1986" s="7" t="inlineStr">
        <is>
          <t>Machine Spare part</t>
        </is>
      </c>
      <c r="O1986" s="11" t="n">
        <v>4</v>
      </c>
      <c r="P1986" s="10" t="inlineStr">
        <is>
          <t>plastic 8.5x7x5 cm PT36</t>
        </is>
      </c>
      <c r="Q1986" s="277" t="n">
        <v>8</v>
      </c>
      <c r="R1986" s="5" t="inlineStr">
        <is>
          <t>PCS.</t>
        </is>
      </c>
      <c r="S1986" s="284">
        <f>RawDataGenPO[[#This Row],[Total price]]/RawDataGenPO[[#This Row],[Qty'']]</f>
        <v/>
      </c>
      <c r="T1986" s="278" t="n">
        <v>240</v>
      </c>
      <c r="U1986" s="291" t="n"/>
      <c r="V1986" s="7" t="inlineStr">
        <is>
          <t>V1001029 - CWT SMART DISPLAY CO.,LTD.</t>
        </is>
      </c>
      <c r="W1986" s="30" t="inlineStr">
        <is>
          <t>Recive bill and GRN already</t>
        </is>
      </c>
      <c r="X1986" s="5" t="inlineStr">
        <is>
          <t>GRN2526-0009205</t>
        </is>
      </c>
      <c r="Y1986" s="3" t="n">
        <v>46100</v>
      </c>
      <c r="Z1986" s="23" t="n"/>
      <c r="AA1986" s="17">
        <f>IF(RawDataGenPO[[#This Row],[Date Gen PO]]="","",RawDataGenPO[[#This Row],[Date recive bill]]-RawDataGenPO[[#This Row],[Date Gen PO]])</f>
        <v/>
      </c>
      <c r="AB1986" s="16">
        <f>IF(RawDataGenPO[[#This Row],[GRN-PO date]]&gt;RawDataGenPO[[#This Row],[Lead time delivery (day)]],"over deliverry","Ontime")</f>
        <v/>
      </c>
      <c r="AC1986" s="22" t="n"/>
    </row>
    <row r="1987" ht="15" customHeight="1">
      <c r="A1987" s="5">
        <f>ROW()-ROW(RawDataGenPO[[#Headers],[No.]])</f>
        <v/>
      </c>
      <c r="B1987" s="29" t="inlineStr">
        <is>
          <t>Expent  cost</t>
        </is>
      </c>
      <c r="C1987" s="373" t="n"/>
      <c r="D1987" s="374" t="n"/>
      <c r="E1987" s="374" t="n"/>
      <c r="F1987" s="281" t="n">
        <v>46076</v>
      </c>
      <c r="G1987" s="5" t="inlineStr">
        <is>
          <t>PR2526-04967</t>
        </is>
      </c>
      <c r="H1987" s="5" t="inlineStr">
        <is>
          <t>PO2526-06979</t>
        </is>
      </c>
      <c r="I1987" s="286" t="n">
        <v>46083</v>
      </c>
      <c r="J1987" s="26" t="n"/>
      <c r="K1987" s="20" t="n">
        <v>60</v>
      </c>
      <c r="L1987" s="5" t="inlineStr">
        <is>
          <t>SFST81000050</t>
        </is>
      </c>
      <c r="M1987" s="7" t="inlineStr">
        <is>
          <t>Machanical part</t>
        </is>
      </c>
      <c r="N1987" s="7" t="inlineStr">
        <is>
          <t>Machine Spare part</t>
        </is>
      </c>
      <c r="O1987" s="11" t="n">
        <v>5</v>
      </c>
      <c r="P1987" s="10" t="inlineStr">
        <is>
          <t>classW 0659 size 15x7x6.5 PT black</t>
        </is>
      </c>
      <c r="Q1987" s="277" t="n">
        <v>8</v>
      </c>
      <c r="R1987" s="5" t="inlineStr">
        <is>
          <t>PCS.</t>
        </is>
      </c>
      <c r="S1987" s="284">
        <f>RawDataGenPO[[#This Row],[Total price]]/RawDataGenPO[[#This Row],[Qty'']]</f>
        <v/>
      </c>
      <c r="T1987" s="278" t="n">
        <v>640</v>
      </c>
      <c r="U1987" s="291" t="n"/>
      <c r="V1987" s="7" t="inlineStr">
        <is>
          <t>V1001029 - CWT SMART DISPLAY CO.,LTD.</t>
        </is>
      </c>
      <c r="W1987" s="30" t="inlineStr">
        <is>
          <t>Recive bill and GRN already</t>
        </is>
      </c>
      <c r="X1987" s="5" t="inlineStr">
        <is>
          <t>GRN2526-0009205</t>
        </is>
      </c>
      <c r="Y1987" s="3" t="n">
        <v>46100</v>
      </c>
      <c r="Z1987" s="23" t="n"/>
      <c r="AA1987" s="17">
        <f>IF(RawDataGenPO[[#This Row],[Date Gen PO]]="","",RawDataGenPO[[#This Row],[Date recive bill]]-RawDataGenPO[[#This Row],[Date Gen PO]])</f>
        <v/>
      </c>
      <c r="AB1987" s="16">
        <f>IF(RawDataGenPO[[#This Row],[GRN-PO date]]&gt;RawDataGenPO[[#This Row],[Lead time delivery (day)]],"over deliverry","Ontime")</f>
        <v/>
      </c>
      <c r="AC1987" s="22" t="n"/>
    </row>
    <row r="1988" ht="15" customHeight="1">
      <c r="A1988" s="5">
        <f>ROW()-ROW(RawDataGenPO[[#Headers],[No.]])</f>
        <v/>
      </c>
      <c r="B1988" s="29" t="inlineStr">
        <is>
          <t>Expent  cost</t>
        </is>
      </c>
      <c r="C1988" s="373" t="n"/>
      <c r="D1988" s="374" t="n"/>
      <c r="E1988" s="374" t="n"/>
      <c r="F1988" s="281" t="n">
        <v>46076</v>
      </c>
      <c r="G1988" s="5" t="inlineStr">
        <is>
          <t>PR2526-04967</t>
        </is>
      </c>
      <c r="H1988" s="5" t="inlineStr">
        <is>
          <t>PO2526-06979</t>
        </is>
      </c>
      <c r="I1988" s="286" t="n">
        <v>46083</v>
      </c>
      <c r="J1988" s="26" t="n"/>
      <c r="K1988" s="20" t="n">
        <v>60</v>
      </c>
      <c r="L1988" s="5" t="inlineStr">
        <is>
          <t>SFST81000050</t>
        </is>
      </c>
      <c r="M1988" s="7" t="inlineStr">
        <is>
          <t>Machanical part</t>
        </is>
      </c>
      <c r="N1988" s="7" t="inlineStr">
        <is>
          <t>Machine Spare part</t>
        </is>
      </c>
      <c r="O1988" s="11" t="n">
        <v>6</v>
      </c>
      <c r="P1988" s="10" t="inlineStr">
        <is>
          <t>classW 0660 size 20x15 PT black</t>
        </is>
      </c>
      <c r="Q1988" s="277" t="n">
        <v>8</v>
      </c>
      <c r="R1988" s="5" t="inlineStr">
        <is>
          <t>PCS.</t>
        </is>
      </c>
      <c r="S1988" s="284">
        <f>RawDataGenPO[[#This Row],[Total price]]/RawDataGenPO[[#This Row],[Qty'']]</f>
        <v/>
      </c>
      <c r="T1988" s="278" t="n">
        <v>960</v>
      </c>
      <c r="U1988" s="291" t="n"/>
      <c r="V1988" s="7" t="inlineStr">
        <is>
          <t>V1001029 - CWT SMART DISPLAY CO.,LTD.</t>
        </is>
      </c>
      <c r="W1988" s="30" t="inlineStr">
        <is>
          <t>Recive bill and GRN already</t>
        </is>
      </c>
      <c r="X1988" s="5" t="inlineStr">
        <is>
          <t>GRN2526-0009205</t>
        </is>
      </c>
      <c r="Y1988" s="3" t="n">
        <v>46100</v>
      </c>
      <c r="Z1988" s="23" t="n"/>
      <c r="AA1988" s="17">
        <f>IF(RawDataGenPO[[#This Row],[Date Gen PO]]="","",RawDataGenPO[[#This Row],[Date recive bill]]-RawDataGenPO[[#This Row],[Date Gen PO]])</f>
        <v/>
      </c>
      <c r="AB1988" s="16">
        <f>IF(RawDataGenPO[[#This Row],[GRN-PO date]]&gt;RawDataGenPO[[#This Row],[Lead time delivery (day)]],"over deliverry","Ontime")</f>
        <v/>
      </c>
      <c r="AC1988" s="22" t="n"/>
    </row>
    <row r="1989" ht="15" customHeight="1">
      <c r="A1989" s="5">
        <f>ROW()-ROW(RawDataGenPO[[#Headers],[No.]])</f>
        <v/>
      </c>
      <c r="B1989" s="29" t="inlineStr">
        <is>
          <t>Expent  cost</t>
        </is>
      </c>
      <c r="C1989" s="373" t="n"/>
      <c r="D1989" s="374" t="n"/>
      <c r="E1989" s="374" t="n"/>
      <c r="F1989" s="281" t="n">
        <v>46076</v>
      </c>
      <c r="G1989" s="5" t="inlineStr">
        <is>
          <t>PR2526-04967</t>
        </is>
      </c>
      <c r="H1989" s="5" t="inlineStr">
        <is>
          <t>PO2526-06979</t>
        </is>
      </c>
      <c r="I1989" s="286" t="n">
        <v>46083</v>
      </c>
      <c r="J1989" s="26" t="n"/>
      <c r="K1989" s="20" t="n">
        <v>60</v>
      </c>
      <c r="L1989" s="5" t="inlineStr">
        <is>
          <t>SFST81000050</t>
        </is>
      </c>
      <c r="M1989" s="7" t="inlineStr">
        <is>
          <t>Machanical part</t>
        </is>
      </c>
      <c r="N1989" s="7" t="inlineStr">
        <is>
          <t>Machine Spare part</t>
        </is>
      </c>
      <c r="O1989" s="11" t="n">
        <v>7</v>
      </c>
      <c r="P1989" s="10" t="inlineStr">
        <is>
          <t>Mini Steel Hook 9901</t>
        </is>
      </c>
      <c r="Q1989" s="277" t="n">
        <v>80</v>
      </c>
      <c r="R1989" s="5" t="inlineStr">
        <is>
          <t>PCS.</t>
        </is>
      </c>
      <c r="S1989" s="284">
        <f>RawDataGenPO[[#This Row],[Total price]]/RawDataGenPO[[#This Row],[Qty'']]</f>
        <v/>
      </c>
      <c r="T1989" s="278" t="n">
        <v>720</v>
      </c>
      <c r="U1989" s="291" t="n"/>
      <c r="V1989" s="7" t="inlineStr">
        <is>
          <t>V1001029 - CWT SMART DISPLAY CO.,LTD.</t>
        </is>
      </c>
      <c r="W1989" s="30" t="inlineStr">
        <is>
          <t>Recive bill and GRN already</t>
        </is>
      </c>
      <c r="X1989" s="5" t="inlineStr">
        <is>
          <t>GRN2526-0009205</t>
        </is>
      </c>
      <c r="Y1989" s="3" t="n">
        <v>46100</v>
      </c>
      <c r="Z1989" s="23" t="n"/>
      <c r="AA1989" s="17">
        <f>IF(RawDataGenPO[[#This Row],[Date Gen PO]]="","",RawDataGenPO[[#This Row],[Date recive bill]]-RawDataGenPO[[#This Row],[Date Gen PO]])</f>
        <v/>
      </c>
      <c r="AB1989" s="16">
        <f>IF(RawDataGenPO[[#This Row],[GRN-PO date]]&gt;RawDataGenPO[[#This Row],[Lead time delivery (day)]],"over deliverry","Ontime")</f>
        <v/>
      </c>
      <c r="AC1989" s="22" t="n"/>
    </row>
    <row r="1990" ht="15" customHeight="1">
      <c r="A1990" s="5">
        <f>ROW()-ROW(RawDataGenPO[[#Headers],[No.]])</f>
        <v/>
      </c>
      <c r="B1990" s="29" t="inlineStr">
        <is>
          <t>Expent  cost</t>
        </is>
      </c>
      <c r="C1990" s="373" t="n"/>
      <c r="D1990" s="374" t="n"/>
      <c r="E1990" s="374" t="n"/>
      <c r="F1990" s="281" t="n">
        <v>46076</v>
      </c>
      <c r="G1990" s="5" t="inlineStr">
        <is>
          <t>PR2526-04967</t>
        </is>
      </c>
      <c r="H1990" s="5" t="inlineStr">
        <is>
          <t>PO2526-06979</t>
        </is>
      </c>
      <c r="I1990" s="286" t="n">
        <v>46083</v>
      </c>
      <c r="J1990" s="26" t="n"/>
      <c r="K1990" s="20" t="n">
        <v>60</v>
      </c>
      <c r="L1990" s="5" t="inlineStr">
        <is>
          <t>SFST81000050</t>
        </is>
      </c>
      <c r="M1990" s="7" t="inlineStr">
        <is>
          <t>Machanical part</t>
        </is>
      </c>
      <c r="N1990" s="7" t="inlineStr">
        <is>
          <t>Machine Spare part</t>
        </is>
      </c>
      <c r="O1990" s="11" t="n">
        <v>8</v>
      </c>
      <c r="P1990" s="10" t="inlineStr">
        <is>
          <t>Mini Steel Hook 9902</t>
        </is>
      </c>
      <c r="Q1990" s="277" t="n">
        <v>80</v>
      </c>
      <c r="R1990" s="5" t="inlineStr">
        <is>
          <t>PCS.</t>
        </is>
      </c>
      <c r="S1990" s="284">
        <f>RawDataGenPO[[#This Row],[Total price]]/RawDataGenPO[[#This Row],[Qty'']]</f>
        <v/>
      </c>
      <c r="T1990" s="278" t="n">
        <v>720</v>
      </c>
      <c r="U1990" s="291" t="n"/>
      <c r="V1990" s="7" t="inlineStr">
        <is>
          <t>V1001029 - CWT SMART DISPLAY CO.,LTD.</t>
        </is>
      </c>
      <c r="W1990" s="30" t="inlineStr">
        <is>
          <t>Recive bill and GRN already</t>
        </is>
      </c>
      <c r="X1990" s="5" t="inlineStr">
        <is>
          <t>GRN2526-0009205</t>
        </is>
      </c>
      <c r="Y1990" s="3" t="n">
        <v>46100</v>
      </c>
      <c r="Z1990" s="23" t="n"/>
      <c r="AA1990" s="17">
        <f>IF(RawDataGenPO[[#This Row],[Date Gen PO]]="","",RawDataGenPO[[#This Row],[Date recive bill]]-RawDataGenPO[[#This Row],[Date Gen PO]])</f>
        <v/>
      </c>
      <c r="AB1990" s="16">
        <f>IF(RawDataGenPO[[#This Row],[GRN-PO date]]&gt;RawDataGenPO[[#This Row],[Lead time delivery (day)]],"over deliverry","Ontime")</f>
        <v/>
      </c>
      <c r="AC1990" s="22" t="n"/>
    </row>
    <row r="1991" ht="15" customHeight="1">
      <c r="A1991" s="5">
        <f>ROW()-ROW(RawDataGenPO[[#Headers],[No.]])</f>
        <v/>
      </c>
      <c r="B1991" s="29" t="inlineStr">
        <is>
          <t>Expent  cost</t>
        </is>
      </c>
      <c r="C1991" s="373" t="n"/>
      <c r="D1991" s="374" t="n"/>
      <c r="E1991" s="374" t="n"/>
      <c r="F1991" s="281" t="n">
        <v>46076</v>
      </c>
      <c r="G1991" s="5" t="inlineStr">
        <is>
          <t>PR2526-04967</t>
        </is>
      </c>
      <c r="H1991" s="5" t="inlineStr">
        <is>
          <t>PO2526-06979</t>
        </is>
      </c>
      <c r="I1991" s="286" t="n">
        <v>46083</v>
      </c>
      <c r="J1991" s="26" t="n"/>
      <c r="K1991" s="20" t="n">
        <v>60</v>
      </c>
      <c r="L1991" s="5" t="inlineStr">
        <is>
          <t>SFST81000050</t>
        </is>
      </c>
      <c r="M1991" s="7" t="inlineStr">
        <is>
          <t>Machanical part</t>
        </is>
      </c>
      <c r="N1991" s="7" t="inlineStr">
        <is>
          <t>Machine Spare part</t>
        </is>
      </c>
      <c r="O1991" s="11" t="n">
        <v>9</v>
      </c>
      <c r="P1991" s="10" t="inlineStr">
        <is>
          <t>Mini Steel Hook 9903</t>
        </is>
      </c>
      <c r="Q1991" s="277" t="n">
        <v>80</v>
      </c>
      <c r="R1991" s="5" t="inlineStr">
        <is>
          <t>PCS.</t>
        </is>
      </c>
      <c r="S1991" s="284">
        <f>RawDataGenPO[[#This Row],[Total price]]/RawDataGenPO[[#This Row],[Qty'']]</f>
        <v/>
      </c>
      <c r="T1991" s="278" t="n">
        <v>720</v>
      </c>
      <c r="U1991" s="291" t="n"/>
      <c r="V1991" s="7" t="inlineStr">
        <is>
          <t>V1001029 - CWT SMART DISPLAY CO.,LTD.</t>
        </is>
      </c>
      <c r="W1991" s="30" t="inlineStr">
        <is>
          <t>Recive bill and GRN already</t>
        </is>
      </c>
      <c r="X1991" s="5" t="inlineStr">
        <is>
          <t>GRN2526-0009205</t>
        </is>
      </c>
      <c r="Y1991" s="3" t="n">
        <v>46100</v>
      </c>
      <c r="Z1991" s="23" t="n"/>
      <c r="AA1991" s="17">
        <f>IF(RawDataGenPO[[#This Row],[Date Gen PO]]="","",RawDataGenPO[[#This Row],[Date recive bill]]-RawDataGenPO[[#This Row],[Date Gen PO]])</f>
        <v/>
      </c>
      <c r="AB1991" s="16">
        <f>IF(RawDataGenPO[[#This Row],[GRN-PO date]]&gt;RawDataGenPO[[#This Row],[Lead time delivery (day)]],"over deliverry","Ontime")</f>
        <v/>
      </c>
      <c r="AC1991" s="22" t="n"/>
    </row>
    <row r="1992" ht="15" customHeight="1">
      <c r="A1992" s="5">
        <f>ROW()-ROW(RawDataGenPO[[#Headers],[No.]])</f>
        <v/>
      </c>
      <c r="B1992" s="29" t="inlineStr">
        <is>
          <t>Expent  cost</t>
        </is>
      </c>
      <c r="C1992" s="373" t="n"/>
      <c r="D1992" s="374" t="n"/>
      <c r="E1992" s="374" t="n"/>
      <c r="F1992" s="281" t="n">
        <v>46076</v>
      </c>
      <c r="G1992" s="5" t="inlineStr">
        <is>
          <t>PR2526-04967</t>
        </is>
      </c>
      <c r="H1992" s="5" t="inlineStr">
        <is>
          <t>PO2526-06979</t>
        </is>
      </c>
      <c r="I1992" s="286" t="n">
        <v>46083</v>
      </c>
      <c r="J1992" s="26" t="n"/>
      <c r="K1992" s="20" t="n">
        <v>60</v>
      </c>
      <c r="L1992" s="5" t="inlineStr">
        <is>
          <t>SFST81000050</t>
        </is>
      </c>
      <c r="M1992" s="7" t="inlineStr">
        <is>
          <t>Machanical part</t>
        </is>
      </c>
      <c r="N1992" s="7" t="inlineStr">
        <is>
          <t>Machine Spare part</t>
        </is>
      </c>
      <c r="O1992" s="11" t="n">
        <v>10</v>
      </c>
      <c r="P1992" s="10" t="inlineStr">
        <is>
          <t>Mini Steel Hook 9904</t>
        </is>
      </c>
      <c r="Q1992" s="277" t="n">
        <v>80</v>
      </c>
      <c r="R1992" s="5" t="inlineStr">
        <is>
          <t>PCS.</t>
        </is>
      </c>
      <c r="S1992" s="284">
        <f>RawDataGenPO[[#This Row],[Total price]]/RawDataGenPO[[#This Row],[Qty'']]</f>
        <v/>
      </c>
      <c r="T1992" s="278" t="n">
        <v>720</v>
      </c>
      <c r="U1992" s="291" t="n"/>
      <c r="V1992" s="7" t="inlineStr">
        <is>
          <t>V1001029 - CWT SMART DISPLAY CO.,LTD.</t>
        </is>
      </c>
      <c r="W1992" s="30" t="inlineStr">
        <is>
          <t>Recive bill and GRN already</t>
        </is>
      </c>
      <c r="X1992" s="5" t="inlineStr">
        <is>
          <t>GRN2526-0009205</t>
        </is>
      </c>
      <c r="Y1992" s="3" t="n">
        <v>46100</v>
      </c>
      <c r="Z1992" s="23" t="n"/>
      <c r="AA1992" s="17">
        <f>IF(RawDataGenPO[[#This Row],[Date Gen PO]]="","",RawDataGenPO[[#This Row],[Date recive bill]]-RawDataGenPO[[#This Row],[Date Gen PO]])</f>
        <v/>
      </c>
      <c r="AB1992" s="16">
        <f>IF(RawDataGenPO[[#This Row],[GRN-PO date]]&gt;RawDataGenPO[[#This Row],[Lead time delivery (day)]],"over deliverry","Ontime")</f>
        <v/>
      </c>
      <c r="AC1992" s="22" t="n"/>
    </row>
    <row r="1993" ht="15" customHeight="1">
      <c r="A1993" s="5">
        <f>ROW()-ROW(RawDataGenPO[[#Headers],[No.]])</f>
        <v/>
      </c>
      <c r="B1993" s="29" t="inlineStr">
        <is>
          <t>Expent  cost</t>
        </is>
      </c>
      <c r="C1993" s="373" t="n"/>
      <c r="D1993" s="374" t="n"/>
      <c r="E1993" s="374" t="n"/>
      <c r="F1993" s="281" t="n">
        <v>46076</v>
      </c>
      <c r="G1993" s="5" t="inlineStr">
        <is>
          <t>PR2526-04967</t>
        </is>
      </c>
      <c r="H1993" s="5" t="inlineStr">
        <is>
          <t>PO2526-06979</t>
        </is>
      </c>
      <c r="I1993" s="286" t="n">
        <v>46083</v>
      </c>
      <c r="J1993" s="26" t="n"/>
      <c r="K1993" s="20" t="n">
        <v>60</v>
      </c>
      <c r="L1993" s="5" t="inlineStr">
        <is>
          <t>SFST81000050</t>
        </is>
      </c>
      <c r="M1993" s="7" t="inlineStr">
        <is>
          <t>Machanical part</t>
        </is>
      </c>
      <c r="N1993" s="7" t="inlineStr">
        <is>
          <t>Machine Spare part</t>
        </is>
      </c>
      <c r="O1993" s="11" t="n">
        <v>11</v>
      </c>
      <c r="P1993" s="10" t="inlineStr">
        <is>
          <t>Mini Steel Hook 9905</t>
        </is>
      </c>
      <c r="Q1993" s="277" t="n">
        <v>80</v>
      </c>
      <c r="R1993" s="5" t="inlineStr">
        <is>
          <t>PCS.</t>
        </is>
      </c>
      <c r="S1993" s="284">
        <f>RawDataGenPO[[#This Row],[Total price]]/RawDataGenPO[[#This Row],[Qty'']]</f>
        <v/>
      </c>
      <c r="T1993" s="278" t="n">
        <v>1040</v>
      </c>
      <c r="U1993" s="291" t="n"/>
      <c r="V1993" s="7" t="inlineStr">
        <is>
          <t>V1001029 - CWT SMART DISPLAY CO.,LTD.</t>
        </is>
      </c>
      <c r="W1993" s="30" t="inlineStr">
        <is>
          <t>Recive bill and GRN already</t>
        </is>
      </c>
      <c r="X1993" s="5" t="inlineStr">
        <is>
          <t>GRN2526-0009205</t>
        </is>
      </c>
      <c r="Y1993" s="3" t="n">
        <v>46100</v>
      </c>
      <c r="Z1993" s="23" t="n"/>
      <c r="AA1993" s="17">
        <f>IF(RawDataGenPO[[#This Row],[Date Gen PO]]="","",RawDataGenPO[[#This Row],[Date recive bill]]-RawDataGenPO[[#This Row],[Date Gen PO]])</f>
        <v/>
      </c>
      <c r="AB1993" s="16">
        <f>IF(RawDataGenPO[[#This Row],[GRN-PO date]]&gt;RawDataGenPO[[#This Row],[Lead time delivery (day)]],"over deliverry","Ontime")</f>
        <v/>
      </c>
      <c r="AC1993" s="22" t="n"/>
    </row>
    <row r="1994" ht="15" customHeight="1">
      <c r="A1994" s="5">
        <f>ROW()-ROW(RawDataGenPO[[#Headers],[No.]])</f>
        <v/>
      </c>
      <c r="B1994" s="29" t="inlineStr">
        <is>
          <t>Expent  cost</t>
        </is>
      </c>
      <c r="C1994" s="373" t="n"/>
      <c r="D1994" s="374" t="n"/>
      <c r="E1994" s="374" t="n"/>
      <c r="F1994" s="281" t="n">
        <v>46076</v>
      </c>
      <c r="G1994" s="5" t="inlineStr">
        <is>
          <t>PR2526-04967</t>
        </is>
      </c>
      <c r="H1994" s="5" t="inlineStr">
        <is>
          <t>PO2526-06979</t>
        </is>
      </c>
      <c r="I1994" s="286" t="n">
        <v>46083</v>
      </c>
      <c r="J1994" s="26" t="n"/>
      <c r="K1994" s="20" t="n">
        <v>60</v>
      </c>
      <c r="L1994" s="5" t="inlineStr">
        <is>
          <t>SFST81000050</t>
        </is>
      </c>
      <c r="M1994" s="7" t="inlineStr">
        <is>
          <t>Machanical part</t>
        </is>
      </c>
      <c r="N1994" s="7" t="inlineStr">
        <is>
          <t>Machine Spare part</t>
        </is>
      </c>
      <c r="O1994" s="11" t="n">
        <v>12</v>
      </c>
      <c r="P1994" s="10" t="inlineStr">
        <is>
          <t>Mini Steel Hook 9906</t>
        </is>
      </c>
      <c r="Q1994" s="277" t="n">
        <v>80</v>
      </c>
      <c r="R1994" s="5" t="inlineStr">
        <is>
          <t>PCS.</t>
        </is>
      </c>
      <c r="S1994" s="284">
        <f>RawDataGenPO[[#This Row],[Total price]]/RawDataGenPO[[#This Row],[Qty'']]</f>
        <v/>
      </c>
      <c r="T1994" s="278" t="n">
        <v>1280</v>
      </c>
      <c r="U1994" s="291" t="n"/>
      <c r="V1994" s="7" t="inlineStr">
        <is>
          <t>V1001029 - CWT SMART DISPLAY CO.,LTD.</t>
        </is>
      </c>
      <c r="W1994" s="30" t="inlineStr">
        <is>
          <t>Recive bill and GRN already</t>
        </is>
      </c>
      <c r="X1994" s="5" t="inlineStr">
        <is>
          <t>GRN2526-0009205</t>
        </is>
      </c>
      <c r="Y1994" s="3" t="n">
        <v>46100</v>
      </c>
      <c r="Z1994" s="23" t="n"/>
      <c r="AA1994" s="17">
        <f>IF(RawDataGenPO[[#This Row],[Date Gen PO]]="","",RawDataGenPO[[#This Row],[Date recive bill]]-RawDataGenPO[[#This Row],[Date Gen PO]])</f>
        <v/>
      </c>
      <c r="AB1994" s="16">
        <f>IF(RawDataGenPO[[#This Row],[GRN-PO date]]&gt;RawDataGenPO[[#This Row],[Lead time delivery (day)]],"over deliverry","Ontime")</f>
        <v/>
      </c>
      <c r="AC1994" s="22" t="n"/>
    </row>
    <row r="1995" ht="15" customHeight="1">
      <c r="A1995" s="5">
        <f>ROW()-ROW(RawDataGenPO[[#Headers],[No.]])</f>
        <v/>
      </c>
      <c r="B1995" s="29" t="inlineStr">
        <is>
          <t>Expent  cost</t>
        </is>
      </c>
      <c r="C1995" s="373" t="n"/>
      <c r="D1995" s="374" t="n"/>
      <c r="E1995" s="374" t="n"/>
      <c r="F1995" s="281" t="n">
        <v>46076</v>
      </c>
      <c r="G1995" s="5" t="inlineStr">
        <is>
          <t>PR2526-04967</t>
        </is>
      </c>
      <c r="H1995" s="5" t="inlineStr">
        <is>
          <t>PO2526-06979</t>
        </is>
      </c>
      <c r="I1995" s="286" t="n">
        <v>46083</v>
      </c>
      <c r="J1995" s="26" t="n"/>
      <c r="K1995" s="20" t="n">
        <v>60</v>
      </c>
      <c r="L1995" s="5" t="inlineStr">
        <is>
          <t>SFST81000050</t>
        </is>
      </c>
      <c r="M1995" s="7" t="inlineStr">
        <is>
          <t>Machanical part</t>
        </is>
      </c>
      <c r="N1995" s="7" t="inlineStr">
        <is>
          <t>Machine Spare part</t>
        </is>
      </c>
      <c r="O1995" s="11" t="n">
        <v>13</v>
      </c>
      <c r="P1995" s="10" t="inlineStr">
        <is>
          <t>Mini Steel Hook 9908</t>
        </is>
      </c>
      <c r="Q1995" s="277" t="n">
        <v>40</v>
      </c>
      <c r="R1995" s="5" t="inlineStr">
        <is>
          <t>PCS.</t>
        </is>
      </c>
      <c r="S1995" s="284">
        <f>RawDataGenPO[[#This Row],[Total price]]/RawDataGenPO[[#This Row],[Qty'']]</f>
        <v/>
      </c>
      <c r="T1995" s="278" t="n">
        <v>800</v>
      </c>
      <c r="U1995" s="291" t="n"/>
      <c r="V1995" s="7" t="inlineStr">
        <is>
          <t>V1001029 - CWT SMART DISPLAY CO.,LTD.</t>
        </is>
      </c>
      <c r="W1995" s="30" t="inlineStr">
        <is>
          <t>Recive bill and GRN already</t>
        </is>
      </c>
      <c r="X1995" s="5" t="inlineStr">
        <is>
          <t>GRN2526-0009205</t>
        </is>
      </c>
      <c r="Y1995" s="3" t="n">
        <v>46100</v>
      </c>
      <c r="Z1995" s="23" t="n"/>
      <c r="AA1995" s="17">
        <f>IF(RawDataGenPO[[#This Row],[Date Gen PO]]="","",RawDataGenPO[[#This Row],[Date recive bill]]-RawDataGenPO[[#This Row],[Date Gen PO]])</f>
        <v/>
      </c>
      <c r="AB1995" s="16">
        <f>IF(RawDataGenPO[[#This Row],[GRN-PO date]]&gt;RawDataGenPO[[#This Row],[Lead time delivery (day)]],"over deliverry","Ontime")</f>
        <v/>
      </c>
      <c r="AC1995" s="22" t="n"/>
    </row>
    <row r="1996" ht="15" customHeight="1">
      <c r="A1996" s="5">
        <f>ROW()-ROW(RawDataGenPO[[#Headers],[No.]])</f>
        <v/>
      </c>
      <c r="B1996" s="29" t="inlineStr">
        <is>
          <t>Expent  cost</t>
        </is>
      </c>
      <c r="C1996" s="373" t="n"/>
      <c r="D1996" s="374" t="n"/>
      <c r="E1996" s="374" t="n"/>
      <c r="F1996" s="281" t="n">
        <v>46076</v>
      </c>
      <c r="G1996" s="5" t="inlineStr">
        <is>
          <t>PR2526-04967</t>
        </is>
      </c>
      <c r="H1996" s="5" t="inlineStr">
        <is>
          <t>PO2526-06979</t>
        </is>
      </c>
      <c r="I1996" s="286" t="n">
        <v>46083</v>
      </c>
      <c r="J1996" s="26" t="n"/>
      <c r="K1996" s="20" t="n">
        <v>60</v>
      </c>
      <c r="L1996" s="5" t="inlineStr">
        <is>
          <t>SFST81000050</t>
        </is>
      </c>
      <c r="M1996" s="7" t="inlineStr">
        <is>
          <t>Machanical part</t>
        </is>
      </c>
      <c r="N1996" s="7" t="inlineStr">
        <is>
          <t>Machine Spare part</t>
        </is>
      </c>
      <c r="O1996" s="11" t="n">
        <v>14</v>
      </c>
      <c r="P1996" s="10" t="inlineStr">
        <is>
          <t>Mini Steel Hook 9909</t>
        </is>
      </c>
      <c r="Q1996" s="277" t="n">
        <v>80</v>
      </c>
      <c r="R1996" s="5" t="inlineStr">
        <is>
          <t>PCS.</t>
        </is>
      </c>
      <c r="S1996" s="284">
        <f>RawDataGenPO[[#This Row],[Total price]]/RawDataGenPO[[#This Row],[Qty'']]</f>
        <v/>
      </c>
      <c r="T1996" s="278" t="n">
        <v>1760</v>
      </c>
      <c r="U1996" s="291" t="n"/>
      <c r="V1996" s="7" t="inlineStr">
        <is>
          <t>V1001029 - CWT SMART DISPLAY CO.,LTD.</t>
        </is>
      </c>
      <c r="W1996" s="30" t="inlineStr">
        <is>
          <t>Recive bill and GRN already</t>
        </is>
      </c>
      <c r="X1996" s="5" t="inlineStr">
        <is>
          <t>GRN2526-0009205</t>
        </is>
      </c>
      <c r="Y1996" s="3" t="n">
        <v>46100</v>
      </c>
      <c r="Z1996" s="23" t="n"/>
      <c r="AA1996" s="17">
        <f>IF(RawDataGenPO[[#This Row],[Date Gen PO]]="","",RawDataGenPO[[#This Row],[Date recive bill]]-RawDataGenPO[[#This Row],[Date Gen PO]])</f>
        <v/>
      </c>
      <c r="AB1996" s="16">
        <f>IF(RawDataGenPO[[#This Row],[GRN-PO date]]&gt;RawDataGenPO[[#This Row],[Lead time delivery (day)]],"over deliverry","Ontime")</f>
        <v/>
      </c>
      <c r="AC1996" s="22" t="n"/>
    </row>
    <row r="1997" ht="15" customHeight="1">
      <c r="A1997" s="5">
        <f>ROW()-ROW(RawDataGenPO[[#Headers],[No.]])</f>
        <v/>
      </c>
      <c r="B1997" s="29" t="inlineStr">
        <is>
          <t>Expent  cost</t>
        </is>
      </c>
      <c r="C1997" s="373" t="n"/>
      <c r="D1997" s="374" t="n"/>
      <c r="E1997" s="374" t="n"/>
      <c r="F1997" s="281" t="n">
        <v>46076</v>
      </c>
      <c r="G1997" s="5" t="inlineStr">
        <is>
          <t>PR2526-04967</t>
        </is>
      </c>
      <c r="H1997" s="5" t="inlineStr">
        <is>
          <t>PO2526-06979</t>
        </is>
      </c>
      <c r="I1997" s="286" t="n">
        <v>46083</v>
      </c>
      <c r="J1997" s="26" t="n"/>
      <c r="K1997" s="20" t="n">
        <v>60</v>
      </c>
      <c r="L1997" s="5" t="inlineStr">
        <is>
          <t>SFST81000050</t>
        </is>
      </c>
      <c r="M1997" s="7" t="inlineStr">
        <is>
          <t>Machanical part</t>
        </is>
      </c>
      <c r="N1997" s="7" t="inlineStr">
        <is>
          <t>Machine Spare part</t>
        </is>
      </c>
      <c r="O1997" s="11" t="n">
        <v>15</v>
      </c>
      <c r="P1997" s="10" t="inlineStr">
        <is>
          <t>Mini Steel Hook 9911</t>
        </is>
      </c>
      <c r="Q1997" s="277" t="n">
        <v>8</v>
      </c>
      <c r="R1997" s="5" t="inlineStr">
        <is>
          <t>PCS.</t>
        </is>
      </c>
      <c r="S1997" s="284">
        <f>RawDataGenPO[[#This Row],[Total price]]/RawDataGenPO[[#This Row],[Qty'']]</f>
        <v/>
      </c>
      <c r="T1997" s="278" t="n">
        <v>560</v>
      </c>
      <c r="U1997" s="291" t="n"/>
      <c r="V1997" s="7" t="inlineStr">
        <is>
          <t>V1001029 - CWT SMART DISPLAY CO.,LTD.</t>
        </is>
      </c>
      <c r="W1997" s="30" t="inlineStr">
        <is>
          <t>Recive bill and GRN already</t>
        </is>
      </c>
      <c r="X1997" s="5" t="inlineStr">
        <is>
          <t>GRN2526-0009205</t>
        </is>
      </c>
      <c r="Y1997" s="3" t="n">
        <v>46100</v>
      </c>
      <c r="Z1997" s="23" t="n"/>
      <c r="AA1997" s="17">
        <f>IF(RawDataGenPO[[#This Row],[Date Gen PO]]="","",RawDataGenPO[[#This Row],[Date recive bill]]-RawDataGenPO[[#This Row],[Date Gen PO]])</f>
        <v/>
      </c>
      <c r="AB1997" s="16">
        <f>IF(RawDataGenPO[[#This Row],[GRN-PO date]]&gt;RawDataGenPO[[#This Row],[Lead time delivery (day)]],"over deliverry","Ontime")</f>
        <v/>
      </c>
      <c r="AC1997" s="22" t="n"/>
    </row>
    <row r="1998" ht="30" customHeight="1">
      <c r="A1998" s="5">
        <f>ROW()-ROW(RawDataGenPO[[#Headers],[No.]])</f>
        <v/>
      </c>
      <c r="B1998" s="29" t="inlineStr">
        <is>
          <t>Expent  cost</t>
        </is>
      </c>
      <c r="C1998" s="373" t="n"/>
      <c r="D1998" s="374" t="n"/>
      <c r="E1998" s="374" t="n"/>
      <c r="F1998" s="281" t="n">
        <v>46076</v>
      </c>
      <c r="G1998" s="5" t="inlineStr">
        <is>
          <t xml:space="preserve">PR2526-04969 </t>
        </is>
      </c>
      <c r="H1998" s="5" t="inlineStr">
        <is>
          <t>PO2526-06957</t>
        </is>
      </c>
      <c r="I1998" s="286" t="n">
        <v>46080</v>
      </c>
      <c r="J1998" s="26" t="n"/>
      <c r="K1998" s="20" t="n">
        <v>60</v>
      </c>
      <c r="L1998" s="5" t="inlineStr">
        <is>
          <t>SFST81000048</t>
        </is>
      </c>
      <c r="M1998" s="7" t="inlineStr">
        <is>
          <t>PD Machine</t>
        </is>
      </c>
      <c r="N1998" s="7" t="inlineStr">
        <is>
          <t>Check weigth  No.1</t>
        </is>
      </c>
      <c r="O1998" s="11" t="n">
        <v>1</v>
      </c>
      <c r="P1998" s="10" t="inlineStr">
        <is>
          <t>Drive Shaft for Standard Conveyor Belt Roller end 30 mm.
b: 200 mm. Pitch S2M ZR-A</t>
        </is>
      </c>
      <c r="Q1998" s="277" t="n">
        <v>1</v>
      </c>
      <c r="R1998" s="5" t="inlineStr">
        <is>
          <t>PCS.</t>
        </is>
      </c>
      <c r="S1998" s="284">
        <f>RawDataGenPO[[#This Row],[Total price]]/RawDataGenPO[[#This Row],[Qty'']]</f>
        <v/>
      </c>
      <c r="T1998" s="278" t="n">
        <v>13650</v>
      </c>
      <c r="U1998" s="291" t="n"/>
      <c r="V1998" s="7" t="inlineStr">
        <is>
          <t>V1000189 - FPT FOOD PROCESS TECHNOLOGY CO., LTD.</t>
        </is>
      </c>
      <c r="W1998" s="30" t="inlineStr">
        <is>
          <t>Recive bill and GRN already</t>
        </is>
      </c>
      <c r="X1998" s="5" t="inlineStr">
        <is>
          <t>GRN2627-0000555</t>
        </is>
      </c>
      <c r="Y1998" s="3" t="n">
        <v>46133</v>
      </c>
      <c r="Z1998" s="23" t="n"/>
      <c r="AA1998" s="17">
        <f>IF(RawDataGenPO[[#This Row],[Date Gen PO]]="","",RawDataGenPO[[#This Row],[Date recive bill]]-RawDataGenPO[[#This Row],[Date Gen PO]])</f>
        <v/>
      </c>
      <c r="AB1998" s="16">
        <f>IF(RawDataGenPO[[#This Row],[GRN-PO date]]&gt;RawDataGenPO[[#This Row],[Lead time delivery (day)]],"over deliverry","Ontime")</f>
        <v/>
      </c>
      <c r="AC1998" s="22" t="n"/>
    </row>
    <row r="1999" ht="30" customHeight="1">
      <c r="A1999" s="5">
        <f>ROW()-ROW(RawDataGenPO[[#Headers],[No.]])</f>
        <v/>
      </c>
      <c r="B1999" s="29" t="inlineStr">
        <is>
          <t>Expent  cost</t>
        </is>
      </c>
      <c r="C1999" s="373" t="n"/>
      <c r="D1999" s="374" t="n"/>
      <c r="E1999" s="374" t="n"/>
      <c r="F1999" s="281" t="n">
        <v>46076</v>
      </c>
      <c r="G1999" s="5" t="inlineStr">
        <is>
          <t xml:space="preserve">PR2526-04969 </t>
        </is>
      </c>
      <c r="H1999" s="5" t="inlineStr">
        <is>
          <t>PO2526-06957</t>
        </is>
      </c>
      <c r="I1999" s="286" t="n">
        <v>46080</v>
      </c>
      <c r="J1999" s="26" t="n"/>
      <c r="K1999" s="20" t="n">
        <v>60</v>
      </c>
      <c r="L1999" s="5" t="inlineStr">
        <is>
          <t>SFST81000048</t>
        </is>
      </c>
      <c r="M1999" s="7" t="inlineStr">
        <is>
          <t>PD Machine</t>
        </is>
      </c>
      <c r="N1999" s="7" t="inlineStr">
        <is>
          <t>Check weigth  No.1</t>
        </is>
      </c>
      <c r="O1999" s="11" t="n">
        <v>2</v>
      </c>
      <c r="P1999" s="10" t="inlineStr">
        <is>
          <t>Revolving Shaft for Standard Conveyor Belt Roller end, 30mm. W: 200 mm.</t>
        </is>
      </c>
      <c r="Q1999" s="277" t="n">
        <v>1</v>
      </c>
      <c r="R1999" s="5" t="inlineStr">
        <is>
          <t>PCS.</t>
        </is>
      </c>
      <c r="S1999" s="284">
        <f>RawDataGenPO[[#This Row],[Total price]]/RawDataGenPO[[#This Row],[Qty'']]</f>
        <v/>
      </c>
      <c r="T1999" s="278" t="n">
        <v>28660</v>
      </c>
      <c r="U1999" s="291" t="n"/>
      <c r="V1999" s="7" t="inlineStr">
        <is>
          <t>V1000189 - FPT FOOD PROCESS TECHNOLOGY CO., LTD.</t>
        </is>
      </c>
      <c r="W1999" s="30" t="inlineStr">
        <is>
          <t>Recive bill and GRN already</t>
        </is>
      </c>
      <c r="X1999" s="5" t="inlineStr">
        <is>
          <t>GRN2627-0000555</t>
        </is>
      </c>
      <c r="Y1999" s="3" t="n">
        <v>46133</v>
      </c>
      <c r="Z1999" s="23" t="n"/>
      <c r="AA1999" s="17">
        <f>IF(RawDataGenPO[[#This Row],[Date Gen PO]]="","",RawDataGenPO[[#This Row],[Date recive bill]]-RawDataGenPO[[#This Row],[Date Gen PO]])</f>
        <v/>
      </c>
      <c r="AB1999" s="16">
        <f>IF(RawDataGenPO[[#This Row],[GRN-PO date]]&gt;RawDataGenPO[[#This Row],[Lead time delivery (day)]],"over deliverry","Ontime")</f>
        <v/>
      </c>
      <c r="AC1999" s="22" t="n"/>
    </row>
    <row r="2000" ht="15" customHeight="1">
      <c r="A2000" s="5">
        <f>ROW()-ROW(RawDataGenPO[[#Headers],[No.]])</f>
        <v/>
      </c>
      <c r="B2000" s="29" t="n"/>
      <c r="C2000" s="373" t="n"/>
      <c r="D2000" s="374" t="n"/>
      <c r="E2000" s="374" t="n"/>
      <c r="F2000" s="281" t="n">
        <v>46076</v>
      </c>
      <c r="G2000" s="5" t="inlineStr">
        <is>
          <t xml:space="preserve">PR2526-04969 </t>
        </is>
      </c>
      <c r="H2000" s="5" t="inlineStr">
        <is>
          <t>PO2526-06957</t>
        </is>
      </c>
      <c r="I2000" s="286" t="n">
        <v>46080</v>
      </c>
      <c r="J2000" s="26" t="n"/>
      <c r="K2000" s="20" t="n">
        <v>60</v>
      </c>
      <c r="L2000" s="5" t="inlineStr">
        <is>
          <t>SFST81000048</t>
        </is>
      </c>
      <c r="M2000" s="7" t="inlineStr">
        <is>
          <t>PD Machine</t>
        </is>
      </c>
      <c r="N2000" s="7" t="inlineStr">
        <is>
          <t>Check weigth  No.1</t>
        </is>
      </c>
      <c r="O2000" s="11" t="n">
        <v>3</v>
      </c>
      <c r="P2000" s="10" t="inlineStr">
        <is>
          <t>Conweigher Belt for NT30 300x200mm. Blue, PU</t>
        </is>
      </c>
      <c r="Q2000" s="277" t="n">
        <v>1</v>
      </c>
      <c r="R2000" s="5" t="inlineStr">
        <is>
          <t>PCS.</t>
        </is>
      </c>
      <c r="S2000" s="284">
        <f>RawDataGenPO[[#This Row],[Total price]]/RawDataGenPO[[#This Row],[Qty'']]</f>
        <v/>
      </c>
      <c r="T2000" s="278" t="n">
        <v>15160</v>
      </c>
      <c r="U2000" s="291" t="n"/>
      <c r="V2000" s="7" t="inlineStr">
        <is>
          <t>V1000189 - FPT FOOD PROCESS TECHNOLOGY CO., LTD.</t>
        </is>
      </c>
      <c r="W2000" s="30" t="inlineStr">
        <is>
          <t>Recive bill and GRN already</t>
        </is>
      </c>
      <c r="X2000" s="5" t="inlineStr">
        <is>
          <t>GRN2627-0000555</t>
        </is>
      </c>
      <c r="Y2000" s="3" t="n">
        <v>46133</v>
      </c>
      <c r="Z2000" s="23" t="n"/>
      <c r="AA2000" s="17">
        <f>IF(RawDataGenPO[[#This Row],[Date Gen PO]]="","",RawDataGenPO[[#This Row],[Date recive bill]]-RawDataGenPO[[#This Row],[Date Gen PO]])</f>
        <v/>
      </c>
      <c r="AB2000" s="16">
        <f>IF(RawDataGenPO[[#This Row],[GRN-PO date]]&gt;RawDataGenPO[[#This Row],[Lead time delivery (day)]],"over deliverry","Ontime")</f>
        <v/>
      </c>
      <c r="AC2000" s="22" t="n"/>
    </row>
    <row r="2001" ht="15" customHeight="1">
      <c r="A2001" s="5">
        <f>ROW()-ROW(RawDataGenPO[[#Headers],[No.]])</f>
        <v/>
      </c>
      <c r="B2001" s="29" t="inlineStr">
        <is>
          <t>Expent  cost</t>
        </is>
      </c>
      <c r="C2001" s="373" t="n"/>
      <c r="D2001" s="374" t="n"/>
      <c r="E2001" s="374" t="n"/>
      <c r="F2001" s="281" t="n">
        <v>46076</v>
      </c>
      <c r="G2001" s="5" t="inlineStr">
        <is>
          <t xml:space="preserve">PR2526-04969 </t>
        </is>
      </c>
      <c r="H2001" s="5" t="inlineStr">
        <is>
          <t>PO2526-06957</t>
        </is>
      </c>
      <c r="I2001" s="286" t="n">
        <v>46080</v>
      </c>
      <c r="J2001" s="26" t="n"/>
      <c r="K2001" s="20" t="n">
        <v>60</v>
      </c>
      <c r="L2001" s="5" t="inlineStr">
        <is>
          <t>SFST81000048</t>
        </is>
      </c>
      <c r="M2001" s="7" t="inlineStr">
        <is>
          <t>PD Machine</t>
        </is>
      </c>
      <c r="N2001" s="7" t="inlineStr">
        <is>
          <t>Check weigth  No.1</t>
        </is>
      </c>
      <c r="O2001" s="11" t="n">
        <v>4</v>
      </c>
      <c r="P2001" s="10" t="inlineStr">
        <is>
          <t>Conweigher Belt for NT30 600x200mm. Blue, PU</t>
        </is>
      </c>
      <c r="Q2001" s="277" t="n">
        <v>1</v>
      </c>
      <c r="R2001" s="5" t="inlineStr">
        <is>
          <t>PCS.</t>
        </is>
      </c>
      <c r="S2001" s="284">
        <f>RawDataGenPO[[#This Row],[Total price]]/RawDataGenPO[[#This Row],[Qty'']]</f>
        <v/>
      </c>
      <c r="T2001" s="278" t="n">
        <v>10830</v>
      </c>
      <c r="U2001" s="291" t="n"/>
      <c r="V2001" s="7" t="inlineStr">
        <is>
          <t>V1000189 - FPT FOOD PROCESS TECHNOLOGY CO., LTD.</t>
        </is>
      </c>
      <c r="W2001" s="30" t="inlineStr">
        <is>
          <t>Recive bill and GRN already</t>
        </is>
      </c>
      <c r="X2001" s="5" t="inlineStr">
        <is>
          <t>GRN2627-0000555</t>
        </is>
      </c>
      <c r="Y2001" s="3" t="n">
        <v>46133</v>
      </c>
      <c r="Z2001" s="23" t="n"/>
      <c r="AA2001" s="17">
        <f>IF(RawDataGenPO[[#This Row],[Date Gen PO]]="","",RawDataGenPO[[#This Row],[Date recive bill]]-RawDataGenPO[[#This Row],[Date Gen PO]])</f>
        <v/>
      </c>
      <c r="AB2001" s="16">
        <f>IF(RawDataGenPO[[#This Row],[GRN-PO date]]&gt;RawDataGenPO[[#This Row],[Lead time delivery (day)]],"over deliverry","Ontime")</f>
        <v/>
      </c>
      <c r="AC2001" s="22" t="n"/>
    </row>
    <row r="2002" ht="15" customHeight="1">
      <c r="A2002" s="5">
        <f>ROW()-ROW(RawDataGenPO[[#Headers],[No.]])</f>
        <v/>
      </c>
      <c r="B2002" s="29" t="inlineStr">
        <is>
          <t>Expent  cost</t>
        </is>
      </c>
      <c r="C2002" s="373" t="n"/>
      <c r="D2002" s="374" t="n"/>
      <c r="E2002" s="374" t="n"/>
      <c r="F2002" s="281" t="n">
        <v>46076</v>
      </c>
      <c r="G2002" s="5" t="inlineStr">
        <is>
          <t xml:space="preserve">PR2526-04969 </t>
        </is>
      </c>
      <c r="H2002" s="5" t="inlineStr">
        <is>
          <t>PO2526-06957</t>
        </is>
      </c>
      <c r="I2002" s="286" t="n">
        <v>46080</v>
      </c>
      <c r="J2002" s="26" t="n"/>
      <c r="K2002" s="20" t="n">
        <v>60</v>
      </c>
      <c r="L2002" s="5" t="inlineStr">
        <is>
          <t>SFST81000048</t>
        </is>
      </c>
      <c r="M2002" s="7" t="inlineStr">
        <is>
          <t>PD Machine</t>
        </is>
      </c>
      <c r="N2002" s="7" t="inlineStr">
        <is>
          <t>Check weigth  No.1</t>
        </is>
      </c>
      <c r="O2002" s="11" t="n">
        <v>5</v>
      </c>
      <c r="P2002" s="10" t="inlineStr">
        <is>
          <t>Conweigher Belt for 630x195mm.</t>
        </is>
      </c>
      <c r="Q2002" s="277" t="n">
        <v>1</v>
      </c>
      <c r="R2002" s="5" t="inlineStr">
        <is>
          <t>PCS.</t>
        </is>
      </c>
      <c r="S2002" s="284">
        <f>RawDataGenPO[[#This Row],[Total price]]/RawDataGenPO[[#This Row],[Qty'']]</f>
        <v/>
      </c>
      <c r="T2002" s="278" t="n">
        <v>10833</v>
      </c>
      <c r="U2002" s="291" t="n"/>
      <c r="V2002" s="7" t="inlineStr">
        <is>
          <t>V1000189 - FPT FOOD PROCESS TECHNOLOGY CO., LTD.</t>
        </is>
      </c>
      <c r="W2002" s="30" t="inlineStr">
        <is>
          <t>Recive bill and GRN already</t>
        </is>
      </c>
      <c r="X2002" s="5" t="inlineStr">
        <is>
          <t>GRN2627-0000555</t>
        </is>
      </c>
      <c r="Y2002" s="3" t="n">
        <v>46133</v>
      </c>
      <c r="Z2002" s="23" t="n"/>
      <c r="AA2002" s="17">
        <f>IF(RawDataGenPO[[#This Row],[Date Gen PO]]="","",RawDataGenPO[[#This Row],[Date recive bill]]-RawDataGenPO[[#This Row],[Date Gen PO]])</f>
        <v/>
      </c>
      <c r="AB2002" s="16">
        <f>IF(RawDataGenPO[[#This Row],[GRN-PO date]]&gt;RawDataGenPO[[#This Row],[Lead time delivery (day)]],"over deliverry","Ontime")</f>
        <v/>
      </c>
      <c r="AC2002" s="22" t="n"/>
    </row>
    <row r="2003" ht="30" customHeight="1">
      <c r="A2003" s="5">
        <f>ROW()-ROW(RawDataGenPO[[#Headers],[No.]])</f>
        <v/>
      </c>
      <c r="B2003" s="29" t="inlineStr">
        <is>
          <t>Expent  cost</t>
        </is>
      </c>
      <c r="C2003" s="373" t="n"/>
      <c r="D2003" s="374" t="n"/>
      <c r="E2003" s="374" t="n"/>
      <c r="F2003" s="281" t="n">
        <v>46076</v>
      </c>
      <c r="G2003" s="5" t="inlineStr">
        <is>
          <t xml:space="preserve">PR2526-04969 </t>
        </is>
      </c>
      <c r="H2003" s="5" t="inlineStr">
        <is>
          <t>PO2526-06957</t>
        </is>
      </c>
      <c r="I2003" s="286" t="n">
        <v>46080</v>
      </c>
      <c r="J2003" s="26" t="n"/>
      <c r="K2003" s="20" t="n">
        <v>60</v>
      </c>
      <c r="L2003" s="5" t="inlineStr">
        <is>
          <t>SFST81000048</t>
        </is>
      </c>
      <c r="M2003" s="7" t="inlineStr">
        <is>
          <t>PD Machine</t>
        </is>
      </c>
      <c r="N2003" s="7" t="inlineStr">
        <is>
          <t>Check weigth  No.1</t>
        </is>
      </c>
      <c r="O2003" s="11" t="n">
        <v>6</v>
      </c>
      <c r="P2003" s="10" t="inlineStr">
        <is>
          <t>Drive Shaft for Standard Conveyor Belt Roller end 30 mm.
b: 200 mm. Pitch S2M ZR-A</t>
        </is>
      </c>
      <c r="Q2003" s="277" t="n">
        <v>1</v>
      </c>
      <c r="R2003" s="5" t="inlineStr">
        <is>
          <t>PCS.</t>
        </is>
      </c>
      <c r="S2003" s="284">
        <f>RawDataGenPO[[#This Row],[Total price]]/RawDataGenPO[[#This Row],[Qty'']]</f>
        <v/>
      </c>
      <c r="T2003" s="278" t="n">
        <v>28830</v>
      </c>
      <c r="U2003" s="291" t="n"/>
      <c r="V2003" s="7" t="inlineStr">
        <is>
          <t>V1000189 - FPT FOOD PROCESS TECHNOLOGY CO., LTD.</t>
        </is>
      </c>
      <c r="W2003" s="30" t="inlineStr">
        <is>
          <t>Recive bill and GRN already</t>
        </is>
      </c>
      <c r="X2003" s="5" t="inlineStr">
        <is>
          <t>GRN2627-0000555</t>
        </is>
      </c>
      <c r="Y2003" s="3" t="n">
        <v>46133</v>
      </c>
      <c r="Z2003" s="23" t="n"/>
      <c r="AA2003" s="17">
        <f>IF(RawDataGenPO[[#This Row],[Date Gen PO]]="","",RawDataGenPO[[#This Row],[Date recive bill]]-RawDataGenPO[[#This Row],[Date Gen PO]])</f>
        <v/>
      </c>
      <c r="AB2003" s="16">
        <f>IF(RawDataGenPO[[#This Row],[GRN-PO date]]&gt;RawDataGenPO[[#This Row],[Lead time delivery (day)]],"over deliverry","Ontime")</f>
        <v/>
      </c>
      <c r="AC2003" s="22" t="n"/>
    </row>
    <row r="2004" ht="30" customHeight="1">
      <c r="A2004" s="5">
        <f>ROW()-ROW(RawDataGenPO[[#Headers],[No.]])</f>
        <v/>
      </c>
      <c r="B2004" s="29" t="inlineStr">
        <is>
          <t>Expent  cost</t>
        </is>
      </c>
      <c r="C2004" s="373" t="n"/>
      <c r="D2004" s="374" t="n"/>
      <c r="E2004" s="374" t="n"/>
      <c r="F2004" s="281" t="n">
        <v>46076</v>
      </c>
      <c r="G2004" s="5" t="inlineStr">
        <is>
          <t xml:space="preserve">PR2526-04969 </t>
        </is>
      </c>
      <c r="H2004" s="5" t="inlineStr">
        <is>
          <t>PO2526-06957</t>
        </is>
      </c>
      <c r="I2004" s="286" t="n">
        <v>46080</v>
      </c>
      <c r="J2004" s="26" t="n"/>
      <c r="K2004" s="20" t="n">
        <v>60</v>
      </c>
      <c r="L2004" s="5" t="inlineStr">
        <is>
          <t>SFST81000048</t>
        </is>
      </c>
      <c r="M2004" s="7" t="inlineStr">
        <is>
          <t>PD Machine</t>
        </is>
      </c>
      <c r="N2004" s="7" t="inlineStr">
        <is>
          <t>Check weigth  No.1</t>
        </is>
      </c>
      <c r="O2004" s="11" t="n">
        <v>7</v>
      </c>
      <c r="P2004" s="10" t="inlineStr">
        <is>
          <t>Revolving Shaft for Standard Conveyor Belt Roller end, 30mm. W: 200 mm.</t>
        </is>
      </c>
      <c r="Q2004" s="277" t="n">
        <v>1</v>
      </c>
      <c r="R2004" s="5" t="inlineStr">
        <is>
          <t>PCS.</t>
        </is>
      </c>
      <c r="S2004" s="284">
        <f>RawDataGenPO[[#This Row],[Total price]]/RawDataGenPO[[#This Row],[Qty'']]</f>
        <v/>
      </c>
      <c r="T2004" s="278" t="n">
        <v>28660</v>
      </c>
      <c r="U2004" s="291" t="n"/>
      <c r="V2004" s="7" t="inlineStr">
        <is>
          <t>V1000189 - FPT FOOD PROCESS TECHNOLOGY CO., LTD.</t>
        </is>
      </c>
      <c r="W2004" s="30" t="inlineStr">
        <is>
          <t>Recive bill and GRN already</t>
        </is>
      </c>
      <c r="X2004" s="5" t="inlineStr">
        <is>
          <t>GRN2627-0000555</t>
        </is>
      </c>
      <c r="Y2004" s="3" t="n">
        <v>46133</v>
      </c>
      <c r="Z2004" s="23" t="n"/>
      <c r="AA2004" s="17">
        <f>IF(RawDataGenPO[[#This Row],[Date Gen PO]]="","",RawDataGenPO[[#This Row],[Date recive bill]]-RawDataGenPO[[#This Row],[Date Gen PO]])</f>
        <v/>
      </c>
      <c r="AB2004" s="16">
        <f>IF(RawDataGenPO[[#This Row],[GRN-PO date]]&gt;RawDataGenPO[[#This Row],[Lead time delivery (day)]],"over deliverry","Ontime")</f>
        <v/>
      </c>
      <c r="AC2004" s="22" t="n"/>
    </row>
    <row r="2005" ht="15" customHeight="1">
      <c r="A2005" s="5">
        <f>ROW()-ROW(RawDataGenPO[[#Headers],[No.]])</f>
        <v/>
      </c>
      <c r="B2005" s="29" t="inlineStr">
        <is>
          <t>Expent  cost</t>
        </is>
      </c>
      <c r="C2005" s="373" t="n"/>
      <c r="D2005" s="374" t="n"/>
      <c r="E2005" s="374" t="n"/>
      <c r="F2005" s="281" t="n">
        <v>46076</v>
      </c>
      <c r="G2005" s="5" t="inlineStr">
        <is>
          <t>PR2526-04970</t>
        </is>
      </c>
      <c r="H2005" s="5" t="inlineStr">
        <is>
          <t xml:space="preserve">PO2526-06958 </t>
        </is>
      </c>
      <c r="I2005" s="286" t="n">
        <v>46080</v>
      </c>
      <c r="J2005" s="26" t="n"/>
      <c r="K2005" s="20" t="n">
        <v>60</v>
      </c>
      <c r="L2005" s="5" t="inlineStr">
        <is>
          <t>SFST81000009</t>
        </is>
      </c>
      <c r="M2005" s="7" t="inlineStr">
        <is>
          <t>Consumable part for MN</t>
        </is>
      </c>
      <c r="N2005" s="7" t="inlineStr">
        <is>
          <t>Consumable part</t>
        </is>
      </c>
      <c r="O2005" s="11" t="n">
        <v>1</v>
      </c>
      <c r="P2005" s="10" t="inlineStr">
        <is>
          <t>pcsstainless steel 304 thick 1.5 mm. length 120x240 cm.</t>
        </is>
      </c>
      <c r="Q2005" s="277" t="n">
        <v>3</v>
      </c>
      <c r="R2005" s="5" t="inlineStr">
        <is>
          <t>PCS.</t>
        </is>
      </c>
      <c r="S2005" s="284">
        <f>RawDataGenPO[[#This Row],[Total price]]/RawDataGenPO[[#This Row],[Qty'']]</f>
        <v/>
      </c>
      <c r="T2005" s="278" t="n">
        <v>10200</v>
      </c>
      <c r="U2005" s="291" t="n"/>
      <c r="V2005" s="7" t="inlineStr">
        <is>
          <t>V1000307 - M.C.K.STEEL CENTER CO., LTD.</t>
        </is>
      </c>
      <c r="W2005" s="30" t="inlineStr">
        <is>
          <t>Recive bill and GRN already</t>
        </is>
      </c>
      <c r="X2005" s="5" t="inlineStr">
        <is>
          <t>GRN2526-0008713</t>
        </is>
      </c>
      <c r="Y2005" s="3" t="n">
        <v>46087</v>
      </c>
      <c r="Z2005" s="23" t="n"/>
      <c r="AA2005" s="17">
        <f>IF(RawDataGenPO[[#This Row],[Date Gen PO]]="","",RawDataGenPO[[#This Row],[Date recive bill]]-RawDataGenPO[[#This Row],[Date Gen PO]])</f>
        <v/>
      </c>
      <c r="AB2005" s="16">
        <f>IF(RawDataGenPO[[#This Row],[GRN-PO date]]&gt;RawDataGenPO[[#This Row],[Lead time delivery (day)]],"over deliverry","Ontime")</f>
        <v/>
      </c>
      <c r="AC2005" s="22" t="n"/>
    </row>
    <row r="2006" ht="15" customHeight="1">
      <c r="A2006" s="5">
        <f>ROW()-ROW(RawDataGenPO[[#Headers],[No.]])</f>
        <v/>
      </c>
      <c r="B2006" s="29" t="inlineStr">
        <is>
          <t>Expent  cost</t>
        </is>
      </c>
      <c r="C2006" s="373" t="n"/>
      <c r="D2006" s="374" t="n"/>
      <c r="E2006" s="374" t="n"/>
      <c r="F2006" s="281" t="n">
        <v>46076</v>
      </c>
      <c r="G2006" s="5" t="inlineStr">
        <is>
          <t>PR2526-04970</t>
        </is>
      </c>
      <c r="H2006" s="5" t="inlineStr">
        <is>
          <t xml:space="preserve">PO2526-06958 </t>
        </is>
      </c>
      <c r="I2006" s="286" t="n">
        <v>46080</v>
      </c>
      <c r="J2006" s="26" t="n"/>
      <c r="K2006" s="20" t="n">
        <v>60</v>
      </c>
      <c r="L2006" s="5" t="inlineStr">
        <is>
          <t>SFST81000009</t>
        </is>
      </c>
      <c r="M2006" s="7" t="inlineStr">
        <is>
          <t>Consumable part for MN</t>
        </is>
      </c>
      <c r="N2006" s="7" t="inlineStr">
        <is>
          <t>Consumable part</t>
        </is>
      </c>
      <c r="O2006" s="11" t="n">
        <v>2</v>
      </c>
      <c r="P2006" s="10" t="inlineStr">
        <is>
          <t>pcsstainless steel 304 thick 2.0 mm. length 120x240 cm.</t>
        </is>
      </c>
      <c r="Q2006" s="277" t="n">
        <v>3</v>
      </c>
      <c r="R2006" s="5" t="inlineStr">
        <is>
          <t>PCS.</t>
        </is>
      </c>
      <c r="S2006" s="284">
        <f>RawDataGenPO[[#This Row],[Total price]]/RawDataGenPO[[#This Row],[Qty'']]</f>
        <v/>
      </c>
      <c r="T2006" s="278" t="n">
        <v>12360</v>
      </c>
      <c r="U2006" s="291" t="n"/>
      <c r="V2006" s="7" t="inlineStr">
        <is>
          <t>V1000307 - M.C.K.STEEL CENTER CO., LTD.</t>
        </is>
      </c>
      <c r="W2006" s="30" t="inlineStr">
        <is>
          <t>Recive bill and GRN already</t>
        </is>
      </c>
      <c r="X2006" s="5" t="inlineStr">
        <is>
          <t>GRN2526-0008713</t>
        </is>
      </c>
      <c r="Y2006" s="3" t="n">
        <v>46087</v>
      </c>
      <c r="Z2006" s="23" t="n"/>
      <c r="AA2006" s="17">
        <f>IF(RawDataGenPO[[#This Row],[Date Gen PO]]="","",RawDataGenPO[[#This Row],[Date recive bill]]-RawDataGenPO[[#This Row],[Date Gen PO]])</f>
        <v/>
      </c>
      <c r="AB2006" s="16">
        <f>IF(RawDataGenPO[[#This Row],[GRN-PO date]]&gt;RawDataGenPO[[#This Row],[Lead time delivery (day)]],"over deliverry","Ontime")</f>
        <v/>
      </c>
      <c r="AC2006" s="22" t="n"/>
    </row>
    <row r="2007" ht="30" customHeight="1">
      <c r="A2007" s="5">
        <f>ROW()-ROW(RawDataGenPO[[#Headers],[No.]])</f>
        <v/>
      </c>
      <c r="B2007" s="29" t="inlineStr">
        <is>
          <t>Expent  cost</t>
        </is>
      </c>
      <c r="C2007" s="373" t="n"/>
      <c r="D2007" s="374" t="n"/>
      <c r="E2007" s="374" t="n"/>
      <c r="F2007" s="281" t="n">
        <v>46076</v>
      </c>
      <c r="G2007" s="5" t="inlineStr">
        <is>
          <t>PR2526-04971</t>
        </is>
      </c>
      <c r="H2007" s="32" t="inlineStr">
        <is>
          <t>PO2526-06959</t>
        </is>
      </c>
      <c r="I2007" s="286" t="n">
        <v>46080</v>
      </c>
      <c r="J2007" s="26" t="n"/>
      <c r="K2007" s="20" t="n">
        <v>60</v>
      </c>
      <c r="L2007" s="5" t="inlineStr">
        <is>
          <t>SFST81000050</t>
        </is>
      </c>
      <c r="M2007" s="7" t="inlineStr">
        <is>
          <t>Consumable part for MN</t>
        </is>
      </c>
      <c r="N2007" s="7" t="inlineStr">
        <is>
          <t>Consumable part</t>
        </is>
      </c>
      <c r="O2007" s="11" t="n">
        <v>1</v>
      </c>
      <c r="P2007" s="10" t="inlineStr">
        <is>
          <t>TOP RINSE tapinstall length8inch
headlength12inch TOP1-M98E-506SN12</t>
        </is>
      </c>
      <c r="Q2007" s="277" t="n">
        <v>1</v>
      </c>
      <c r="R2007" s="5" t="inlineStr">
        <is>
          <t>PCS.</t>
        </is>
      </c>
      <c r="S2007" s="284">
        <f>RawDataGenPO[[#This Row],[Total price]]/RawDataGenPO[[#This Row],[Qty'']]</f>
        <v/>
      </c>
      <c r="T2007" s="278" t="n">
        <v>3600</v>
      </c>
      <c r="U2007" s="291" t="n"/>
      <c r="V2007" s="7" t="inlineStr">
        <is>
          <t>V1000105 - Company WW W Ltd.</t>
        </is>
      </c>
      <c r="W2007" s="30" t="inlineStr">
        <is>
          <t>Recive bill and GRN already</t>
        </is>
      </c>
      <c r="X2007" s="5" t="inlineStr">
        <is>
          <t>GRN2526-0008678</t>
        </is>
      </c>
      <c r="Y2007" s="3" t="n">
        <v>46086</v>
      </c>
      <c r="Z2007" s="23" t="n"/>
      <c r="AA2007" s="17">
        <f>IF(RawDataGenPO[[#This Row],[Date Gen PO]]="","",RawDataGenPO[[#This Row],[Date recive bill]]-RawDataGenPO[[#This Row],[Date Gen PO]])</f>
        <v/>
      </c>
      <c r="AB2007" s="16">
        <f>IF(RawDataGenPO[[#This Row],[GRN-PO date]]&gt;RawDataGenPO[[#This Row],[Lead time delivery (day)]],"over deliverry","Ontime")</f>
        <v/>
      </c>
      <c r="AC2007" s="22" t="n"/>
    </row>
    <row r="2008" ht="15" customHeight="1">
      <c r="A2008" s="5">
        <f>ROW()-ROW(RawDataGenPO[[#Headers],[No.]])</f>
        <v/>
      </c>
      <c r="B2008" s="29" t="inlineStr">
        <is>
          <t>Expent  cost</t>
        </is>
      </c>
      <c r="C2008" s="373" t="n"/>
      <c r="D2008" s="374" t="n"/>
      <c r="E2008" s="374" t="n"/>
      <c r="F2008" s="281" t="n">
        <v>46084</v>
      </c>
      <c r="G2008" s="5" t="inlineStr">
        <is>
          <t>PR2526-05071</t>
        </is>
      </c>
      <c r="H2008" s="5" t="inlineStr">
        <is>
          <t>PO2526-07162</t>
        </is>
      </c>
      <c r="I2008" s="286" t="n">
        <v>46089</v>
      </c>
      <c r="J2008" s="26" t="n"/>
      <c r="K2008" s="20" t="n">
        <v>60</v>
      </c>
      <c r="L2008" s="5" t="inlineStr">
        <is>
          <t>SFST81000048</t>
        </is>
      </c>
      <c r="M2008" s="7" t="inlineStr">
        <is>
          <t>PD Machine</t>
        </is>
      </c>
      <c r="N2008" s="7" t="inlineStr">
        <is>
          <t>Vegetable Dicing Machine  Robot coupe CL-50 No.1</t>
        </is>
      </c>
      <c r="O2008" s="11" t="n">
        <v>1</v>
      </c>
      <c r="P2008" s="10" t="inlineStr">
        <is>
          <t>"ROBOT COUPE" PCB CL50E/1 PART NO. 1024815</t>
        </is>
      </c>
      <c r="Q2008" s="277" t="n">
        <v>1</v>
      </c>
      <c r="R2008" s="5" t="inlineStr">
        <is>
          <t>SET</t>
        </is>
      </c>
      <c r="S2008" s="284">
        <f>RawDataGenPO[[#This Row],[Total price]]/RawDataGenPO[[#This Row],[Qty'']]</f>
        <v/>
      </c>
      <c r="T2008" s="278" t="n">
        <v>5500</v>
      </c>
      <c r="U2008" s="291" t="n"/>
      <c r="V2008" s="7" t="inlineStr">
        <is>
          <t>V1000285 - BANGKOK SEVENFIVE CO., LTD</t>
        </is>
      </c>
      <c r="W2008" s="30" t="inlineStr">
        <is>
          <t>Recive bill and GRN already</t>
        </is>
      </c>
      <c r="X2008" s="5" t="inlineStr">
        <is>
          <t>GRN2526-0009311</t>
        </is>
      </c>
      <c r="Y2008" s="3" t="n">
        <v>46105</v>
      </c>
      <c r="Z2008" s="23" t="n"/>
      <c r="AA2008" s="17">
        <f>IF(RawDataGenPO[[#This Row],[Date Gen PO]]="","",RawDataGenPO[[#This Row],[Date recive bill]]-RawDataGenPO[[#This Row],[Date Gen PO]])</f>
        <v/>
      </c>
      <c r="AB2008" s="16">
        <f>IF(RawDataGenPO[[#This Row],[GRN-PO date]]&gt;RawDataGenPO[[#This Row],[Lead time delivery (day)]],"over deliverry","Ontime")</f>
        <v/>
      </c>
      <c r="AC2008" s="22" t="n"/>
    </row>
    <row r="2009" ht="30" customHeight="1">
      <c r="A2009" s="5">
        <f>ROW()-ROW(RawDataGenPO[[#Headers],[No.]])</f>
        <v/>
      </c>
      <c r="B2009" s="29" t="inlineStr">
        <is>
          <t>Expent  cost</t>
        </is>
      </c>
      <c r="C2009" s="373" t="n"/>
      <c r="D2009" s="374" t="n"/>
      <c r="E2009" s="374" t="n"/>
      <c r="F2009" s="281" t="n">
        <v>46084</v>
      </c>
      <c r="G2009" s="5" t="inlineStr">
        <is>
          <t>PR2526-05085</t>
        </is>
      </c>
      <c r="H2009" s="5" t="inlineStr">
        <is>
          <t xml:space="preserve">PO2526-07163 </t>
        </is>
      </c>
      <c r="I2009" s="286" t="n">
        <v>46089</v>
      </c>
      <c r="J2009" s="26" t="n"/>
      <c r="K2009" s="20" t="n">
        <v>60</v>
      </c>
      <c r="L2009" s="5" t="inlineStr">
        <is>
          <t>SFST81000048</t>
        </is>
      </c>
      <c r="M2009" s="7" t="inlineStr">
        <is>
          <t>PD Machine</t>
        </is>
      </c>
      <c r="N2009" s="7" t="inlineStr">
        <is>
          <t>Pan Fryer machine No.1</t>
        </is>
      </c>
      <c r="O2009" s="11" t="n">
        <v>1</v>
      </c>
      <c r="P2009" s="10" t="inlineStr">
        <is>
          <t>SUS formachine TTD-400/1SB
(Grill Deep Fryer)</t>
        </is>
      </c>
      <c r="Q2009" s="277" t="n">
        <v>2</v>
      </c>
      <c r="R2009" s="5" t="inlineStr">
        <is>
          <t>SET</t>
        </is>
      </c>
      <c r="S2009" s="284">
        <f>RawDataGenPO[[#This Row],[Total price]]/RawDataGenPO[[#This Row],[Qty'']]</f>
        <v/>
      </c>
      <c r="T2009" s="278" t="n">
        <v>20000</v>
      </c>
      <c r="U2009" s="291" t="n"/>
      <c r="V2009" s="7" t="inlineStr">
        <is>
          <t xml:space="preserve"> V1000288 - Siam Scale &amp; Engineering Co.,ltd.</t>
        </is>
      </c>
      <c r="W2009" s="30" t="inlineStr">
        <is>
          <t xml:space="preserve">Waitting Supplier transportation </t>
        </is>
      </c>
      <c r="Z2009" s="23" t="n"/>
      <c r="AA2009" s="17">
        <f>IF(RawDataGenPO[[#This Row],[Date Gen PO]]="","",RawDataGenPO[[#This Row],[Date recive bill]]-RawDataGenPO[[#This Row],[Date Gen PO]])</f>
        <v/>
      </c>
      <c r="AB2009" s="16">
        <f>IF(RawDataGenPO[[#This Row],[GRN-PO date]]&gt;RawDataGenPO[[#This Row],[Lead time delivery (day)]],"over deliverry","Ontime")</f>
        <v/>
      </c>
      <c r="AC2009" s="22" t="n"/>
    </row>
    <row r="2010" ht="30" customHeight="1">
      <c r="A2010" s="5">
        <f>ROW()-ROW(RawDataGenPO[[#Headers],[No.]])</f>
        <v/>
      </c>
      <c r="B2010" s="29" t="inlineStr">
        <is>
          <t>Expent  cost</t>
        </is>
      </c>
      <c r="C2010" s="373" t="n"/>
      <c r="D2010" s="374" t="n"/>
      <c r="E2010" s="374" t="n"/>
      <c r="F2010" s="281" t="n">
        <v>46084</v>
      </c>
      <c r="G2010" s="5" t="inlineStr">
        <is>
          <t>PR2526-05086</t>
        </is>
      </c>
      <c r="H2010" s="5" t="inlineStr">
        <is>
          <t>PO2526-07179</t>
        </is>
      </c>
      <c r="I2010" s="286" t="n">
        <v>46089</v>
      </c>
      <c r="J2010" s="26" t="n"/>
      <c r="K2010" s="20" t="n">
        <v>60</v>
      </c>
      <c r="L2010" s="5" t="inlineStr">
        <is>
          <t>SFST81000048</t>
        </is>
      </c>
      <c r="M2010" s="7" t="inlineStr">
        <is>
          <t>PD Machine</t>
        </is>
      </c>
      <c r="N2010" s="7" t="inlineStr">
        <is>
          <t>Can Opener No.1</t>
        </is>
      </c>
      <c r="O2010" s="11" t="n">
        <v>1</v>
      </c>
      <c r="P2010" s="10" t="inlineStr">
        <is>
          <t>Blade for can opener: "EDLUND" KIT, 203/266, REPLACEMENT # KT2326</t>
        </is>
      </c>
      <c r="Q2010" s="277" t="n">
        <v>2</v>
      </c>
      <c r="R2010" s="5" t="inlineStr">
        <is>
          <t>SET</t>
        </is>
      </c>
      <c r="S2010" s="284">
        <f>RawDataGenPO[[#This Row],[Total price]]/RawDataGenPO[[#This Row],[Qty'']]</f>
        <v/>
      </c>
      <c r="T2010" s="278" t="n">
        <v>5400</v>
      </c>
      <c r="U2010" s="291" t="n"/>
      <c r="V2010" s="7" t="inlineStr">
        <is>
          <t>V1000285 - BANGKOK SEVENFIVE CO., LTD</t>
        </is>
      </c>
      <c r="W2010" s="30" t="inlineStr">
        <is>
          <t>Recive bill and GRN already</t>
        </is>
      </c>
      <c r="X2010" s="5" t="inlineStr">
        <is>
          <t>GRN2526-0009316</t>
        </is>
      </c>
      <c r="Y2010" s="3" t="n">
        <v>46105</v>
      </c>
      <c r="Z2010" s="23" t="n"/>
      <c r="AA2010" s="17">
        <f>IF(RawDataGenPO[[#This Row],[Date Gen PO]]="","",RawDataGenPO[[#This Row],[Date recive bill]]-RawDataGenPO[[#This Row],[Date Gen PO]])</f>
        <v/>
      </c>
      <c r="AB2010" s="16">
        <f>IF(RawDataGenPO[[#This Row],[GRN-PO date]]&gt;RawDataGenPO[[#This Row],[Lead time delivery (day)]],"over deliverry","Ontime")</f>
        <v/>
      </c>
      <c r="AC2010" s="22" t="n"/>
    </row>
    <row r="2011" ht="45" customHeight="1">
      <c r="A2011" s="5">
        <f>ROW()-ROW(RawDataGenPO[[#Headers],[No.]])</f>
        <v/>
      </c>
      <c r="B2011" s="29" t="inlineStr">
        <is>
          <t>Expent  cost</t>
        </is>
      </c>
      <c r="C2011" s="373" t="n"/>
      <c r="D2011" s="374" t="n"/>
      <c r="E2011" s="374" t="n"/>
      <c r="F2011" s="281" t="n">
        <v>46084</v>
      </c>
      <c r="G2011" s="5" t="inlineStr">
        <is>
          <t>PR2526-05087</t>
        </is>
      </c>
      <c r="H2011" s="5" t="inlineStr">
        <is>
          <t xml:space="preserve">PO2526-07192 </t>
        </is>
      </c>
      <c r="I2011" s="286" t="n">
        <v>46094</v>
      </c>
      <c r="J2011" s="26" t="n"/>
      <c r="K2011" s="20" t="n">
        <v>60</v>
      </c>
      <c r="L2011" s="5" t="inlineStr">
        <is>
          <t>SFST81000048</t>
        </is>
      </c>
      <c r="M2011" s="7" t="inlineStr">
        <is>
          <t>Electrical system in PD area</t>
        </is>
      </c>
      <c r="N2011" s="7" t="inlineStr">
        <is>
          <t>Electrical jobs</t>
        </is>
      </c>
      <c r="O2011" s="11" t="n">
        <v>1</v>
      </c>
      <c r="P2011" s="10" t="inlineStr">
        <is>
          <t>workinstall Power plug 380 V.
- Power plug 3P+N+E 16A Weather Proof 2 PC
- Box Stainless 304 150x150x100 1 PC</t>
        </is>
      </c>
      <c r="Q2011" s="277" t="n">
        <v>1</v>
      </c>
      <c r="R2011" s="5" t="inlineStr">
        <is>
          <t>JOB.</t>
        </is>
      </c>
      <c r="S2011" s="284">
        <f>RawDataGenPO[[#This Row],[Total price]]/RawDataGenPO[[#This Row],[Qty'']]</f>
        <v/>
      </c>
      <c r="T2011" s="278" t="n">
        <v>5900</v>
      </c>
      <c r="U2011" s="291" t="n"/>
      <c r="V2011" s="7" t="inlineStr">
        <is>
          <t>V1000922 - WORMMEC COMPANY LIMITED</t>
        </is>
      </c>
      <c r="W2011" s="30" t="inlineStr">
        <is>
          <t>Recive bill and GRN already</t>
        </is>
      </c>
      <c r="X2011" s="5" t="inlineStr">
        <is>
          <t>GRN2627-0000037</t>
        </is>
      </c>
      <c r="Y2011" s="3" t="n">
        <v>46114</v>
      </c>
      <c r="Z2011" s="23" t="n"/>
      <c r="AA2011" s="17">
        <f>IF(RawDataGenPO[[#This Row],[Date Gen PO]]="","",RawDataGenPO[[#This Row],[Date recive bill]]-RawDataGenPO[[#This Row],[Date Gen PO]])</f>
        <v/>
      </c>
      <c r="AB2011" s="16">
        <f>IF(RawDataGenPO[[#This Row],[GRN-PO date]]&gt;RawDataGenPO[[#This Row],[Lead time delivery (day)]],"over deliverry","Ontime")</f>
        <v/>
      </c>
      <c r="AC2011" s="22" t="n"/>
    </row>
    <row r="2012" ht="45" customHeight="1">
      <c r="A2012" s="5">
        <f>ROW()-ROW(RawDataGenPO[[#Headers],[No.]])</f>
        <v/>
      </c>
      <c r="B2012" s="29" t="inlineStr">
        <is>
          <t>Expent  cost</t>
        </is>
      </c>
      <c r="C2012" s="373" t="n"/>
      <c r="D2012" s="374" t="n"/>
      <c r="E2012" s="374" t="n"/>
      <c r="F2012" s="281" t="n">
        <v>46084</v>
      </c>
      <c r="G2012" s="5" t="inlineStr">
        <is>
          <t>PR2526-05087</t>
        </is>
      </c>
      <c r="H2012" s="5" t="inlineStr">
        <is>
          <t xml:space="preserve">PO2526-07192 </t>
        </is>
      </c>
      <c r="I2012" s="286" t="n">
        <v>46094</v>
      </c>
      <c r="J2012" s="26" t="n"/>
      <c r="K2012" s="20" t="n">
        <v>60</v>
      </c>
      <c r="L2012" s="5" t="inlineStr">
        <is>
          <t>SFST81000048</t>
        </is>
      </c>
      <c r="M2012" s="7" t="inlineStr">
        <is>
          <t>Electrical system in PD area</t>
        </is>
      </c>
      <c r="N2012" s="7" t="inlineStr">
        <is>
          <t>Electrical jobs</t>
        </is>
      </c>
      <c r="O2012" s="11" t="n">
        <v>2</v>
      </c>
      <c r="P2012" s="10" t="inlineStr">
        <is>
          <t>workrunelectrical cable
- IEC01 4 sq.mm. 60 PC
- workinletcable 2 JOB.</t>
        </is>
      </c>
      <c r="Q2012" s="277" t="n">
        <v>1</v>
      </c>
      <c r="R2012" s="5" t="inlineStr">
        <is>
          <t>JOB.</t>
        </is>
      </c>
      <c r="S2012" s="284">
        <f>RawDataGenPO[[#This Row],[Total price]]/RawDataGenPO[[#This Row],[Qty'']]</f>
        <v/>
      </c>
      <c r="T2012" s="278" t="n">
        <v>4300</v>
      </c>
      <c r="U2012" s="291" t="n"/>
      <c r="V2012" s="7" t="inlineStr">
        <is>
          <t>V1000922 - WORMMEC COMPANY LIMITED</t>
        </is>
      </c>
      <c r="W2012" s="30" t="inlineStr">
        <is>
          <t>Recive bill and GRN already</t>
        </is>
      </c>
      <c r="X2012" s="5" t="inlineStr">
        <is>
          <t>GRN2627-0000037</t>
        </is>
      </c>
      <c r="Y2012" s="3" t="n">
        <v>46114</v>
      </c>
      <c r="Z2012" s="23" t="n"/>
      <c r="AA2012" s="17">
        <f>IF(RawDataGenPO[[#This Row],[Date Gen PO]]="","",RawDataGenPO[[#This Row],[Date recive bill]]-RawDataGenPO[[#This Row],[Date Gen PO]])</f>
        <v/>
      </c>
      <c r="AB2012" s="16">
        <f>IF(RawDataGenPO[[#This Row],[GRN-PO date]]&gt;RawDataGenPO[[#This Row],[Lead time delivery (day)]],"over deliverry","Ontime")</f>
        <v/>
      </c>
      <c r="AC2012" s="22" t="n"/>
    </row>
    <row r="2013" ht="60" customHeight="1">
      <c r="A2013" s="5">
        <f>ROW()-ROW(RawDataGenPO[[#Headers],[No.]])</f>
        <v/>
      </c>
      <c r="B2013" s="29" t="inlineStr">
        <is>
          <t>Expent  cost</t>
        </is>
      </c>
      <c r="C2013" s="373" t="n"/>
      <c r="D2013" s="374" t="n"/>
      <c r="E2013" s="374" t="n"/>
      <c r="F2013" s="281" t="n">
        <v>46084</v>
      </c>
      <c r="G2013" s="5" t="inlineStr">
        <is>
          <t>PR2526-05087</t>
        </is>
      </c>
      <c r="H2013" s="5" t="inlineStr">
        <is>
          <t xml:space="preserve">PO2526-07192 </t>
        </is>
      </c>
      <c r="I2013" s="286" t="n">
        <v>46094</v>
      </c>
      <c r="J2013" s="26" t="n"/>
      <c r="K2013" s="20" t="n">
        <v>60</v>
      </c>
      <c r="L2013" s="5" t="inlineStr">
        <is>
          <t>SFST81000048</t>
        </is>
      </c>
      <c r="M2013" s="7" t="inlineStr">
        <is>
          <t>Electrical system in PD area</t>
        </is>
      </c>
      <c r="N2013" s="7" t="inlineStr">
        <is>
          <t>Electrical jobs</t>
        </is>
      </c>
      <c r="O2013" s="11" t="n">
        <v>3</v>
      </c>
      <c r="P2013" s="10" t="inlineStr">
        <is>
          <t>work runpipe Conduit
- DWSM1114 10 PC
- UPVC 3/4 12 PC
- Equipment 1 SET</t>
        </is>
      </c>
      <c r="Q2013" s="277" t="n">
        <v>1</v>
      </c>
      <c r="R2013" s="5" t="inlineStr">
        <is>
          <t>JOB.</t>
        </is>
      </c>
      <c r="S2013" s="284">
        <f>RawDataGenPO[[#This Row],[Total price]]/RawDataGenPO[[#This Row],[Qty'']]</f>
        <v/>
      </c>
      <c r="T2013" s="278" t="n">
        <v>5130</v>
      </c>
      <c r="U2013" s="291" t="n"/>
      <c r="V2013" s="7" t="inlineStr">
        <is>
          <t>V1000922 - WORMMEC COMPANY LIMITED</t>
        </is>
      </c>
      <c r="W2013" s="30" t="inlineStr">
        <is>
          <t>Recive bill and GRN already</t>
        </is>
      </c>
      <c r="X2013" s="5" t="inlineStr">
        <is>
          <t>GRN2627-0000037</t>
        </is>
      </c>
      <c r="Y2013" s="3" t="n">
        <v>46114</v>
      </c>
      <c r="Z2013" s="23" t="n"/>
      <c r="AA2013" s="17">
        <f>IF(RawDataGenPO[[#This Row],[Date Gen PO]]="","",RawDataGenPO[[#This Row],[Date recive bill]]-RawDataGenPO[[#This Row],[Date Gen PO]])</f>
        <v/>
      </c>
      <c r="AB2013" s="16">
        <f>IF(RawDataGenPO[[#This Row],[GRN-PO date]]&gt;RawDataGenPO[[#This Row],[Lead time delivery (day)]],"over deliverry","Ontime")</f>
        <v/>
      </c>
      <c r="AC2013" s="22" t="n"/>
    </row>
    <row r="2014" ht="60" customHeight="1">
      <c r="A2014" s="5">
        <f>ROW()-ROW(RawDataGenPO[[#Headers],[No.]])</f>
        <v/>
      </c>
      <c r="B2014" s="29" t="inlineStr">
        <is>
          <t>Expent  cost</t>
        </is>
      </c>
      <c r="C2014" s="373" t="n"/>
      <c r="D2014" s="374" t="n"/>
      <c r="E2014" s="374" t="n"/>
      <c r="F2014" s="281" t="n">
        <v>46084</v>
      </c>
      <c r="G2014" s="5" t="inlineStr">
        <is>
          <t>PR2526-05087</t>
        </is>
      </c>
      <c r="H2014" s="5" t="inlineStr">
        <is>
          <t xml:space="preserve">PO2526-07192 </t>
        </is>
      </c>
      <c r="I2014" s="286" t="n">
        <v>46094</v>
      </c>
      <c r="J2014" s="26" t="n"/>
      <c r="K2014" s="20" t="n">
        <v>60</v>
      </c>
      <c r="L2014" s="5" t="inlineStr">
        <is>
          <t>SFST81000048</t>
        </is>
      </c>
      <c r="M2014" s="7" t="inlineStr">
        <is>
          <t>Electrical system in PD area</t>
        </is>
      </c>
      <c r="N2014" s="7" t="inlineStr">
        <is>
          <t>Electrical jobs</t>
        </is>
      </c>
      <c r="O2014" s="11" t="n">
        <v>4</v>
      </c>
      <c r="P2014" s="10" t="inlineStr">
        <is>
          <t>work Flexible
- Flex 1" 1 PC
- Accessory 1 PC
- Overhead and Profit 1 JOB.</t>
        </is>
      </c>
      <c r="Q2014" s="277" t="n">
        <v>1</v>
      </c>
      <c r="R2014" s="5" t="inlineStr">
        <is>
          <t>JOB.</t>
        </is>
      </c>
      <c r="S2014" s="284">
        <f>RawDataGenPO[[#This Row],[Total price]]/RawDataGenPO[[#This Row],[Qty'']]</f>
        <v/>
      </c>
      <c r="T2014" s="278" t="n">
        <v>9550</v>
      </c>
      <c r="U2014" s="291" t="n"/>
      <c r="V2014" s="7" t="inlineStr">
        <is>
          <t>V1000922 - WORMMEC COMPANY LIMITED</t>
        </is>
      </c>
      <c r="W2014" s="30" t="inlineStr">
        <is>
          <t>Recive bill and GRN already</t>
        </is>
      </c>
      <c r="X2014" s="5" t="inlineStr">
        <is>
          <t>GRN2627-0000037</t>
        </is>
      </c>
      <c r="Y2014" s="3" t="n">
        <v>46114</v>
      </c>
      <c r="Z2014" s="23" t="n"/>
      <c r="AA2014" s="17">
        <f>IF(RawDataGenPO[[#This Row],[Date Gen PO]]="","",RawDataGenPO[[#This Row],[Date recive bill]]-RawDataGenPO[[#This Row],[Date Gen PO]])</f>
        <v/>
      </c>
      <c r="AB2014" s="16">
        <f>IF(RawDataGenPO[[#This Row],[GRN-PO date]]&gt;RawDataGenPO[[#This Row],[Lead time delivery (day)]],"over deliverry","Ontime")</f>
        <v/>
      </c>
      <c r="AC2014" s="22" t="n"/>
    </row>
    <row r="2015" ht="30" customHeight="1">
      <c r="A2015" s="5">
        <f>ROW()-ROW(RawDataGenPO[[#Headers],[No.]])</f>
        <v/>
      </c>
      <c r="B2015" s="29" t="inlineStr">
        <is>
          <t>Expent  cost</t>
        </is>
      </c>
      <c r="C2015" s="373" t="n"/>
      <c r="D2015" s="374" t="n"/>
      <c r="E2015" s="374" t="n"/>
      <c r="F2015" s="281" t="n">
        <v>46084</v>
      </c>
      <c r="G2015" s="5" t="inlineStr">
        <is>
          <t>PR2526-05088</t>
        </is>
      </c>
      <c r="H2015" s="5" t="inlineStr">
        <is>
          <t>PO2526-07167</t>
        </is>
      </c>
      <c r="I2015" s="286" t="n">
        <v>46089</v>
      </c>
      <c r="J2015" s="26" t="n"/>
      <c r="K2015" s="20" t="n">
        <v>60</v>
      </c>
      <c r="L2015" s="5" t="inlineStr">
        <is>
          <t>SFST81000048</t>
        </is>
      </c>
      <c r="M2015" s="7" t="inlineStr">
        <is>
          <t>Utility Jobs  (Boiler-Air compress-Transformer-LPG)</t>
        </is>
      </c>
      <c r="N2015" s="7" t="inlineStr">
        <is>
          <t>Steam Boiler  No.1</t>
        </is>
      </c>
      <c r="O2015" s="11" t="n">
        <v>1</v>
      </c>
      <c r="P2015" s="10" t="inlineStr">
        <is>
          <t>Gas Train " Dungs " MB-DLE 420
SEAL CONTROL" DUNGS" VPS504 S02</t>
        </is>
      </c>
      <c r="Q2015" s="277" t="n">
        <v>1</v>
      </c>
      <c r="R2015" s="5" t="inlineStr">
        <is>
          <t>JOB.</t>
        </is>
      </c>
      <c r="S2015" s="284">
        <f>RawDataGenPO[[#This Row],[Total price]]/RawDataGenPO[[#This Row],[Qty'']]</f>
        <v/>
      </c>
      <c r="T2015" s="278" t="n">
        <v>75000</v>
      </c>
      <c r="U2015" s="291" t="n"/>
      <c r="V2015" s="7" t="inlineStr">
        <is>
          <t>V1000053 - THAI K.BOILER CO.,LTD.</t>
        </is>
      </c>
      <c r="W2015" s="30" t="inlineStr">
        <is>
          <t>Recive bill and GRN already</t>
        </is>
      </c>
      <c r="X2015" s="5" t="inlineStr">
        <is>
          <t>GRN2526-0009256</t>
        </is>
      </c>
      <c r="Y2015" s="3" t="n">
        <v>46101</v>
      </c>
      <c r="Z2015" s="23" t="n"/>
      <c r="AA2015" s="17">
        <f>IF(RawDataGenPO[[#This Row],[Date Gen PO]]="","",RawDataGenPO[[#This Row],[Date recive bill]]-RawDataGenPO[[#This Row],[Date Gen PO]])</f>
        <v/>
      </c>
      <c r="AB2015" s="16">
        <f>IF(RawDataGenPO[[#This Row],[GRN-PO date]]&gt;RawDataGenPO[[#This Row],[Lead time delivery (day)]],"over deliverry","Ontime")</f>
        <v/>
      </c>
      <c r="AC2015" s="22" t="n"/>
    </row>
    <row r="2016" ht="60" customHeight="1">
      <c r="A2016" s="5">
        <f>ROW()-ROW(RawDataGenPO[[#Headers],[No.]])</f>
        <v/>
      </c>
      <c r="B2016" s="29" t="inlineStr">
        <is>
          <t>Expent  cost</t>
        </is>
      </c>
      <c r="C2016" s="373" t="n"/>
      <c r="D2016" s="374" t="n"/>
      <c r="E2016" s="374" t="n"/>
      <c r="F2016" s="281" t="n">
        <v>46084</v>
      </c>
      <c r="G2016" s="5" t="inlineStr">
        <is>
          <t>PR2526-05089</t>
        </is>
      </c>
      <c r="H2016" s="5" t="inlineStr">
        <is>
          <t>PO2526-07194</t>
        </is>
      </c>
      <c r="I2016" s="286" t="n">
        <v>46089</v>
      </c>
      <c r="J2016" s="26" t="n"/>
      <c r="K2016" s="20" t="n">
        <v>60</v>
      </c>
      <c r="L2016" s="5" t="inlineStr">
        <is>
          <t>SFST81000048</t>
        </is>
      </c>
      <c r="M2016" s="7" t="inlineStr">
        <is>
          <t>Utility Jobs  (Boiler-Air compress-Transformer-LPG)</t>
        </is>
      </c>
      <c r="N2016" s="7" t="inlineStr">
        <is>
          <t>Steam Boiler  No.2</t>
        </is>
      </c>
      <c r="O2016" s="11" t="n">
        <v>1</v>
      </c>
      <c r="P2016" s="10" t="inlineStr">
        <is>
          <t>Service chargeinspection Alarm Burner Lockout
- inspection Burner
- /repair Alarm Burner Lockout
- , work, mwork</t>
        </is>
      </c>
      <c r="Q2016" s="277" t="n">
        <v>1</v>
      </c>
      <c r="R2016" s="5" t="inlineStr">
        <is>
          <t>JOB.</t>
        </is>
      </c>
      <c r="S2016" s="284">
        <f>RawDataGenPO[[#This Row],[Total price]]/RawDataGenPO[[#This Row],[Qty'']]</f>
        <v/>
      </c>
      <c r="T2016" s="278" t="n">
        <v>7000</v>
      </c>
      <c r="U2016" s="291" t="n"/>
      <c r="V2016" s="7" t="inlineStr">
        <is>
          <t>V1000053 - THAI K.BOILER CO.,LTD.</t>
        </is>
      </c>
      <c r="W2016" s="30" t="inlineStr">
        <is>
          <t>Recive bill and GRN already</t>
        </is>
      </c>
      <c r="X2016" s="5" t="inlineStr">
        <is>
          <t>GRN2526-0009255</t>
        </is>
      </c>
      <c r="Y2016" s="3" t="n">
        <v>46101</v>
      </c>
      <c r="Z2016" s="23" t="n"/>
      <c r="AA2016" s="17">
        <f>IF(RawDataGenPO[[#This Row],[Date Gen PO]]="","",RawDataGenPO[[#This Row],[Date recive bill]]-RawDataGenPO[[#This Row],[Date Gen PO]])</f>
        <v/>
      </c>
      <c r="AB2016" s="16">
        <f>IF(RawDataGenPO[[#This Row],[GRN-PO date]]&gt;RawDataGenPO[[#This Row],[Lead time delivery (day)]],"over deliverry","Ontime")</f>
        <v/>
      </c>
      <c r="AC2016" s="22" t="n"/>
    </row>
    <row r="2017" ht="15" customHeight="1">
      <c r="A2017" s="5">
        <f>ROW()-ROW(RawDataGenPO[[#Headers],[No.]])</f>
        <v/>
      </c>
      <c r="B2017" s="29" t="inlineStr">
        <is>
          <t>Expent  cost</t>
        </is>
      </c>
      <c r="C2017" s="373" t="n"/>
      <c r="D2017" s="374" t="n"/>
      <c r="E2017" s="374" t="n"/>
      <c r="F2017" s="281" t="n">
        <v>46084</v>
      </c>
      <c r="G2017" s="5" t="inlineStr">
        <is>
          <t>PR2526-05089</t>
        </is>
      </c>
      <c r="H2017" s="5" t="inlineStr">
        <is>
          <t xml:space="preserve">PO2526-07168 </t>
        </is>
      </c>
      <c r="I2017" s="286" t="n">
        <v>46089</v>
      </c>
      <c r="J2017" s="26" t="n"/>
      <c r="K2017" s="20" t="n">
        <v>60</v>
      </c>
      <c r="L2017" s="5" t="inlineStr">
        <is>
          <t>SFST81000048</t>
        </is>
      </c>
      <c r="M2017" s="7" t="inlineStr">
        <is>
          <t>Utility Jobs  (Boiler-Air compress-Transformer-LPG)</t>
        </is>
      </c>
      <c r="N2017" s="7" t="inlineStr">
        <is>
          <t>Steam Boiler  No.2</t>
        </is>
      </c>
      <c r="O2017" s="11" t="n">
        <v>2</v>
      </c>
      <c r="P2017" s="10" t="inlineStr">
        <is>
          <t>Ig Electrode (W)</t>
        </is>
      </c>
      <c r="Q2017" s="277" t="n">
        <v>1</v>
      </c>
      <c r="R2017" s="5" t="inlineStr">
        <is>
          <t>PC.</t>
        </is>
      </c>
      <c r="S2017" s="284">
        <f>RawDataGenPO[[#This Row],[Total price]]/RawDataGenPO[[#This Row],[Qty'']]</f>
        <v/>
      </c>
      <c r="T2017" s="278" t="n">
        <v>4000</v>
      </c>
      <c r="U2017" s="291" t="n"/>
      <c r="V2017" s="7" t="inlineStr">
        <is>
          <t>V1000053 - THAI K.BOILER CO.,LTD.</t>
        </is>
      </c>
      <c r="W2017" s="30" t="inlineStr">
        <is>
          <t>Recive bill and GRN already</t>
        </is>
      </c>
      <c r="X2017" s="5" t="inlineStr">
        <is>
          <t>GRN2526-0009257</t>
        </is>
      </c>
      <c r="Y2017" s="3" t="n">
        <v>46101</v>
      </c>
      <c r="Z2017" s="23" t="n"/>
      <c r="AA2017" s="17">
        <f>IF(RawDataGenPO[[#This Row],[Date Gen PO]]="","",RawDataGenPO[[#This Row],[Date recive bill]]-RawDataGenPO[[#This Row],[Date Gen PO]])</f>
        <v/>
      </c>
      <c r="AB2017" s="16">
        <f>IF(RawDataGenPO[[#This Row],[GRN-PO date]]&gt;RawDataGenPO[[#This Row],[Lead time delivery (day)]],"over deliverry","Ontime")</f>
        <v/>
      </c>
      <c r="AC2017" s="22" t="n"/>
    </row>
    <row r="2018" ht="15" customHeight="1">
      <c r="A2018" s="5">
        <f>ROW()-ROW(RawDataGenPO[[#Headers],[No.]])</f>
        <v/>
      </c>
      <c r="B2018" s="29" t="inlineStr">
        <is>
          <t>Expent  cost</t>
        </is>
      </c>
      <c r="C2018" s="373" t="n"/>
      <c r="D2018" s="374" t="n"/>
      <c r="E2018" s="374" t="n"/>
      <c r="F2018" s="281" t="n">
        <v>46084</v>
      </c>
      <c r="G2018" s="5" t="inlineStr">
        <is>
          <t>PR2526-05089</t>
        </is>
      </c>
      <c r="H2018" s="5" t="inlineStr">
        <is>
          <t xml:space="preserve">PO2526-07168 </t>
        </is>
      </c>
      <c r="I2018" s="286" t="n">
        <v>46089</v>
      </c>
      <c r="J2018" s="26" t="n"/>
      <c r="K2018" s="20" t="n">
        <v>60</v>
      </c>
      <c r="L2018" s="5" t="inlineStr">
        <is>
          <t>SFST81000048</t>
        </is>
      </c>
      <c r="M2018" s="7" t="inlineStr">
        <is>
          <t>Utility Jobs  (Boiler-Air compress-Transformer-LPG)</t>
        </is>
      </c>
      <c r="N2018" s="7" t="inlineStr">
        <is>
          <t>Steam Boiler  No.2</t>
        </is>
      </c>
      <c r="O2018" s="11" t="n">
        <v>3</v>
      </c>
      <c r="P2018" s="10" t="inlineStr">
        <is>
          <t>Ionization (pcs)</t>
        </is>
      </c>
      <c r="Q2018" s="277" t="n">
        <v>1</v>
      </c>
      <c r="R2018" s="5" t="inlineStr">
        <is>
          <t>PC.</t>
        </is>
      </c>
      <c r="S2018" s="284">
        <f>RawDataGenPO[[#This Row],[Total price]]/RawDataGenPO[[#This Row],[Qty'']]</f>
        <v/>
      </c>
      <c r="T2018" s="278" t="n">
        <v>4000</v>
      </c>
      <c r="U2018" s="291" t="n"/>
      <c r="V2018" s="7" t="inlineStr">
        <is>
          <t>V1000053 - THAI K.BOILER CO.,LTD.</t>
        </is>
      </c>
      <c r="W2018" s="30" t="inlineStr">
        <is>
          <t>Recive bill and GRN already</t>
        </is>
      </c>
      <c r="X2018" s="5" t="inlineStr">
        <is>
          <t>GRN2526-0009257</t>
        </is>
      </c>
      <c r="Y2018" s="3" t="n">
        <v>46101</v>
      </c>
      <c r="Z2018" s="23" t="n"/>
      <c r="AA2018" s="17">
        <f>IF(RawDataGenPO[[#This Row],[Date Gen PO]]="","",RawDataGenPO[[#This Row],[Date recive bill]]-RawDataGenPO[[#This Row],[Date Gen PO]])</f>
        <v/>
      </c>
      <c r="AB2018" s="16">
        <f>IF(RawDataGenPO[[#This Row],[GRN-PO date]]&gt;RawDataGenPO[[#This Row],[Lead time delivery (day)]],"over deliverry","Ontime")</f>
        <v/>
      </c>
      <c r="AC2018" s="22" t="n"/>
    </row>
    <row r="2019" ht="30" customHeight="1">
      <c r="A2019" s="5">
        <f>ROW()-ROW(RawDataGenPO[[#Headers],[No.]])</f>
        <v/>
      </c>
      <c r="B2019" s="29" t="inlineStr">
        <is>
          <t>Expent  cost</t>
        </is>
      </c>
      <c r="C2019" s="373" t="n"/>
      <c r="D2019" s="374" t="n"/>
      <c r="E2019" s="374" t="n"/>
      <c r="F2019" s="281" t="n">
        <v>46084</v>
      </c>
      <c r="G2019" s="5" t="inlineStr">
        <is>
          <t>PR2526-05089</t>
        </is>
      </c>
      <c r="H2019" s="5" t="inlineStr">
        <is>
          <t xml:space="preserve">PO2526-07168 </t>
        </is>
      </c>
      <c r="I2019" s="286" t="n">
        <v>46089</v>
      </c>
      <c r="J2019" s="26" t="n"/>
      <c r="K2019" s="20" t="n">
        <v>60</v>
      </c>
      <c r="L2019" s="5" t="inlineStr">
        <is>
          <t>SFST81000048</t>
        </is>
      </c>
      <c r="M2019" s="7" t="inlineStr">
        <is>
          <t>Utility Jobs  (Boiler-Air compress-Transformer-LPG)</t>
        </is>
      </c>
      <c r="N2019" s="7" t="inlineStr">
        <is>
          <t>Steam Boiler  No.2</t>
        </is>
      </c>
      <c r="O2019" s="11" t="n">
        <v>4</v>
      </c>
      <c r="P2019" s="10" t="inlineStr">
        <is>
          <t>Burner Control (m) Model: LME22.233C2BT (Siemens)
(spare part Burner TBG 120 MC, BALTUR)</t>
        </is>
      </c>
      <c r="Q2019" s="277" t="n">
        <v>1</v>
      </c>
      <c r="R2019" s="5" t="inlineStr">
        <is>
          <t>PC.</t>
        </is>
      </c>
      <c r="S2019" s="284">
        <f>RawDataGenPO[[#This Row],[Total price]]/RawDataGenPO[[#This Row],[Qty'']]</f>
        <v/>
      </c>
      <c r="T2019" s="278" t="n">
        <v>13800</v>
      </c>
      <c r="U2019" s="291" t="n"/>
      <c r="V2019" s="7" t="inlineStr">
        <is>
          <t>V1000053 - THAI K.BOILER CO.,LTD.</t>
        </is>
      </c>
      <c r="W2019" s="30" t="inlineStr">
        <is>
          <t>Recive bill and GRN already</t>
        </is>
      </c>
      <c r="X2019" s="5" t="inlineStr">
        <is>
          <t>GRN2526-0009257</t>
        </is>
      </c>
      <c r="Y2019" s="3" t="n">
        <v>46101</v>
      </c>
      <c r="Z2019" s="23" t="n"/>
      <c r="AA2019" s="17">
        <f>IF(RawDataGenPO[[#This Row],[Date Gen PO]]="","",RawDataGenPO[[#This Row],[Date recive bill]]-RawDataGenPO[[#This Row],[Date Gen PO]])</f>
        <v/>
      </c>
      <c r="AB2019" s="16">
        <f>IF(RawDataGenPO[[#This Row],[GRN-PO date]]&gt;RawDataGenPO[[#This Row],[Lead time delivery (day)]],"over deliverry","Ontime")</f>
        <v/>
      </c>
      <c r="AC2019" s="22" t="n"/>
    </row>
    <row r="2020" ht="30" customHeight="1">
      <c r="A2020" s="5">
        <f>ROW()-ROW(RawDataGenPO[[#Headers],[No.]])</f>
        <v/>
      </c>
      <c r="B2020" s="29" t="inlineStr">
        <is>
          <t>Expent  cost</t>
        </is>
      </c>
      <c r="C2020" s="373" t="n"/>
      <c r="D2020" s="374" t="n"/>
      <c r="E2020" s="374" t="n"/>
      <c r="F2020" s="281" t="n">
        <v>46086</v>
      </c>
      <c r="G2020" s="5" t="inlineStr">
        <is>
          <t>PR2526-05158</t>
        </is>
      </c>
      <c r="H2020" s="5" t="inlineStr">
        <is>
          <t>PO2526-07313</t>
        </is>
      </c>
      <c r="I2020" s="286" t="n">
        <v>46094</v>
      </c>
      <c r="J2020" s="26" t="n"/>
      <c r="K2020" s="20" t="n">
        <v>60</v>
      </c>
      <c r="L2020" s="5" t="inlineStr">
        <is>
          <t>SFST81000050</t>
        </is>
      </c>
      <c r="M2020" s="7" t="inlineStr">
        <is>
          <t>Electrical system in PD area</t>
        </is>
      </c>
      <c r="N2020" s="7" t="inlineStr">
        <is>
          <t>Electrical part</t>
        </is>
      </c>
      <c r="O2020" s="11" t="n">
        <v>1</v>
      </c>
      <c r="P2020" s="10" t="inlineStr">
        <is>
          <t>"DAKO PLUG" HTN 0251 male plugcenterwaterproof (3P + N + E) 32A 400V 6H IP67 5 pin</t>
        </is>
      </c>
      <c r="Q2020" s="277" t="n">
        <v>5</v>
      </c>
      <c r="R2020" s="5" t="inlineStr">
        <is>
          <t>PC.</t>
        </is>
      </c>
      <c r="S2020" s="284">
        <f>RawDataGenPO[[#This Row],[Total price]]/RawDataGenPO[[#This Row],[Qty'']]</f>
        <v/>
      </c>
      <c r="T2020" s="278" t="n">
        <v>1050</v>
      </c>
      <c r="U2020" s="291" t="n"/>
      <c r="V2020" s="7" t="inlineStr">
        <is>
          <t xml:space="preserve"> V1000276 - SN. ELECTRIC AND SUPPLY CO., LTD.</t>
        </is>
      </c>
      <c r="W2020" s="30" t="inlineStr">
        <is>
          <t>Recive bill and GRN already</t>
        </is>
      </c>
      <c r="X2020" s="5" t="inlineStr">
        <is>
          <t>GRN2526-0009192</t>
        </is>
      </c>
      <c r="Y2020" s="3" t="n">
        <v>46099</v>
      </c>
      <c r="Z2020" s="23" t="n"/>
      <c r="AA2020" s="17">
        <f>IF(RawDataGenPO[[#This Row],[Date Gen PO]]="","",RawDataGenPO[[#This Row],[Date recive bill]]-RawDataGenPO[[#This Row],[Date Gen PO]])</f>
        <v/>
      </c>
      <c r="AB2020" s="16">
        <f>IF(RawDataGenPO[[#This Row],[GRN-PO date]]&gt;RawDataGenPO[[#This Row],[Lead time delivery (day)]],"over deliverry","Ontime")</f>
        <v/>
      </c>
      <c r="AC2020" s="22" t="n"/>
    </row>
    <row r="2021" ht="15" customHeight="1">
      <c r="A2021" s="5">
        <f>ROW()-ROW(RawDataGenPO[[#Headers],[No.]])</f>
        <v/>
      </c>
      <c r="B2021" s="29" t="inlineStr">
        <is>
          <t>Expent  cost</t>
        </is>
      </c>
      <c r="C2021" s="373" t="n"/>
      <c r="D2021" s="374" t="n"/>
      <c r="E2021" s="374" t="n"/>
      <c r="F2021" s="281" t="n">
        <v>46086</v>
      </c>
      <c r="G2021" s="5" t="inlineStr">
        <is>
          <t>PR2526-05158</t>
        </is>
      </c>
      <c r="H2021" s="5" t="inlineStr">
        <is>
          <t>PO2526-07313</t>
        </is>
      </c>
      <c r="I2021" s="286" t="n">
        <v>46094</v>
      </c>
      <c r="J2021" s="26" t="n"/>
      <c r="K2021" s="20" t="n">
        <v>60</v>
      </c>
      <c r="L2021" s="5" t="inlineStr">
        <is>
          <t>SFST81000050</t>
        </is>
      </c>
      <c r="M2021" s="7" t="inlineStr">
        <is>
          <t>Electrical system in PD area</t>
        </is>
      </c>
      <c r="N2021" s="7" t="inlineStr">
        <is>
          <t>Electrical part</t>
        </is>
      </c>
      <c r="O2021" s="11" t="n">
        <v>2</v>
      </c>
      <c r="P2021" s="10" t="inlineStr">
        <is>
          <t>"DAKO PLUG" HTN0241 male plug 3P+E 32A 400V IP67 4 pin</t>
        </is>
      </c>
      <c r="Q2021" s="277" t="n">
        <v>3</v>
      </c>
      <c r="R2021" s="5" t="inlineStr">
        <is>
          <t>PC.</t>
        </is>
      </c>
      <c r="S2021" s="284">
        <f>RawDataGenPO[[#This Row],[Total price]]/RawDataGenPO[[#This Row],[Qty'']]</f>
        <v/>
      </c>
      <c r="T2021" s="278" t="n">
        <v>522</v>
      </c>
      <c r="U2021" s="291" t="n"/>
      <c r="V2021" s="7" t="inlineStr">
        <is>
          <t xml:space="preserve"> V1000276 - SN. ELECTRIC AND SUPPLY CO., LTD.</t>
        </is>
      </c>
      <c r="W2021" s="30" t="inlineStr">
        <is>
          <t>Recive bill and GRN already</t>
        </is>
      </c>
      <c r="X2021" s="5" t="inlineStr">
        <is>
          <t>GRN2526-0009192</t>
        </is>
      </c>
      <c r="Y2021" s="3" t="n">
        <v>46099</v>
      </c>
      <c r="Z2021" s="23" t="n"/>
      <c r="AA2021" s="17">
        <f>IF(RawDataGenPO[[#This Row],[Date Gen PO]]="","",RawDataGenPO[[#This Row],[Date recive bill]]-RawDataGenPO[[#This Row],[Date Gen PO]])</f>
        <v/>
      </c>
      <c r="AB2021" s="16">
        <f>IF(RawDataGenPO[[#This Row],[GRN-PO date]]&gt;RawDataGenPO[[#This Row],[Lead time delivery (day)]],"over deliverry","Ontime")</f>
        <v/>
      </c>
      <c r="AC2021" s="22" t="n"/>
    </row>
    <row r="2022" ht="30" customHeight="1">
      <c r="A2022" s="5">
        <f>ROW()-ROW(RawDataGenPO[[#Headers],[No.]])</f>
        <v/>
      </c>
      <c r="B2022" s="29" t="inlineStr">
        <is>
          <t>Expent  cost</t>
        </is>
      </c>
      <c r="C2022" s="373" t="n"/>
      <c r="D2022" s="374" t="n"/>
      <c r="E2022" s="374" t="n"/>
      <c r="F2022" s="281" t="n">
        <v>46086</v>
      </c>
      <c r="G2022" s="5" t="inlineStr">
        <is>
          <t>PR2526-05158</t>
        </is>
      </c>
      <c r="H2022" s="5" t="inlineStr">
        <is>
          <t>PO2526-07313</t>
        </is>
      </c>
      <c r="I2022" s="286" t="n">
        <v>46094</v>
      </c>
      <c r="J2022" s="26" t="n"/>
      <c r="K2022" s="20" t="n">
        <v>60</v>
      </c>
      <c r="L2022" s="5" t="inlineStr">
        <is>
          <t>SFST81000050</t>
        </is>
      </c>
      <c r="M2022" s="7" t="inlineStr">
        <is>
          <t>Electrical system in PD area</t>
        </is>
      </c>
      <c r="N2022" s="7" t="inlineStr">
        <is>
          <t>Electrical part</t>
        </is>
      </c>
      <c r="O2022" s="11" t="n">
        <v>3</v>
      </c>
      <c r="P2022" s="10" t="inlineStr">
        <is>
          <t>"DAKO PLUG" HTN 0231 male plugcenterwaterproof (2P + E) 32A 230V 6H IP67 3 pin</t>
        </is>
      </c>
      <c r="Q2022" s="277" t="n">
        <v>3</v>
      </c>
      <c r="R2022" s="5" t="inlineStr">
        <is>
          <t>PC.</t>
        </is>
      </c>
      <c r="S2022" s="284">
        <f>RawDataGenPO[[#This Row],[Total price]]/RawDataGenPO[[#This Row],[Qty'']]</f>
        <v/>
      </c>
      <c r="T2022" s="278" t="n">
        <v>477</v>
      </c>
      <c r="U2022" s="291" t="n"/>
      <c r="V2022" s="7" t="inlineStr">
        <is>
          <t xml:space="preserve"> V1000276 - SN. ELECTRIC AND SUPPLY CO., LTD.</t>
        </is>
      </c>
      <c r="W2022" s="30" t="inlineStr">
        <is>
          <t>Recive bill and GRN already</t>
        </is>
      </c>
      <c r="X2022" s="5" t="inlineStr">
        <is>
          <t>GRN2526-0009192</t>
        </is>
      </c>
      <c r="Y2022" s="3" t="n">
        <v>46099</v>
      </c>
      <c r="Z2022" s="23" t="n"/>
      <c r="AA2022" s="17">
        <f>IF(RawDataGenPO[[#This Row],[Date Gen PO]]="","",RawDataGenPO[[#This Row],[Date recive bill]]-RawDataGenPO[[#This Row],[Date Gen PO]])</f>
        <v/>
      </c>
      <c r="AB2022" s="16">
        <f>IF(RawDataGenPO[[#This Row],[GRN-PO date]]&gt;RawDataGenPO[[#This Row],[Lead time delivery (day)]],"over deliverry","Ontime")</f>
        <v/>
      </c>
      <c r="AC2022" s="22" t="n"/>
    </row>
    <row r="2023" ht="15" customHeight="1">
      <c r="A2023" s="5">
        <f>ROW()-ROW(RawDataGenPO[[#Headers],[No.]])</f>
        <v/>
      </c>
      <c r="B2023" s="29" t="inlineStr">
        <is>
          <t>Expent  cost</t>
        </is>
      </c>
      <c r="C2023" s="373" t="n"/>
      <c r="D2023" s="374" t="n"/>
      <c r="E2023" s="374" t="n"/>
      <c r="F2023" s="281" t="n">
        <v>46086</v>
      </c>
      <c r="G2023" s="5" t="inlineStr">
        <is>
          <t>PR2526-05158</t>
        </is>
      </c>
      <c r="H2023" s="5" t="inlineStr">
        <is>
          <t>PO2526-07313</t>
        </is>
      </c>
      <c r="I2023" s="286" t="n">
        <v>46094</v>
      </c>
      <c r="J2023" s="26" t="n"/>
      <c r="K2023" s="20" t="n">
        <v>60</v>
      </c>
      <c r="L2023" s="5" t="inlineStr">
        <is>
          <t>SFST81000050</t>
        </is>
      </c>
      <c r="M2023" s="7" t="inlineStr">
        <is>
          <t>Electrical system in PD area</t>
        </is>
      </c>
      <c r="N2023" s="7" t="inlineStr">
        <is>
          <t>Electrical part</t>
        </is>
      </c>
      <c r="O2023" s="11" t="n">
        <v>4</v>
      </c>
      <c r="P2023" s="10" t="inlineStr">
        <is>
          <t>"DAKO"Wmale plugwaterproof 3P + N + E 63A 5pin WWpluglight blue 5 pin</t>
        </is>
      </c>
      <c r="Q2023" s="277" t="n">
        <v>5</v>
      </c>
      <c r="R2023" s="5" t="inlineStr">
        <is>
          <t>PC.</t>
        </is>
      </c>
      <c r="S2023" s="284">
        <f>RawDataGenPO[[#This Row],[Total price]]/RawDataGenPO[[#This Row],[Qty'']]</f>
        <v/>
      </c>
      <c r="T2023" s="278" t="n">
        <v>3150</v>
      </c>
      <c r="U2023" s="291" t="n"/>
      <c r="V2023" s="7" t="inlineStr">
        <is>
          <t xml:space="preserve"> V1000276 - SN. ELECTRIC AND SUPPLY CO., LTD.</t>
        </is>
      </c>
      <c r="W2023" s="30" t="inlineStr">
        <is>
          <t>Recive bill and GRN already</t>
        </is>
      </c>
      <c r="X2023" s="5" t="inlineStr">
        <is>
          <t>GRN2526-0009192</t>
        </is>
      </c>
      <c r="Y2023" s="3" t="n">
        <v>46099</v>
      </c>
      <c r="Z2023" s="23" t="n"/>
      <c r="AA2023" s="17">
        <f>IF(RawDataGenPO[[#This Row],[Date Gen PO]]="","",RawDataGenPO[[#This Row],[Date recive bill]]-RawDataGenPO[[#This Row],[Date Gen PO]])</f>
        <v/>
      </c>
      <c r="AB2023" s="16">
        <f>IF(RawDataGenPO[[#This Row],[GRN-PO date]]&gt;RawDataGenPO[[#This Row],[Lead time delivery (day)]],"over deliverry","Ontime")</f>
        <v/>
      </c>
      <c r="AC2023" s="22" t="n"/>
    </row>
    <row r="2024" ht="15" customHeight="1">
      <c r="A2024" s="5">
        <f>ROW()-ROW(RawDataGenPO[[#Headers],[No.]])</f>
        <v/>
      </c>
      <c r="B2024" s="29" t="inlineStr">
        <is>
          <t>Expent  cost</t>
        </is>
      </c>
      <c r="C2024" s="373" t="n"/>
      <c r="D2024" s="374" t="n"/>
      <c r="E2024" s="374" t="n"/>
      <c r="F2024" s="281" t="n">
        <v>46086</v>
      </c>
      <c r="G2024" s="5" t="inlineStr">
        <is>
          <t>PR2526-05158</t>
        </is>
      </c>
      <c r="H2024" s="5" t="inlineStr">
        <is>
          <t>PO2526-07313</t>
        </is>
      </c>
      <c r="I2024" s="286" t="n">
        <v>46094</v>
      </c>
      <c r="J2024" s="26" t="n"/>
      <c r="K2024" s="20" t="n">
        <v>60</v>
      </c>
      <c r="L2024" s="5" t="inlineStr">
        <is>
          <t>SFST81000050</t>
        </is>
      </c>
      <c r="M2024" s="7" t="inlineStr">
        <is>
          <t>Electrical system in PD area</t>
        </is>
      </c>
      <c r="N2024" s="7" t="inlineStr">
        <is>
          <t>Electrical part</t>
        </is>
      </c>
      <c r="O2024" s="11" t="n">
        <v>5</v>
      </c>
      <c r="P2024" s="10" t="inlineStr">
        <is>
          <t>"DAKO PLUG" HTN0341 male plugwaterproof 3P+E 63A 400V IP67 4 pin</t>
        </is>
      </c>
      <c r="Q2024" s="277" t="n">
        <v>3</v>
      </c>
      <c r="R2024" s="5" t="inlineStr">
        <is>
          <t>PC.</t>
        </is>
      </c>
      <c r="S2024" s="284">
        <f>RawDataGenPO[[#This Row],[Total price]]/RawDataGenPO[[#This Row],[Qty'']]</f>
        <v/>
      </c>
      <c r="T2024" s="278" t="n">
        <v>1695</v>
      </c>
      <c r="U2024" s="291" t="n"/>
      <c r="V2024" s="7" t="inlineStr">
        <is>
          <t xml:space="preserve"> V1000276 - SN. ELECTRIC AND SUPPLY CO., LTD.</t>
        </is>
      </c>
      <c r="W2024" s="30" t="inlineStr">
        <is>
          <t>Recive bill and GRN already</t>
        </is>
      </c>
      <c r="X2024" s="5" t="inlineStr">
        <is>
          <t>GRN2526-0009192</t>
        </is>
      </c>
      <c r="Y2024" s="3" t="n">
        <v>46099</v>
      </c>
      <c r="Z2024" s="23" t="n"/>
      <c r="AA2024" s="17">
        <f>IF(RawDataGenPO[[#This Row],[Date Gen PO]]="","",RawDataGenPO[[#This Row],[Date recive bill]]-RawDataGenPO[[#This Row],[Date Gen PO]])</f>
        <v/>
      </c>
      <c r="AB2024" s="16">
        <f>IF(RawDataGenPO[[#This Row],[GRN-PO date]]&gt;RawDataGenPO[[#This Row],[Lead time delivery (day)]],"over deliverry","Ontime")</f>
        <v/>
      </c>
      <c r="AC2024" s="22" t="n"/>
    </row>
    <row r="2025" ht="30" customHeight="1">
      <c r="A2025" s="5">
        <f>ROW()-ROW(RawDataGenPO[[#Headers],[No.]])</f>
        <v/>
      </c>
      <c r="B2025" s="29" t="inlineStr">
        <is>
          <t>Expent  cost</t>
        </is>
      </c>
      <c r="C2025" s="373" t="n"/>
      <c r="D2025" s="374" t="n"/>
      <c r="E2025" s="374" t="n"/>
      <c r="F2025" s="281" t="n">
        <v>46086</v>
      </c>
      <c r="G2025" s="5" t="inlineStr">
        <is>
          <t>PR2526-05158</t>
        </is>
      </c>
      <c r="H2025" s="5" t="inlineStr">
        <is>
          <t>PO2526-07313</t>
        </is>
      </c>
      <c r="I2025" s="286" t="n">
        <v>46094</v>
      </c>
      <c r="J2025" s="26" t="n"/>
      <c r="K2025" s="20" t="n">
        <v>60</v>
      </c>
      <c r="L2025" s="5" t="inlineStr">
        <is>
          <t>SFST81000050</t>
        </is>
      </c>
      <c r="M2025" s="7" t="inlineStr">
        <is>
          <t>Electrical system in PD area</t>
        </is>
      </c>
      <c r="N2025" s="7" t="inlineStr">
        <is>
          <t>Electrical part</t>
        </is>
      </c>
      <c r="O2025" s="11" t="n">
        <v>6</v>
      </c>
      <c r="P2025" s="10" t="inlineStr">
        <is>
          <t>DAKO PLUG HTN 0331 male plugcenterwaterproof (2P + E) 63A 230V 6H IP67</t>
        </is>
      </c>
      <c r="Q2025" s="277" t="n">
        <v>3</v>
      </c>
      <c r="R2025" s="5" t="inlineStr">
        <is>
          <t>PC.</t>
        </is>
      </c>
      <c r="S2025" s="284">
        <f>RawDataGenPO[[#This Row],[Total price]]/RawDataGenPO[[#This Row],[Qty'']]</f>
        <v/>
      </c>
      <c r="T2025" s="278" t="n">
        <v>1530</v>
      </c>
      <c r="U2025" s="291" t="n"/>
      <c r="V2025" s="7" t="inlineStr">
        <is>
          <t xml:space="preserve"> V1000276 - SN. ELECTRIC AND SUPPLY CO., LTD.</t>
        </is>
      </c>
      <c r="W2025" s="30" t="inlineStr">
        <is>
          <t>Recive bill and GRN already</t>
        </is>
      </c>
      <c r="X2025" s="5" t="inlineStr">
        <is>
          <t>GRN2526-0009192</t>
        </is>
      </c>
      <c r="Y2025" s="3" t="n">
        <v>46099</v>
      </c>
      <c r="Z2025" s="23" t="n"/>
      <c r="AA2025" s="17">
        <f>IF(RawDataGenPO[[#This Row],[Date Gen PO]]="","",RawDataGenPO[[#This Row],[Date recive bill]]-RawDataGenPO[[#This Row],[Date Gen PO]])</f>
        <v/>
      </c>
      <c r="AB2025" s="16">
        <f>IF(RawDataGenPO[[#This Row],[GRN-PO date]]&gt;RawDataGenPO[[#This Row],[Lead time delivery (day)]],"over deliverry","Ontime")</f>
        <v/>
      </c>
      <c r="AC2025" s="22" t="n"/>
    </row>
    <row r="2026" ht="30" customHeight="1">
      <c r="A2026" s="5">
        <f>ROW()-ROW(RawDataGenPO[[#Headers],[No.]])</f>
        <v/>
      </c>
      <c r="B2026" s="29" t="inlineStr">
        <is>
          <t>Expent  cost</t>
        </is>
      </c>
      <c r="C2026" s="373" t="n"/>
      <c r="D2026" s="374" t="n"/>
      <c r="E2026" s="374" t="n"/>
      <c r="F2026" s="281" t="n">
        <v>46086</v>
      </c>
      <c r="G2026" s="5" t="inlineStr">
        <is>
          <t>PR2526-05158</t>
        </is>
      </c>
      <c r="H2026" s="5" t="inlineStr">
        <is>
          <t>PO2526-07313</t>
        </is>
      </c>
      <c r="I2026" s="286" t="n">
        <v>46094</v>
      </c>
      <c r="J2026" s="26" t="n"/>
      <c r="K2026" s="20" t="n">
        <v>60</v>
      </c>
      <c r="L2026" s="5" t="inlineStr">
        <is>
          <t>SFST81000050</t>
        </is>
      </c>
      <c r="M2026" s="7" t="inlineStr">
        <is>
          <t>Electrical system in PD area</t>
        </is>
      </c>
      <c r="N2026" s="7" t="inlineStr">
        <is>
          <t>Electrical part</t>
        </is>
      </c>
      <c r="O2026" s="11" t="n">
        <v>7</v>
      </c>
      <c r="P2026" s="10" t="inlineStr">
        <is>
          <t>"DAKO PLUG" HTN1351 female plugsurface-mountedwaterproof 3P + N + E 63A 400V IP67</t>
        </is>
      </c>
      <c r="Q2026" s="277" t="n">
        <v>3</v>
      </c>
      <c r="R2026" s="5" t="inlineStr">
        <is>
          <t>PC.</t>
        </is>
      </c>
      <c r="S2026" s="284">
        <f>RawDataGenPO[[#This Row],[Total price]]/RawDataGenPO[[#This Row],[Qty'']]</f>
        <v/>
      </c>
      <c r="T2026" s="278" t="n">
        <v>2580</v>
      </c>
      <c r="U2026" s="291" t="n"/>
      <c r="V2026" s="7" t="inlineStr">
        <is>
          <t xml:space="preserve"> V1000276 - SN. ELECTRIC AND SUPPLY CO., LTD.</t>
        </is>
      </c>
      <c r="W2026" s="30" t="inlineStr">
        <is>
          <t>Recive bill and GRN already</t>
        </is>
      </c>
      <c r="X2026" s="5" t="inlineStr">
        <is>
          <t>GRN2526-0009192</t>
        </is>
      </c>
      <c r="Y2026" s="3" t="n">
        <v>46099</v>
      </c>
      <c r="Z2026" s="23" t="n"/>
      <c r="AA2026" s="17">
        <f>IF(RawDataGenPO[[#This Row],[Date Gen PO]]="","",RawDataGenPO[[#This Row],[Date recive bill]]-RawDataGenPO[[#This Row],[Date Gen PO]])</f>
        <v/>
      </c>
      <c r="AB2026" s="16">
        <f>IF(RawDataGenPO[[#This Row],[GRN-PO date]]&gt;RawDataGenPO[[#This Row],[Lead time delivery (day)]],"over deliverry","Ontime")</f>
        <v/>
      </c>
      <c r="AC2026" s="22" t="n"/>
    </row>
    <row r="2027" ht="15" customHeight="1">
      <c r="A2027" s="5">
        <f>ROW()-ROW(RawDataGenPO[[#Headers],[No.]])</f>
        <v/>
      </c>
      <c r="B2027" s="29" t="inlineStr">
        <is>
          <t>Expent  cost</t>
        </is>
      </c>
      <c r="C2027" s="373" t="n"/>
      <c r="D2027" s="374" t="n"/>
      <c r="E2027" s="374" t="n"/>
      <c r="F2027" s="281" t="n">
        <v>46086</v>
      </c>
      <c r="G2027" s="5" t="inlineStr">
        <is>
          <t>PR2526-05158</t>
        </is>
      </c>
      <c r="H2027" s="5" t="inlineStr">
        <is>
          <t>PO2526-07313</t>
        </is>
      </c>
      <c r="I2027" s="286" t="n">
        <v>46094</v>
      </c>
      <c r="J2027" s="26" t="n"/>
      <c r="K2027" s="20" t="n">
        <v>60</v>
      </c>
      <c r="L2027" s="5" t="inlineStr">
        <is>
          <t>SFST81000050</t>
        </is>
      </c>
      <c r="M2027" s="7" t="inlineStr">
        <is>
          <t>Electrical system in PD area</t>
        </is>
      </c>
      <c r="N2027" s="7" t="inlineStr">
        <is>
          <t>Electrical part</t>
        </is>
      </c>
      <c r="O2027" s="11" t="n">
        <v>8</v>
      </c>
      <c r="P2027" s="10" t="inlineStr">
        <is>
          <t>"DAKO PLUG" HTN2341 waterproof inline female plug 3P+E 63A 400V IP67</t>
        </is>
      </c>
      <c r="Q2027" s="277" t="n">
        <v>3</v>
      </c>
      <c r="R2027" s="5" t="inlineStr">
        <is>
          <t>PC.</t>
        </is>
      </c>
      <c r="S2027" s="284">
        <f>RawDataGenPO[[#This Row],[Total price]]/RawDataGenPO[[#This Row],[Qty'']]</f>
        <v/>
      </c>
      <c r="T2027" s="278" t="n">
        <v>2100</v>
      </c>
      <c r="U2027" s="291" t="n"/>
      <c r="V2027" s="7" t="inlineStr">
        <is>
          <t xml:space="preserve"> V1000276 - SN. ELECTRIC AND SUPPLY CO., LTD.</t>
        </is>
      </c>
      <c r="W2027" s="30" t="inlineStr">
        <is>
          <t>Recive bill and GRN already</t>
        </is>
      </c>
      <c r="X2027" s="5" t="inlineStr">
        <is>
          <t>GRN2526-0009192</t>
        </is>
      </c>
      <c r="Y2027" s="3" t="n">
        <v>46099</v>
      </c>
      <c r="Z2027" s="23" t="n"/>
      <c r="AA2027" s="17">
        <f>IF(RawDataGenPO[[#This Row],[Date Gen PO]]="","",RawDataGenPO[[#This Row],[Date recive bill]]-RawDataGenPO[[#This Row],[Date Gen PO]])</f>
        <v/>
      </c>
      <c r="AB2027" s="16">
        <f>IF(RawDataGenPO[[#This Row],[GRN-PO date]]&gt;RawDataGenPO[[#This Row],[Lead time delivery (day)]],"over deliverry","Ontime")</f>
        <v/>
      </c>
      <c r="AC2027" s="22" t="n"/>
    </row>
    <row r="2028" ht="15" customHeight="1">
      <c r="A2028" s="5">
        <f>ROW()-ROW(RawDataGenPO[[#Headers],[No.]])</f>
        <v/>
      </c>
      <c r="B2028" s="29" t="inlineStr">
        <is>
          <t>Expent  cost</t>
        </is>
      </c>
      <c r="C2028" s="373" t="n"/>
      <c r="D2028" s="374" t="n"/>
      <c r="E2028" s="374" t="n"/>
      <c r="F2028" s="281" t="n">
        <v>46086</v>
      </c>
      <c r="G2028" s="5" t="inlineStr">
        <is>
          <t>PR2526-05158</t>
        </is>
      </c>
      <c r="H2028" s="5" t="inlineStr">
        <is>
          <t>PO2526-07313</t>
        </is>
      </c>
      <c r="I2028" s="286" t="n">
        <v>46094</v>
      </c>
      <c r="J2028" s="26" t="n"/>
      <c r="K2028" s="20" t="n">
        <v>60</v>
      </c>
      <c r="L2028" s="5" t="inlineStr">
        <is>
          <t>SFST81000050</t>
        </is>
      </c>
      <c r="M2028" s="7" t="inlineStr">
        <is>
          <t>Electrical system in PD area</t>
        </is>
      </c>
      <c r="N2028" s="7" t="inlineStr">
        <is>
          <t>Electrical part</t>
        </is>
      </c>
      <c r="O2028" s="11" t="n">
        <v>9</v>
      </c>
      <c r="P2028" s="10" t="inlineStr">
        <is>
          <t>"DAKO PLUG" HTN 013 male plugcenter (2P + E) 16A 230V 6H IP44</t>
        </is>
      </c>
      <c r="Q2028" s="277" t="n">
        <v>3</v>
      </c>
      <c r="R2028" s="5" t="inlineStr">
        <is>
          <t>PC.</t>
        </is>
      </c>
      <c r="S2028" s="284">
        <f>RawDataGenPO[[#This Row],[Total price]]/RawDataGenPO[[#This Row],[Qty'']]</f>
        <v/>
      </c>
      <c r="T2028" s="278" t="n">
        <v>255</v>
      </c>
      <c r="U2028" s="291" t="n"/>
      <c r="V2028" s="7" t="inlineStr">
        <is>
          <t xml:space="preserve"> V1000276 - SN. ELECTRIC AND SUPPLY CO., LTD.</t>
        </is>
      </c>
      <c r="W2028" s="30" t="inlineStr">
        <is>
          <t>Recive bill and GRN already</t>
        </is>
      </c>
      <c r="X2028" s="5" t="inlineStr">
        <is>
          <t>GRN2526-0009192</t>
        </is>
      </c>
      <c r="Y2028" s="3" t="n">
        <v>46099</v>
      </c>
      <c r="Z2028" s="23" t="n"/>
      <c r="AA2028" s="17">
        <f>IF(RawDataGenPO[[#This Row],[Date Gen PO]]="","",RawDataGenPO[[#This Row],[Date recive bill]]-RawDataGenPO[[#This Row],[Date Gen PO]])</f>
        <v/>
      </c>
      <c r="AB2028" s="16">
        <f>IF(RawDataGenPO[[#This Row],[GRN-PO date]]&gt;RawDataGenPO[[#This Row],[Lead time delivery (day)]],"over deliverry","Ontime")</f>
        <v/>
      </c>
      <c r="AC2028" s="22" t="n"/>
    </row>
    <row r="2029" ht="30" customHeight="1">
      <c r="A2029" s="5">
        <f>ROW()-ROW(RawDataGenPO[[#Headers],[No.]])</f>
        <v/>
      </c>
      <c r="B2029" s="29" t="inlineStr">
        <is>
          <t>Expent  cost</t>
        </is>
      </c>
      <c r="C2029" s="373" t="n"/>
      <c r="D2029" s="374" t="n"/>
      <c r="E2029" s="374" t="n"/>
      <c r="F2029" s="281" t="n">
        <v>46086</v>
      </c>
      <c r="G2029" s="5" t="inlineStr">
        <is>
          <t>PR2526-05158</t>
        </is>
      </c>
      <c r="H2029" s="5" t="inlineStr">
        <is>
          <t>PO2526-07313</t>
        </is>
      </c>
      <c r="I2029" s="286" t="n">
        <v>46094</v>
      </c>
      <c r="J2029" s="26" t="n"/>
      <c r="K2029" s="20" t="n">
        <v>60</v>
      </c>
      <c r="L2029" s="5" t="inlineStr">
        <is>
          <t>SFST81000050</t>
        </is>
      </c>
      <c r="M2029" s="7" t="inlineStr">
        <is>
          <t>Electrical system in PD area</t>
        </is>
      </c>
      <c r="N2029" s="7" t="inlineStr">
        <is>
          <t>Electrical part</t>
        </is>
      </c>
      <c r="O2029" s="11" t="n">
        <v>10</v>
      </c>
      <c r="P2029" s="10" t="inlineStr">
        <is>
          <t>"DAKO PLUG" HTN 0141 male plugcenterwaterproof (3P + E) 16A 400V 6H IP67</t>
        </is>
      </c>
      <c r="Q2029" s="277" t="n">
        <v>3</v>
      </c>
      <c r="R2029" s="5" t="inlineStr">
        <is>
          <t>PC.</t>
        </is>
      </c>
      <c r="S2029" s="284">
        <f>RawDataGenPO[[#This Row],[Total price]]/RawDataGenPO[[#This Row],[Qty'']]</f>
        <v/>
      </c>
      <c r="T2029" s="278" t="n">
        <v>360</v>
      </c>
      <c r="U2029" s="291" t="n"/>
      <c r="V2029" s="7" t="inlineStr">
        <is>
          <t xml:space="preserve"> V1000276 - SN. ELECTRIC AND SUPPLY CO., LTD.</t>
        </is>
      </c>
      <c r="W2029" s="30" t="inlineStr">
        <is>
          <t>Recive bill and GRN already</t>
        </is>
      </c>
      <c r="X2029" s="5" t="inlineStr">
        <is>
          <t>GRN2526-0009192</t>
        </is>
      </c>
      <c r="Y2029" s="3" t="n">
        <v>46099</v>
      </c>
      <c r="Z2029" s="23" t="n"/>
      <c r="AA2029" s="17">
        <f>IF(RawDataGenPO[[#This Row],[Date Gen PO]]="","",RawDataGenPO[[#This Row],[Date recive bill]]-RawDataGenPO[[#This Row],[Date Gen PO]])</f>
        <v/>
      </c>
      <c r="AB2029" s="16">
        <f>IF(RawDataGenPO[[#This Row],[GRN-PO date]]&gt;RawDataGenPO[[#This Row],[Lead time delivery (day)]],"over deliverry","Ontime")</f>
        <v/>
      </c>
      <c r="AC2029" s="22" t="n"/>
    </row>
    <row r="2030" ht="30" customHeight="1">
      <c r="A2030" s="5">
        <f>ROW()-ROW(RawDataGenPO[[#Headers],[No.]])</f>
        <v/>
      </c>
      <c r="B2030" s="29" t="inlineStr">
        <is>
          <t>Expent  cost</t>
        </is>
      </c>
      <c r="C2030" s="373" t="n"/>
      <c r="D2030" s="374" t="n"/>
      <c r="E2030" s="374" t="n"/>
      <c r="F2030" s="281" t="n">
        <v>46086</v>
      </c>
      <c r="G2030" s="5" t="inlineStr">
        <is>
          <t>PR2526-05158</t>
        </is>
      </c>
      <c r="H2030" s="5" t="inlineStr">
        <is>
          <t>PO2526-07313</t>
        </is>
      </c>
      <c r="I2030" s="286" t="n">
        <v>46094</v>
      </c>
      <c r="J2030" s="26" t="n"/>
      <c r="K2030" s="20" t="n">
        <v>60</v>
      </c>
      <c r="L2030" s="5" t="inlineStr">
        <is>
          <t>SFST81000050</t>
        </is>
      </c>
      <c r="M2030" s="7" t="inlineStr">
        <is>
          <t>Electrical system in PD area</t>
        </is>
      </c>
      <c r="N2030" s="7" t="inlineStr">
        <is>
          <t>Electrical part</t>
        </is>
      </c>
      <c r="O2030" s="11" t="n">
        <v>11</v>
      </c>
      <c r="P2030" s="10" t="inlineStr">
        <is>
          <t>"DAKO PLUG" HTN 0151 male plugcenterwaterproof (3P + N + E) 16A 400V 6H IP67</t>
        </is>
      </c>
      <c r="Q2030" s="277" t="n">
        <v>5</v>
      </c>
      <c r="R2030" s="5" t="inlineStr">
        <is>
          <t>PC.</t>
        </is>
      </c>
      <c r="S2030" s="284">
        <f>RawDataGenPO[[#This Row],[Total price]]/RawDataGenPO[[#This Row],[Qty'']]</f>
        <v/>
      </c>
      <c r="T2030" s="278" t="n">
        <v>765</v>
      </c>
      <c r="U2030" s="291" t="n"/>
      <c r="V2030" s="7" t="inlineStr">
        <is>
          <t xml:space="preserve"> V1000276 - SN. ELECTRIC AND SUPPLY CO., LTD.</t>
        </is>
      </c>
      <c r="W2030" s="30" t="inlineStr">
        <is>
          <t>Recive bill and GRN already</t>
        </is>
      </c>
      <c r="X2030" s="5" t="inlineStr">
        <is>
          <t>GRN2526-0009192</t>
        </is>
      </c>
      <c r="Y2030" s="3" t="n">
        <v>46099</v>
      </c>
      <c r="Z2030" s="23" t="n"/>
      <c r="AA2030" s="17">
        <f>IF(RawDataGenPO[[#This Row],[Date Gen PO]]="","",RawDataGenPO[[#This Row],[Date recive bill]]-RawDataGenPO[[#This Row],[Date Gen PO]])</f>
        <v/>
      </c>
      <c r="AB2030" s="16">
        <f>IF(RawDataGenPO[[#This Row],[GRN-PO date]]&gt;RawDataGenPO[[#This Row],[Lead time delivery (day)]],"over deliverry","Ontime")</f>
        <v/>
      </c>
      <c r="AC2030" s="22" t="n"/>
    </row>
    <row r="2031" ht="15" customHeight="1">
      <c r="A2031" s="5">
        <f>ROW()-ROW(RawDataGenPO[[#Headers],[No.]])</f>
        <v/>
      </c>
      <c r="B2031" s="29" t="inlineStr">
        <is>
          <t>Expent  cost</t>
        </is>
      </c>
      <c r="C2031" s="373" t="n"/>
      <c r="D2031" s="374" t="n"/>
      <c r="E2031" s="374" t="n"/>
      <c r="F2031" s="281" t="n">
        <v>46086</v>
      </c>
      <c r="G2031" s="5" t="inlineStr">
        <is>
          <t>PR2526-05159</t>
        </is>
      </c>
      <c r="H2031" s="5" t="inlineStr">
        <is>
          <t>PO2526-07314</t>
        </is>
      </c>
      <c r="I2031" s="286" t="n">
        <v>46093</v>
      </c>
      <c r="J2031" s="26" t="n"/>
      <c r="K2031" s="20" t="n">
        <v>60</v>
      </c>
      <c r="L2031" s="5" t="inlineStr">
        <is>
          <t>SFST34000134</t>
        </is>
      </c>
      <c r="M2031" s="7" t="inlineStr">
        <is>
          <t>Consumable part for MN</t>
        </is>
      </c>
      <c r="N2031" s="7" t="inlineStr">
        <is>
          <t>Consumable part</t>
        </is>
      </c>
      <c r="P2031" s="10" t="inlineStr">
        <is>
          <t>boltm M16x80 thread</t>
        </is>
      </c>
      <c r="Q2031" s="277" t="n">
        <v>20</v>
      </c>
      <c r="R2031" s="5" t="inlineStr">
        <is>
          <t>PC.</t>
        </is>
      </c>
      <c r="S2031" s="284">
        <f>RawDataGenPO[[#This Row],[Total price]]/RawDataGenPO[[#This Row],[Qty'']]</f>
        <v/>
      </c>
      <c r="T2031" s="278" t="n">
        <v>380</v>
      </c>
      <c r="U2031" s="291" t="n"/>
      <c r="V2031" s="7" t="inlineStr">
        <is>
          <t>V1000840 - S.Q. &amp; CO CO., LTD</t>
        </is>
      </c>
      <c r="W2031" s="30" t="inlineStr">
        <is>
          <t>Recive bill and GRN already</t>
        </is>
      </c>
      <c r="X2031" s="5" t="inlineStr">
        <is>
          <t>GRN2526-0009176</t>
        </is>
      </c>
      <c r="Y2031" s="3" t="n">
        <v>46099</v>
      </c>
      <c r="Z2031" s="23" t="n"/>
      <c r="AA2031" s="17">
        <f>IF(RawDataGenPO[[#This Row],[Date Gen PO]]="","",RawDataGenPO[[#This Row],[Date recive bill]]-RawDataGenPO[[#This Row],[Date Gen PO]])</f>
        <v/>
      </c>
      <c r="AB2031" s="16">
        <f>IF(RawDataGenPO[[#This Row],[GRN-PO date]]&gt;RawDataGenPO[[#This Row],[Lead time delivery (day)]],"over deliverry","Ontime")</f>
        <v/>
      </c>
      <c r="AC2031" s="22" t="n"/>
    </row>
    <row r="2032" ht="15" customHeight="1">
      <c r="A2032" s="5">
        <f>ROW()-ROW(RawDataGenPO[[#Headers],[No.]])</f>
        <v/>
      </c>
      <c r="B2032" s="29" t="inlineStr">
        <is>
          <t>Expent  cost</t>
        </is>
      </c>
      <c r="C2032" s="373" t="n"/>
      <c r="D2032" s="374" t="n"/>
      <c r="E2032" s="374" t="n"/>
      <c r="F2032" s="281" t="n">
        <v>46086</v>
      </c>
      <c r="G2032" s="5" t="inlineStr">
        <is>
          <t>PR2526-05159</t>
        </is>
      </c>
      <c r="H2032" s="5" t="inlineStr">
        <is>
          <t>PO2526-07314</t>
        </is>
      </c>
      <c r="I2032" s="286" t="n">
        <v>46093</v>
      </c>
      <c r="J2032" s="26" t="n"/>
      <c r="K2032" s="20" t="n">
        <v>60</v>
      </c>
      <c r="L2032" s="5" t="inlineStr">
        <is>
          <t>SFST34000135</t>
        </is>
      </c>
      <c r="M2032" s="7" t="inlineStr">
        <is>
          <t>Consumable part for MN</t>
        </is>
      </c>
      <c r="N2032" s="7" t="inlineStr">
        <is>
          <t>Consumable part</t>
        </is>
      </c>
      <c r="P2032" s="10" t="inlineStr">
        <is>
          <t>piecesteel ECLIPSE 14teeth (1x14 inch)</t>
        </is>
      </c>
      <c r="Q2032" s="277" t="n">
        <v>10</v>
      </c>
      <c r="R2032" s="5" t="inlineStr">
        <is>
          <t>PC.</t>
        </is>
      </c>
      <c r="S2032" s="284">
        <f>RawDataGenPO[[#This Row],[Total price]]/RawDataGenPO[[#This Row],[Qty'']]</f>
        <v/>
      </c>
      <c r="T2032" s="278" t="n">
        <v>1950</v>
      </c>
      <c r="U2032" s="291" t="n"/>
      <c r="V2032" s="7" t="inlineStr">
        <is>
          <t>V1000840 - S.Q. &amp; CO CO., LTD</t>
        </is>
      </c>
      <c r="W2032" s="30" t="inlineStr">
        <is>
          <t>Recive bill and GRN already</t>
        </is>
      </c>
      <c r="X2032" s="5" t="inlineStr">
        <is>
          <t>GRN2526-0009176</t>
        </is>
      </c>
      <c r="Y2032" s="3" t="n">
        <v>46099</v>
      </c>
      <c r="Z2032" s="23" t="n"/>
      <c r="AA2032" s="17">
        <f>IF(RawDataGenPO[[#This Row],[Date Gen PO]]="","",RawDataGenPO[[#This Row],[Date recive bill]]-RawDataGenPO[[#This Row],[Date Gen PO]])</f>
        <v/>
      </c>
      <c r="AB2032" s="16">
        <f>IF(RawDataGenPO[[#This Row],[GRN-PO date]]&gt;RawDataGenPO[[#This Row],[Lead time delivery (day)]],"over deliverry","Ontime")</f>
        <v/>
      </c>
      <c r="AC2032" s="22" t="n"/>
    </row>
    <row r="2033" ht="15" customHeight="1">
      <c r="A2033" s="5">
        <f>ROW()-ROW(RawDataGenPO[[#Headers],[No.]])</f>
        <v/>
      </c>
      <c r="B2033" s="29" t="inlineStr">
        <is>
          <t>Expent  cost</t>
        </is>
      </c>
      <c r="C2033" s="373" t="n"/>
      <c r="D2033" s="374" t="n"/>
      <c r="E2033" s="374" t="n"/>
      <c r="F2033" s="281" t="n">
        <v>46086</v>
      </c>
      <c r="G2033" s="5" t="inlineStr">
        <is>
          <t>PR2526-05161</t>
        </is>
      </c>
      <c r="H2033" s="5" t="inlineStr">
        <is>
          <t>PO2526-07349</t>
        </is>
      </c>
      <c r="I2033" s="286" t="n">
        <v>46097</v>
      </c>
      <c r="J2033" s="26" t="n"/>
      <c r="K2033" s="20" t="n">
        <v>30</v>
      </c>
      <c r="L2033" s="5" t="inlineStr">
        <is>
          <t>SFST81000048</t>
        </is>
      </c>
      <c r="M2033" s="7" t="inlineStr">
        <is>
          <t>Water plant</t>
        </is>
      </c>
      <c r="N2033" s="7" t="inlineStr">
        <is>
          <t>Deep Well Pump No.2</t>
        </is>
      </c>
      <c r="O2033" s="11" t="n">
        <v>1</v>
      </c>
      <c r="P2033" s="10" t="inlineStr">
        <is>
          <t>Motor Franklin 30 HP 380 V. Star-delta</t>
        </is>
      </c>
      <c r="Q2033" s="277" t="n">
        <v>1</v>
      </c>
      <c r="R2033" s="5" t="inlineStr">
        <is>
          <t xml:space="preserve">Unit </t>
        </is>
      </c>
      <c r="S2033" s="284">
        <f>RawDataGenPO[[#This Row],[Total price]]/RawDataGenPO[[#This Row],[Qty'']]</f>
        <v/>
      </c>
      <c r="T2033" s="278" t="n">
        <v>65000</v>
      </c>
      <c r="U2033" s="291" t="n"/>
      <c r="V2033" s="7" t="inlineStr">
        <is>
          <t>V1000646 - NUMTIP DEEP WELL LTD.,PART.</t>
        </is>
      </c>
      <c r="W2033" s="30" t="inlineStr">
        <is>
          <t>Recive bill and GRN already</t>
        </is>
      </c>
      <c r="X2033" s="5" t="inlineStr">
        <is>
          <t>GRN2526-0009306</t>
        </is>
      </c>
      <c r="Y2033" s="3" t="n">
        <v>46105</v>
      </c>
      <c r="Z2033" s="23" t="n"/>
      <c r="AA2033" s="17">
        <f>IF(RawDataGenPO[[#This Row],[Date Gen PO]]="","",RawDataGenPO[[#This Row],[Date recive bill]]-RawDataGenPO[[#This Row],[Date Gen PO]])</f>
        <v/>
      </c>
      <c r="AB2033" s="16">
        <f>IF(RawDataGenPO[[#This Row],[GRN-PO date]]&gt;RawDataGenPO[[#This Row],[Lead time delivery (day)]],"over deliverry","Ontime")</f>
        <v/>
      </c>
      <c r="AC2033" s="22" t="n"/>
    </row>
    <row r="2034" ht="15" customHeight="1">
      <c r="A2034" s="5">
        <f>ROW()-ROW(RawDataGenPO[[#Headers],[No.]])</f>
        <v/>
      </c>
      <c r="B2034" s="29" t="inlineStr">
        <is>
          <t>Expent  cost</t>
        </is>
      </c>
      <c r="C2034" s="373" t="n"/>
      <c r="D2034" s="374" t="n"/>
      <c r="E2034" s="374" t="n"/>
      <c r="F2034" s="281" t="n">
        <v>46086</v>
      </c>
      <c r="G2034" s="5" t="inlineStr">
        <is>
          <t>PR2526-05161</t>
        </is>
      </c>
      <c r="H2034" s="5" t="inlineStr">
        <is>
          <t>PO2526-07349</t>
        </is>
      </c>
      <c r="I2034" s="286" t="n">
        <v>46097</v>
      </c>
      <c r="J2034" s="26" t="n"/>
      <c r="K2034" s="20" t="n">
        <v>30</v>
      </c>
      <c r="L2034" s="5" t="inlineStr">
        <is>
          <t>SFST81000048</t>
        </is>
      </c>
      <c r="M2034" s="7" t="inlineStr">
        <is>
          <t>Water plant</t>
        </is>
      </c>
      <c r="N2034" s="7" t="inlineStr">
        <is>
          <t>Deep Well Pump No.2</t>
        </is>
      </c>
      <c r="O2034" s="11" t="n">
        <v>2</v>
      </c>
      <c r="P2034" s="10" t="inlineStr">
        <is>
          <t>Pump Stainless Speed 30 HPA66-12</t>
        </is>
      </c>
      <c r="Q2034" s="277" t="n">
        <v>1</v>
      </c>
      <c r="R2034" s="5" t="inlineStr">
        <is>
          <t xml:space="preserve">Unit </t>
        </is>
      </c>
      <c r="S2034" s="284">
        <f>RawDataGenPO[[#This Row],[Total price]]/RawDataGenPO[[#This Row],[Qty'']]</f>
        <v/>
      </c>
      <c r="T2034" s="278" t="n">
        <v>50000</v>
      </c>
      <c r="U2034" s="291" t="n"/>
      <c r="V2034" s="7" t="inlineStr">
        <is>
          <t>V1000646 - NUMTIP DEEP WELL LTD.,PART.</t>
        </is>
      </c>
      <c r="W2034" s="30" t="inlineStr">
        <is>
          <t>Recive bill and GRN already</t>
        </is>
      </c>
      <c r="X2034" s="5" t="inlineStr">
        <is>
          <t>GRN2526-0009306</t>
        </is>
      </c>
      <c r="Y2034" s="3" t="n">
        <v>46105</v>
      </c>
      <c r="Z2034" s="23" t="n"/>
      <c r="AA2034" s="17">
        <f>IF(RawDataGenPO[[#This Row],[Date Gen PO]]="","",RawDataGenPO[[#This Row],[Date recive bill]]-RawDataGenPO[[#This Row],[Date Gen PO]])</f>
        <v/>
      </c>
      <c r="AB2034" s="16">
        <f>IF(RawDataGenPO[[#This Row],[GRN-PO date]]&gt;RawDataGenPO[[#This Row],[Lead time delivery (day)]],"over deliverry","Ontime")</f>
        <v/>
      </c>
      <c r="AC2034" s="22" t="n"/>
    </row>
    <row r="2035" ht="15" customHeight="1">
      <c r="A2035" s="5">
        <f>ROW()-ROW(RawDataGenPO[[#Headers],[No.]])</f>
        <v/>
      </c>
      <c r="B2035" s="29" t="inlineStr">
        <is>
          <t>Expent  cost</t>
        </is>
      </c>
      <c r="C2035" s="373" t="n"/>
      <c r="D2035" s="374" t="n"/>
      <c r="E2035" s="374" t="n"/>
      <c r="F2035" s="281" t="n">
        <v>46086</v>
      </c>
      <c r="G2035" s="5" t="inlineStr">
        <is>
          <t>PR2526-05161</t>
        </is>
      </c>
      <c r="H2035" s="5" t="inlineStr">
        <is>
          <t>PO2526-07349</t>
        </is>
      </c>
      <c r="I2035" s="286" t="n">
        <v>46097</v>
      </c>
      <c r="J2035" s="26" t="n"/>
      <c r="K2035" s="20" t="n">
        <v>30</v>
      </c>
      <c r="L2035" s="5" t="inlineStr">
        <is>
          <t>SFST81000048</t>
        </is>
      </c>
      <c r="M2035" s="7" t="inlineStr">
        <is>
          <t>Water plant</t>
        </is>
      </c>
      <c r="N2035" s="7" t="inlineStr">
        <is>
          <t>Deep Well Pump No.2</t>
        </is>
      </c>
      <c r="O2035" s="11" t="n">
        <v>3</v>
      </c>
      <c r="P2035" s="10" t="inlineStr">
        <is>
          <t>pipewater size Ø 3 inch BSM (m.) withfittingconnector</t>
        </is>
      </c>
      <c r="Q2035" s="277" t="n">
        <v>7</v>
      </c>
      <c r="R2035" s="5" t="inlineStr">
        <is>
          <t>SET</t>
        </is>
      </c>
      <c r="S2035" s="284">
        <f>RawDataGenPO[[#This Row],[Total price]]/RawDataGenPO[[#This Row],[Qty'']]</f>
        <v/>
      </c>
      <c r="T2035" s="278" t="n">
        <v>22400</v>
      </c>
      <c r="U2035" s="291" t="n"/>
      <c r="V2035" s="7" t="inlineStr">
        <is>
          <t>V1000646 - NUMTIP DEEP WELL LTD.,PART.</t>
        </is>
      </c>
      <c r="W2035" s="30" t="inlineStr">
        <is>
          <t>Recive bill and GRN already</t>
        </is>
      </c>
      <c r="X2035" s="5" t="inlineStr">
        <is>
          <t>GRN2526-0009306</t>
        </is>
      </c>
      <c r="Y2035" s="3" t="n">
        <v>46105</v>
      </c>
      <c r="Z2035" s="23" t="n"/>
      <c r="AA2035" s="17">
        <f>IF(RawDataGenPO[[#This Row],[Date Gen PO]]="","",RawDataGenPO[[#This Row],[Date recive bill]]-RawDataGenPO[[#This Row],[Date Gen PO]])</f>
        <v/>
      </c>
      <c r="AB2035" s="16">
        <f>IF(RawDataGenPO[[#This Row],[GRN-PO date]]&gt;RawDataGenPO[[#This Row],[Lead time delivery (day)]],"over deliverry","Ontime")</f>
        <v/>
      </c>
      <c r="AC2035" s="22" t="n"/>
    </row>
    <row r="2036" ht="15" customHeight="1">
      <c r="A2036" s="5">
        <f>ROW()-ROW(RawDataGenPO[[#Headers],[No.]])</f>
        <v/>
      </c>
      <c r="B2036" s="29" t="inlineStr">
        <is>
          <t>Expent  cost</t>
        </is>
      </c>
      <c r="C2036" s="373" t="n"/>
      <c r="D2036" s="374" t="n"/>
      <c r="E2036" s="374" t="n"/>
      <c r="F2036" s="281" t="n">
        <v>46086</v>
      </c>
      <c r="G2036" s="5" t="inlineStr">
        <is>
          <t>PR2526-05161</t>
        </is>
      </c>
      <c r="H2036" s="5" t="inlineStr">
        <is>
          <t>PO2526-07349</t>
        </is>
      </c>
      <c r="I2036" s="286" t="n">
        <v>46097</v>
      </c>
      <c r="J2036" s="26" t="n"/>
      <c r="K2036" s="20" t="n">
        <v>30</v>
      </c>
      <c r="L2036" s="5" t="inlineStr">
        <is>
          <t>SFST81000048</t>
        </is>
      </c>
      <c r="M2036" s="7" t="inlineStr">
        <is>
          <t>Water plant</t>
        </is>
      </c>
      <c r="N2036" s="7" t="inlineStr">
        <is>
          <t>Deep Well Pump No.2</t>
        </is>
      </c>
      <c r="O2036" s="11" t="n">
        <v>4</v>
      </c>
      <c r="P2036" s="10" t="inlineStr">
        <is>
          <t>withpipe</t>
        </is>
      </c>
      <c r="Q2036" s="277" t="n">
        <v>1</v>
      </c>
      <c r="R2036" s="5" t="inlineStr">
        <is>
          <t>SET</t>
        </is>
      </c>
      <c r="S2036" s="284">
        <f>RawDataGenPO[[#This Row],[Total price]]/RawDataGenPO[[#This Row],[Qty'']]</f>
        <v/>
      </c>
      <c r="T2036" s="278" t="n">
        <v>2000</v>
      </c>
      <c r="U2036" s="291" t="n"/>
      <c r="V2036" s="7" t="inlineStr">
        <is>
          <t>V1000646 - NUMTIP DEEP WELL LTD.,PART.</t>
        </is>
      </c>
      <c r="W2036" s="30" t="inlineStr">
        <is>
          <t>Recive bill and GRN already</t>
        </is>
      </c>
      <c r="X2036" s="5" t="inlineStr">
        <is>
          <t>GRN2526-0009306</t>
        </is>
      </c>
      <c r="Y2036" s="3" t="n">
        <v>46105</v>
      </c>
      <c r="Z2036" s="23" t="n"/>
      <c r="AA2036" s="17">
        <f>IF(RawDataGenPO[[#This Row],[Date Gen PO]]="","",RawDataGenPO[[#This Row],[Date recive bill]]-RawDataGenPO[[#This Row],[Date Gen PO]])</f>
        <v/>
      </c>
      <c r="AB2036" s="16">
        <f>IF(RawDataGenPO[[#This Row],[GRN-PO date]]&gt;RawDataGenPO[[#This Row],[Lead time delivery (day)]],"over deliverry","Ontime")</f>
        <v/>
      </c>
      <c r="AC2036" s="22" t="n"/>
    </row>
    <row r="2037" ht="15" customHeight="1">
      <c r="A2037" s="5">
        <f>ROW()-ROW(RawDataGenPO[[#Headers],[No.]])</f>
        <v/>
      </c>
      <c r="B2037" s="29" t="inlineStr">
        <is>
          <t>Expent  cost</t>
        </is>
      </c>
      <c r="C2037" s="373" t="n"/>
      <c r="D2037" s="374" t="n"/>
      <c r="E2037" s="374" t="n"/>
      <c r="F2037" s="281" t="n">
        <v>46086</v>
      </c>
      <c r="G2037" s="5" t="inlineStr">
        <is>
          <t>PR2526-05161</t>
        </is>
      </c>
      <c r="H2037" s="5" t="inlineStr">
        <is>
          <t>PO2526-07349</t>
        </is>
      </c>
      <c r="I2037" s="286" t="n">
        <v>46097</v>
      </c>
      <c r="J2037" s="26" t="n"/>
      <c r="K2037" s="20" t="n">
        <v>30</v>
      </c>
      <c r="L2037" s="5" t="inlineStr">
        <is>
          <t>SFST81000048</t>
        </is>
      </c>
      <c r="M2037" s="7" t="inlineStr">
        <is>
          <t>Water plant</t>
        </is>
      </c>
      <c r="N2037" s="7" t="inlineStr">
        <is>
          <t>Deep Well Pump No.2</t>
        </is>
      </c>
      <c r="O2037" s="11" t="n">
        <v>5</v>
      </c>
      <c r="P2037" s="10" t="inlineStr">
        <is>
          <t>labor cost-machinewater</t>
        </is>
      </c>
      <c r="Q2037" s="277" t="n">
        <v>1</v>
      </c>
      <c r="R2037" s="5" t="inlineStr">
        <is>
          <t>JOB.</t>
        </is>
      </c>
      <c r="S2037" s="284">
        <f>RawDataGenPO[[#This Row],[Total price]]/RawDataGenPO[[#This Row],[Qty'']]</f>
        <v/>
      </c>
      <c r="T2037" s="278" t="n">
        <v>12000</v>
      </c>
      <c r="U2037" s="291" t="n"/>
      <c r="V2037" s="7" t="inlineStr">
        <is>
          <t>V1000646 - NUMTIP DEEP WELL LTD.,PART.</t>
        </is>
      </c>
      <c r="W2037" s="30" t="inlineStr">
        <is>
          <t>Recive bill and GRN already</t>
        </is>
      </c>
      <c r="X2037" s="5" t="inlineStr">
        <is>
          <t>GRN2526-0009306</t>
        </is>
      </c>
      <c r="Y2037" s="3" t="n">
        <v>46105</v>
      </c>
      <c r="Z2037" s="23" t="n"/>
      <c r="AA2037" s="17">
        <f>IF(RawDataGenPO[[#This Row],[Date Gen PO]]="","",RawDataGenPO[[#This Row],[Date recive bill]]-RawDataGenPO[[#This Row],[Date Gen PO]])</f>
        <v/>
      </c>
      <c r="AB2037" s="16">
        <f>IF(RawDataGenPO[[#This Row],[GRN-PO date]]&gt;RawDataGenPO[[#This Row],[Lead time delivery (day)]],"over deliverry","Ontime")</f>
        <v/>
      </c>
      <c r="AC2037" s="22" t="n"/>
    </row>
    <row r="2038" ht="15" customHeight="1">
      <c r="A2038" s="5">
        <f>ROW()-ROW(RawDataGenPO[[#Headers],[No.]])</f>
        <v/>
      </c>
      <c r="B2038" s="29" t="inlineStr">
        <is>
          <t>Expent  cost</t>
        </is>
      </c>
      <c r="C2038" s="373" t="n"/>
      <c r="D2038" s="374" t="n"/>
      <c r="E2038" s="374" t="n"/>
      <c r="F2038" s="281" t="n">
        <v>46086</v>
      </c>
      <c r="G2038" s="5" t="inlineStr">
        <is>
          <t>PR2526-05162</t>
        </is>
      </c>
      <c r="H2038" s="5" t="inlineStr">
        <is>
          <t>PO2526-07316</t>
        </is>
      </c>
      <c r="I2038" s="286" t="n">
        <v>46093</v>
      </c>
      <c r="J2038" s="26" t="n"/>
      <c r="K2038" s="20" t="n">
        <v>60</v>
      </c>
      <c r="L2038" s="5" t="inlineStr">
        <is>
          <t>SFST81000048</t>
        </is>
      </c>
      <c r="M2038" s="7" t="inlineStr">
        <is>
          <t>Water plant</t>
        </is>
      </c>
      <c r="N2038" s="7" t="inlineStr">
        <is>
          <t>Deep Well Pump No.2</t>
        </is>
      </c>
      <c r="O2038" s="11" t="n">
        <v>5</v>
      </c>
      <c r="P2038" s="10" t="inlineStr">
        <is>
          <t>labor cost-machinewater</t>
        </is>
      </c>
      <c r="Q2038" s="277" t="n">
        <v>1</v>
      </c>
      <c r="R2038" s="5" t="inlineStr">
        <is>
          <t>JOB.</t>
        </is>
      </c>
      <c r="S2038" s="284">
        <f>RawDataGenPO[[#This Row],[Total price]]/RawDataGenPO[[#This Row],[Qty'']]</f>
        <v/>
      </c>
      <c r="T2038" s="278" t="n">
        <v>12000</v>
      </c>
      <c r="U2038" s="291" t="n"/>
      <c r="V2038" s="7" t="inlineStr">
        <is>
          <t>V1000646 - NUMTIP DEEP WELL LTD.,PART.</t>
        </is>
      </c>
      <c r="W2038" s="30" t="inlineStr">
        <is>
          <t xml:space="preserve">Waitting Supplier transportation </t>
        </is>
      </c>
      <c r="Z2038" s="23" t="n"/>
      <c r="AA2038" s="17">
        <f>IF(RawDataGenPO[[#This Row],[Date Gen PO]]="","",RawDataGenPO[[#This Row],[Date recive bill]]-RawDataGenPO[[#This Row],[Date Gen PO]])</f>
        <v/>
      </c>
      <c r="AB2038" s="16">
        <f>IF(RawDataGenPO[[#This Row],[GRN-PO date]]&gt;RawDataGenPO[[#This Row],[Lead time delivery (day)]],"over deliverry","Ontime")</f>
        <v/>
      </c>
      <c r="AC2038" s="22" t="n"/>
    </row>
    <row r="2039" ht="15" customHeight="1">
      <c r="A2039" s="5">
        <f>ROW()-ROW(RawDataGenPO[[#Headers],[No.]])</f>
        <v/>
      </c>
      <c r="B2039" s="29" t="inlineStr">
        <is>
          <t>Expent  cost</t>
        </is>
      </c>
      <c r="C2039" s="373" t="n"/>
      <c r="D2039" s="374" t="n"/>
      <c r="E2039" s="374" t="n"/>
      <c r="F2039" s="281" t="n">
        <v>46086</v>
      </c>
      <c r="G2039" s="5" t="inlineStr">
        <is>
          <t>PR2526-05162</t>
        </is>
      </c>
      <c r="H2039" s="5" t="inlineStr">
        <is>
          <t>PO2526-07316</t>
        </is>
      </c>
      <c r="I2039" s="286" t="n">
        <v>46093</v>
      </c>
      <c r="J2039" s="26" t="n"/>
      <c r="K2039" s="20" t="n">
        <v>60</v>
      </c>
      <c r="L2039" s="5" t="inlineStr">
        <is>
          <t>SFST81000048</t>
        </is>
      </c>
      <c r="M2039" s="7" t="inlineStr">
        <is>
          <t>PD Machine</t>
        </is>
      </c>
      <c r="N2039" s="7" t="inlineStr">
        <is>
          <t>Bowl Cutter (Chopper) No.1</t>
        </is>
      </c>
      <c r="O2039" s="11" t="n">
        <v>1</v>
      </c>
      <c r="P2039" s="10" t="inlineStr">
        <is>
          <t>Part No. 470 018 Intermediate Plate</t>
        </is>
      </c>
      <c r="Q2039" s="277" t="n">
        <v>1</v>
      </c>
      <c r="R2039" s="5" t="inlineStr">
        <is>
          <t>PC.</t>
        </is>
      </c>
      <c r="S2039" s="284">
        <f>RawDataGenPO[[#This Row],[Total price]]/RawDataGenPO[[#This Row],[Qty'']]</f>
        <v/>
      </c>
      <c r="T2039" s="278" t="n">
        <v>1233</v>
      </c>
      <c r="U2039" s="291" t="n"/>
      <c r="V2039" s="7" t="inlineStr">
        <is>
          <t>V1000189 - FPT FOOD PROCESS TECHNOLOGY CO., LTD.</t>
        </is>
      </c>
      <c r="W2039" s="30" t="inlineStr">
        <is>
          <t xml:space="preserve">Waitting Supplier transportation </t>
        </is>
      </c>
      <c r="Z2039" s="23" t="n"/>
      <c r="AA2039" s="17">
        <f>IF(RawDataGenPO[[#This Row],[Date Gen PO]]="","",RawDataGenPO[[#This Row],[Date recive bill]]-RawDataGenPO[[#This Row],[Date Gen PO]])</f>
        <v/>
      </c>
      <c r="AB2039" s="16">
        <f>IF(RawDataGenPO[[#This Row],[GRN-PO date]]&gt;RawDataGenPO[[#This Row],[Lead time delivery (day)]],"over deliverry","Ontime")</f>
        <v/>
      </c>
      <c r="AC2039" s="22" t="n"/>
    </row>
    <row r="2040" ht="15" customHeight="1">
      <c r="A2040" s="5">
        <f>ROW()-ROW(RawDataGenPO[[#Headers],[No.]])</f>
        <v/>
      </c>
      <c r="B2040" s="29" t="inlineStr">
        <is>
          <t>Expent  cost</t>
        </is>
      </c>
      <c r="C2040" s="373" t="n"/>
      <c r="D2040" s="374" t="n"/>
      <c r="E2040" s="374" t="n"/>
      <c r="F2040" s="281" t="n">
        <v>46086</v>
      </c>
      <c r="G2040" s="5" t="inlineStr">
        <is>
          <t>PR2526-05162</t>
        </is>
      </c>
      <c r="H2040" s="5" t="inlineStr">
        <is>
          <t>PO2526-07316</t>
        </is>
      </c>
      <c r="I2040" s="286" t="n">
        <v>46093</v>
      </c>
      <c r="J2040" s="26" t="n"/>
      <c r="K2040" s="20" t="n">
        <v>60</v>
      </c>
      <c r="L2040" s="5" t="inlineStr">
        <is>
          <t>SFST81000048</t>
        </is>
      </c>
      <c r="M2040" s="7" t="inlineStr">
        <is>
          <t>PD Machine</t>
        </is>
      </c>
      <c r="N2040" s="7" t="inlineStr">
        <is>
          <t>Bowl Cutter (Chopper) No.1</t>
        </is>
      </c>
      <c r="O2040" s="11" t="n">
        <v>2</v>
      </c>
      <c r="P2040" s="10" t="inlineStr">
        <is>
          <t>Part No. 1000 0757 Collar Bushing</t>
        </is>
      </c>
      <c r="Q2040" s="277" t="n">
        <v>1</v>
      </c>
      <c r="R2040" s="5" t="inlineStr">
        <is>
          <t>PC.</t>
        </is>
      </c>
      <c r="S2040" s="284">
        <f>RawDataGenPO[[#This Row],[Total price]]/RawDataGenPO[[#This Row],[Qty'']]</f>
        <v/>
      </c>
      <c r="T2040" s="278" t="n">
        <v>639</v>
      </c>
      <c r="U2040" s="291" t="n"/>
      <c r="V2040" s="7" t="inlineStr">
        <is>
          <t>V1000189 - FPT FOOD PROCESS TECHNOLOGY CO., LTD.</t>
        </is>
      </c>
      <c r="W2040" s="30" t="inlineStr">
        <is>
          <t xml:space="preserve">Waitting Supplier transportation </t>
        </is>
      </c>
      <c r="Z2040" s="23" t="n"/>
      <c r="AA2040" s="17">
        <f>IF(RawDataGenPO[[#This Row],[Date Gen PO]]="","",RawDataGenPO[[#This Row],[Date recive bill]]-RawDataGenPO[[#This Row],[Date Gen PO]])</f>
        <v/>
      </c>
      <c r="AB2040" s="16">
        <f>IF(RawDataGenPO[[#This Row],[GRN-PO date]]&gt;RawDataGenPO[[#This Row],[Lead time delivery (day)]],"over deliverry","Ontime")</f>
        <v/>
      </c>
      <c r="AC2040" s="22" t="n"/>
    </row>
    <row r="2041" ht="15" customHeight="1">
      <c r="A2041" s="5">
        <f>ROW()-ROW(RawDataGenPO[[#Headers],[No.]])</f>
        <v/>
      </c>
      <c r="B2041" s="29" t="inlineStr">
        <is>
          <t>Expent  cost</t>
        </is>
      </c>
      <c r="C2041" s="373" t="n"/>
      <c r="D2041" s="374" t="n"/>
      <c r="E2041" s="374" t="n"/>
      <c r="F2041" s="281" t="n">
        <v>46086</v>
      </c>
      <c r="G2041" s="5" t="inlineStr">
        <is>
          <t>PR2526-05162</t>
        </is>
      </c>
      <c r="H2041" s="5" t="inlineStr">
        <is>
          <t>PO2526-07316</t>
        </is>
      </c>
      <c r="I2041" s="286" t="n">
        <v>46093</v>
      </c>
      <c r="J2041" s="26" t="n"/>
      <c r="K2041" s="20" t="n">
        <v>60</v>
      </c>
      <c r="L2041" s="5" t="inlineStr">
        <is>
          <t>SFST81000048</t>
        </is>
      </c>
      <c r="M2041" s="7" t="inlineStr">
        <is>
          <t>PD Machine</t>
        </is>
      </c>
      <c r="N2041" s="7" t="inlineStr">
        <is>
          <t>Bowl Cutter (Chopper) No.1</t>
        </is>
      </c>
      <c r="O2041" s="11" t="n">
        <v>3</v>
      </c>
      <c r="P2041" s="10" t="inlineStr">
        <is>
          <t>Part No. 420 A 008 Plastic Plugs Base Plate for Bowl</t>
        </is>
      </c>
      <c r="Q2041" s="277" t="n">
        <v>1</v>
      </c>
      <c r="R2041" s="5" t="inlineStr">
        <is>
          <t>PC.</t>
        </is>
      </c>
      <c r="S2041" s="284">
        <f>RawDataGenPO[[#This Row],[Total price]]/RawDataGenPO[[#This Row],[Qty'']]</f>
        <v/>
      </c>
      <c r="T2041" s="278" t="n">
        <v>8361</v>
      </c>
      <c r="U2041" s="291" t="n"/>
      <c r="V2041" s="7" t="inlineStr">
        <is>
          <t>V1000189 - FPT FOOD PROCESS TECHNOLOGY CO., LTD.</t>
        </is>
      </c>
      <c r="W2041" s="30" t="inlineStr">
        <is>
          <t xml:space="preserve">Waitting Supplier transportation </t>
        </is>
      </c>
      <c r="Z2041" s="23" t="n"/>
      <c r="AA2041" s="17">
        <f>IF(RawDataGenPO[[#This Row],[Date Gen PO]]="","",RawDataGenPO[[#This Row],[Date recive bill]]-RawDataGenPO[[#This Row],[Date Gen PO]])</f>
        <v/>
      </c>
      <c r="AB2041" s="16">
        <f>IF(RawDataGenPO[[#This Row],[GRN-PO date]]&gt;RawDataGenPO[[#This Row],[Lead time delivery (day)]],"over deliverry","Ontime")</f>
        <v/>
      </c>
      <c r="AC2041" s="22" t="n"/>
    </row>
    <row r="2042" ht="15" customHeight="1">
      <c r="A2042" s="5">
        <f>ROW()-ROW(RawDataGenPO[[#Headers],[No.]])</f>
        <v/>
      </c>
      <c r="B2042" s="29" t="inlineStr">
        <is>
          <t>Expent  cost</t>
        </is>
      </c>
      <c r="C2042" s="373" t="n"/>
      <c r="D2042" s="374" t="n"/>
      <c r="E2042" s="374" t="n"/>
      <c r="F2042" s="281" t="n">
        <v>46086</v>
      </c>
      <c r="G2042" s="5" t="inlineStr">
        <is>
          <t>PR2526-05162</t>
        </is>
      </c>
      <c r="H2042" s="5" t="inlineStr">
        <is>
          <t>PO2526-07316</t>
        </is>
      </c>
      <c r="I2042" s="286" t="n">
        <v>46093</v>
      </c>
      <c r="J2042" s="26" t="n"/>
      <c r="K2042" s="20" t="n">
        <v>60</v>
      </c>
      <c r="L2042" s="5" t="inlineStr">
        <is>
          <t>SFST81000048</t>
        </is>
      </c>
      <c r="M2042" s="7" t="inlineStr">
        <is>
          <t>PD Machine</t>
        </is>
      </c>
      <c r="N2042" s="7" t="inlineStr">
        <is>
          <t>Bowl Cutter (Chopper) No.1</t>
        </is>
      </c>
      <c r="O2042" s="11" t="n">
        <v>4</v>
      </c>
      <c r="P2042" s="10" t="inlineStr">
        <is>
          <t>Part No. 1000 4899 Plastic Stripe</t>
        </is>
      </c>
      <c r="Q2042" s="277" t="n">
        <v>1</v>
      </c>
      <c r="R2042" s="5" t="inlineStr">
        <is>
          <t>PC.</t>
        </is>
      </c>
      <c r="S2042" s="284">
        <f>RawDataGenPO[[#This Row],[Total price]]/RawDataGenPO[[#This Row],[Qty'']]</f>
        <v/>
      </c>
      <c r="T2042" s="278" t="n">
        <v>2088</v>
      </c>
      <c r="U2042" s="291" t="n"/>
      <c r="V2042" s="7" t="inlineStr">
        <is>
          <t>V1000189 - FPT FOOD PROCESS TECHNOLOGY CO., LTD.</t>
        </is>
      </c>
      <c r="W2042" s="30" t="inlineStr">
        <is>
          <t xml:space="preserve">Waitting Supplier transportation </t>
        </is>
      </c>
      <c r="Z2042" s="23" t="n"/>
      <c r="AA2042" s="17">
        <f>IF(RawDataGenPO[[#This Row],[Date Gen PO]]="","",RawDataGenPO[[#This Row],[Date recive bill]]-RawDataGenPO[[#This Row],[Date Gen PO]])</f>
        <v/>
      </c>
      <c r="AB2042" s="16">
        <f>IF(RawDataGenPO[[#This Row],[GRN-PO date]]&gt;RawDataGenPO[[#This Row],[Lead time delivery (day)]],"over deliverry","Ontime")</f>
        <v/>
      </c>
      <c r="AC2042" s="22" t="n"/>
    </row>
    <row r="2043" ht="15" customHeight="1">
      <c r="A2043" s="5">
        <f>ROW()-ROW(RawDataGenPO[[#Headers],[No.]])</f>
        <v/>
      </c>
      <c r="B2043" s="29" t="inlineStr">
        <is>
          <t>Expent  cost</t>
        </is>
      </c>
      <c r="C2043" s="373" t="n"/>
      <c r="D2043" s="374" t="n"/>
      <c r="E2043" s="374" t="n"/>
      <c r="F2043" s="281" t="n">
        <v>46086</v>
      </c>
      <c r="G2043" s="5" t="inlineStr">
        <is>
          <t>PR2526-05162</t>
        </is>
      </c>
      <c r="H2043" s="5" t="inlineStr">
        <is>
          <t>PO2526-07316</t>
        </is>
      </c>
      <c r="I2043" s="286" t="n">
        <v>46093</v>
      </c>
      <c r="J2043" s="26" t="n"/>
      <c r="K2043" s="20" t="n">
        <v>60</v>
      </c>
      <c r="L2043" s="5" t="inlineStr">
        <is>
          <t>SFST81000048</t>
        </is>
      </c>
      <c r="M2043" s="7" t="inlineStr">
        <is>
          <t>PD Machine</t>
        </is>
      </c>
      <c r="N2043" s="7" t="inlineStr">
        <is>
          <t>Bowl Cutter (Chopper) No.1</t>
        </is>
      </c>
      <c r="O2043" s="11" t="n">
        <v>5</v>
      </c>
      <c r="P2043" s="10" t="inlineStr">
        <is>
          <t>Part No. 420 0 009 Plastic Segment</t>
        </is>
      </c>
      <c r="Q2043" s="277" t="n">
        <v>1</v>
      </c>
      <c r="R2043" s="5" t="inlineStr">
        <is>
          <t>PC.</t>
        </is>
      </c>
      <c r="S2043" s="284">
        <f>RawDataGenPO[[#This Row],[Total price]]/RawDataGenPO[[#This Row],[Qty'']]</f>
        <v/>
      </c>
      <c r="T2043" s="278" t="n">
        <v>12402</v>
      </c>
      <c r="U2043" s="291" t="n"/>
      <c r="V2043" s="7" t="inlineStr">
        <is>
          <t>V1000189 - FPT FOOD PROCESS TECHNOLOGY CO., LTD.</t>
        </is>
      </c>
      <c r="W2043" s="30" t="inlineStr">
        <is>
          <t xml:space="preserve">Waitting Supplier transportation </t>
        </is>
      </c>
      <c r="Z2043" s="23" t="n"/>
      <c r="AA2043" s="17">
        <f>IF(RawDataGenPO[[#This Row],[Date Gen PO]]="","",RawDataGenPO[[#This Row],[Date recive bill]]-RawDataGenPO[[#This Row],[Date Gen PO]])</f>
        <v/>
      </c>
      <c r="AB2043" s="16">
        <f>IF(RawDataGenPO[[#This Row],[GRN-PO date]]&gt;RawDataGenPO[[#This Row],[Lead time delivery (day)]],"over deliverry","Ontime")</f>
        <v/>
      </c>
      <c r="AC2043" s="22" t="n"/>
    </row>
    <row r="2044" ht="15" customHeight="1">
      <c r="A2044" s="5">
        <f>ROW()-ROW(RawDataGenPO[[#Headers],[No.]])</f>
        <v/>
      </c>
      <c r="B2044" s="29" t="inlineStr">
        <is>
          <t>Expent  cost</t>
        </is>
      </c>
      <c r="C2044" s="373" t="n"/>
      <c r="D2044" s="374" t="n"/>
      <c r="E2044" s="374" t="n"/>
      <c r="F2044" s="281" t="n">
        <v>46086</v>
      </c>
      <c r="G2044" s="5" t="inlineStr">
        <is>
          <t>PR2526-05162</t>
        </is>
      </c>
      <c r="H2044" s="5" t="inlineStr">
        <is>
          <t>PO2526-07316</t>
        </is>
      </c>
      <c r="I2044" s="286" t="n">
        <v>46093</v>
      </c>
      <c r="J2044" s="26" t="n"/>
      <c r="K2044" s="20" t="n">
        <v>60</v>
      </c>
      <c r="L2044" s="5" t="inlineStr">
        <is>
          <t>SFST81000048</t>
        </is>
      </c>
      <c r="M2044" s="7" t="inlineStr">
        <is>
          <t>PD Machine</t>
        </is>
      </c>
      <c r="N2044" s="7" t="inlineStr">
        <is>
          <t>Bowl Cutter (Chopper) No.1</t>
        </is>
      </c>
      <c r="O2044" s="11" t="n">
        <v>6</v>
      </c>
      <c r="P2044" s="10" t="inlineStr">
        <is>
          <t>Service Charge</t>
        </is>
      </c>
      <c r="Q2044" s="277" t="n">
        <v>1</v>
      </c>
      <c r="R2044" s="5" t="inlineStr">
        <is>
          <t>JOB.</t>
        </is>
      </c>
      <c r="S2044" s="284">
        <f>RawDataGenPO[[#This Row],[Total price]]/RawDataGenPO[[#This Row],[Qty'']]</f>
        <v/>
      </c>
      <c r="T2044" s="278" t="n">
        <v>5900</v>
      </c>
      <c r="U2044" s="291" t="n"/>
      <c r="V2044" s="7" t="inlineStr">
        <is>
          <t>V1000189 - FPT FOOD PROCESS TECHNOLOGY CO., LTD.</t>
        </is>
      </c>
      <c r="W2044" s="30" t="inlineStr">
        <is>
          <t xml:space="preserve">Waitting Supplier transportation </t>
        </is>
      </c>
      <c r="Z2044" s="23" t="n"/>
      <c r="AA2044" s="17">
        <f>IF(RawDataGenPO[[#This Row],[Date Gen PO]]="","",RawDataGenPO[[#This Row],[Date recive bill]]-RawDataGenPO[[#This Row],[Date Gen PO]])</f>
        <v/>
      </c>
      <c r="AB2044" s="16">
        <f>IF(RawDataGenPO[[#This Row],[GRN-PO date]]&gt;RawDataGenPO[[#This Row],[Lead time delivery (day)]],"over deliverry","Ontime")</f>
        <v/>
      </c>
      <c r="AC2044" s="22" t="n"/>
    </row>
    <row r="2045" ht="15" customHeight="1">
      <c r="A2045" s="5">
        <f>ROW()-ROW(RawDataGenPO[[#Headers],[No.]])</f>
        <v/>
      </c>
      <c r="B2045" s="29" t="inlineStr">
        <is>
          <t>Expent  cost</t>
        </is>
      </c>
      <c r="C2045" s="373" t="n"/>
      <c r="D2045" s="374" t="n"/>
      <c r="E2045" s="374" t="n"/>
      <c r="F2045" s="281" t="n">
        <v>46086</v>
      </c>
      <c r="G2045" s="5" t="inlineStr">
        <is>
          <t>PR2526-05163</t>
        </is>
      </c>
      <c r="H2045" s="5" t="inlineStr">
        <is>
          <t>PO2526-07317</t>
        </is>
      </c>
      <c r="I2045" s="286" t="n">
        <v>46093</v>
      </c>
      <c r="J2045" s="26" t="n"/>
      <c r="K2045" s="20" t="n">
        <v>30</v>
      </c>
      <c r="L2045" s="5" t="inlineStr">
        <is>
          <t>SFST81000050</t>
        </is>
      </c>
      <c r="M2045" s="7" t="inlineStr">
        <is>
          <t>Machanical part</t>
        </is>
      </c>
      <c r="N2045" s="7" t="inlineStr">
        <is>
          <t>systemmair unit4 (R&amp;D)</t>
        </is>
      </c>
      <c r="O2045" s="11" t="n">
        <v>1</v>
      </c>
      <c r="P2045" s="10" t="inlineStr">
        <is>
          <t>BELT PHG SPA3150 SKF</t>
        </is>
      </c>
      <c r="Q2045" s="277" t="n">
        <v>3</v>
      </c>
      <c r="R2045" s="5" t="inlineStr">
        <is>
          <t>PC.</t>
        </is>
      </c>
      <c r="S2045" s="284">
        <f>RawDataGenPO[[#This Row],[Total price]]/RawDataGenPO[[#This Row],[Qty'']]</f>
        <v/>
      </c>
      <c r="T2045" s="278" t="n">
        <v>1458</v>
      </c>
      <c r="U2045" s="291" t="n"/>
      <c r="V2045" s="7" t="inlineStr">
        <is>
          <t>V1001039 - Ponpinyo Bearings and Supply Co., Ltd.</t>
        </is>
      </c>
      <c r="W2045" s="30" t="inlineStr">
        <is>
          <t>Recive bill and GRN already</t>
        </is>
      </c>
      <c r="X2045" s="5" t="inlineStr">
        <is>
          <t>GRN2526-0009035</t>
        </is>
      </c>
      <c r="Y2045" s="3" t="n">
        <v>46095</v>
      </c>
      <c r="Z2045" s="23" t="n"/>
      <c r="AA2045" s="17">
        <f>IF(RawDataGenPO[[#This Row],[Date Gen PO]]="","",RawDataGenPO[[#This Row],[Date recive bill]]-RawDataGenPO[[#This Row],[Date Gen PO]])</f>
        <v/>
      </c>
      <c r="AB2045" s="16">
        <f>IF(RawDataGenPO[[#This Row],[GRN-PO date]]&gt;RawDataGenPO[[#This Row],[Lead time delivery (day)]],"over deliverry","Ontime")</f>
        <v/>
      </c>
      <c r="AC2045" s="22" t="n"/>
    </row>
    <row r="2046" ht="15" customHeight="1">
      <c r="A2046" s="5">
        <f>ROW()-ROW(RawDataGenPO[[#Headers],[No.]])</f>
        <v/>
      </c>
      <c r="B2046" s="29" t="inlineStr">
        <is>
          <t>Expent  cost</t>
        </is>
      </c>
      <c r="C2046" s="373" t="n"/>
      <c r="D2046" s="374" t="n"/>
      <c r="E2046" s="374" t="n"/>
      <c r="F2046" s="281" t="n">
        <v>46086</v>
      </c>
      <c r="G2046" s="5" t="inlineStr">
        <is>
          <t>PR2526-05164</t>
        </is>
      </c>
      <c r="H2046" s="5" t="inlineStr">
        <is>
          <t>PO2526-07363</t>
        </is>
      </c>
      <c r="I2046" s="286" t="n">
        <v>46093</v>
      </c>
      <c r="J2046" s="26" t="n"/>
      <c r="K2046" s="20" t="n">
        <v>30</v>
      </c>
      <c r="L2046" s="5" t="inlineStr">
        <is>
          <t>SFST11000256</t>
        </is>
      </c>
      <c r="M2046" s="7" t="inlineStr">
        <is>
          <t xml:space="preserve">Waste water </t>
        </is>
      </c>
      <c r="N2046" s="7" t="inlineStr">
        <is>
          <t>Waste water system Jobs</t>
        </is>
      </c>
      <c r="O2046" s="11" t="n">
        <v>1</v>
      </c>
      <c r="P2046" s="10" t="inlineStr">
        <is>
          <t>Bio Solution</t>
        </is>
      </c>
      <c r="Q2046" s="277" t="n">
        <v>4</v>
      </c>
      <c r="R2046" s="5" t="inlineStr">
        <is>
          <t>BOT.</t>
        </is>
      </c>
      <c r="S2046" s="284">
        <f>RawDataGenPO[[#This Row],[Total price]]/RawDataGenPO[[#This Row],[Qty'']]</f>
        <v/>
      </c>
      <c r="T2046" s="278" t="n">
        <v>3200</v>
      </c>
      <c r="U2046" s="291" t="n"/>
      <c r="V2046" s="7" t="inlineStr">
        <is>
          <t>V1000206 - TECHMAN (THAILAND) CO.,LTD.</t>
        </is>
      </c>
      <c r="W2046" s="30" t="inlineStr">
        <is>
          <t>Recive bill and GRN already</t>
        </is>
      </c>
      <c r="X2046" s="5" t="inlineStr">
        <is>
          <t>GRN2526-0009370</t>
        </is>
      </c>
      <c r="Y2046" s="3" t="n">
        <v>46106</v>
      </c>
      <c r="Z2046" s="23" t="n"/>
      <c r="AA2046" s="17">
        <f>IF(RawDataGenPO[[#This Row],[Date Gen PO]]="","",RawDataGenPO[[#This Row],[Date recive bill]]-RawDataGenPO[[#This Row],[Date Gen PO]])</f>
        <v/>
      </c>
      <c r="AB2046" s="16">
        <f>IF(RawDataGenPO[[#This Row],[GRN-PO date]]&gt;RawDataGenPO[[#This Row],[Lead time delivery (day)]],"over deliverry","Ontime")</f>
        <v/>
      </c>
      <c r="AC2046" s="22" t="n"/>
    </row>
    <row r="2047" ht="15" customHeight="1">
      <c r="A2047" s="5">
        <f>ROW()-ROW(RawDataGenPO[[#Headers],[No.]])</f>
        <v/>
      </c>
      <c r="B2047" s="29" t="inlineStr">
        <is>
          <t>Expent  cost</t>
        </is>
      </c>
      <c r="C2047" s="373" t="n"/>
      <c r="D2047" s="374" t="n"/>
      <c r="E2047" s="374" t="n"/>
      <c r="F2047" s="281" t="n">
        <v>46094</v>
      </c>
      <c r="G2047" s="5" t="inlineStr">
        <is>
          <t>PR2526-05289</t>
        </is>
      </c>
      <c r="H2047" s="5" t="inlineStr">
        <is>
          <t>PO2526-07690</t>
        </is>
      </c>
      <c r="I2047" s="286" t="n">
        <v>46105</v>
      </c>
      <c r="J2047" s="26" t="n"/>
      <c r="K2047" s="20" t="n">
        <v>60</v>
      </c>
      <c r="L2047" s="5" t="inlineStr">
        <is>
          <t>SFST34000091</t>
        </is>
      </c>
      <c r="M2047" s="7" t="inlineStr">
        <is>
          <t>Consumable part for MN</t>
        </is>
      </c>
      <c r="N2047" s="7" t="inlineStr">
        <is>
          <t>Consumable part</t>
        </is>
      </c>
      <c r="O2047" s="11" t="n">
        <v>1</v>
      </c>
      <c r="P2047" s="10" t="inlineStr">
        <is>
          <t>3M tapeelectrical cable model Temflex Plus size 3/4inch - black</t>
        </is>
      </c>
      <c r="Q2047" s="277" t="n">
        <v>40</v>
      </c>
      <c r="R2047" s="5" t="inlineStr">
        <is>
          <t>PCS.</t>
        </is>
      </c>
      <c r="S2047" s="284">
        <f>RawDataGenPO[[#This Row],[Total price]]/RawDataGenPO[[#This Row],[Qty'']]</f>
        <v/>
      </c>
      <c r="U2047" s="291" t="n"/>
      <c r="V2047" s="7" t="inlineStr">
        <is>
          <t>V1000259 - JJP SUPPLY CO., LTD</t>
        </is>
      </c>
      <c r="W2047" s="30" t="inlineStr">
        <is>
          <t>Recive bill and GRN already</t>
        </is>
      </c>
      <c r="X2047" s="5" t="inlineStr">
        <is>
          <t>GRN2627-0000378</t>
        </is>
      </c>
      <c r="Y2047" s="3" t="n">
        <v>46123</v>
      </c>
      <c r="Z2047" s="23" t="n"/>
      <c r="AA2047" s="17">
        <f>IF(RawDataGenPO[[#This Row],[Date Gen PO]]="","",RawDataGenPO[[#This Row],[Date recive bill]]-RawDataGenPO[[#This Row],[Date Gen PO]])</f>
        <v/>
      </c>
      <c r="AB2047" s="16">
        <f>IF(RawDataGenPO[[#This Row],[GRN-PO date]]&gt;RawDataGenPO[[#This Row],[Lead time delivery (day)]],"over deliverry","Ontime")</f>
        <v/>
      </c>
      <c r="AC2047" s="22" t="n"/>
    </row>
    <row r="2048" ht="15" customHeight="1">
      <c r="A2048" s="5">
        <f>ROW()-ROW(RawDataGenPO[[#Headers],[No.]])</f>
        <v/>
      </c>
      <c r="B2048" s="29" t="inlineStr">
        <is>
          <t>Expent  cost</t>
        </is>
      </c>
      <c r="C2048" s="373" t="n"/>
      <c r="D2048" s="374" t="n"/>
      <c r="E2048" s="374" t="n"/>
      <c r="F2048" s="281" t="n">
        <v>46094</v>
      </c>
      <c r="G2048" s="5" t="inlineStr">
        <is>
          <t>PR2526-05289</t>
        </is>
      </c>
      <c r="H2048" s="5" t="inlineStr">
        <is>
          <t>PO2526-07690</t>
        </is>
      </c>
      <c r="I2048" s="286" t="n">
        <v>46105</v>
      </c>
      <c r="J2048" s="26" t="n"/>
      <c r="K2048" s="20" t="n">
        <v>60</v>
      </c>
      <c r="L2048" s="5" t="inlineStr">
        <is>
          <t>SFST34000092</t>
        </is>
      </c>
      <c r="M2048" s="7" t="inlineStr">
        <is>
          <t>Consumable part for MN</t>
        </is>
      </c>
      <c r="N2048" s="7" t="inlineStr">
        <is>
          <t>Consumable part</t>
        </is>
      </c>
      <c r="O2048" s="11" t="n">
        <v>2</v>
      </c>
      <c r="P2048" s="10" t="inlineStr">
        <is>
          <t>tapethreadSCG 12mm.x0.1mm.x10m. brand​SCG tapepipe</t>
        </is>
      </c>
      <c r="Q2048" s="277" t="n">
        <v>40</v>
      </c>
      <c r="R2048" s="5" t="inlineStr">
        <is>
          <t>PCS.</t>
        </is>
      </c>
      <c r="S2048" s="284">
        <f>RawDataGenPO[[#This Row],[Total price]]/RawDataGenPO[[#This Row],[Qty'']]</f>
        <v/>
      </c>
      <c r="U2048" s="291" t="n"/>
      <c r="V2048" s="7" t="inlineStr">
        <is>
          <t>V1000259 - JJP SUPPLY CO., LTD</t>
        </is>
      </c>
      <c r="W2048" s="30" t="inlineStr">
        <is>
          <t>Recive bill and GRN already</t>
        </is>
      </c>
      <c r="X2048" s="5" t="inlineStr">
        <is>
          <t>GRN2627-0000378</t>
        </is>
      </c>
      <c r="Y2048" s="3" t="n">
        <v>46123</v>
      </c>
      <c r="Z2048" s="23" t="n"/>
      <c r="AA2048" s="17">
        <f>IF(RawDataGenPO[[#This Row],[Date Gen PO]]="","",RawDataGenPO[[#This Row],[Date recive bill]]-RawDataGenPO[[#This Row],[Date Gen PO]])</f>
        <v/>
      </c>
      <c r="AB2048" s="16">
        <f>IF(RawDataGenPO[[#This Row],[GRN-PO date]]&gt;RawDataGenPO[[#This Row],[Lead time delivery (day)]],"over deliverry","Ontime")</f>
        <v/>
      </c>
      <c r="AC2048" s="22" t="n"/>
    </row>
    <row r="2049" ht="15" customHeight="1">
      <c r="A2049" s="5">
        <f>ROW()-ROW(RawDataGenPO[[#Headers],[No.]])</f>
        <v/>
      </c>
      <c r="B2049" s="29" t="inlineStr">
        <is>
          <t>Expent  cost</t>
        </is>
      </c>
      <c r="C2049" s="373" t="n"/>
      <c r="D2049" s="374" t="n"/>
      <c r="E2049" s="374" t="n"/>
      <c r="F2049" s="281" t="n">
        <v>46094</v>
      </c>
      <c r="G2049" s="5" t="inlineStr">
        <is>
          <t>PR2526-05290</t>
        </is>
      </c>
      <c r="H2049" s="5" t="inlineStr">
        <is>
          <t>PO2526-07607</t>
        </is>
      </c>
      <c r="I2049" s="286" t="n">
        <v>46105</v>
      </c>
      <c r="J2049" s="26" t="n"/>
      <c r="K2049" s="20" t="n">
        <v>360</v>
      </c>
      <c r="L2049" s="5" t="inlineStr">
        <is>
          <t>SFST34000136</t>
        </is>
      </c>
      <c r="M2049" s="7" t="inlineStr">
        <is>
          <t>Consumable part for MN</t>
        </is>
      </c>
      <c r="N2049" s="7" t="inlineStr">
        <is>
          <t>Consumable part</t>
        </is>
      </c>
      <c r="O2049" s="11" t="n">
        <v>1</v>
      </c>
      <c r="P2049" s="10" t="inlineStr">
        <is>
          <t>argon gas 1.5 Q</t>
        </is>
      </c>
      <c r="Q2049" s="277" t="n">
        <v>1</v>
      </c>
      <c r="R2049" s="5" t="inlineStr">
        <is>
          <t>DRUM.</t>
        </is>
      </c>
      <c r="S2049" s="284">
        <f>RawDataGenPO[[#This Row],[Total price]]/RawDataGenPO[[#This Row],[Qty'']]</f>
        <v/>
      </c>
      <c r="T2049" s="278" t="n">
        <v>350</v>
      </c>
      <c r="U2049" s="291" t="n"/>
      <c r="V2049" s="7" t="inlineStr">
        <is>
          <t>V1000475 - Klong Karn Kha Trading</t>
        </is>
      </c>
      <c r="W2049" s="30" t="inlineStr">
        <is>
          <t xml:space="preserve">Waitting Supplier transportation </t>
        </is>
      </c>
      <c r="Z2049" s="23" t="n"/>
      <c r="AA2049" s="17">
        <f>IF(RawDataGenPO[[#This Row],[Date Gen PO]]="","",RawDataGenPO[[#This Row],[Date recive bill]]-RawDataGenPO[[#This Row],[Date Gen PO]])</f>
        <v/>
      </c>
      <c r="AB2049" s="16">
        <f>IF(RawDataGenPO[[#This Row],[GRN-PO date]]&gt;RawDataGenPO[[#This Row],[Lead time delivery (day)]],"over deliverry","Ontime")</f>
        <v/>
      </c>
      <c r="AC2049" s="22" t="n"/>
    </row>
    <row r="2050" ht="15" customHeight="1">
      <c r="A2050" s="5">
        <f>ROW()-ROW(RawDataGenPO[[#Headers],[No.]])</f>
        <v/>
      </c>
      <c r="B2050" s="29" t="inlineStr">
        <is>
          <t>Expent  cost</t>
        </is>
      </c>
      <c r="C2050" s="373" t="n"/>
      <c r="D2050" s="374" t="n"/>
      <c r="E2050" s="374" t="n"/>
      <c r="F2050" s="281" t="n">
        <v>46094</v>
      </c>
      <c r="G2050" s="5" t="inlineStr">
        <is>
          <t>PR2526-05290</t>
        </is>
      </c>
      <c r="H2050" s="5" t="inlineStr">
        <is>
          <t>PO2526-07607</t>
        </is>
      </c>
      <c r="I2050" s="286" t="n">
        <v>46105</v>
      </c>
      <c r="J2050" s="26" t="n"/>
      <c r="K2050" s="20" t="n">
        <v>360</v>
      </c>
      <c r="L2050" s="5" t="inlineStr">
        <is>
          <t>SFST34000136</t>
        </is>
      </c>
      <c r="M2050" s="7" t="inlineStr">
        <is>
          <t>Consumable part for MN</t>
        </is>
      </c>
      <c r="N2050" s="7" t="inlineStr">
        <is>
          <t>Consumable part</t>
        </is>
      </c>
      <c r="O2050" s="11" t="n">
        <v>2</v>
      </c>
      <c r="P2050" s="10" t="inlineStr">
        <is>
          <t>argon gas 1.5 Q</t>
        </is>
      </c>
      <c r="Q2050" s="277" t="n">
        <v>1</v>
      </c>
      <c r="R2050" s="5" t="inlineStr">
        <is>
          <t>DRUM.</t>
        </is>
      </c>
      <c r="S2050" s="284">
        <f>RawDataGenPO[[#This Row],[Total price]]/RawDataGenPO[[#This Row],[Qty'']]</f>
        <v/>
      </c>
      <c r="T2050" s="278" t="n">
        <v>350</v>
      </c>
      <c r="U2050" s="291" t="n"/>
      <c r="V2050" s="7" t="inlineStr">
        <is>
          <t>V1000475 - Klong Karn Kha Trading</t>
        </is>
      </c>
      <c r="W2050" s="30" t="inlineStr">
        <is>
          <t xml:space="preserve">Waitting Supplier transportation </t>
        </is>
      </c>
      <c r="Z2050" s="23" t="n"/>
      <c r="AA2050" s="17">
        <f>IF(RawDataGenPO[[#This Row],[Date Gen PO]]="","",RawDataGenPO[[#This Row],[Date recive bill]]-RawDataGenPO[[#This Row],[Date Gen PO]])</f>
        <v/>
      </c>
      <c r="AB2050" s="16">
        <f>IF(RawDataGenPO[[#This Row],[GRN-PO date]]&gt;RawDataGenPO[[#This Row],[Lead time delivery (day)]],"over deliverry","Ontime")</f>
        <v/>
      </c>
      <c r="AC2050" s="22" t="n"/>
    </row>
    <row r="2051" ht="15" customHeight="1">
      <c r="A2051" s="5">
        <f>ROW()-ROW(RawDataGenPO[[#Headers],[No.]])</f>
        <v/>
      </c>
      <c r="B2051" s="29" t="inlineStr">
        <is>
          <t>Expent  cost</t>
        </is>
      </c>
      <c r="C2051" s="373" t="n"/>
      <c r="D2051" s="374" t="n"/>
      <c r="E2051" s="374" t="n"/>
      <c r="F2051" s="281" t="n">
        <v>46094</v>
      </c>
      <c r="G2051" s="5" t="inlineStr">
        <is>
          <t>PR2526-05290</t>
        </is>
      </c>
      <c r="H2051" s="5" t="inlineStr">
        <is>
          <t>PO2526-07607</t>
        </is>
      </c>
      <c r="I2051" s="286" t="n">
        <v>46105</v>
      </c>
      <c r="J2051" s="26" t="n"/>
      <c r="K2051" s="20" t="n">
        <v>360</v>
      </c>
      <c r="L2051" s="5" t="inlineStr">
        <is>
          <t>SFST34000136</t>
        </is>
      </c>
      <c r="M2051" s="7" t="inlineStr">
        <is>
          <t>Consumable part for MN</t>
        </is>
      </c>
      <c r="N2051" s="7" t="inlineStr">
        <is>
          <t>Consumable part</t>
        </is>
      </c>
      <c r="O2051" s="11" t="n">
        <v>3</v>
      </c>
      <c r="P2051" s="10" t="inlineStr">
        <is>
          <t>argon gas 1.5 Q</t>
        </is>
      </c>
      <c r="Q2051" s="277" t="n">
        <v>1</v>
      </c>
      <c r="R2051" s="5" t="inlineStr">
        <is>
          <t>DRUM.</t>
        </is>
      </c>
      <c r="S2051" s="284">
        <f>RawDataGenPO[[#This Row],[Total price]]/RawDataGenPO[[#This Row],[Qty'']]</f>
        <v/>
      </c>
      <c r="T2051" s="278" t="n">
        <v>350</v>
      </c>
      <c r="U2051" s="291" t="n"/>
      <c r="V2051" s="7" t="inlineStr">
        <is>
          <t>V1000475 - Klong Karn Kha Trading</t>
        </is>
      </c>
      <c r="W2051" s="30" t="inlineStr">
        <is>
          <t xml:space="preserve">Waitting Supplier transportation </t>
        </is>
      </c>
      <c r="Z2051" s="23" t="n"/>
      <c r="AA2051" s="17">
        <f>IF(RawDataGenPO[[#This Row],[Date Gen PO]]="","",RawDataGenPO[[#This Row],[Date recive bill]]-RawDataGenPO[[#This Row],[Date Gen PO]])</f>
        <v/>
      </c>
      <c r="AB2051" s="16">
        <f>IF(RawDataGenPO[[#This Row],[GRN-PO date]]&gt;RawDataGenPO[[#This Row],[Lead time delivery (day)]],"over deliverry","Ontime")</f>
        <v/>
      </c>
      <c r="AC2051" s="22" t="n"/>
    </row>
    <row r="2052" ht="15" customHeight="1">
      <c r="A2052" s="5">
        <f>ROW()-ROW(RawDataGenPO[[#Headers],[No.]])</f>
        <v/>
      </c>
      <c r="B2052" s="29" t="inlineStr">
        <is>
          <t>Expent  cost</t>
        </is>
      </c>
      <c r="C2052" s="373" t="n"/>
      <c r="D2052" s="374" t="n"/>
      <c r="E2052" s="374" t="n"/>
      <c r="F2052" s="281" t="n">
        <v>46094</v>
      </c>
      <c r="G2052" s="5" t="inlineStr">
        <is>
          <t>PR2526-05290</t>
        </is>
      </c>
      <c r="H2052" s="5" t="inlineStr">
        <is>
          <t>PO2526-07607</t>
        </is>
      </c>
      <c r="I2052" s="286" t="n">
        <v>46105</v>
      </c>
      <c r="J2052" s="26" t="n"/>
      <c r="K2052" s="20" t="n">
        <v>360</v>
      </c>
      <c r="L2052" s="5" t="inlineStr">
        <is>
          <t>SFST34000136</t>
        </is>
      </c>
      <c r="M2052" s="7" t="inlineStr">
        <is>
          <t>Consumable part for MN</t>
        </is>
      </c>
      <c r="N2052" s="7" t="inlineStr">
        <is>
          <t>Consumable part</t>
        </is>
      </c>
      <c r="O2052" s="11" t="n">
        <v>4</v>
      </c>
      <c r="P2052" s="10" t="inlineStr">
        <is>
          <t>argon gas 1.5 Q</t>
        </is>
      </c>
      <c r="Q2052" s="277" t="n">
        <v>1</v>
      </c>
      <c r="R2052" s="5" t="inlineStr">
        <is>
          <t>DRUM.</t>
        </is>
      </c>
      <c r="S2052" s="284">
        <f>RawDataGenPO[[#This Row],[Total price]]/RawDataGenPO[[#This Row],[Qty'']]</f>
        <v/>
      </c>
      <c r="T2052" s="278" t="n">
        <v>350</v>
      </c>
      <c r="U2052" s="291" t="n"/>
      <c r="V2052" s="7" t="inlineStr">
        <is>
          <t>V1000475 - Klong Karn Kha Trading</t>
        </is>
      </c>
      <c r="W2052" s="30" t="inlineStr">
        <is>
          <t xml:space="preserve">Waitting Supplier transportation </t>
        </is>
      </c>
      <c r="Z2052" s="23" t="n"/>
      <c r="AA2052" s="17">
        <f>IF(RawDataGenPO[[#This Row],[Date Gen PO]]="","",RawDataGenPO[[#This Row],[Date recive bill]]-RawDataGenPO[[#This Row],[Date Gen PO]])</f>
        <v/>
      </c>
      <c r="AB2052" s="16">
        <f>IF(RawDataGenPO[[#This Row],[GRN-PO date]]&gt;RawDataGenPO[[#This Row],[Lead time delivery (day)]],"over deliverry","Ontime")</f>
        <v/>
      </c>
      <c r="AC2052" s="22" t="n"/>
    </row>
    <row r="2053" ht="15" customHeight="1">
      <c r="A2053" s="5">
        <f>ROW()-ROW(RawDataGenPO[[#Headers],[No.]])</f>
        <v/>
      </c>
      <c r="B2053" s="29" t="inlineStr">
        <is>
          <t>Expent  cost</t>
        </is>
      </c>
      <c r="C2053" s="373" t="n"/>
      <c r="D2053" s="374" t="n"/>
      <c r="E2053" s="374" t="n"/>
      <c r="F2053" s="281" t="n">
        <v>46094</v>
      </c>
      <c r="G2053" s="5" t="inlineStr">
        <is>
          <t>PR2526-05290</t>
        </is>
      </c>
      <c r="H2053" s="5" t="inlineStr">
        <is>
          <t>PO2526-07607</t>
        </is>
      </c>
      <c r="I2053" s="286" t="n">
        <v>46105</v>
      </c>
      <c r="J2053" s="26" t="n"/>
      <c r="K2053" s="20" t="n">
        <v>360</v>
      </c>
      <c r="L2053" s="5" t="inlineStr">
        <is>
          <t>SFST34000136</t>
        </is>
      </c>
      <c r="M2053" s="7" t="inlineStr">
        <is>
          <t>Consumable part for MN</t>
        </is>
      </c>
      <c r="N2053" s="7" t="inlineStr">
        <is>
          <t>Consumable part</t>
        </is>
      </c>
      <c r="O2053" s="11" t="n">
        <v>5</v>
      </c>
      <c r="P2053" s="10" t="inlineStr">
        <is>
          <t>argon gas 1.5 Q</t>
        </is>
      </c>
      <c r="Q2053" s="277" t="n">
        <v>1</v>
      </c>
      <c r="R2053" s="5" t="inlineStr">
        <is>
          <t>DRUM.</t>
        </is>
      </c>
      <c r="S2053" s="284">
        <f>RawDataGenPO[[#This Row],[Total price]]/RawDataGenPO[[#This Row],[Qty'']]</f>
        <v/>
      </c>
      <c r="T2053" s="278" t="n">
        <v>350</v>
      </c>
      <c r="U2053" s="291" t="n"/>
      <c r="V2053" s="7" t="inlineStr">
        <is>
          <t>V1000475 - Klong Karn Kha Trading</t>
        </is>
      </c>
      <c r="W2053" s="30" t="inlineStr">
        <is>
          <t xml:space="preserve">Waitting Supplier transportation </t>
        </is>
      </c>
      <c r="Z2053" s="23" t="n"/>
      <c r="AA2053" s="17">
        <f>IF(RawDataGenPO[[#This Row],[Date Gen PO]]="","",RawDataGenPO[[#This Row],[Date recive bill]]-RawDataGenPO[[#This Row],[Date Gen PO]])</f>
        <v/>
      </c>
      <c r="AB2053" s="16">
        <f>IF(RawDataGenPO[[#This Row],[GRN-PO date]]&gt;RawDataGenPO[[#This Row],[Lead time delivery (day)]],"over deliverry","Ontime")</f>
        <v/>
      </c>
      <c r="AC2053" s="22" t="n"/>
    </row>
    <row r="2054" ht="15" customHeight="1">
      <c r="A2054" s="5">
        <f>ROW()-ROW(RawDataGenPO[[#Headers],[No.]])</f>
        <v/>
      </c>
      <c r="B2054" s="29" t="inlineStr">
        <is>
          <t>Expent  cost</t>
        </is>
      </c>
      <c r="C2054" s="373" t="n"/>
      <c r="D2054" s="374" t="n"/>
      <c r="E2054" s="374" t="n"/>
      <c r="F2054" s="281" t="n">
        <v>46094</v>
      </c>
      <c r="G2054" s="5" t="inlineStr">
        <is>
          <t>PR2526-05290</t>
        </is>
      </c>
      <c r="H2054" s="5" t="inlineStr">
        <is>
          <t>PO2526-07607</t>
        </is>
      </c>
      <c r="I2054" s="286" t="n">
        <v>46105</v>
      </c>
      <c r="J2054" s="26" t="n"/>
      <c r="K2054" s="20" t="n">
        <v>360</v>
      </c>
      <c r="L2054" s="5" t="inlineStr">
        <is>
          <t>SFST34000136</t>
        </is>
      </c>
      <c r="M2054" s="7" t="inlineStr">
        <is>
          <t>Consumable part for MN</t>
        </is>
      </c>
      <c r="N2054" s="7" t="inlineStr">
        <is>
          <t>Consumable part</t>
        </is>
      </c>
      <c r="O2054" s="11" t="n">
        <v>6</v>
      </c>
      <c r="P2054" s="10" t="inlineStr">
        <is>
          <t>argon gas 1.5 Q</t>
        </is>
      </c>
      <c r="Q2054" s="277" t="n">
        <v>1</v>
      </c>
      <c r="R2054" s="5" t="inlineStr">
        <is>
          <t>DRUM.</t>
        </is>
      </c>
      <c r="S2054" s="284">
        <f>RawDataGenPO[[#This Row],[Total price]]/RawDataGenPO[[#This Row],[Qty'']]</f>
        <v/>
      </c>
      <c r="T2054" s="278" t="n">
        <v>350</v>
      </c>
      <c r="U2054" s="291" t="n"/>
      <c r="V2054" s="7" t="inlineStr">
        <is>
          <t>V1000475 - Klong Karn Kha Trading</t>
        </is>
      </c>
      <c r="W2054" s="30" t="inlineStr">
        <is>
          <t xml:space="preserve">Waitting Supplier transportation </t>
        </is>
      </c>
      <c r="Z2054" s="23" t="n"/>
      <c r="AA2054" s="17">
        <f>IF(RawDataGenPO[[#This Row],[Date Gen PO]]="","",RawDataGenPO[[#This Row],[Date recive bill]]-RawDataGenPO[[#This Row],[Date Gen PO]])</f>
        <v/>
      </c>
      <c r="AB2054" s="16">
        <f>IF(RawDataGenPO[[#This Row],[GRN-PO date]]&gt;RawDataGenPO[[#This Row],[Lead time delivery (day)]],"over deliverry","Ontime")</f>
        <v/>
      </c>
      <c r="AC2054" s="22" t="n"/>
    </row>
    <row r="2055" ht="15" customHeight="1">
      <c r="A2055" s="5">
        <f>ROW()-ROW(RawDataGenPO[[#Headers],[No.]])</f>
        <v/>
      </c>
      <c r="B2055" s="29" t="inlineStr">
        <is>
          <t>Expent  cost</t>
        </is>
      </c>
      <c r="C2055" s="373" t="n"/>
      <c r="D2055" s="374" t="n"/>
      <c r="E2055" s="374" t="n"/>
      <c r="F2055" s="281" t="n">
        <v>46094</v>
      </c>
      <c r="G2055" s="5" t="inlineStr">
        <is>
          <t>PR2526-05290</t>
        </is>
      </c>
      <c r="H2055" s="5" t="inlineStr">
        <is>
          <t>PO2526-07607</t>
        </is>
      </c>
      <c r="I2055" s="286" t="n">
        <v>46105</v>
      </c>
      <c r="J2055" s="26" t="n"/>
      <c r="K2055" s="20" t="n">
        <v>360</v>
      </c>
      <c r="L2055" s="5" t="inlineStr">
        <is>
          <t>SFST34000136</t>
        </is>
      </c>
      <c r="M2055" s="7" t="inlineStr">
        <is>
          <t>Consumable part for MN</t>
        </is>
      </c>
      <c r="N2055" s="7" t="inlineStr">
        <is>
          <t>Consumable part</t>
        </is>
      </c>
      <c r="O2055" s="11" t="n">
        <v>7</v>
      </c>
      <c r="P2055" s="10" t="inlineStr">
        <is>
          <t>argon gas 1.5 Q</t>
        </is>
      </c>
      <c r="Q2055" s="277" t="n">
        <v>1</v>
      </c>
      <c r="R2055" s="5" t="inlineStr">
        <is>
          <t>DRUM.</t>
        </is>
      </c>
      <c r="S2055" s="284">
        <f>RawDataGenPO[[#This Row],[Total price]]/RawDataGenPO[[#This Row],[Qty'']]</f>
        <v/>
      </c>
      <c r="T2055" s="278" t="n">
        <v>350</v>
      </c>
      <c r="U2055" s="291" t="n"/>
      <c r="V2055" s="7" t="inlineStr">
        <is>
          <t>V1000475 - Klong Karn Kha Trading</t>
        </is>
      </c>
      <c r="W2055" s="30" t="inlineStr">
        <is>
          <t xml:space="preserve">Waitting Supplier transportation </t>
        </is>
      </c>
      <c r="Z2055" s="23" t="n"/>
      <c r="AA2055" s="17">
        <f>IF(RawDataGenPO[[#This Row],[Date Gen PO]]="","",RawDataGenPO[[#This Row],[Date recive bill]]-RawDataGenPO[[#This Row],[Date Gen PO]])</f>
        <v/>
      </c>
      <c r="AB2055" s="16">
        <f>IF(RawDataGenPO[[#This Row],[GRN-PO date]]&gt;RawDataGenPO[[#This Row],[Lead time delivery (day)]],"over deliverry","Ontime")</f>
        <v/>
      </c>
      <c r="AC2055" s="22" t="n"/>
    </row>
    <row r="2056" ht="15" customHeight="1">
      <c r="A2056" s="5">
        <f>ROW()-ROW(RawDataGenPO[[#Headers],[No.]])</f>
        <v/>
      </c>
      <c r="B2056" s="29" t="inlineStr">
        <is>
          <t>Expent  cost</t>
        </is>
      </c>
      <c r="C2056" s="373" t="n"/>
      <c r="D2056" s="374" t="n"/>
      <c r="E2056" s="374" t="n"/>
      <c r="F2056" s="281" t="n">
        <v>46094</v>
      </c>
      <c r="G2056" s="5" t="inlineStr">
        <is>
          <t>PR2526-05290</t>
        </is>
      </c>
      <c r="H2056" s="5" t="inlineStr">
        <is>
          <t>PO2526-07607</t>
        </is>
      </c>
      <c r="I2056" s="286" t="n">
        <v>46105</v>
      </c>
      <c r="J2056" s="26" t="n"/>
      <c r="K2056" s="20" t="n">
        <v>360</v>
      </c>
      <c r="L2056" s="5" t="inlineStr">
        <is>
          <t>SFST34000136</t>
        </is>
      </c>
      <c r="M2056" s="7" t="inlineStr">
        <is>
          <t>Consumable part for MN</t>
        </is>
      </c>
      <c r="N2056" s="7" t="inlineStr">
        <is>
          <t>Consumable part</t>
        </is>
      </c>
      <c r="O2056" s="11" t="n">
        <v>8</v>
      </c>
      <c r="P2056" s="10" t="inlineStr">
        <is>
          <t>argon gas 1.5 Q</t>
        </is>
      </c>
      <c r="Q2056" s="277" t="n">
        <v>1</v>
      </c>
      <c r="R2056" s="5" t="inlineStr">
        <is>
          <t>DRUM.</t>
        </is>
      </c>
      <c r="S2056" s="284">
        <f>RawDataGenPO[[#This Row],[Total price]]/RawDataGenPO[[#This Row],[Qty'']]</f>
        <v/>
      </c>
      <c r="T2056" s="278" t="n">
        <v>350</v>
      </c>
      <c r="U2056" s="291" t="n"/>
      <c r="V2056" s="7" t="inlineStr">
        <is>
          <t>V1000475 - Klong Karn Kha Trading</t>
        </is>
      </c>
      <c r="W2056" s="30" t="inlineStr">
        <is>
          <t xml:space="preserve">Waitting Supplier transportation </t>
        </is>
      </c>
      <c r="Z2056" s="23" t="n"/>
      <c r="AA2056" s="17">
        <f>IF(RawDataGenPO[[#This Row],[Date Gen PO]]="","",RawDataGenPO[[#This Row],[Date recive bill]]-RawDataGenPO[[#This Row],[Date Gen PO]])</f>
        <v/>
      </c>
      <c r="AB2056" s="16">
        <f>IF(RawDataGenPO[[#This Row],[GRN-PO date]]&gt;RawDataGenPO[[#This Row],[Lead time delivery (day)]],"over deliverry","Ontime")</f>
        <v/>
      </c>
      <c r="AC2056" s="22" t="n"/>
    </row>
    <row r="2057" ht="15" customHeight="1">
      <c r="A2057" s="5">
        <f>ROW()-ROW(RawDataGenPO[[#Headers],[No.]])</f>
        <v/>
      </c>
      <c r="B2057" s="29" t="inlineStr">
        <is>
          <t>Expent  cost</t>
        </is>
      </c>
      <c r="C2057" s="373" t="n"/>
      <c r="D2057" s="374" t="n"/>
      <c r="E2057" s="374" t="n"/>
      <c r="F2057" s="281" t="n">
        <v>46094</v>
      </c>
      <c r="G2057" s="5" t="inlineStr">
        <is>
          <t>PR2526-05290</t>
        </is>
      </c>
      <c r="H2057" s="5" t="inlineStr">
        <is>
          <t>PO2526-07607</t>
        </is>
      </c>
      <c r="I2057" s="286" t="n">
        <v>46105</v>
      </c>
      <c r="J2057" s="26" t="n"/>
      <c r="K2057" s="20" t="n">
        <v>360</v>
      </c>
      <c r="L2057" s="5" t="inlineStr">
        <is>
          <t>SFST34000136</t>
        </is>
      </c>
      <c r="M2057" s="7" t="inlineStr">
        <is>
          <t>Consumable part for MN</t>
        </is>
      </c>
      <c r="N2057" s="7" t="inlineStr">
        <is>
          <t>Consumable part</t>
        </is>
      </c>
      <c r="O2057" s="11" t="n">
        <v>9</v>
      </c>
      <c r="P2057" s="10" t="inlineStr">
        <is>
          <t>argon gas 1.5 Q</t>
        </is>
      </c>
      <c r="Q2057" s="277" t="n">
        <v>1</v>
      </c>
      <c r="R2057" s="5" t="inlineStr">
        <is>
          <t>DRUM.</t>
        </is>
      </c>
      <c r="S2057" s="284">
        <f>RawDataGenPO[[#This Row],[Total price]]/RawDataGenPO[[#This Row],[Qty'']]</f>
        <v/>
      </c>
      <c r="T2057" s="278" t="n">
        <v>350</v>
      </c>
      <c r="U2057" s="291" t="n"/>
      <c r="V2057" s="7" t="inlineStr">
        <is>
          <t>V1000475 - Klong Karn Kha Trading</t>
        </is>
      </c>
      <c r="W2057" s="30" t="inlineStr">
        <is>
          <t xml:space="preserve">Waitting Supplier transportation </t>
        </is>
      </c>
      <c r="Z2057" s="23" t="n"/>
      <c r="AA2057" s="17">
        <f>IF(RawDataGenPO[[#This Row],[Date Gen PO]]="","",RawDataGenPO[[#This Row],[Date recive bill]]-RawDataGenPO[[#This Row],[Date Gen PO]])</f>
        <v/>
      </c>
      <c r="AB2057" s="16">
        <f>IF(RawDataGenPO[[#This Row],[GRN-PO date]]&gt;RawDataGenPO[[#This Row],[Lead time delivery (day)]],"over deliverry","Ontime")</f>
        <v/>
      </c>
      <c r="AC2057" s="22" t="n"/>
    </row>
    <row r="2058" ht="15" customHeight="1">
      <c r="A2058" s="5">
        <f>ROW()-ROW(RawDataGenPO[[#Headers],[No.]])</f>
        <v/>
      </c>
      <c r="B2058" s="29" t="inlineStr">
        <is>
          <t>Expent  cost</t>
        </is>
      </c>
      <c r="C2058" s="373" t="n"/>
      <c r="D2058" s="374" t="n"/>
      <c r="E2058" s="374" t="n"/>
      <c r="F2058" s="281" t="n">
        <v>46094</v>
      </c>
      <c r="G2058" s="5" t="inlineStr">
        <is>
          <t>PR2526-05290</t>
        </is>
      </c>
      <c r="H2058" s="5" t="inlineStr">
        <is>
          <t>PO2526-07607</t>
        </is>
      </c>
      <c r="I2058" s="286" t="n">
        <v>46105</v>
      </c>
      <c r="J2058" s="26" t="n"/>
      <c r="K2058" s="20" t="n">
        <v>360</v>
      </c>
      <c r="L2058" s="5" t="inlineStr">
        <is>
          <t>SFST34000136</t>
        </is>
      </c>
      <c r="M2058" s="7" t="inlineStr">
        <is>
          <t>Consumable part for MN</t>
        </is>
      </c>
      <c r="N2058" s="7" t="inlineStr">
        <is>
          <t>Consumable part</t>
        </is>
      </c>
      <c r="O2058" s="11" t="n">
        <v>10</v>
      </c>
      <c r="P2058" s="10" t="inlineStr">
        <is>
          <t>argon gas 1.5 Q</t>
        </is>
      </c>
      <c r="Q2058" s="277" t="n">
        <v>1</v>
      </c>
      <c r="R2058" s="5" t="inlineStr">
        <is>
          <t>DRUM.</t>
        </is>
      </c>
      <c r="S2058" s="284">
        <f>RawDataGenPO[[#This Row],[Total price]]/RawDataGenPO[[#This Row],[Qty'']]</f>
        <v/>
      </c>
      <c r="T2058" s="278" t="n">
        <v>350</v>
      </c>
      <c r="U2058" s="291" t="n"/>
      <c r="V2058" s="7" t="inlineStr">
        <is>
          <t>V1000475 - Klong Karn Kha Trading</t>
        </is>
      </c>
      <c r="W2058" s="30" t="inlineStr">
        <is>
          <t xml:space="preserve">Waitting Supplier transportation </t>
        </is>
      </c>
      <c r="Z2058" s="23" t="n"/>
      <c r="AA2058" s="17">
        <f>IF(RawDataGenPO[[#This Row],[Date Gen PO]]="","",RawDataGenPO[[#This Row],[Date recive bill]]-RawDataGenPO[[#This Row],[Date Gen PO]])</f>
        <v/>
      </c>
      <c r="AB2058" s="16">
        <f>IF(RawDataGenPO[[#This Row],[GRN-PO date]]&gt;RawDataGenPO[[#This Row],[Lead time delivery (day)]],"over deliverry","Ontime")</f>
        <v/>
      </c>
      <c r="AC2058" s="22" t="n"/>
    </row>
    <row r="2059" ht="15" customHeight="1">
      <c r="A2059" s="5">
        <f>ROW()-ROW(RawDataGenPO[[#Headers],[No.]])</f>
        <v/>
      </c>
      <c r="B2059" s="29" t="inlineStr">
        <is>
          <t>Expent  cost</t>
        </is>
      </c>
      <c r="C2059" s="373" t="n"/>
      <c r="D2059" s="374" t="n"/>
      <c r="E2059" s="374" t="n"/>
      <c r="F2059" s="281" t="n">
        <v>46094</v>
      </c>
      <c r="G2059" s="5" t="inlineStr">
        <is>
          <t>PR2526-05290</t>
        </is>
      </c>
      <c r="H2059" s="5" t="inlineStr">
        <is>
          <t>PO2526-07607</t>
        </is>
      </c>
      <c r="I2059" s="286" t="n">
        <v>46105</v>
      </c>
      <c r="J2059" s="26" t="n"/>
      <c r="K2059" s="20" t="n">
        <v>360</v>
      </c>
      <c r="L2059" s="5" t="inlineStr">
        <is>
          <t>SFST34000137</t>
        </is>
      </c>
      <c r="M2059" s="7" t="inlineStr">
        <is>
          <t>Consumable part for MN</t>
        </is>
      </c>
      <c r="N2059" s="7" t="inlineStr">
        <is>
          <t>Consumable part</t>
        </is>
      </c>
      <c r="O2059" s="11" t="n">
        <v>11</v>
      </c>
      <c r="P2059" s="10" t="inlineStr">
        <is>
          <t>argon gas 6 Q</t>
        </is>
      </c>
      <c r="Q2059" s="277" t="n">
        <v>1</v>
      </c>
      <c r="R2059" s="5" t="inlineStr">
        <is>
          <t>DRUM.</t>
        </is>
      </c>
      <c r="S2059" s="284">
        <f>RawDataGenPO[[#This Row],[Total price]]/RawDataGenPO[[#This Row],[Qty'']]</f>
        <v/>
      </c>
      <c r="T2059" s="278" t="n">
        <v>900</v>
      </c>
      <c r="U2059" s="291" t="n"/>
      <c r="V2059" s="7" t="inlineStr">
        <is>
          <t>V1000475 - Klong Karn Kha Trading</t>
        </is>
      </c>
      <c r="W2059" s="30" t="inlineStr">
        <is>
          <t xml:space="preserve">Waitting Supplier transportation </t>
        </is>
      </c>
      <c r="Z2059" s="23" t="n"/>
      <c r="AA2059" s="17">
        <f>IF(RawDataGenPO[[#This Row],[Date Gen PO]]="","",RawDataGenPO[[#This Row],[Date recive bill]]-RawDataGenPO[[#This Row],[Date Gen PO]])</f>
        <v/>
      </c>
      <c r="AB2059" s="16">
        <f>IF(RawDataGenPO[[#This Row],[GRN-PO date]]&gt;RawDataGenPO[[#This Row],[Lead time delivery (day)]],"over deliverry","Ontime")</f>
        <v/>
      </c>
      <c r="AC2059" s="22" t="n"/>
    </row>
    <row r="2060" ht="15" customHeight="1">
      <c r="A2060" s="5">
        <f>ROW()-ROW(RawDataGenPO[[#Headers],[No.]])</f>
        <v/>
      </c>
      <c r="B2060" s="29" t="inlineStr">
        <is>
          <t>Expent  cost</t>
        </is>
      </c>
      <c r="C2060" s="373" t="n"/>
      <c r="D2060" s="374" t="n"/>
      <c r="E2060" s="374" t="n"/>
      <c r="F2060" s="281" t="n">
        <v>46094</v>
      </c>
      <c r="G2060" s="5" t="inlineStr">
        <is>
          <t>PR2526-05290</t>
        </is>
      </c>
      <c r="H2060" s="5" t="inlineStr">
        <is>
          <t>PO2526-07607</t>
        </is>
      </c>
      <c r="I2060" s="286" t="n">
        <v>46105</v>
      </c>
      <c r="J2060" s="26" t="n"/>
      <c r="K2060" s="20" t="n">
        <v>360</v>
      </c>
      <c r="L2060" s="5" t="inlineStr">
        <is>
          <t>SFST34000137</t>
        </is>
      </c>
      <c r="M2060" s="7" t="inlineStr">
        <is>
          <t>Consumable part for MN</t>
        </is>
      </c>
      <c r="N2060" s="7" t="inlineStr">
        <is>
          <t>Consumable part</t>
        </is>
      </c>
      <c r="O2060" s="11" t="n">
        <v>12</v>
      </c>
      <c r="P2060" s="10" t="inlineStr">
        <is>
          <t>argon gas 6 Q</t>
        </is>
      </c>
      <c r="Q2060" s="277" t="n">
        <v>1</v>
      </c>
      <c r="R2060" s="5" t="inlineStr">
        <is>
          <t>DRUM.</t>
        </is>
      </c>
      <c r="S2060" s="284">
        <f>RawDataGenPO[[#This Row],[Total price]]/RawDataGenPO[[#This Row],[Qty'']]</f>
        <v/>
      </c>
      <c r="T2060" s="278" t="n">
        <v>900</v>
      </c>
      <c r="U2060" s="291" t="n"/>
      <c r="V2060" s="7" t="inlineStr">
        <is>
          <t>V1000475 - Klong Karn Kha Trading</t>
        </is>
      </c>
      <c r="W2060" s="30" t="inlineStr">
        <is>
          <t xml:space="preserve">Waitting Supplier transportation </t>
        </is>
      </c>
      <c r="Z2060" s="23" t="n"/>
      <c r="AA2060" s="17">
        <f>IF(RawDataGenPO[[#This Row],[Date Gen PO]]="","",RawDataGenPO[[#This Row],[Date recive bill]]-RawDataGenPO[[#This Row],[Date Gen PO]])</f>
        <v/>
      </c>
      <c r="AB2060" s="16">
        <f>IF(RawDataGenPO[[#This Row],[GRN-PO date]]&gt;RawDataGenPO[[#This Row],[Lead time delivery (day)]],"over deliverry","Ontime")</f>
        <v/>
      </c>
      <c r="AC2060" s="22" t="n"/>
    </row>
    <row r="2061" ht="15" customHeight="1">
      <c r="A2061" s="5">
        <f>ROW()-ROW(RawDataGenPO[[#Headers],[No.]])</f>
        <v/>
      </c>
      <c r="B2061" s="29" t="inlineStr">
        <is>
          <t>Expent  cost</t>
        </is>
      </c>
      <c r="C2061" s="373" t="n"/>
      <c r="D2061" s="374" t="n"/>
      <c r="E2061" s="374" t="n"/>
      <c r="F2061" s="281" t="n">
        <v>46094</v>
      </c>
      <c r="G2061" s="5" t="inlineStr">
        <is>
          <t>PR2526-05290</t>
        </is>
      </c>
      <c r="H2061" s="5" t="inlineStr">
        <is>
          <t>PO2526-07607</t>
        </is>
      </c>
      <c r="I2061" s="286" t="n">
        <v>46105</v>
      </c>
      <c r="J2061" s="26" t="n"/>
      <c r="K2061" s="20" t="n">
        <v>360</v>
      </c>
      <c r="L2061" s="5" t="inlineStr">
        <is>
          <t>SFST34000137</t>
        </is>
      </c>
      <c r="M2061" s="7" t="inlineStr">
        <is>
          <t>Consumable part for MN</t>
        </is>
      </c>
      <c r="N2061" s="7" t="inlineStr">
        <is>
          <t>Consumable part</t>
        </is>
      </c>
      <c r="O2061" s="11" t="n">
        <v>13</v>
      </c>
      <c r="P2061" s="10" t="inlineStr">
        <is>
          <t>argon gas 6 Q</t>
        </is>
      </c>
      <c r="Q2061" s="277" t="n">
        <v>1</v>
      </c>
      <c r="R2061" s="5" t="inlineStr">
        <is>
          <t>DRUM.</t>
        </is>
      </c>
      <c r="S2061" s="284">
        <f>RawDataGenPO[[#This Row],[Total price]]/RawDataGenPO[[#This Row],[Qty'']]</f>
        <v/>
      </c>
      <c r="T2061" s="278" t="n">
        <v>900</v>
      </c>
      <c r="U2061" s="291" t="n"/>
      <c r="V2061" s="7" t="inlineStr">
        <is>
          <t>V1000475 - Klong Karn Kha Trading</t>
        </is>
      </c>
      <c r="W2061" s="30" t="inlineStr">
        <is>
          <t xml:space="preserve">Waitting Supplier transportation </t>
        </is>
      </c>
      <c r="Z2061" s="23" t="n"/>
      <c r="AA2061" s="17">
        <f>IF(RawDataGenPO[[#This Row],[Date Gen PO]]="","",RawDataGenPO[[#This Row],[Date recive bill]]-RawDataGenPO[[#This Row],[Date Gen PO]])</f>
        <v/>
      </c>
      <c r="AB2061" s="16">
        <f>IF(RawDataGenPO[[#This Row],[GRN-PO date]]&gt;RawDataGenPO[[#This Row],[Lead time delivery (day)]],"over deliverry","Ontime")</f>
        <v/>
      </c>
      <c r="AC2061" s="22" t="n"/>
    </row>
    <row r="2062" ht="15" customHeight="1">
      <c r="A2062" s="5">
        <f>ROW()-ROW(RawDataGenPO[[#Headers],[No.]])</f>
        <v/>
      </c>
      <c r="B2062" s="29" t="inlineStr">
        <is>
          <t>Expent  cost</t>
        </is>
      </c>
      <c r="C2062" s="373" t="n"/>
      <c r="D2062" s="374" t="n"/>
      <c r="E2062" s="374" t="n"/>
      <c r="F2062" s="281" t="n">
        <v>46094</v>
      </c>
      <c r="G2062" s="5" t="inlineStr">
        <is>
          <t>PR2526-05290</t>
        </is>
      </c>
      <c r="H2062" s="5" t="inlineStr">
        <is>
          <t>PO2526-07607</t>
        </is>
      </c>
      <c r="I2062" s="286" t="n">
        <v>46105</v>
      </c>
      <c r="J2062" s="26" t="n"/>
      <c r="K2062" s="20" t="n">
        <v>360</v>
      </c>
      <c r="L2062" s="5" t="inlineStr">
        <is>
          <t>SFST34000137</t>
        </is>
      </c>
      <c r="M2062" s="7" t="inlineStr">
        <is>
          <t>Consumable part for MN</t>
        </is>
      </c>
      <c r="N2062" s="7" t="inlineStr">
        <is>
          <t>Consumable part</t>
        </is>
      </c>
      <c r="O2062" s="11" t="n">
        <v>14</v>
      </c>
      <c r="P2062" s="10" t="inlineStr">
        <is>
          <t>argon gas 6 Q</t>
        </is>
      </c>
      <c r="Q2062" s="277" t="n">
        <v>1</v>
      </c>
      <c r="R2062" s="5" t="inlineStr">
        <is>
          <t>DRUM.</t>
        </is>
      </c>
      <c r="S2062" s="284">
        <f>RawDataGenPO[[#This Row],[Total price]]/RawDataGenPO[[#This Row],[Qty'']]</f>
        <v/>
      </c>
      <c r="T2062" s="278" t="n">
        <v>900</v>
      </c>
      <c r="U2062" s="291" t="n"/>
      <c r="V2062" s="7" t="inlineStr">
        <is>
          <t>V1000475 - Klong Karn Kha Trading</t>
        </is>
      </c>
      <c r="W2062" s="30" t="inlineStr">
        <is>
          <t xml:space="preserve">Waitting Supplier transportation </t>
        </is>
      </c>
      <c r="Z2062" s="23" t="n"/>
      <c r="AA2062" s="17">
        <f>IF(RawDataGenPO[[#This Row],[Date Gen PO]]="","",RawDataGenPO[[#This Row],[Date recive bill]]-RawDataGenPO[[#This Row],[Date Gen PO]])</f>
        <v/>
      </c>
      <c r="AB2062" s="16">
        <f>IF(RawDataGenPO[[#This Row],[GRN-PO date]]&gt;RawDataGenPO[[#This Row],[Lead time delivery (day)]],"over deliverry","Ontime")</f>
        <v/>
      </c>
      <c r="AC2062" s="22" t="n"/>
    </row>
    <row r="2063" ht="15" customHeight="1">
      <c r="A2063" s="5">
        <f>ROW()-ROW(RawDataGenPO[[#Headers],[No.]])</f>
        <v/>
      </c>
      <c r="B2063" s="29" t="inlineStr">
        <is>
          <t>Expent  cost</t>
        </is>
      </c>
      <c r="C2063" s="373" t="n"/>
      <c r="D2063" s="374" t="n"/>
      <c r="E2063" s="374" t="n"/>
      <c r="F2063" s="281" t="n">
        <v>46097</v>
      </c>
      <c r="G2063" s="5" t="inlineStr">
        <is>
          <t>PR2526-05322</t>
        </is>
      </c>
      <c r="H2063" s="5" t="inlineStr">
        <is>
          <t>PO2526-07716</t>
        </is>
      </c>
      <c r="I2063" s="286" t="n">
        <v>46106</v>
      </c>
      <c r="J2063" s="26" t="n"/>
      <c r="K2063" s="20" t="n">
        <v>60</v>
      </c>
      <c r="L2063" s="5" t="inlineStr">
        <is>
          <t>SFST81000009</t>
        </is>
      </c>
      <c r="M2063" s="7" t="inlineStr">
        <is>
          <t>Civill jobs (Floor-Wall-Celling-roof)</t>
        </is>
      </c>
      <c r="N2063" s="7" t="inlineStr">
        <is>
          <t>Cevil jobs</t>
        </is>
      </c>
      <c r="O2063" s="11" t="n">
        <v>1</v>
      </c>
      <c r="P2063" s="10" t="inlineStr">
        <is>
          <t>Epoxy Coating (AB) mix 2 W A+B Dark Green 12.8 Kg.</t>
        </is>
      </c>
      <c r="Q2063" s="277" t="n">
        <v>4</v>
      </c>
      <c r="R2063" s="5" t="inlineStr">
        <is>
          <t>SET</t>
        </is>
      </c>
      <c r="S2063" s="284">
        <f>RawDataGenPO[[#This Row],[Total price]]/RawDataGenPO[[#This Row],[Qty'']]</f>
        <v/>
      </c>
      <c r="T2063" s="278" t="n">
        <v>12400</v>
      </c>
      <c r="U2063" s="291" t="n"/>
      <c r="V2063" s="7" t="inlineStr">
        <is>
          <t>V1001058 - GLOBAL CHEMICAL CENTER (THAILAND) COMPANY LIMITED</t>
        </is>
      </c>
      <c r="W2063" s="30" t="inlineStr">
        <is>
          <t xml:space="preserve">Waitting Supplier transportation </t>
        </is>
      </c>
      <c r="Z2063" s="23" t="n"/>
      <c r="AA2063" s="17">
        <f>IF(RawDataGenPO[[#This Row],[Date Gen PO]]="","",RawDataGenPO[[#This Row],[Date recive bill]]-RawDataGenPO[[#This Row],[Date Gen PO]])</f>
        <v/>
      </c>
      <c r="AB2063" s="16">
        <f>IF(RawDataGenPO[[#This Row],[GRN-PO date]]&gt;RawDataGenPO[[#This Row],[Lead time delivery (day)]],"over deliverry","Ontime")</f>
        <v/>
      </c>
      <c r="AC2063" s="22" t="n"/>
    </row>
    <row r="2064" ht="15" customHeight="1">
      <c r="A2064" s="5">
        <f>ROW()-ROW(RawDataGenPO[[#Headers],[No.]])</f>
        <v/>
      </c>
      <c r="B2064" s="29" t="inlineStr">
        <is>
          <t>Expent  cost</t>
        </is>
      </c>
      <c r="C2064" s="373" t="n"/>
      <c r="D2064" s="374" t="n"/>
      <c r="E2064" s="374" t="n"/>
      <c r="F2064" s="281" t="n">
        <v>46097</v>
      </c>
      <c r="G2064" s="5" t="inlineStr">
        <is>
          <t>PR2526-05322</t>
        </is>
      </c>
      <c r="H2064" s="5" t="inlineStr">
        <is>
          <t>PO2526-07716</t>
        </is>
      </c>
      <c r="I2064" s="286" t="n">
        <v>46106</v>
      </c>
      <c r="J2064" s="26" t="n"/>
      <c r="K2064" s="20" t="n">
        <v>60</v>
      </c>
      <c r="L2064" s="5" t="inlineStr">
        <is>
          <t>SFST81000009</t>
        </is>
      </c>
      <c r="M2064" s="7" t="inlineStr">
        <is>
          <t>Civill jobs (Floor-Wall-Celling-roof)</t>
        </is>
      </c>
      <c r="N2064" s="7" t="inlineStr">
        <is>
          <t>Cevil jobs</t>
        </is>
      </c>
      <c r="O2064" s="11" t="n">
        <v>2</v>
      </c>
      <c r="P2064" s="10" t="inlineStr">
        <is>
          <t>Epoxy Coating (AB) mix 2 W A+B Yellow Buff 12.8 Kg.</t>
        </is>
      </c>
      <c r="Q2064" s="277" t="n">
        <v>2</v>
      </c>
      <c r="R2064" s="5" t="inlineStr">
        <is>
          <t>SET</t>
        </is>
      </c>
      <c r="S2064" s="284">
        <f>RawDataGenPO[[#This Row],[Total price]]/RawDataGenPO[[#This Row],[Qty'']]</f>
        <v/>
      </c>
      <c r="T2064" s="278" t="n">
        <v>6200</v>
      </c>
      <c r="U2064" s="291" t="n"/>
      <c r="V2064" s="7" t="inlineStr">
        <is>
          <t>V1001058 - GLOBAL CHEMICAL CENTER (THAILAND) COMPANY LIMITED</t>
        </is>
      </c>
      <c r="W2064" s="30" t="inlineStr">
        <is>
          <t xml:space="preserve">Waitting Supplier transportation </t>
        </is>
      </c>
      <c r="Z2064" s="23" t="n"/>
      <c r="AA2064" s="17">
        <f>IF(RawDataGenPO[[#This Row],[Date Gen PO]]="","",RawDataGenPO[[#This Row],[Date recive bill]]-RawDataGenPO[[#This Row],[Date Gen PO]])</f>
        <v/>
      </c>
      <c r="AB2064" s="16">
        <f>IF(RawDataGenPO[[#This Row],[GRN-PO date]]&gt;RawDataGenPO[[#This Row],[Lead time delivery (day)]],"over deliverry","Ontime")</f>
        <v/>
      </c>
      <c r="AC2064" s="22" t="n"/>
    </row>
    <row r="2065" ht="15" customHeight="1">
      <c r="A2065" s="5">
        <f>ROW()-ROW(RawDataGenPO[[#Headers],[No.]])</f>
        <v/>
      </c>
      <c r="B2065" s="29" t="inlineStr">
        <is>
          <t>Expent  cost</t>
        </is>
      </c>
      <c r="C2065" s="373" t="n"/>
      <c r="D2065" s="374" t="n"/>
      <c r="E2065" s="374" t="n"/>
      <c r="F2065" s="281" t="n">
        <v>46097</v>
      </c>
      <c r="G2065" s="5" t="inlineStr">
        <is>
          <t>PR2526-05324</t>
        </is>
      </c>
      <c r="H2065" s="5" t="inlineStr">
        <is>
          <t>PO2526-07691</t>
        </is>
      </c>
      <c r="I2065" s="286" t="n">
        <v>46105</v>
      </c>
      <c r="J2065" s="26" t="n"/>
      <c r="K2065" s="20" t="n">
        <v>60</v>
      </c>
      <c r="L2065" s="5" t="inlineStr">
        <is>
          <t>SFST81000048</t>
        </is>
      </c>
      <c r="M2065" s="7" t="inlineStr">
        <is>
          <t>PD Machine</t>
        </is>
      </c>
      <c r="N2065" s="7" t="inlineStr">
        <is>
          <t>Vacuum Tumbler large No.3</t>
        </is>
      </c>
      <c r="O2065" s="11" t="n">
        <v>1</v>
      </c>
      <c r="P2065" s="10" t="inlineStr">
        <is>
          <t>MA00012269 GASKET*180 BLUE</t>
        </is>
      </c>
      <c r="Q2065" s="277" t="n">
        <v>1</v>
      </c>
      <c r="R2065" s="5" t="inlineStr">
        <is>
          <t>PCS.</t>
        </is>
      </c>
      <c r="S2065" s="284">
        <f>RawDataGenPO[[#This Row],[Total price]]/RawDataGenPO[[#This Row],[Qty'']]</f>
        <v/>
      </c>
      <c r="T2065" s="278" t="n">
        <v>5040</v>
      </c>
      <c r="U2065" s="291" t="n"/>
      <c r="V2065" s="7" t="inlineStr">
        <is>
          <t>V1000666 - HITEC FOOD EQUIPMENT CO.,LTD.</t>
        </is>
      </c>
      <c r="W2065" s="30" t="inlineStr">
        <is>
          <t>Recive bill and GRN already</t>
        </is>
      </c>
      <c r="X2065" s="5" t="inlineStr">
        <is>
          <t>GRN2526-0009514</t>
        </is>
      </c>
      <c r="Y2065" s="3" t="n">
        <v>46112</v>
      </c>
      <c r="Z2065" s="23" t="n"/>
      <c r="AA2065" s="17">
        <f>IF(RawDataGenPO[[#This Row],[Date Gen PO]]="","",RawDataGenPO[[#This Row],[Date recive bill]]-RawDataGenPO[[#This Row],[Date Gen PO]])</f>
        <v/>
      </c>
      <c r="AB2065" s="16">
        <f>IF(RawDataGenPO[[#This Row],[GRN-PO date]]&gt;RawDataGenPO[[#This Row],[Lead time delivery (day)]],"over deliverry","Ontime")</f>
        <v/>
      </c>
      <c r="AC2065" s="22" t="n"/>
    </row>
    <row r="2066" ht="15" customHeight="1">
      <c r="A2066" s="5">
        <f>ROW()-ROW(RawDataGenPO[[#Headers],[No.]])</f>
        <v/>
      </c>
      <c r="B2066" s="29" t="inlineStr">
        <is>
          <t>Expent  cost</t>
        </is>
      </c>
      <c r="C2066" s="373" t="n"/>
      <c r="D2066" s="374" t="n"/>
      <c r="E2066" s="374" t="n"/>
      <c r="F2066" s="281" t="n">
        <v>46097</v>
      </c>
      <c r="G2066" s="5" t="inlineStr">
        <is>
          <t>PR2526-05325</t>
        </is>
      </c>
      <c r="H2066" s="5" t="inlineStr">
        <is>
          <t xml:space="preserve">PO2526-07692 </t>
        </is>
      </c>
      <c r="I2066" s="286" t="n">
        <v>46105</v>
      </c>
      <c r="J2066" s="26" t="n"/>
      <c r="K2066" s="20" t="n">
        <v>60</v>
      </c>
      <c r="L2066" s="5" t="inlineStr">
        <is>
          <t>SFST34000169</t>
        </is>
      </c>
      <c r="M2066" s="7" t="inlineStr">
        <is>
          <t>Consumable part for MN</t>
        </is>
      </c>
      <c r="N2066" s="7" t="inlineStr">
        <is>
          <t>Consumable part</t>
        </is>
      </c>
      <c r="O2066" s="11" t="n">
        <v>1</v>
      </c>
      <c r="P2066" s="10" t="inlineStr">
        <is>
          <t>gasket sealant Threebond high temperature resistant No. 1 (GREY)</t>
        </is>
      </c>
      <c r="Q2066" s="277" t="n">
        <v>4</v>
      </c>
      <c r="R2066" s="5" t="inlineStr">
        <is>
          <t>PCS.</t>
        </is>
      </c>
      <c r="S2066" s="284">
        <f>RawDataGenPO[[#This Row],[Total price]]/RawDataGenPO[[#This Row],[Qty'']]</f>
        <v/>
      </c>
      <c r="T2066" s="278" t="n">
        <v>840</v>
      </c>
      <c r="U2066" s="291" t="n"/>
      <c r="V2066" s="7" t="inlineStr">
        <is>
          <t>V1000306 - Inter Supply (1992) Co., Ltd.</t>
        </is>
      </c>
      <c r="W2066" s="30" t="inlineStr">
        <is>
          <t>Recive bill and GRN already</t>
        </is>
      </c>
      <c r="X2066" s="5" t="inlineStr">
        <is>
          <t>GRN2627-0000100</t>
        </is>
      </c>
      <c r="Y2066" s="3" t="n">
        <v>46115</v>
      </c>
      <c r="Z2066" s="23" t="n"/>
      <c r="AA2066" s="17">
        <f>IF(RawDataGenPO[[#This Row],[Date Gen PO]]="","",RawDataGenPO[[#This Row],[Date recive bill]]-RawDataGenPO[[#This Row],[Date Gen PO]])</f>
        <v/>
      </c>
      <c r="AB2066" s="16">
        <f>IF(RawDataGenPO[[#This Row],[GRN-PO date]]&gt;RawDataGenPO[[#This Row],[Lead time delivery (day)]],"over deliverry","Ontime")</f>
        <v/>
      </c>
      <c r="AC2066" s="22" t="n"/>
    </row>
    <row r="2067" ht="15" customHeight="1">
      <c r="A2067" s="5">
        <f>ROW()-ROW(RawDataGenPO[[#Headers],[No.]])</f>
        <v/>
      </c>
      <c r="B2067" s="29" t="inlineStr">
        <is>
          <t>Expent  cost</t>
        </is>
      </c>
      <c r="C2067" s="373" t="n"/>
      <c r="D2067" s="374" t="n"/>
      <c r="E2067" s="374" t="n"/>
      <c r="F2067" s="281" t="n">
        <v>46097</v>
      </c>
      <c r="G2067" s="5" t="inlineStr">
        <is>
          <t>PR2526-05325</t>
        </is>
      </c>
      <c r="H2067" s="5" t="inlineStr">
        <is>
          <t xml:space="preserve">PO2526-07692 </t>
        </is>
      </c>
      <c r="I2067" s="286" t="n">
        <v>46105</v>
      </c>
      <c r="J2067" s="26" t="n"/>
      <c r="K2067" s="20" t="n">
        <v>60</v>
      </c>
      <c r="L2067" s="5" t="inlineStr">
        <is>
          <t>SFST34000127</t>
        </is>
      </c>
      <c r="M2067" s="7" t="inlineStr">
        <is>
          <t>Consumable part for MN</t>
        </is>
      </c>
      <c r="N2067" s="7" t="inlineStr">
        <is>
          <t>Consumable part</t>
        </is>
      </c>
      <c r="O2067" s="11" t="n">
        <v>2</v>
      </c>
      <c r="P2067" s="10" t="inlineStr">
        <is>
          <t>valvestainless steel SUS304 KITZ-10K UCL (Stainless Steel Globe</t>
        </is>
      </c>
      <c r="Q2067" s="277" t="n">
        <v>4</v>
      </c>
      <c r="R2067" s="5" t="inlineStr">
        <is>
          <t>PCS.</t>
        </is>
      </c>
      <c r="S2067" s="284">
        <f>RawDataGenPO[[#This Row],[Total price]]/RawDataGenPO[[#This Row],[Qty'']]</f>
        <v/>
      </c>
      <c r="T2067" s="278" t="n">
        <v>3460</v>
      </c>
      <c r="U2067" s="291" t="n"/>
      <c r="V2067" s="7" t="inlineStr">
        <is>
          <t>V1000306 - Inter Supply (1992) Co., Ltd.</t>
        </is>
      </c>
      <c r="W2067" s="30" t="inlineStr">
        <is>
          <t>Recive bill and GRN already</t>
        </is>
      </c>
      <c r="X2067" s="5" t="inlineStr">
        <is>
          <t>GRN2627-0000100</t>
        </is>
      </c>
      <c r="Y2067" s="3" t="n">
        <v>46115</v>
      </c>
      <c r="Z2067" s="23" t="n"/>
      <c r="AA2067" s="17">
        <f>IF(RawDataGenPO[[#This Row],[Date Gen PO]]="","",RawDataGenPO[[#This Row],[Date recive bill]]-RawDataGenPO[[#This Row],[Date Gen PO]])</f>
        <v/>
      </c>
      <c r="AB2067" s="16">
        <f>IF(RawDataGenPO[[#This Row],[GRN-PO date]]&gt;RawDataGenPO[[#This Row],[Lead time delivery (day)]],"over deliverry","Ontime")</f>
        <v/>
      </c>
      <c r="AC2067" s="22" t="n"/>
    </row>
    <row r="2068" ht="15" customHeight="1">
      <c r="A2068" s="5">
        <f>ROW()-ROW(RawDataGenPO[[#Headers],[No.]])</f>
        <v/>
      </c>
      <c r="B2068" s="29" t="inlineStr">
        <is>
          <t>Expent  cost</t>
        </is>
      </c>
      <c r="C2068" s="373" t="n"/>
      <c r="D2068" s="374" t="n"/>
      <c r="E2068" s="374" t="n"/>
      <c r="F2068" s="281" t="n">
        <v>46097</v>
      </c>
      <c r="G2068" s="5" t="inlineStr">
        <is>
          <t>PR2526-05325</t>
        </is>
      </c>
      <c r="H2068" s="5" t="inlineStr">
        <is>
          <t xml:space="preserve">PO2526-07692 </t>
        </is>
      </c>
      <c r="I2068" s="286" t="n">
        <v>46105</v>
      </c>
      <c r="J2068" s="26" t="n"/>
      <c r="K2068" s="20" t="n">
        <v>60</v>
      </c>
      <c r="L2068" s="5" t="inlineStr">
        <is>
          <t>SFST81000050</t>
        </is>
      </c>
      <c r="M2068" s="7" t="inlineStr">
        <is>
          <t>Consumable part for MN</t>
        </is>
      </c>
      <c r="N2068" s="7" t="inlineStr">
        <is>
          <t>Consumable part</t>
        </is>
      </c>
      <c r="O2068" s="11" t="n">
        <v>3</v>
      </c>
      <c r="P2068" s="10" t="inlineStr">
        <is>
          <t>Wpipedark "" 125G. typetube</t>
        </is>
      </c>
      <c r="Q2068" s="277" t="n">
        <v>24</v>
      </c>
      <c r="R2068" s="5" t="inlineStr">
        <is>
          <t>PCS.</t>
        </is>
      </c>
      <c r="S2068" s="284">
        <f>RawDataGenPO[[#This Row],[Total price]]/RawDataGenPO[[#This Row],[Qty'']]</f>
        <v/>
      </c>
      <c r="T2068" s="278" t="n">
        <v>3360</v>
      </c>
      <c r="U2068" s="291" t="n"/>
      <c r="V2068" s="7" t="inlineStr">
        <is>
          <t>V1000306 - Inter Supply (1992) Co., Ltd.</t>
        </is>
      </c>
      <c r="W2068" s="30" t="inlineStr">
        <is>
          <t>Recive bill and GRN already</t>
        </is>
      </c>
      <c r="X2068" s="5" t="inlineStr">
        <is>
          <t>GRN2627-0000100</t>
        </is>
      </c>
      <c r="Y2068" s="3" t="n">
        <v>46115</v>
      </c>
      <c r="Z2068" s="23" t="n"/>
      <c r="AA2068" s="17">
        <f>IF(RawDataGenPO[[#This Row],[Date Gen PO]]="","",RawDataGenPO[[#This Row],[Date recive bill]]-RawDataGenPO[[#This Row],[Date Gen PO]])</f>
        <v/>
      </c>
      <c r="AB2068" s="16">
        <f>IF(RawDataGenPO[[#This Row],[GRN-PO date]]&gt;RawDataGenPO[[#This Row],[Lead time delivery (day)]],"over deliverry","Ontime")</f>
        <v/>
      </c>
      <c r="AC2068" s="22" t="n"/>
    </row>
    <row r="2069" ht="15" customHeight="1">
      <c r="A2069" s="5">
        <f>ROW()-ROW(RawDataGenPO[[#Headers],[No.]])</f>
        <v/>
      </c>
      <c r="B2069" s="29" t="inlineStr">
        <is>
          <t>Expent  cost</t>
        </is>
      </c>
      <c r="C2069" s="373" t="n"/>
      <c r="D2069" s="374" t="n"/>
      <c r="E2069" s="374" t="n"/>
      <c r="F2069" s="281" t="n">
        <v>46097</v>
      </c>
      <c r="G2069" s="5" t="inlineStr">
        <is>
          <t>PR2526-05326</t>
        </is>
      </c>
      <c r="H2069" s="5" t="inlineStr">
        <is>
          <t>PO2526-07693</t>
        </is>
      </c>
      <c r="I2069" s="286" t="n">
        <v>46105</v>
      </c>
      <c r="J2069" s="26" t="n"/>
      <c r="K2069" s="20" t="n">
        <v>60</v>
      </c>
      <c r="L2069" s="5" t="inlineStr">
        <is>
          <t>SFST34000104</t>
        </is>
      </c>
      <c r="M2069" s="7" t="inlineStr">
        <is>
          <t>Consumable part for MN</t>
        </is>
      </c>
      <c r="N2069" s="7" t="inlineStr">
        <is>
          <t>Consumable part</t>
        </is>
      </c>
      <c r="O2069" s="11" t="n">
        <v>1</v>
      </c>
      <c r="P2069" s="10" t="inlineStr">
        <is>
          <t>U-boltstainless steel SUS304 (Steel U-BOLT) size 1/2" (pcsinternal 22 mm.)</t>
        </is>
      </c>
      <c r="Q2069" s="277" t="n">
        <v>10</v>
      </c>
      <c r="R2069" s="5" t="inlineStr">
        <is>
          <t>PCS.</t>
        </is>
      </c>
      <c r="S2069" s="284">
        <f>RawDataGenPO[[#This Row],[Total price]]/RawDataGenPO[[#This Row],[Qty'']]</f>
        <v/>
      </c>
      <c r="T2069" s="278" t="n">
        <v>200</v>
      </c>
      <c r="U2069" s="291" t="n"/>
      <c r="V2069" s="7" t="inlineStr">
        <is>
          <t>V1000259 - JJP SUPPLY CO., LTD</t>
        </is>
      </c>
      <c r="W2069" s="30" t="inlineStr">
        <is>
          <t>Recive bill and GRN already</t>
        </is>
      </c>
      <c r="X2069" s="5" t="inlineStr">
        <is>
          <t>GRN2627-0000249</t>
        </is>
      </c>
      <c r="Y2069" s="3" t="n">
        <v>46119</v>
      </c>
      <c r="Z2069" s="23" t="n"/>
      <c r="AA2069" s="17">
        <f>IF(RawDataGenPO[[#This Row],[Date Gen PO]]="","",RawDataGenPO[[#This Row],[Date recive bill]]-RawDataGenPO[[#This Row],[Date Gen PO]])</f>
        <v/>
      </c>
      <c r="AB2069" s="16">
        <f>IF(RawDataGenPO[[#This Row],[GRN-PO date]]&gt;RawDataGenPO[[#This Row],[Lead time delivery (day)]],"over deliverry","Ontime")</f>
        <v/>
      </c>
      <c r="AC2069" s="22" t="n"/>
    </row>
    <row r="2070" ht="15" customHeight="1">
      <c r="A2070" s="5">
        <f>ROW()-ROW(RawDataGenPO[[#Headers],[No.]])</f>
        <v/>
      </c>
      <c r="B2070" s="29" t="inlineStr">
        <is>
          <t>Expent  cost</t>
        </is>
      </c>
      <c r="C2070" s="373" t="n"/>
      <c r="D2070" s="374" t="n"/>
      <c r="E2070" s="374" t="n"/>
      <c r="F2070" s="281" t="n">
        <v>46097</v>
      </c>
      <c r="G2070" s="5" t="inlineStr">
        <is>
          <t>PR2526-05326</t>
        </is>
      </c>
      <c r="H2070" s="5" t="inlineStr">
        <is>
          <t>PO2526-07693</t>
        </is>
      </c>
      <c r="I2070" s="286" t="n">
        <v>46105</v>
      </c>
      <c r="J2070" s="26" t="n"/>
      <c r="K2070" s="20" t="n">
        <v>60</v>
      </c>
      <c r="L2070" s="5" t="inlineStr">
        <is>
          <t>SFST34000105</t>
        </is>
      </c>
      <c r="M2070" s="7" t="inlineStr">
        <is>
          <t>Consumable part for MN</t>
        </is>
      </c>
      <c r="N2070" s="7" t="inlineStr">
        <is>
          <t>Consumable part</t>
        </is>
      </c>
      <c r="O2070" s="11" t="n">
        <v>2</v>
      </c>
      <c r="P2070" s="10" t="inlineStr">
        <is>
          <t>U-boltstainless steel SUS304 (Steel U-BOLT) size 3/4" (pcsinternal 28 mm.)</t>
        </is>
      </c>
      <c r="Q2070" s="277" t="n">
        <v>10</v>
      </c>
      <c r="R2070" s="5" t="inlineStr">
        <is>
          <t>PCS.</t>
        </is>
      </c>
      <c r="S2070" s="284">
        <f>RawDataGenPO[[#This Row],[Total price]]/RawDataGenPO[[#This Row],[Qty'']]</f>
        <v/>
      </c>
      <c r="T2070" s="278" t="n">
        <v>200</v>
      </c>
      <c r="U2070" s="291" t="n"/>
      <c r="V2070" s="7" t="inlineStr">
        <is>
          <t>V1000259 - JJP SUPPLY CO., LTD</t>
        </is>
      </c>
      <c r="W2070" s="30" t="inlineStr">
        <is>
          <t>Recive bill and GRN already</t>
        </is>
      </c>
      <c r="X2070" s="5" t="inlineStr">
        <is>
          <t>GRN2627-0000249</t>
        </is>
      </c>
      <c r="Y2070" s="3" t="n">
        <v>46119</v>
      </c>
      <c r="Z2070" s="23" t="n"/>
      <c r="AA2070" s="17">
        <f>IF(RawDataGenPO[[#This Row],[Date Gen PO]]="","",RawDataGenPO[[#This Row],[Date recive bill]]-RawDataGenPO[[#This Row],[Date Gen PO]])</f>
        <v/>
      </c>
      <c r="AB2070" s="16">
        <f>IF(RawDataGenPO[[#This Row],[GRN-PO date]]&gt;RawDataGenPO[[#This Row],[Lead time delivery (day)]],"over deliverry","Ontime")</f>
        <v/>
      </c>
      <c r="AC2070" s="22" t="n"/>
    </row>
    <row r="2071" ht="15" customHeight="1">
      <c r="A2071" s="5">
        <f>ROW()-ROW(RawDataGenPO[[#Headers],[No.]])</f>
        <v/>
      </c>
      <c r="B2071" s="29" t="inlineStr">
        <is>
          <t>Expent  cost</t>
        </is>
      </c>
      <c r="C2071" s="373" t="n"/>
      <c r="D2071" s="374" t="n"/>
      <c r="E2071" s="374" t="n"/>
      <c r="F2071" s="281" t="n">
        <v>46097</v>
      </c>
      <c r="G2071" s="5" t="inlineStr">
        <is>
          <t>PR2526-05326</t>
        </is>
      </c>
      <c r="H2071" s="5" t="inlineStr">
        <is>
          <t>PO2526-07693</t>
        </is>
      </c>
      <c r="I2071" s="286" t="n">
        <v>46105</v>
      </c>
      <c r="J2071" s="26" t="n"/>
      <c r="K2071" s="20" t="n">
        <v>60</v>
      </c>
      <c r="L2071" s="5" t="inlineStr">
        <is>
          <t>SFST34000106</t>
        </is>
      </c>
      <c r="M2071" s="7" t="inlineStr">
        <is>
          <t>Consumable part for MN</t>
        </is>
      </c>
      <c r="N2071" s="7" t="inlineStr">
        <is>
          <t>Consumable part</t>
        </is>
      </c>
      <c r="O2071" s="11" t="n">
        <v>3</v>
      </c>
      <c r="P2071" s="10" t="inlineStr">
        <is>
          <t>U-boltstainless steel SUS304 (Steel U-BOLT) size 1" (pcsinternal 34 mm.)</t>
        </is>
      </c>
      <c r="Q2071" s="277" t="n">
        <v>10</v>
      </c>
      <c r="R2071" s="5" t="inlineStr">
        <is>
          <t>PCS.</t>
        </is>
      </c>
      <c r="S2071" s="284">
        <f>RawDataGenPO[[#This Row],[Total price]]/RawDataGenPO[[#This Row],[Qty'']]</f>
        <v/>
      </c>
      <c r="T2071" s="278" t="n">
        <v>200</v>
      </c>
      <c r="U2071" s="291" t="n"/>
      <c r="V2071" s="7" t="inlineStr">
        <is>
          <t>V1000259 - JJP SUPPLY CO., LTD</t>
        </is>
      </c>
      <c r="W2071" s="30" t="inlineStr">
        <is>
          <t>Recive bill and GRN already</t>
        </is>
      </c>
      <c r="X2071" s="5" t="inlineStr">
        <is>
          <t>GRN2627-0000249</t>
        </is>
      </c>
      <c r="Y2071" s="3" t="n">
        <v>46119</v>
      </c>
      <c r="Z2071" s="23" t="n"/>
      <c r="AA2071" s="17">
        <f>IF(RawDataGenPO[[#This Row],[Date Gen PO]]="","",RawDataGenPO[[#This Row],[Date recive bill]]-RawDataGenPO[[#This Row],[Date Gen PO]])</f>
        <v/>
      </c>
      <c r="AB2071" s="16">
        <f>IF(RawDataGenPO[[#This Row],[GRN-PO date]]&gt;RawDataGenPO[[#This Row],[Lead time delivery (day)]],"over deliverry","Ontime")</f>
        <v/>
      </c>
      <c r="AC2071" s="22" t="n"/>
    </row>
    <row r="2072" ht="15" customHeight="1">
      <c r="A2072" s="5">
        <f>ROW()-ROW(RawDataGenPO[[#Headers],[No.]])</f>
        <v/>
      </c>
      <c r="B2072" s="29" t="inlineStr">
        <is>
          <t>Expent  cost</t>
        </is>
      </c>
      <c r="C2072" s="373" t="n"/>
      <c r="D2072" s="374" t="n"/>
      <c r="E2072" s="374" t="n"/>
      <c r="F2072" s="281" t="n">
        <v>46097</v>
      </c>
      <c r="G2072" s="5" t="inlineStr">
        <is>
          <t>PR2526-05326</t>
        </is>
      </c>
      <c r="H2072" s="5" t="inlineStr">
        <is>
          <t>PO2526-07693</t>
        </is>
      </c>
      <c r="I2072" s="286" t="n">
        <v>46105</v>
      </c>
      <c r="J2072" s="26" t="n"/>
      <c r="K2072" s="20" t="n">
        <v>60</v>
      </c>
      <c r="L2072" s="5" t="inlineStr">
        <is>
          <t>SFST34000107</t>
        </is>
      </c>
      <c r="M2072" s="7" t="inlineStr">
        <is>
          <t>Consumable part for MN</t>
        </is>
      </c>
      <c r="N2072" s="7" t="inlineStr">
        <is>
          <t>Consumable part</t>
        </is>
      </c>
      <c r="O2072" s="11" t="n">
        <v>4</v>
      </c>
      <c r="P2072" s="10" t="inlineStr">
        <is>
          <t>U-boltstainless steel SUS304 (Steel U-BOLT) size 1.1/4" (pcsinternal 43 mm</t>
        </is>
      </c>
      <c r="Q2072" s="277" t="n">
        <v>10</v>
      </c>
      <c r="R2072" s="5" t="inlineStr">
        <is>
          <t>PCS.</t>
        </is>
      </c>
      <c r="S2072" s="284">
        <f>RawDataGenPO[[#This Row],[Total price]]/RawDataGenPO[[#This Row],[Qty'']]</f>
        <v/>
      </c>
      <c r="T2072" s="278" t="n">
        <v>360</v>
      </c>
      <c r="U2072" s="291" t="n"/>
      <c r="V2072" s="7" t="inlineStr">
        <is>
          <t>V1000259 - JJP SUPPLY CO., LTD</t>
        </is>
      </c>
      <c r="W2072" s="30" t="inlineStr">
        <is>
          <t>Recive bill and GRN already</t>
        </is>
      </c>
      <c r="X2072" s="5" t="inlineStr">
        <is>
          <t>GRN2627-0000249</t>
        </is>
      </c>
      <c r="Y2072" s="3" t="n">
        <v>46119</v>
      </c>
      <c r="Z2072" s="23" t="n"/>
      <c r="AA2072" s="17">
        <f>IF(RawDataGenPO[[#This Row],[Date Gen PO]]="","",RawDataGenPO[[#This Row],[Date recive bill]]-RawDataGenPO[[#This Row],[Date Gen PO]])</f>
        <v/>
      </c>
      <c r="AB2072" s="16">
        <f>IF(RawDataGenPO[[#This Row],[GRN-PO date]]&gt;RawDataGenPO[[#This Row],[Lead time delivery (day)]],"over deliverry","Ontime")</f>
        <v/>
      </c>
      <c r="AC2072" s="22" t="n"/>
    </row>
    <row r="2073" ht="15" customHeight="1">
      <c r="A2073" s="5">
        <f>ROW()-ROW(RawDataGenPO[[#Headers],[No.]])</f>
        <v/>
      </c>
      <c r="B2073" s="29" t="inlineStr">
        <is>
          <t>Expent  cost</t>
        </is>
      </c>
      <c r="C2073" s="373" t="n"/>
      <c r="D2073" s="374" t="n"/>
      <c r="E2073" s="374" t="n"/>
      <c r="F2073" s="281" t="n">
        <v>46097</v>
      </c>
      <c r="G2073" s="5" t="inlineStr">
        <is>
          <t>PR2526-05326</t>
        </is>
      </c>
      <c r="H2073" s="5" t="inlineStr">
        <is>
          <t>PO2526-07693</t>
        </is>
      </c>
      <c r="I2073" s="286" t="n">
        <v>46105</v>
      </c>
      <c r="J2073" s="26" t="n"/>
      <c r="K2073" s="20" t="n">
        <v>60</v>
      </c>
      <c r="L2073" s="5" t="inlineStr">
        <is>
          <t>SFST34000108</t>
        </is>
      </c>
      <c r="M2073" s="7" t="inlineStr">
        <is>
          <t>Consumable part for MN</t>
        </is>
      </c>
      <c r="N2073" s="7" t="inlineStr">
        <is>
          <t>Consumable part</t>
        </is>
      </c>
      <c r="O2073" s="11" t="n">
        <v>5</v>
      </c>
      <c r="P2073" s="10" t="inlineStr">
        <is>
          <t>U-boltstainless steel SUS304 (Steel U-BOLT) size 1.1/2" (pcsinternal 52 mm</t>
        </is>
      </c>
      <c r="Q2073" s="277" t="n">
        <v>10</v>
      </c>
      <c r="R2073" s="5" t="inlineStr">
        <is>
          <t>PCS.</t>
        </is>
      </c>
      <c r="S2073" s="284">
        <f>RawDataGenPO[[#This Row],[Total price]]/RawDataGenPO[[#This Row],[Qty'']]</f>
        <v/>
      </c>
      <c r="T2073" s="278" t="n">
        <v>360</v>
      </c>
      <c r="U2073" s="291" t="n"/>
      <c r="V2073" s="7" t="inlineStr">
        <is>
          <t>V1000259 - JJP SUPPLY CO., LTD</t>
        </is>
      </c>
      <c r="W2073" s="30" t="inlineStr">
        <is>
          <t>Recive bill and GRN already</t>
        </is>
      </c>
      <c r="X2073" s="5" t="inlineStr">
        <is>
          <t>GRN2627-0000249</t>
        </is>
      </c>
      <c r="Y2073" s="3" t="n">
        <v>46119</v>
      </c>
      <c r="Z2073" s="23" t="n"/>
      <c r="AA2073" s="17">
        <f>IF(RawDataGenPO[[#This Row],[Date Gen PO]]="","",RawDataGenPO[[#This Row],[Date recive bill]]-RawDataGenPO[[#This Row],[Date Gen PO]])</f>
        <v/>
      </c>
      <c r="AB2073" s="16">
        <f>IF(RawDataGenPO[[#This Row],[GRN-PO date]]&gt;RawDataGenPO[[#This Row],[Lead time delivery (day)]],"over deliverry","Ontime")</f>
        <v/>
      </c>
      <c r="AC2073" s="22" t="n"/>
    </row>
    <row r="2074" ht="15" customHeight="1">
      <c r="A2074" s="5">
        <f>ROW()-ROW(RawDataGenPO[[#Headers],[No.]])</f>
        <v/>
      </c>
      <c r="B2074" s="29" t="inlineStr">
        <is>
          <t>Expent  cost</t>
        </is>
      </c>
      <c r="C2074" s="373" t="n"/>
      <c r="D2074" s="374" t="n"/>
      <c r="E2074" s="374" t="n"/>
      <c r="F2074" s="281" t="n">
        <v>46097</v>
      </c>
      <c r="G2074" s="5" t="inlineStr">
        <is>
          <t>PR2526-05327</t>
        </is>
      </c>
      <c r="H2074" s="5" t="inlineStr">
        <is>
          <t>PO2526-07711</t>
        </is>
      </c>
      <c r="I2074" s="286" t="n">
        <v>46105</v>
      </c>
      <c r="J2074" s="26" t="n"/>
      <c r="K2074" s="20" t="n">
        <v>60</v>
      </c>
      <c r="L2074" s="5" t="inlineStr">
        <is>
          <t>SFST34000112</t>
        </is>
      </c>
      <c r="M2074" s="7" t="inlineStr">
        <is>
          <t>Consumable part for MN</t>
        </is>
      </c>
      <c r="N2074" s="7" t="inlineStr">
        <is>
          <t>Consumable part</t>
        </is>
      </c>
      <c r="O2074" s="11" t="n">
        <v>1</v>
      </c>
      <c r="P2074" s="10" t="inlineStr">
        <is>
          <t>gasketflangenon-asbestos 3/4" (DN20) 3 mm. , (PN16)</t>
        </is>
      </c>
      <c r="Q2074" s="277" t="n">
        <v>10</v>
      </c>
      <c r="R2074" s="5" t="inlineStr">
        <is>
          <t>PCS.</t>
        </is>
      </c>
      <c r="S2074" s="284">
        <f>RawDataGenPO[[#This Row],[Total price]]/RawDataGenPO[[#This Row],[Qty'']]</f>
        <v/>
      </c>
      <c r="T2074" s="278" t="n">
        <v>1300</v>
      </c>
      <c r="U2074" s="291" t="n"/>
      <c r="V2074" s="7" t="inlineStr">
        <is>
          <t>V1001057 - KOGU INDUSTRIES CO., LTD.</t>
        </is>
      </c>
      <c r="W2074" s="30" t="inlineStr">
        <is>
          <t xml:space="preserve">Waitting Supplier transportation </t>
        </is>
      </c>
      <c r="Z2074" s="23" t="n"/>
      <c r="AA2074" s="17">
        <f>IF(RawDataGenPO[[#This Row],[Date Gen PO]]="","",RawDataGenPO[[#This Row],[Date recive bill]]-RawDataGenPO[[#This Row],[Date Gen PO]])</f>
        <v/>
      </c>
      <c r="AB2074" s="16">
        <f>IF(RawDataGenPO[[#This Row],[GRN-PO date]]&gt;RawDataGenPO[[#This Row],[Lead time delivery (day)]],"over deliverry","Ontime")</f>
        <v/>
      </c>
      <c r="AC2074" s="22" t="n"/>
    </row>
    <row r="2075" ht="15" customHeight="1">
      <c r="A2075" s="5">
        <f>ROW()-ROW(RawDataGenPO[[#Headers],[No.]])</f>
        <v/>
      </c>
      <c r="B2075" s="29" t="inlineStr">
        <is>
          <t>Expent  cost</t>
        </is>
      </c>
      <c r="C2075" s="373" t="n"/>
      <c r="D2075" s="374" t="n"/>
      <c r="E2075" s="374" t="n"/>
      <c r="F2075" s="281" t="n">
        <v>46097</v>
      </c>
      <c r="G2075" s="5" t="inlineStr">
        <is>
          <t>PR2526-05327</t>
        </is>
      </c>
      <c r="H2075" s="5" t="inlineStr">
        <is>
          <t>PO2526-07711</t>
        </is>
      </c>
      <c r="I2075" s="286" t="n">
        <v>46105</v>
      </c>
      <c r="J2075" s="26" t="n"/>
      <c r="K2075" s="20" t="n">
        <v>60</v>
      </c>
      <c r="L2075" s="5" t="inlineStr">
        <is>
          <t>SFST34000113</t>
        </is>
      </c>
      <c r="M2075" s="7" t="inlineStr">
        <is>
          <t>Consumable part for MN</t>
        </is>
      </c>
      <c r="N2075" s="7" t="inlineStr">
        <is>
          <t>Consumable part</t>
        </is>
      </c>
      <c r="O2075" s="11" t="n">
        <v>2</v>
      </c>
      <c r="P2075" s="10" t="inlineStr">
        <is>
          <t>gasketflangenon-asbestos 1" (DN25) 3 mm. , (PN16)</t>
        </is>
      </c>
      <c r="Q2075" s="277" t="n">
        <v>10</v>
      </c>
      <c r="R2075" s="5" t="inlineStr">
        <is>
          <t>PCS.</t>
        </is>
      </c>
      <c r="S2075" s="284">
        <f>RawDataGenPO[[#This Row],[Total price]]/RawDataGenPO[[#This Row],[Qty'']]</f>
        <v/>
      </c>
      <c r="T2075" s="278" t="n">
        <v>1470</v>
      </c>
      <c r="U2075" s="291" t="n"/>
      <c r="V2075" s="7" t="inlineStr">
        <is>
          <t>V1001057 - KOGU INDUSTRIES CO., LTD.</t>
        </is>
      </c>
      <c r="W2075" s="30" t="inlineStr">
        <is>
          <t xml:space="preserve">Waitting Supplier transportation </t>
        </is>
      </c>
      <c r="Z2075" s="23" t="n"/>
      <c r="AA2075" s="17">
        <f>IF(RawDataGenPO[[#This Row],[Date Gen PO]]="","",RawDataGenPO[[#This Row],[Date recive bill]]-RawDataGenPO[[#This Row],[Date Gen PO]])</f>
        <v/>
      </c>
      <c r="AB2075" s="16">
        <f>IF(RawDataGenPO[[#This Row],[GRN-PO date]]&gt;RawDataGenPO[[#This Row],[Lead time delivery (day)]],"over deliverry","Ontime")</f>
        <v/>
      </c>
      <c r="AC2075" s="22" t="n"/>
    </row>
    <row r="2076" ht="30" customHeight="1">
      <c r="A2076" s="5">
        <f>ROW()-ROW(RawDataGenPO[[#Headers],[No.]])</f>
        <v/>
      </c>
      <c r="B2076" s="29" t="inlineStr">
        <is>
          <t>Expent  cost</t>
        </is>
      </c>
      <c r="C2076" s="373" t="n"/>
      <c r="D2076" s="374" t="n"/>
      <c r="E2076" s="374" t="n"/>
      <c r="F2076" s="281" t="n">
        <v>46097</v>
      </c>
      <c r="G2076" s="5" t="inlineStr">
        <is>
          <t>PR2526-05328</t>
        </is>
      </c>
      <c r="H2076" s="5" t="inlineStr">
        <is>
          <t>PO2526-07717</t>
        </is>
      </c>
      <c r="I2076" s="286" t="n">
        <v>46106</v>
      </c>
      <c r="J2076" s="26" t="n"/>
      <c r="K2076" s="20" t="n">
        <v>60</v>
      </c>
      <c r="L2076" s="5" t="inlineStr">
        <is>
          <t>SFST81000078</t>
        </is>
      </c>
      <c r="M2076" s="7" t="inlineStr">
        <is>
          <t>Civill jobs (Floor-Wall-Celling-roof)</t>
        </is>
      </c>
      <c r="N2076" s="7" t="inlineStr">
        <is>
          <t>Cevil jobs</t>
        </is>
      </c>
      <c r="O2076" s="11" t="n">
        <v>1</v>
      </c>
      <c r="P2076" s="10" t="inlineStr">
        <is>
          <t>workadjust Slope frontinletroom Cooking 1
work widthfrom 50 Cm</t>
        </is>
      </c>
      <c r="Q2076" s="277" t="n">
        <v>1</v>
      </c>
      <c r="R2076" s="5" t="inlineStr">
        <is>
          <t>JOB.</t>
        </is>
      </c>
      <c r="S2076" s="284">
        <f>RawDataGenPO[[#This Row],[Total price]]/RawDataGenPO[[#This Row],[Qty'']]</f>
        <v/>
      </c>
      <c r="T2076" s="278" t="n">
        <v>12000</v>
      </c>
      <c r="U2076" s="291" t="n"/>
      <c r="V2076" s="7" t="inlineStr">
        <is>
          <t>V1001059 - Thai Floor Asia Company Limited</t>
        </is>
      </c>
      <c r="W2076" s="30" t="inlineStr">
        <is>
          <t xml:space="preserve">Waitting Supplier transportation </t>
        </is>
      </c>
      <c r="Z2076" s="23" t="n"/>
      <c r="AA2076" s="17">
        <f>IF(RawDataGenPO[[#This Row],[Date Gen PO]]="","",RawDataGenPO[[#This Row],[Date recive bill]]-RawDataGenPO[[#This Row],[Date Gen PO]])</f>
        <v/>
      </c>
      <c r="AB2076" s="16">
        <f>IF(RawDataGenPO[[#This Row],[GRN-PO date]]&gt;RawDataGenPO[[#This Row],[Lead time delivery (day)]],"over deliverry","Ontime")</f>
        <v/>
      </c>
      <c r="AC2076" s="22" t="n"/>
    </row>
    <row r="2077" ht="15" customHeight="1">
      <c r="A2077" s="5">
        <f>ROW()-ROW(RawDataGenPO[[#Headers],[No.]])</f>
        <v/>
      </c>
      <c r="B2077" s="29" t="inlineStr">
        <is>
          <t>Expent  cost</t>
        </is>
      </c>
      <c r="C2077" s="373" t="n"/>
      <c r="D2077" s="374" t="n"/>
      <c r="E2077" s="374" t="n"/>
      <c r="F2077" s="281" t="n">
        <v>46097</v>
      </c>
      <c r="G2077" s="5" t="inlineStr">
        <is>
          <t>PR2526-05328</t>
        </is>
      </c>
      <c r="H2077" s="5" t="inlineStr">
        <is>
          <t>PO2526-07717</t>
        </is>
      </c>
      <c r="I2077" s="286" t="n">
        <v>46106</v>
      </c>
      <c r="J2077" s="26" t="n"/>
      <c r="K2077" s="20" t="n">
        <v>60</v>
      </c>
      <c r="L2077" s="5" t="inlineStr">
        <is>
          <t>SFST81000078</t>
        </is>
      </c>
      <c r="M2077" s="7" t="inlineStr">
        <is>
          <t>Civill jobs (Floor-Wall-Celling-roof)</t>
        </is>
      </c>
      <c r="N2077" s="7" t="inlineStr">
        <is>
          <t>Cevil jobs</t>
        </is>
      </c>
      <c r="O2077" s="11" t="n">
        <v>2</v>
      </c>
      <c r="P2077" s="10" t="inlineStr">
        <is>
          <t>workadjust Slope frontrunfrontroom Prepare frontinlet Low Risk</t>
        </is>
      </c>
      <c r="Q2077" s="277" t="n">
        <v>1</v>
      </c>
      <c r="R2077" s="5" t="inlineStr">
        <is>
          <t>JOB.</t>
        </is>
      </c>
      <c r="S2077" s="284">
        <f>RawDataGenPO[[#This Row],[Total price]]/RawDataGenPO[[#This Row],[Qty'']]</f>
        <v/>
      </c>
      <c r="T2077" s="278" t="n">
        <v>17000</v>
      </c>
      <c r="U2077" s="291" t="n"/>
      <c r="V2077" s="7" t="inlineStr">
        <is>
          <t>V1001059 - Thai Floor Asia Company Limited</t>
        </is>
      </c>
      <c r="W2077" s="30" t="inlineStr">
        <is>
          <t xml:space="preserve">Waitting Supplier transportation </t>
        </is>
      </c>
      <c r="Z2077" s="23" t="n"/>
      <c r="AA2077" s="17">
        <f>IF(RawDataGenPO[[#This Row],[Date Gen PO]]="","",RawDataGenPO[[#This Row],[Date recive bill]]-RawDataGenPO[[#This Row],[Date Gen PO]])</f>
        <v/>
      </c>
      <c r="AB2077" s="16">
        <f>IF(RawDataGenPO[[#This Row],[GRN-PO date]]&gt;RawDataGenPO[[#This Row],[Lead time delivery (day)]],"over deliverry","Ontime")</f>
        <v/>
      </c>
      <c r="AC2077" s="22" t="n"/>
    </row>
    <row r="2078" ht="15" customHeight="1">
      <c r="A2078" s="5">
        <f>ROW()-ROW(RawDataGenPO[[#Headers],[No.]])</f>
        <v/>
      </c>
      <c r="B2078" s="29" t="inlineStr">
        <is>
          <t>Expent  cost</t>
        </is>
      </c>
      <c r="C2078" s="373" t="n"/>
      <c r="D2078" s="374" t="n"/>
      <c r="E2078" s="374" t="n"/>
      <c r="F2078" s="281" t="n">
        <v>46097</v>
      </c>
      <c r="G2078" s="5" t="inlineStr">
        <is>
          <t>PR2526-05328</t>
        </is>
      </c>
      <c r="H2078" s="5" t="inlineStr">
        <is>
          <t>PO2526-07717</t>
        </is>
      </c>
      <c r="I2078" s="286" t="n">
        <v>46106</v>
      </c>
      <c r="J2078" s="26" t="n"/>
      <c r="K2078" s="20" t="n">
        <v>60</v>
      </c>
      <c r="L2078" s="5" t="inlineStr">
        <is>
          <t>SFST81000078</t>
        </is>
      </c>
      <c r="M2078" s="7" t="inlineStr">
        <is>
          <t>Civill jobs (Floor-Wall-Celling-roof)</t>
        </is>
      </c>
      <c r="N2078" s="7" t="inlineStr">
        <is>
          <t>Cevil jobs</t>
        </is>
      </c>
      <c r="O2078" s="11" t="n">
        <v>3</v>
      </c>
      <c r="P2078" s="10" t="inlineStr">
        <is>
          <t>Dismantling workfloormoutlet + adjust Slope Wroomequipment</t>
        </is>
      </c>
      <c r="Q2078" s="277" t="n">
        <v>1</v>
      </c>
      <c r="R2078" s="5" t="inlineStr">
        <is>
          <t>JOB.</t>
        </is>
      </c>
      <c r="S2078" s="284">
        <f>RawDataGenPO[[#This Row],[Total price]]/RawDataGenPO[[#This Row],[Qty'']]</f>
        <v/>
      </c>
      <c r="T2078" s="278" t="n">
        <v>17000</v>
      </c>
      <c r="U2078" s="291" t="n"/>
      <c r="V2078" s="7" t="inlineStr">
        <is>
          <t>V1001059 - Thai Floor Asia Company Limited</t>
        </is>
      </c>
      <c r="W2078" s="30" t="inlineStr">
        <is>
          <t xml:space="preserve">Waitting Supplier transportation </t>
        </is>
      </c>
      <c r="Z2078" s="23" t="n"/>
      <c r="AA2078" s="17">
        <f>IF(RawDataGenPO[[#This Row],[Date Gen PO]]="","",RawDataGenPO[[#This Row],[Date recive bill]]-RawDataGenPO[[#This Row],[Date Gen PO]])</f>
        <v/>
      </c>
      <c r="AB2078" s="16">
        <f>IF(RawDataGenPO[[#This Row],[GRN-PO date]]&gt;RawDataGenPO[[#This Row],[Lead time delivery (day)]],"over deliverry","Ontime")</f>
        <v/>
      </c>
      <c r="AC2078" s="22" t="n"/>
    </row>
    <row r="2079" ht="15" customHeight="1">
      <c r="A2079" s="5">
        <f>ROW()-ROW(RawDataGenPO[[#Headers],[No.]])</f>
        <v/>
      </c>
      <c r="B2079" s="29" t="inlineStr">
        <is>
          <t>Expent  cost</t>
        </is>
      </c>
      <c r="C2079" s="373" t="n"/>
      <c r="D2079" s="374" t="n"/>
      <c r="E2079" s="374" t="n"/>
      <c r="F2079" s="281" t="n">
        <v>46097</v>
      </c>
      <c r="G2079" s="5" t="inlineStr">
        <is>
          <t>PR2526-05328</t>
        </is>
      </c>
      <c r="H2079" s="5" t="inlineStr">
        <is>
          <t>PO2526-07717</t>
        </is>
      </c>
      <c r="I2079" s="286" t="n">
        <v>46106</v>
      </c>
      <c r="J2079" s="26" t="n"/>
      <c r="K2079" s="20" t="n">
        <v>60</v>
      </c>
      <c r="L2079" s="5" t="inlineStr">
        <is>
          <t>SFST81000078</t>
        </is>
      </c>
      <c r="M2079" s="7" t="inlineStr">
        <is>
          <t>Civill jobs (Floor-Wall-Celling-roof)</t>
        </is>
      </c>
      <c r="N2079" s="7" t="inlineStr">
        <is>
          <t>Cevil jobs</t>
        </is>
      </c>
      <c r="O2079" s="11" t="n">
        <v>4</v>
      </c>
      <c r="P2079" s="10" t="inlineStr">
        <is>
          <t>Dismantling workfloormoutlet + repairfloor frontroom Cold Room 6</t>
        </is>
      </c>
      <c r="Q2079" s="277" t="n">
        <v>1</v>
      </c>
      <c r="R2079" s="5" t="inlineStr">
        <is>
          <t>JOB.</t>
        </is>
      </c>
      <c r="S2079" s="284">
        <f>RawDataGenPO[[#This Row],[Total price]]/RawDataGenPO[[#This Row],[Qty'']]</f>
        <v/>
      </c>
      <c r="T2079" s="278" t="n">
        <v>16000</v>
      </c>
      <c r="U2079" s="291" t="n"/>
      <c r="V2079" s="7" t="inlineStr">
        <is>
          <t>V1001059 - Thai Floor Asia Company Limited</t>
        </is>
      </c>
      <c r="W2079" s="30" t="inlineStr">
        <is>
          <t xml:space="preserve">Waitting Supplier transportation </t>
        </is>
      </c>
      <c r="Z2079" s="23" t="n"/>
      <c r="AA2079" s="17">
        <f>IF(RawDataGenPO[[#This Row],[Date Gen PO]]="","",RawDataGenPO[[#This Row],[Date recive bill]]-RawDataGenPO[[#This Row],[Date Gen PO]])</f>
        <v/>
      </c>
      <c r="AB2079" s="16">
        <f>IF(RawDataGenPO[[#This Row],[GRN-PO date]]&gt;RawDataGenPO[[#This Row],[Lead time delivery (day)]],"over deliverry","Ontime")</f>
        <v/>
      </c>
      <c r="AC2079" s="22" t="n"/>
    </row>
    <row r="2080" ht="15" customHeight="1">
      <c r="A2080" s="5">
        <f>ROW()-ROW(RawDataGenPO[[#Headers],[No.]])</f>
        <v/>
      </c>
      <c r="B2080" s="29" t="inlineStr">
        <is>
          <t>Expent  cost</t>
        </is>
      </c>
      <c r="C2080" s="373" t="n"/>
      <c r="D2080" s="374" t="n"/>
      <c r="E2080" s="374" t="n"/>
      <c r="F2080" s="281" t="n">
        <v>46097</v>
      </c>
      <c r="G2080" s="5" t="inlineStr">
        <is>
          <t>PR2526-05328</t>
        </is>
      </c>
      <c r="H2080" s="5" t="inlineStr">
        <is>
          <t>PO2526-07717</t>
        </is>
      </c>
      <c r="I2080" s="286" t="n">
        <v>46106</v>
      </c>
      <c r="J2080" s="26" t="n"/>
      <c r="K2080" s="20" t="n">
        <v>60</v>
      </c>
      <c r="L2080" s="5" t="inlineStr">
        <is>
          <t>SFST81000078</t>
        </is>
      </c>
      <c r="M2080" s="7" t="inlineStr">
        <is>
          <t>Civill jobs (Floor-Wall-Celling-roof)</t>
        </is>
      </c>
      <c r="N2080" s="7" t="inlineStr">
        <is>
          <t>Cevil jobs</t>
        </is>
      </c>
      <c r="O2080" s="11" t="n">
        <v>5</v>
      </c>
      <c r="P2080" s="10" t="inlineStr">
        <is>
          <t>Dismantling workand floormoutlet + adjustwater internalroom</t>
        </is>
      </c>
      <c r="Q2080" s="277" t="n">
        <v>1</v>
      </c>
      <c r="R2080" s="5" t="inlineStr">
        <is>
          <t>JOB.</t>
        </is>
      </c>
      <c r="S2080" s="284">
        <f>RawDataGenPO[[#This Row],[Total price]]/RawDataGenPO[[#This Row],[Qty'']]</f>
        <v/>
      </c>
      <c r="T2080" s="278" t="n">
        <v>16000</v>
      </c>
      <c r="U2080" s="291" t="n"/>
      <c r="V2080" s="7" t="inlineStr">
        <is>
          <t>V1001059 - Thai Floor Asia Company Limited</t>
        </is>
      </c>
      <c r="W2080" s="30" t="inlineStr">
        <is>
          <t xml:space="preserve">Waitting Supplier transportation </t>
        </is>
      </c>
      <c r="Z2080" s="23" t="n"/>
      <c r="AA2080" s="17">
        <f>IF(RawDataGenPO[[#This Row],[Date Gen PO]]="","",RawDataGenPO[[#This Row],[Date recive bill]]-RawDataGenPO[[#This Row],[Date Gen PO]])</f>
        <v/>
      </c>
      <c r="AB2080" s="16">
        <f>IF(RawDataGenPO[[#This Row],[GRN-PO date]]&gt;RawDataGenPO[[#This Row],[Lead time delivery (day)]],"over deliverry","Ontime")</f>
        <v/>
      </c>
      <c r="AC2080" s="22" t="n"/>
    </row>
    <row r="2081" ht="15" customHeight="1">
      <c r="A2081" s="5">
        <f>ROW()-ROW(RawDataGenPO[[#Headers],[No.]])</f>
        <v/>
      </c>
      <c r="B2081" s="29" t="inlineStr">
        <is>
          <t>Expent  cost</t>
        </is>
      </c>
      <c r="C2081" s="373" t="n"/>
      <c r="D2081" s="374" t="n"/>
      <c r="E2081" s="374" t="n"/>
      <c r="F2081" s="281" t="n">
        <v>46097</v>
      </c>
      <c r="G2081" s="5" t="inlineStr">
        <is>
          <t>PR2526-05328</t>
        </is>
      </c>
      <c r="H2081" s="5" t="inlineStr">
        <is>
          <t>PO2526-07717</t>
        </is>
      </c>
      <c r="I2081" s="286" t="n">
        <v>46106</v>
      </c>
      <c r="J2081" s="26" t="n"/>
      <c r="K2081" s="20" t="n">
        <v>60</v>
      </c>
      <c r="L2081" s="5" t="inlineStr">
        <is>
          <t>SFST81000078</t>
        </is>
      </c>
      <c r="M2081" s="7" t="inlineStr">
        <is>
          <t>Civill jobs (Floor-Wall-Celling-roof)</t>
        </is>
      </c>
      <c r="N2081" s="7" t="inlineStr">
        <is>
          <t>Cevil jobs</t>
        </is>
      </c>
      <c r="O2081" s="11" t="n">
        <v>6</v>
      </c>
      <c r="P2081" s="10" t="inlineStr">
        <is>
          <t>workadjust Slope floorroom Ante inletroom Air Blast Freezer No.1</t>
        </is>
      </c>
      <c r="Q2081" s="277" t="n">
        <v>1</v>
      </c>
      <c r="R2081" s="5" t="inlineStr">
        <is>
          <t>JOB.</t>
        </is>
      </c>
      <c r="S2081" s="284">
        <f>RawDataGenPO[[#This Row],[Total price]]/RawDataGenPO[[#This Row],[Qty'']]</f>
        <v/>
      </c>
      <c r="T2081" s="278" t="n">
        <v>16000</v>
      </c>
      <c r="U2081" s="291" t="n"/>
      <c r="V2081" s="7" t="inlineStr">
        <is>
          <t>V1001059 - Thai Floor Asia Company Limited</t>
        </is>
      </c>
      <c r="W2081" s="30" t="inlineStr">
        <is>
          <t xml:space="preserve">Waitting Supplier transportation </t>
        </is>
      </c>
      <c r="Z2081" s="23" t="n"/>
      <c r="AA2081" s="17">
        <f>IF(RawDataGenPO[[#This Row],[Date Gen PO]]="","",RawDataGenPO[[#This Row],[Date recive bill]]-RawDataGenPO[[#This Row],[Date Gen PO]])</f>
        <v/>
      </c>
      <c r="AB2081" s="16">
        <f>IF(RawDataGenPO[[#This Row],[GRN-PO date]]&gt;RawDataGenPO[[#This Row],[Lead time delivery (day)]],"over deliverry","Ontime")</f>
        <v/>
      </c>
      <c r="AC2081" s="22" t="n"/>
    </row>
    <row r="2082" ht="13.5" customHeight="1">
      <c r="A2082" s="5">
        <f>ROW()-ROW(RawDataGenPO[[#Headers],[No.]])</f>
        <v/>
      </c>
      <c r="B2082" s="29" t="inlineStr">
        <is>
          <t>Expent  cost</t>
        </is>
      </c>
      <c r="C2082" s="373" t="n"/>
      <c r="D2082" s="374" t="n"/>
      <c r="E2082" s="374" t="n"/>
      <c r="F2082" s="281" t="n">
        <v>46097</v>
      </c>
      <c r="G2082" s="5" t="inlineStr">
        <is>
          <t>PR2526-05328</t>
        </is>
      </c>
      <c r="H2082" s="5" t="inlineStr">
        <is>
          <t>PO2526-07717</t>
        </is>
      </c>
      <c r="I2082" s="286" t="n">
        <v>46106</v>
      </c>
      <c r="J2082" s="26" t="n"/>
      <c r="K2082" s="20" t="n">
        <v>60</v>
      </c>
      <c r="L2082" s="5" t="inlineStr">
        <is>
          <t>SFST81000078</t>
        </is>
      </c>
      <c r="M2082" s="7" t="inlineStr">
        <is>
          <t>Civill jobs (Floor-Wall-Celling-roof)</t>
        </is>
      </c>
      <c r="N2082" s="7" t="inlineStr">
        <is>
          <t>Cevil jobs</t>
        </is>
      </c>
      <c r="O2082" s="11" t="n">
        <v>7</v>
      </c>
      <c r="P2082" s="10" t="inlineStr">
        <is>
          <t>workadjust Slope frontroom Air Blast Freezer No.1</t>
        </is>
      </c>
      <c r="Q2082" s="277" t="n">
        <v>1</v>
      </c>
      <c r="R2082" s="5" t="inlineStr">
        <is>
          <t>JOB.</t>
        </is>
      </c>
      <c r="S2082" s="284">
        <f>RawDataGenPO[[#This Row],[Total price]]/RawDataGenPO[[#This Row],[Qty'']]</f>
        <v/>
      </c>
      <c r="T2082" s="278" t="n">
        <v>16000</v>
      </c>
      <c r="U2082" s="291" t="n"/>
      <c r="V2082" s="7" t="inlineStr">
        <is>
          <t>V1001059 - Thai Floor Asia Company Limited</t>
        </is>
      </c>
      <c r="W2082" s="30" t="inlineStr">
        <is>
          <t xml:space="preserve">Waitting Supplier transportation </t>
        </is>
      </c>
      <c r="Z2082" s="23" t="n"/>
      <c r="AA2082" s="17">
        <f>IF(RawDataGenPO[[#This Row],[Date Gen PO]]="","",RawDataGenPO[[#This Row],[Date recive bill]]-RawDataGenPO[[#This Row],[Date Gen PO]])</f>
        <v/>
      </c>
      <c r="AB2082" s="16">
        <f>IF(RawDataGenPO[[#This Row],[GRN-PO date]]&gt;RawDataGenPO[[#This Row],[Lead time delivery (day)]],"over deliverry","Ontime")</f>
        <v/>
      </c>
      <c r="AC2082" s="22" t="n"/>
    </row>
    <row r="2083" ht="15" customHeight="1">
      <c r="A2083" s="5">
        <f>ROW()-ROW(RawDataGenPO[[#Headers],[No.]])</f>
        <v/>
      </c>
      <c r="B2083" s="29" t="inlineStr">
        <is>
          <t>Expent  cost</t>
        </is>
      </c>
      <c r="C2083" s="373" t="n"/>
      <c r="D2083" s="374" t="n"/>
      <c r="E2083" s="374" t="n"/>
      <c r="F2083" s="281" t="n">
        <v>46097</v>
      </c>
      <c r="G2083" s="5" t="inlineStr">
        <is>
          <t>PR2526-05328</t>
        </is>
      </c>
      <c r="H2083" s="5" t="inlineStr">
        <is>
          <t>PO2526-07717</t>
        </is>
      </c>
      <c r="I2083" s="286" t="n">
        <v>46106</v>
      </c>
      <c r="J2083" s="26" t="n"/>
      <c r="K2083" s="20" t="n">
        <v>60</v>
      </c>
      <c r="L2083" s="5" t="inlineStr">
        <is>
          <t>SFST81000078</t>
        </is>
      </c>
      <c r="M2083" s="7" t="inlineStr">
        <is>
          <t>Civill jobs (Floor-Wall-Celling-roof)</t>
        </is>
      </c>
      <c r="N2083" s="7" t="inlineStr">
        <is>
          <t>Cevil jobs</t>
        </is>
      </c>
      <c r="O2083" s="11" t="n">
        <v>8</v>
      </c>
      <c r="P2083" s="10" t="inlineStr">
        <is>
          <t>Dismantling workfloormoutlet + repairfloor internalroom Blast Chill No.1 and Blast Chill No.2</t>
        </is>
      </c>
      <c r="Q2083" s="277" t="n">
        <v>1</v>
      </c>
      <c r="R2083" s="5" t="inlineStr">
        <is>
          <t>JOB.</t>
        </is>
      </c>
      <c r="S2083" s="284">
        <f>RawDataGenPO[[#This Row],[Total price]]/RawDataGenPO[[#This Row],[Qty'']]</f>
        <v/>
      </c>
      <c r="T2083" s="278" t="n">
        <v>15000</v>
      </c>
      <c r="U2083" s="291" t="n"/>
      <c r="V2083" s="7" t="inlineStr">
        <is>
          <t>V1001059 - Thai Floor Asia Company Limited</t>
        </is>
      </c>
      <c r="W2083" s="30" t="inlineStr">
        <is>
          <t xml:space="preserve">Waitting Supplier transportation </t>
        </is>
      </c>
      <c r="Z2083" s="23" t="n"/>
      <c r="AA2083" s="17">
        <f>IF(RawDataGenPO[[#This Row],[Date Gen PO]]="","",RawDataGenPO[[#This Row],[Date recive bill]]-RawDataGenPO[[#This Row],[Date Gen PO]])</f>
        <v/>
      </c>
      <c r="AB2083" s="16">
        <f>IF(RawDataGenPO[[#This Row],[GRN-PO date]]&gt;RawDataGenPO[[#This Row],[Lead time delivery (day)]],"over deliverry","Ontime")</f>
        <v/>
      </c>
      <c r="AC2083" s="22" t="n"/>
    </row>
    <row r="2084" ht="30" customHeight="1">
      <c r="A2084" s="5">
        <f>ROW()-ROW(RawDataGenPO[[#Headers],[No.]])</f>
        <v/>
      </c>
      <c r="B2084" s="29" t="inlineStr">
        <is>
          <t>Expent  cost</t>
        </is>
      </c>
      <c r="C2084" s="373" t="n"/>
      <c r="D2084" s="374" t="n"/>
      <c r="E2084" s="374" t="n"/>
      <c r="F2084" s="281" t="n">
        <v>46097</v>
      </c>
      <c r="G2084" s="5" t="inlineStr">
        <is>
          <t>PR2526-05328</t>
        </is>
      </c>
      <c r="H2084" s="5" t="inlineStr">
        <is>
          <t>PO2526-07717</t>
        </is>
      </c>
      <c r="I2084" s="286" t="n">
        <v>46106</v>
      </c>
      <c r="J2084" s="26" t="n"/>
      <c r="K2084" s="20" t="n">
        <v>60</v>
      </c>
      <c r="L2084" s="5" t="inlineStr">
        <is>
          <t>SFST81000078</t>
        </is>
      </c>
      <c r="M2084" s="7" t="inlineStr">
        <is>
          <t>Civill jobs (Floor-Wall-Celling-roof)</t>
        </is>
      </c>
      <c r="N2084" s="7" t="inlineStr">
        <is>
          <t>Cevil jobs</t>
        </is>
      </c>
      <c r="O2084" s="11" t="n">
        <v>9</v>
      </c>
      <c r="P2084" s="10" t="inlineStr">
        <is>
          <t>workadjust Slope room Ante High Risk Air Blast Freezer No.3
Repair workW internalroom Air Blast Freezer No.3</t>
        </is>
      </c>
      <c r="Q2084" s="277" t="n">
        <v>1</v>
      </c>
      <c r="R2084" s="5" t="inlineStr">
        <is>
          <t>JOB.</t>
        </is>
      </c>
      <c r="S2084" s="284">
        <f>RawDataGenPO[[#This Row],[Total price]]/RawDataGenPO[[#This Row],[Qty'']]</f>
        <v/>
      </c>
      <c r="T2084" s="278" t="n">
        <v>30000</v>
      </c>
      <c r="U2084" s="291" t="n"/>
      <c r="V2084" s="7" t="inlineStr">
        <is>
          <t>V1001059 - Thai Floor Asia Company Limited</t>
        </is>
      </c>
      <c r="W2084" s="30" t="inlineStr">
        <is>
          <t xml:space="preserve">Waitting Supplier transportation </t>
        </is>
      </c>
      <c r="Z2084" s="23" t="n"/>
      <c r="AA2084" s="17">
        <f>IF(RawDataGenPO[[#This Row],[Date Gen PO]]="","",RawDataGenPO[[#This Row],[Date recive bill]]-RawDataGenPO[[#This Row],[Date Gen PO]])</f>
        <v/>
      </c>
      <c r="AB2084" s="16">
        <f>IF(RawDataGenPO[[#This Row],[GRN-PO date]]&gt;RawDataGenPO[[#This Row],[Lead time delivery (day)]],"over deliverry","Ontime")</f>
        <v/>
      </c>
      <c r="AC2084" s="22" t="n"/>
    </row>
    <row r="2085" ht="15" customHeight="1">
      <c r="A2085" s="5">
        <f>ROW()-ROW(RawDataGenPO[[#Headers],[No.]])</f>
        <v/>
      </c>
      <c r="B2085" s="29" t="inlineStr">
        <is>
          <t>Expent  cost</t>
        </is>
      </c>
      <c r="C2085" s="373" t="n"/>
      <c r="D2085" s="374" t="n"/>
      <c r="E2085" s="374" t="n"/>
      <c r="F2085" s="281" t="n">
        <v>46097</v>
      </c>
      <c r="G2085" s="5" t="inlineStr">
        <is>
          <t>PR2526-05328</t>
        </is>
      </c>
      <c r="H2085" s="5" t="inlineStr">
        <is>
          <t>PO2526-07717</t>
        </is>
      </c>
      <c r="I2085" s="286" t="n">
        <v>46106</v>
      </c>
      <c r="J2085" s="26" t="n"/>
      <c r="K2085" s="20" t="n">
        <v>60</v>
      </c>
      <c r="L2085" s="5" t="inlineStr">
        <is>
          <t>SFST81000078</t>
        </is>
      </c>
      <c r="M2085" s="7" t="inlineStr">
        <is>
          <t>Civill jobs (Floor-Wall-Celling-roof)</t>
        </is>
      </c>
      <c r="N2085" s="7" t="inlineStr">
        <is>
          <t>Cevil jobs</t>
        </is>
      </c>
      <c r="O2085" s="11" t="n">
        <v>10</v>
      </c>
      <c r="P2085" s="10" t="inlineStr">
        <is>
          <t>Dismantling workfloorm + repairfloor inletreducing Medium</t>
        </is>
      </c>
      <c r="Q2085" s="277" t="n">
        <v>1</v>
      </c>
      <c r="R2085" s="5" t="inlineStr">
        <is>
          <t>JOB.</t>
        </is>
      </c>
      <c r="S2085" s="284">
        <f>RawDataGenPO[[#This Row],[Total price]]/RawDataGenPO[[#This Row],[Qty'']]</f>
        <v/>
      </c>
      <c r="T2085" s="278" t="n">
        <v>15000</v>
      </c>
      <c r="U2085" s="291" t="n"/>
      <c r="V2085" s="7" t="inlineStr">
        <is>
          <t>V1001059 - Thai Floor Asia Company Limited</t>
        </is>
      </c>
      <c r="W2085" s="30" t="inlineStr">
        <is>
          <t xml:space="preserve">Waitting Supplier transportation </t>
        </is>
      </c>
      <c r="Z2085" s="23" t="n"/>
      <c r="AA2085" s="17">
        <f>IF(RawDataGenPO[[#This Row],[Date Gen PO]]="","",RawDataGenPO[[#This Row],[Date recive bill]]-RawDataGenPO[[#This Row],[Date Gen PO]])</f>
        <v/>
      </c>
      <c r="AB2085" s="16">
        <f>IF(RawDataGenPO[[#This Row],[GRN-PO date]]&gt;RawDataGenPO[[#This Row],[Lead time delivery (day)]],"over deliverry","Ontime")</f>
        <v/>
      </c>
      <c r="AC2085" s="22" t="n"/>
    </row>
    <row r="2086" ht="15" customHeight="1">
      <c r="A2086" s="5">
        <f>ROW()-ROW(RawDataGenPO[[#Headers],[No.]])</f>
        <v/>
      </c>
      <c r="B2086" s="29" t="inlineStr">
        <is>
          <t>Expent  cost</t>
        </is>
      </c>
      <c r="C2086" s="373" t="n"/>
      <c r="D2086" s="374" t="n"/>
      <c r="E2086" s="374" t="n"/>
      <c r="F2086" s="281" t="n">
        <v>46097</v>
      </c>
      <c r="G2086" s="5" t="inlineStr">
        <is>
          <t>PR2526-05328</t>
        </is>
      </c>
      <c r="H2086" s="5" t="inlineStr">
        <is>
          <t>PO2526-07717</t>
        </is>
      </c>
      <c r="I2086" s="286" t="n">
        <v>46106</v>
      </c>
      <c r="J2086" s="26" t="n"/>
      <c r="K2086" s="20" t="n">
        <v>60</v>
      </c>
      <c r="L2086" s="5" t="inlineStr">
        <is>
          <t>SFST81000078</t>
        </is>
      </c>
      <c r="M2086" s="7" t="inlineStr">
        <is>
          <t>Civill jobs (Floor-Wall-Celling-roof)</t>
        </is>
      </c>
      <c r="N2086" s="7" t="inlineStr">
        <is>
          <t>Cevil jobs</t>
        </is>
      </c>
      <c r="O2086" s="11" t="n">
        <v>11</v>
      </c>
      <c r="P2086" s="10" t="inlineStr">
        <is>
          <t>Repair workfloor room Cold Room 1</t>
        </is>
      </c>
      <c r="Q2086" s="277" t="n">
        <v>1</v>
      </c>
      <c r="R2086" s="5" t="inlineStr">
        <is>
          <t>JOB.</t>
        </is>
      </c>
      <c r="S2086" s="284">
        <f>RawDataGenPO[[#This Row],[Total price]]/RawDataGenPO[[#This Row],[Qty'']]</f>
        <v/>
      </c>
      <c r="T2086" s="278" t="n">
        <v>15000</v>
      </c>
      <c r="U2086" s="291" t="n"/>
      <c r="V2086" s="7" t="inlineStr">
        <is>
          <t>V1001059 - Thai Floor Asia Company Limited</t>
        </is>
      </c>
      <c r="W2086" s="30" t="inlineStr">
        <is>
          <t xml:space="preserve">Waitting Supplier transportation </t>
        </is>
      </c>
      <c r="Z2086" s="23" t="n"/>
      <c r="AA2086" s="17">
        <f>IF(RawDataGenPO[[#This Row],[Date Gen PO]]="","",RawDataGenPO[[#This Row],[Date recive bill]]-RawDataGenPO[[#This Row],[Date Gen PO]])</f>
        <v/>
      </c>
      <c r="AB2086" s="16">
        <f>IF(RawDataGenPO[[#This Row],[GRN-PO date]]&gt;RawDataGenPO[[#This Row],[Lead time delivery (day)]],"over deliverry","Ontime")</f>
        <v/>
      </c>
      <c r="AC2086" s="22" t="n"/>
    </row>
    <row r="2087" ht="15" customHeight="1">
      <c r="A2087" s="5">
        <f>ROW()-ROW(RawDataGenPO[[#Headers],[No.]])</f>
        <v/>
      </c>
      <c r="B2087" s="29" t="inlineStr">
        <is>
          <t>Expent  cost</t>
        </is>
      </c>
      <c r="C2087" s="373" t="n"/>
      <c r="D2087" s="374" t="n"/>
      <c r="E2087" s="374" t="n"/>
      <c r="F2087" s="281" t="n">
        <v>46097</v>
      </c>
      <c r="G2087" s="5" t="inlineStr">
        <is>
          <t>PR2526-05328</t>
        </is>
      </c>
      <c r="H2087" s="5" t="inlineStr">
        <is>
          <t>PO2526-07717</t>
        </is>
      </c>
      <c r="I2087" s="286" t="n">
        <v>46106</v>
      </c>
      <c r="J2087" s="26" t="n"/>
      <c r="K2087" s="20" t="n">
        <v>60</v>
      </c>
      <c r="L2087" s="5" t="inlineStr">
        <is>
          <t>SFST81000078</t>
        </is>
      </c>
      <c r="M2087" s="7" t="inlineStr">
        <is>
          <t>Civill jobs (Floor-Wall-Celling-roof)</t>
        </is>
      </c>
      <c r="N2087" s="7" t="inlineStr">
        <is>
          <t>Cevil jobs</t>
        </is>
      </c>
      <c r="O2087" s="11" t="n">
        <v>12</v>
      </c>
      <c r="P2087" s="10" t="inlineStr">
        <is>
          <t>Repair workfloor room Cold Room 8</t>
        </is>
      </c>
      <c r="Q2087" s="277" t="n">
        <v>1</v>
      </c>
      <c r="R2087" s="5" t="inlineStr">
        <is>
          <t>JOB.</t>
        </is>
      </c>
      <c r="S2087" s="284">
        <f>RawDataGenPO[[#This Row],[Total price]]/RawDataGenPO[[#This Row],[Qty'']]</f>
        <v/>
      </c>
      <c r="T2087" s="278" t="n">
        <v>15000</v>
      </c>
      <c r="U2087" s="291" t="n"/>
      <c r="V2087" s="7" t="inlineStr">
        <is>
          <t>V1001059 - Thai Floor Asia Company Limited</t>
        </is>
      </c>
      <c r="W2087" s="30" t="inlineStr">
        <is>
          <t xml:space="preserve">Waitting Supplier transportation </t>
        </is>
      </c>
      <c r="Z2087" s="23" t="n"/>
      <c r="AA2087" s="17">
        <f>IF(RawDataGenPO[[#This Row],[Date Gen PO]]="","",RawDataGenPO[[#This Row],[Date recive bill]]-RawDataGenPO[[#This Row],[Date Gen PO]])</f>
        <v/>
      </c>
      <c r="AB2087" s="16">
        <f>IF(RawDataGenPO[[#This Row],[GRN-PO date]]&gt;RawDataGenPO[[#This Row],[Lead time delivery (day)]],"over deliverry","Ontime")</f>
        <v/>
      </c>
      <c r="AC2087" s="22" t="n"/>
    </row>
    <row r="2088" ht="15" customHeight="1">
      <c r="A2088" s="5">
        <f>ROW()-ROW(RawDataGenPO[[#Headers],[No.]])</f>
        <v/>
      </c>
      <c r="B2088" s="29" t="inlineStr">
        <is>
          <t>Expent  cost</t>
        </is>
      </c>
      <c r="C2088" s="373" t="n"/>
      <c r="D2088" s="374" t="n"/>
      <c r="E2088" s="374" t="n"/>
      <c r="F2088" s="281" t="n">
        <v>46097</v>
      </c>
      <c r="G2088" s="5" t="inlineStr">
        <is>
          <t>PR2526-05328</t>
        </is>
      </c>
      <c r="H2088" s="5" t="inlineStr">
        <is>
          <t>PO2526-07717</t>
        </is>
      </c>
      <c r="I2088" s="286" t="n">
        <v>46106</v>
      </c>
      <c r="J2088" s="26" t="n"/>
      <c r="K2088" s="20" t="n">
        <v>60</v>
      </c>
      <c r="L2088" s="5" t="inlineStr">
        <is>
          <t>SFST81000078</t>
        </is>
      </c>
      <c r="M2088" s="7" t="inlineStr">
        <is>
          <t>Civill jobs (Floor-Wall-Celling-roof)</t>
        </is>
      </c>
      <c r="N2088" s="7" t="inlineStr">
        <is>
          <t>Cevil jobs</t>
        </is>
      </c>
      <c r="O2088" s="11" t="n">
        <v>13</v>
      </c>
      <c r="P2088" s="10" t="inlineStr">
        <is>
          <t>Repair workfloor room Cold Room 4</t>
        </is>
      </c>
      <c r="Q2088" s="277" t="n">
        <v>1</v>
      </c>
      <c r="R2088" s="5" t="inlineStr">
        <is>
          <t>JOB.</t>
        </is>
      </c>
      <c r="S2088" s="284">
        <f>RawDataGenPO[[#This Row],[Total price]]/RawDataGenPO[[#This Row],[Qty'']]</f>
        <v/>
      </c>
      <c r="T2088" s="278" t="n">
        <v>15000</v>
      </c>
      <c r="U2088" s="291" t="n"/>
      <c r="V2088" s="7" t="inlineStr">
        <is>
          <t>V1001059 - Thai Floor Asia Company Limited</t>
        </is>
      </c>
      <c r="W2088" s="30" t="inlineStr">
        <is>
          <t xml:space="preserve">Waitting Supplier transportation </t>
        </is>
      </c>
      <c r="Z2088" s="23" t="n"/>
      <c r="AA2088" s="17">
        <f>IF(RawDataGenPO[[#This Row],[Date Gen PO]]="","",RawDataGenPO[[#This Row],[Date recive bill]]-RawDataGenPO[[#This Row],[Date Gen PO]])</f>
        <v/>
      </c>
      <c r="AB2088" s="16">
        <f>IF(RawDataGenPO[[#This Row],[GRN-PO date]]&gt;RawDataGenPO[[#This Row],[Lead time delivery (day)]],"over deliverry","Ontime")</f>
        <v/>
      </c>
      <c r="AC2088" s="22" t="n"/>
    </row>
    <row r="2089" ht="15" customHeight="1">
      <c r="A2089" s="5">
        <f>ROW()-ROW(RawDataGenPO[[#Headers],[No.]])</f>
        <v/>
      </c>
      <c r="B2089" s="29" t="inlineStr">
        <is>
          <t>Expent  cost</t>
        </is>
      </c>
      <c r="C2089" s="373" t="n"/>
      <c r="D2089" s="374" t="n"/>
      <c r="E2089" s="374" t="n"/>
      <c r="F2089" s="281" t="n">
        <v>46097</v>
      </c>
      <c r="G2089" s="5" t="inlineStr">
        <is>
          <t>PR2526-05328</t>
        </is>
      </c>
      <c r="H2089" s="5" t="inlineStr">
        <is>
          <t>PO2526-07717</t>
        </is>
      </c>
      <c r="I2089" s="286" t="n">
        <v>46106</v>
      </c>
      <c r="J2089" s="26" t="n"/>
      <c r="K2089" s="20" t="n">
        <v>60</v>
      </c>
      <c r="L2089" s="5" t="inlineStr">
        <is>
          <t>SFST81000078</t>
        </is>
      </c>
      <c r="M2089" s="7" t="inlineStr">
        <is>
          <t>Civill jobs (Floor-Wall-Celling-roof)</t>
        </is>
      </c>
      <c r="N2089" s="7" t="inlineStr">
        <is>
          <t>Cevil jobs</t>
        </is>
      </c>
      <c r="O2089" s="11" t="n">
        <v>14</v>
      </c>
      <c r="P2089" s="10" t="inlineStr">
        <is>
          <t>workadjust Slope</t>
        </is>
      </c>
      <c r="Q2089" s="277" t="n">
        <v>1</v>
      </c>
      <c r="R2089" s="5" t="inlineStr">
        <is>
          <t>JOB.</t>
        </is>
      </c>
      <c r="S2089" s="284">
        <f>RawDataGenPO[[#This Row],[Total price]]/RawDataGenPO[[#This Row],[Qty'']]</f>
        <v/>
      </c>
      <c r="T2089" s="278" t="n">
        <v>15000</v>
      </c>
      <c r="U2089" s="291" t="n"/>
      <c r="V2089" s="7" t="inlineStr">
        <is>
          <t>V1001059 - Thai Floor Asia Company Limited</t>
        </is>
      </c>
      <c r="W2089" s="30" t="inlineStr">
        <is>
          <t xml:space="preserve">Waitting Supplier transportation </t>
        </is>
      </c>
      <c r="Z2089" s="23" t="n"/>
      <c r="AA2089" s="17">
        <f>IF(RawDataGenPO[[#This Row],[Date Gen PO]]="","",RawDataGenPO[[#This Row],[Date recive bill]]-RawDataGenPO[[#This Row],[Date Gen PO]])</f>
        <v/>
      </c>
      <c r="AB2089" s="16">
        <f>IF(RawDataGenPO[[#This Row],[GRN-PO date]]&gt;RawDataGenPO[[#This Row],[Lead time delivery (day)]],"over deliverry","Ontime")</f>
        <v/>
      </c>
      <c r="AC2089" s="22" t="n"/>
    </row>
    <row r="2090" ht="60" customHeight="1">
      <c r="A2090" s="5">
        <f>ROW()-ROW(RawDataGenPO[[#Headers],[No.]])</f>
        <v/>
      </c>
      <c r="B2090" s="29" t="inlineStr">
        <is>
          <t>Expent  cost</t>
        </is>
      </c>
      <c r="C2090" s="373" t="n"/>
      <c r="D2090" s="374" t="n"/>
      <c r="E2090" s="374" t="n"/>
      <c r="F2090" s="281" t="n">
        <v>46101</v>
      </c>
      <c r="G2090" s="5" t="inlineStr">
        <is>
          <t>PR2526-05415</t>
        </is>
      </c>
      <c r="H2090" s="5" t="inlineStr">
        <is>
          <t>PO2526-07694</t>
        </is>
      </c>
      <c r="I2090" s="286" t="n">
        <v>46105</v>
      </c>
      <c r="J2090" s="26" t="n"/>
      <c r="K2090" s="20" t="n">
        <v>60</v>
      </c>
      <c r="L2090" s="5" t="inlineStr">
        <is>
          <t>SFST81000048</t>
        </is>
      </c>
      <c r="M2090" s="7" t="inlineStr">
        <is>
          <t>PD Machine</t>
        </is>
      </c>
      <c r="N2090" s="7" t="inlineStr">
        <is>
          <t>Machanical jobs</t>
        </is>
      </c>
      <c r="O2090" s="11" t="n">
        <v>1</v>
      </c>
      <c r="P2090" s="10" t="inlineStr">
        <is>
          <t>workrelocatemachine Prepare Facility for Portion Cutter Machine
Dismantling work-relocate-installmachine Tumbler 500 model MA500
workrelocate-install Portion Cutter Machine
Onsite Service, Transport, Hand Tools and Overhead Profit</t>
        </is>
      </c>
      <c r="Q2090" s="277" t="n">
        <v>1</v>
      </c>
      <c r="R2090" s="5" t="inlineStr">
        <is>
          <t>JOB.</t>
        </is>
      </c>
      <c r="S2090" s="284">
        <f>RawDataGenPO[[#This Row],[Total price]]/RawDataGenPO[[#This Row],[Qty'']]</f>
        <v/>
      </c>
      <c r="T2090" s="278" t="n">
        <v>68500</v>
      </c>
      <c r="U2090" s="291" t="n"/>
      <c r="V2090" s="7" t="inlineStr">
        <is>
          <t>V1001053 - ABPS ENGINEERING &amp; SUPPLY CO., LTD.</t>
        </is>
      </c>
      <c r="W2090" s="30" t="inlineStr">
        <is>
          <t>Recive bill and GRN already</t>
        </is>
      </c>
      <c r="X2090" s="5" t="inlineStr">
        <is>
          <t>GRN2627-0000099</t>
        </is>
      </c>
      <c r="Y2090" s="3" t="n">
        <v>46115</v>
      </c>
      <c r="Z2090" s="23" t="n"/>
      <c r="AA2090" s="17">
        <f>IF(RawDataGenPO[[#This Row],[Date Gen PO]]="","",RawDataGenPO[[#This Row],[Date recive bill]]-RawDataGenPO[[#This Row],[Date Gen PO]])</f>
        <v/>
      </c>
      <c r="AB2090" s="16">
        <f>IF(RawDataGenPO[[#This Row],[GRN-PO date]]&gt;RawDataGenPO[[#This Row],[Lead time delivery (day)]],"over deliverry","Ontime")</f>
        <v/>
      </c>
      <c r="AC2090" s="22" t="n"/>
    </row>
    <row r="2091" ht="15" customHeight="1">
      <c r="A2091" s="5">
        <f>ROW()-ROW(RawDataGenPO[[#Headers],[No.]])</f>
        <v/>
      </c>
      <c r="B2091" s="29" t="inlineStr">
        <is>
          <t>Expent  cost</t>
        </is>
      </c>
      <c r="C2091" s="373" t="n"/>
      <c r="D2091" s="374" t="n"/>
      <c r="E2091" s="374" t="n"/>
      <c r="F2091" s="281" t="n">
        <v>46101</v>
      </c>
      <c r="G2091" s="281" t="inlineStr">
        <is>
          <t>PR2526-05416</t>
        </is>
      </c>
      <c r="H2091" s="5" t="inlineStr">
        <is>
          <t>PO2526-07695</t>
        </is>
      </c>
      <c r="I2091" s="286" t="n">
        <v>46105</v>
      </c>
      <c r="J2091" s="26" t="n"/>
      <c r="K2091" s="20" t="n">
        <v>60</v>
      </c>
      <c r="L2091" s="5" t="inlineStr">
        <is>
          <t>SFST81000050</t>
        </is>
      </c>
      <c r="M2091" s="7" t="inlineStr">
        <is>
          <t>Consumable part for MN</t>
        </is>
      </c>
      <c r="N2091" s="7" t="inlineStr">
        <is>
          <t>Consumable part</t>
        </is>
      </c>
      <c r="O2091" s="11" t="n">
        <v>1</v>
      </c>
      <c r="P2091" s="10" t="inlineStr">
        <is>
          <t>chemicalweld SUMO 1 kg</t>
        </is>
      </c>
      <c r="Q2091" s="277" t="n">
        <v>10</v>
      </c>
      <c r="R2091" s="5" t="inlineStr">
        <is>
          <t>PC</t>
        </is>
      </c>
      <c r="S2091" s="284">
        <f>RawDataGenPO[[#This Row],[Total price]]/RawDataGenPO[[#This Row],[Qty'']]</f>
        <v/>
      </c>
      <c r="T2091" s="278" t="n">
        <v>18000</v>
      </c>
      <c r="U2091" s="291" t="n"/>
      <c r="V2091" s="7" t="inlineStr">
        <is>
          <t>V1000259 - JJP SUPPLY CO., LTD</t>
        </is>
      </c>
      <c r="W2091" s="30" t="inlineStr">
        <is>
          <t>Recive bill and GRN already</t>
        </is>
      </c>
      <c r="X2091" s="5" t="inlineStr">
        <is>
          <t>GRN2627-0000250</t>
        </is>
      </c>
      <c r="Y2091" s="3" t="n">
        <v>46119</v>
      </c>
      <c r="Z2091" s="23" t="n"/>
      <c r="AA2091" s="17">
        <f>IF(RawDataGenPO[[#This Row],[Date Gen PO]]="","",RawDataGenPO[[#This Row],[Date recive bill]]-RawDataGenPO[[#This Row],[Date Gen PO]])</f>
        <v/>
      </c>
      <c r="AB2091" s="16">
        <f>IF(RawDataGenPO[[#This Row],[GRN-PO date]]&gt;RawDataGenPO[[#This Row],[Lead time delivery (day)]],"over deliverry","Ontime")</f>
        <v/>
      </c>
      <c r="AC2091" s="22" t="n"/>
    </row>
    <row r="2092" ht="15" customHeight="1">
      <c r="A2092" s="5">
        <f>ROW()-ROW(RawDataGenPO[[#Headers],[No.]])</f>
        <v/>
      </c>
      <c r="B2092" s="29" t="inlineStr">
        <is>
          <t>Expent  cost</t>
        </is>
      </c>
      <c r="C2092" s="373" t="n"/>
      <c r="D2092" s="374" t="n"/>
      <c r="E2092" s="374" t="n"/>
      <c r="F2092" s="281" t="n">
        <v>46101</v>
      </c>
      <c r="G2092" s="5" t="inlineStr">
        <is>
          <t>PR2526-05417</t>
        </is>
      </c>
      <c r="H2092" s="5" t="inlineStr">
        <is>
          <t>PO2526-07696</t>
        </is>
      </c>
      <c r="I2092" s="286" t="n">
        <v>46105</v>
      </c>
      <c r="J2092" s="26" t="n"/>
      <c r="K2092" s="20" t="n">
        <v>60</v>
      </c>
      <c r="L2092" s="5" t="inlineStr">
        <is>
          <t>SFST81000050</t>
        </is>
      </c>
      <c r="M2092" s="7" t="inlineStr">
        <is>
          <t>Consumable part for MN</t>
        </is>
      </c>
      <c r="N2092" s="7" t="inlineStr">
        <is>
          <t>Consumable part</t>
        </is>
      </c>
      <c r="O2092" s="11" t="n">
        <v>1</v>
      </c>
      <c r="P2092" s="10" t="inlineStr">
        <is>
          <t>setcable stainless steel set</t>
        </is>
      </c>
      <c r="Q2092" s="277" t="n">
        <v>6</v>
      </c>
      <c r="R2092" s="5" t="inlineStr">
        <is>
          <t>PC</t>
        </is>
      </c>
      <c r="S2092" s="284">
        <f>RawDataGenPO[[#This Row],[Total price]]/RawDataGenPO[[#This Row],[Qty'']]</f>
        <v/>
      </c>
      <c r="T2092" s="278" t="n">
        <v>900</v>
      </c>
      <c r="U2092" s="291" t="n"/>
      <c r="V2092" s="7" t="inlineStr">
        <is>
          <t>V1000603 - TM SUKSAP TRADING LIMITED PARTNERSHIP</t>
        </is>
      </c>
      <c r="W2092" s="30" t="inlineStr">
        <is>
          <t>Recive bill and GRN already</t>
        </is>
      </c>
      <c r="X2092" s="5" t="inlineStr">
        <is>
          <t>GRN2627-0000380</t>
        </is>
      </c>
      <c r="Y2092" s="3" t="n">
        <v>46123</v>
      </c>
      <c r="Z2092" s="23" t="n"/>
      <c r="AA2092" s="17">
        <f>IF(RawDataGenPO[[#This Row],[Date Gen PO]]="","",RawDataGenPO[[#This Row],[Date recive bill]]-RawDataGenPO[[#This Row],[Date Gen PO]])</f>
        <v/>
      </c>
      <c r="AB2092" s="16">
        <f>IF(RawDataGenPO[[#This Row],[GRN-PO date]]&gt;RawDataGenPO[[#This Row],[Lead time delivery (day)]],"over deliverry","Ontime")</f>
        <v/>
      </c>
      <c r="AC2092" s="22" t="n"/>
    </row>
    <row r="2093" ht="15" customHeight="1">
      <c r="A2093" s="5">
        <f>ROW()-ROW(RawDataGenPO[[#Headers],[No.]])</f>
        <v/>
      </c>
      <c r="B2093" s="29" t="inlineStr">
        <is>
          <t>Expent  cost</t>
        </is>
      </c>
      <c r="C2093" s="373" t="n"/>
      <c r="D2093" s="374" t="n"/>
      <c r="E2093" s="374" t="n"/>
      <c r="F2093" s="281" t="n">
        <v>46101</v>
      </c>
      <c r="G2093" s="5" t="inlineStr">
        <is>
          <t>PR2526-05417</t>
        </is>
      </c>
      <c r="H2093" s="5" t="inlineStr">
        <is>
          <t>PO2526-07696</t>
        </is>
      </c>
      <c r="I2093" s="286" t="n">
        <v>46105</v>
      </c>
      <c r="J2093" s="26" t="n"/>
      <c r="K2093" s="20" t="n">
        <v>60</v>
      </c>
      <c r="L2093" s="5" t="inlineStr">
        <is>
          <t>SFST81000050</t>
        </is>
      </c>
      <c r="M2093" s="7" t="inlineStr">
        <is>
          <t>Consumable part for MN</t>
        </is>
      </c>
      <c r="N2093" s="7" t="inlineStr">
        <is>
          <t>Consumable part</t>
        </is>
      </c>
      <c r="O2093" s="11" t="n">
        <v>2</v>
      </c>
      <c r="P2093" s="10" t="inlineStr">
        <is>
          <t>cablewater 1/2 inch length 100 m stainless steel</t>
        </is>
      </c>
      <c r="Q2093" s="277" t="n">
        <v>10</v>
      </c>
      <c r="R2093" s="5" t="inlineStr">
        <is>
          <t>PC</t>
        </is>
      </c>
      <c r="S2093" s="284">
        <f>RawDataGenPO[[#This Row],[Total price]]/RawDataGenPO[[#This Row],[Qty'']]</f>
        <v/>
      </c>
      <c r="T2093" s="278" t="n">
        <v>12000</v>
      </c>
      <c r="U2093" s="291" t="n"/>
      <c r="V2093" s="7" t="inlineStr">
        <is>
          <t>V1000603 - TM SUKSAP TRADING LIMITED PARTNERSHIP</t>
        </is>
      </c>
      <c r="W2093" s="30" t="inlineStr">
        <is>
          <t>Recive bill and GRN already</t>
        </is>
      </c>
      <c r="X2093" s="5" t="inlineStr">
        <is>
          <t>GRN2627-0000380</t>
        </is>
      </c>
      <c r="Y2093" s="3" t="n">
        <v>46123</v>
      </c>
      <c r="Z2093" s="23" t="n"/>
      <c r="AA2093" s="17">
        <f>IF(RawDataGenPO[[#This Row],[Date Gen PO]]="","",RawDataGenPO[[#This Row],[Date recive bill]]-RawDataGenPO[[#This Row],[Date Gen PO]])</f>
        <v/>
      </c>
      <c r="AB2093" s="16">
        <f>IF(RawDataGenPO[[#This Row],[GRN-PO date]]&gt;RawDataGenPO[[#This Row],[Lead time delivery (day)]],"over deliverry","Ontime")</f>
        <v/>
      </c>
      <c r="AC2093" s="22" t="n"/>
    </row>
    <row r="2094" ht="30" customHeight="1">
      <c r="A2094" s="5">
        <f>ROW()-ROW(RawDataGenPO[[#Headers],[No.]])</f>
        <v/>
      </c>
      <c r="B2094" s="29" t="inlineStr">
        <is>
          <t>Expent  cost</t>
        </is>
      </c>
      <c r="C2094" s="373" t="n"/>
      <c r="D2094" s="374" t="n"/>
      <c r="E2094" s="374" t="n"/>
      <c r="F2094" s="281" t="n">
        <v>46101</v>
      </c>
      <c r="G2094" s="5" t="inlineStr">
        <is>
          <t>PR2526-05418</t>
        </is>
      </c>
      <c r="H2094" s="5" t="inlineStr">
        <is>
          <t>PO2526-07775</t>
        </is>
      </c>
      <c r="I2094" s="286" t="n">
        <v>46108</v>
      </c>
      <c r="J2094" s="26" t="n"/>
      <c r="K2094" s="20" t="n">
        <v>60</v>
      </c>
      <c r="L2094" s="5" t="inlineStr">
        <is>
          <t>SFST81000050</t>
        </is>
      </c>
      <c r="M2094" s="7" t="inlineStr">
        <is>
          <t>Cooling  part</t>
        </is>
      </c>
      <c r="N2094" s="7" t="inlineStr">
        <is>
          <t>Cooling  part</t>
        </is>
      </c>
      <c r="O2094" s="11" t="n">
        <v>1</v>
      </c>
      <c r="P2094" s="10" t="inlineStr">
        <is>
          <t>piece machineadjustair Carrier
42TSGS018-703 size 18827 BTU.</t>
        </is>
      </c>
      <c r="Q2094" s="277" t="n">
        <v>1</v>
      </c>
      <c r="R2094" s="5" t="inlineStr">
        <is>
          <t>SET.</t>
        </is>
      </c>
      <c r="S2094" s="284">
        <f>RawDataGenPO[[#This Row],[Total price]]/RawDataGenPO[[#This Row],[Qty'']]</f>
        <v/>
      </c>
      <c r="T2094" s="278" t="n">
        <v>850</v>
      </c>
      <c r="U2094" s="291" t="n"/>
      <c r="V2094" s="7" t="inlineStr">
        <is>
          <t>V1001062 - handbrassequipmentmachine by .. W</t>
        </is>
      </c>
      <c r="W2094" s="30" t="inlineStr">
        <is>
          <t xml:space="preserve">Waitting Supplier transportation </t>
        </is>
      </c>
      <c r="Z2094" s="23" t="n"/>
      <c r="AA2094" s="17">
        <f>IF(RawDataGenPO[[#This Row],[Date Gen PO]]="","",RawDataGenPO[[#This Row],[Date recive bill]]-RawDataGenPO[[#This Row],[Date Gen PO]])</f>
        <v/>
      </c>
      <c r="AB2094" s="16">
        <f>IF(RawDataGenPO[[#This Row],[GRN-PO date]]&gt;RawDataGenPO[[#This Row],[Lead time delivery (day)]],"over deliverry","Ontime")</f>
        <v/>
      </c>
      <c r="AC2094" s="22" t="n"/>
    </row>
    <row r="2095" ht="30" customHeight="1">
      <c r="A2095" s="5">
        <f>ROW()-ROW(RawDataGenPO[[#Headers],[No.]])</f>
        <v/>
      </c>
      <c r="B2095" s="29" t="inlineStr">
        <is>
          <t>Expent  cost</t>
        </is>
      </c>
      <c r="C2095" s="373" t="n"/>
      <c r="D2095" s="374" t="n"/>
      <c r="E2095" s="374" t="n"/>
      <c r="F2095" s="281" t="n">
        <v>46101</v>
      </c>
      <c r="G2095" s="5" t="inlineStr">
        <is>
          <t>PR2526-05418</t>
        </is>
      </c>
      <c r="H2095" s="5" t="inlineStr">
        <is>
          <t>PO2526-07775</t>
        </is>
      </c>
      <c r="I2095" s="286" t="n">
        <v>46108</v>
      </c>
      <c r="J2095" s="26" t="n"/>
      <c r="K2095" s="20" t="n">
        <v>60</v>
      </c>
      <c r="L2095" s="5" t="inlineStr">
        <is>
          <t>SFST81000050</t>
        </is>
      </c>
      <c r="M2095" s="7" t="inlineStr">
        <is>
          <t>Cooling  part</t>
        </is>
      </c>
      <c r="N2095" s="7" t="inlineStr">
        <is>
          <t>Cooling  part</t>
        </is>
      </c>
      <c r="O2095" s="11" t="n">
        <v>2</v>
      </c>
      <c r="P2095" s="10" t="inlineStr">
        <is>
          <t>mm model ICF-340-30-6
machineadjustair Carrier 42TSGS018-703 (18000 btu.)</t>
        </is>
      </c>
      <c r="Q2095" s="277" t="n">
        <v>1</v>
      </c>
      <c r="R2095" s="5" t="inlineStr">
        <is>
          <t>SET.</t>
        </is>
      </c>
      <c r="S2095" s="284">
        <f>RawDataGenPO[[#This Row],[Total price]]/RawDataGenPO[[#This Row],[Qty'']]</f>
        <v/>
      </c>
      <c r="T2095" s="278" t="n">
        <v>1600</v>
      </c>
      <c r="U2095" s="291" t="n"/>
      <c r="V2095" s="7" t="inlineStr">
        <is>
          <t>V1001062 - handbrassequipmentmachine by .. W</t>
        </is>
      </c>
      <c r="W2095" s="30" t="inlineStr">
        <is>
          <t xml:space="preserve">Waitting Supplier transportation </t>
        </is>
      </c>
      <c r="Z2095" s="23" t="n"/>
      <c r="AA2095" s="17">
        <f>IF(RawDataGenPO[[#This Row],[Date Gen PO]]="","",RawDataGenPO[[#This Row],[Date recive bill]]-RawDataGenPO[[#This Row],[Date Gen PO]])</f>
        <v/>
      </c>
      <c r="AB2095" s="16">
        <f>IF(RawDataGenPO[[#This Row],[GRN-PO date]]&gt;RawDataGenPO[[#This Row],[Lead time delivery (day)]],"over deliverry","Ontime")</f>
        <v/>
      </c>
      <c r="AC2095" s="22" t="n"/>
    </row>
    <row r="2096" ht="15" customHeight="1">
      <c r="A2096" s="5">
        <f>ROW()-ROW(RawDataGenPO[[#Headers],[No.]])</f>
        <v/>
      </c>
      <c r="B2096" s="29" t="inlineStr">
        <is>
          <t>Expent  cost</t>
        </is>
      </c>
      <c r="C2096" s="373" t="n"/>
      <c r="D2096" s="374" t="n"/>
      <c r="E2096" s="374" t="n"/>
      <c r="F2096" s="281" t="n">
        <v>46101</v>
      </c>
      <c r="G2096" s="5" t="inlineStr">
        <is>
          <t>PR2526-05419</t>
        </is>
      </c>
      <c r="H2096" s="31" t="inlineStr">
        <is>
          <t>PO2526-07697</t>
        </is>
      </c>
      <c r="I2096" s="286" t="n">
        <v>46105</v>
      </c>
      <c r="J2096" s="26" t="n"/>
      <c r="K2096" s="20" t="n">
        <v>60</v>
      </c>
      <c r="L2096" s="5" t="inlineStr">
        <is>
          <t>SFST81000050</t>
        </is>
      </c>
      <c r="M2096" s="7" t="inlineStr">
        <is>
          <t>Consumable part for MN</t>
        </is>
      </c>
      <c r="N2096" s="7" t="inlineStr">
        <is>
          <t>Consumable part</t>
        </is>
      </c>
      <c r="O2096" s="11" t="n">
        <v>1</v>
      </c>
      <c r="P2096" s="10" t="inlineStr">
        <is>
          <t>TPU m Protective film 7.5mm width 152 cm</t>
        </is>
      </c>
      <c r="Q2096" s="277" t="n">
        <v>4</v>
      </c>
      <c r="R2096" s="5" t="inlineStr">
        <is>
          <t>PCS.</t>
        </is>
      </c>
      <c r="S2096" s="284">
        <f>RawDataGenPO[[#This Row],[Total price]]/RawDataGenPO[[#This Row],[Qty'']]</f>
        <v/>
      </c>
      <c r="T2096" s="278" t="n">
        <v>3800</v>
      </c>
      <c r="U2096" s="291" t="n"/>
      <c r="V2096" s="7" t="inlineStr">
        <is>
          <t>V1000259 - JJP SUPPLY CO., LTD</t>
        </is>
      </c>
      <c r="W2096" s="30" t="inlineStr">
        <is>
          <t>Recive bill and GRN already</t>
        </is>
      </c>
      <c r="X2096" s="5" t="inlineStr">
        <is>
          <t>GRN2627-0000248</t>
        </is>
      </c>
      <c r="Y2096" s="3" t="n">
        <v>46119</v>
      </c>
      <c r="Z2096" s="23" t="n"/>
      <c r="AA2096" s="17">
        <f>IF(RawDataGenPO[[#This Row],[Date Gen PO]]="","",RawDataGenPO[[#This Row],[Date recive bill]]-RawDataGenPO[[#This Row],[Date Gen PO]])</f>
        <v/>
      </c>
      <c r="AB2096" s="16">
        <f>IF(RawDataGenPO[[#This Row],[GRN-PO date]]&gt;RawDataGenPO[[#This Row],[Lead time delivery (day)]],"over deliverry","Ontime")</f>
        <v/>
      </c>
      <c r="AC2096" s="22" t="n"/>
    </row>
    <row r="2097" ht="30" customHeight="1">
      <c r="A2097" s="5">
        <f>ROW()-ROW(RawDataGenPO[[#Headers],[No.]])</f>
        <v/>
      </c>
      <c r="B2097" s="29" t="inlineStr">
        <is>
          <t>Expent  cost</t>
        </is>
      </c>
      <c r="C2097" s="373" t="n"/>
      <c r="D2097" s="374" t="n"/>
      <c r="E2097" s="374" t="n"/>
      <c r="F2097" s="281" t="n">
        <v>46101</v>
      </c>
      <c r="G2097" s="5" t="inlineStr">
        <is>
          <t>PR2526-05420</t>
        </is>
      </c>
      <c r="H2097" s="5" t="inlineStr">
        <is>
          <t>PO2526-07765</t>
        </is>
      </c>
      <c r="I2097" s="286" t="n">
        <v>46111</v>
      </c>
      <c r="J2097" s="26" t="n"/>
      <c r="K2097" s="20" t="n">
        <v>30</v>
      </c>
      <c r="L2097" s="5" t="inlineStr">
        <is>
          <t>SFST81000048</t>
        </is>
      </c>
      <c r="M2097" s="7" t="inlineStr">
        <is>
          <t>PD Machine</t>
        </is>
      </c>
      <c r="N2097" s="7" t="inlineStr">
        <is>
          <t>Steam Bratt Pan No.4</t>
        </is>
      </c>
      <c r="O2097" s="11" t="n">
        <v>1</v>
      </c>
      <c r="P2097" s="10" t="inlineStr">
        <is>
          <t>Burkert GERMANY PISTON Valve 1" Stainless Body ,Without Body TYPE:2000</t>
        </is>
      </c>
      <c r="Q2097" s="277" t="n">
        <v>2</v>
      </c>
      <c r="R2097" s="5" t="inlineStr">
        <is>
          <t>PCS.</t>
        </is>
      </c>
      <c r="S2097" s="284">
        <f>RawDataGenPO[[#This Row],[Total price]]/RawDataGenPO[[#This Row],[Qty'']]</f>
        <v/>
      </c>
      <c r="T2097" s="278" t="n">
        <v>5900</v>
      </c>
      <c r="U2097" s="291" t="n"/>
      <c r="V2097" s="7" t="inlineStr">
        <is>
          <t>V1001061 - Flu-Tech Co., Ltd.</t>
        </is>
      </c>
      <c r="W2097" s="30" t="inlineStr">
        <is>
          <t>Recive bill and GRN already</t>
        </is>
      </c>
      <c r="X2097" s="5" t="inlineStr">
        <is>
          <t>GRN2627-0000035</t>
        </is>
      </c>
      <c r="Y2097" s="3" t="n">
        <v>46114</v>
      </c>
      <c r="Z2097" s="23" t="n"/>
      <c r="AA2097" s="17">
        <f>IF(RawDataGenPO[[#This Row],[Date Gen PO]]="","",RawDataGenPO[[#This Row],[Date recive bill]]-RawDataGenPO[[#This Row],[Date Gen PO]])</f>
        <v/>
      </c>
      <c r="AB2097" s="16">
        <f>IF(RawDataGenPO[[#This Row],[GRN-PO date]]&gt;RawDataGenPO[[#This Row],[Lead time delivery (day)]],"over deliverry","Ontime")</f>
        <v/>
      </c>
      <c r="AC2097" s="22" t="n"/>
    </row>
    <row r="2098" ht="30" customHeight="1">
      <c r="A2098" s="5">
        <f>ROW()-ROW(RawDataGenPO[[#Headers],[No.]])</f>
        <v/>
      </c>
      <c r="B2098" s="29" t="inlineStr">
        <is>
          <t>Expent  cost</t>
        </is>
      </c>
      <c r="C2098" s="373" t="n"/>
      <c r="D2098" s="374" t="n"/>
      <c r="E2098" s="374" t="n"/>
      <c r="F2098" s="281" t="n">
        <v>46101</v>
      </c>
      <c r="G2098" s="5" t="inlineStr">
        <is>
          <t>PR2526-05420</t>
        </is>
      </c>
      <c r="H2098" s="5" t="inlineStr">
        <is>
          <t>PO2526-07765</t>
        </is>
      </c>
      <c r="I2098" s="286" t="n">
        <v>46111</v>
      </c>
      <c r="J2098" s="26" t="n"/>
      <c r="K2098" s="20" t="n">
        <v>30</v>
      </c>
      <c r="L2098" s="5" t="inlineStr">
        <is>
          <t>SFST81000048</t>
        </is>
      </c>
      <c r="M2098" s="7" t="inlineStr">
        <is>
          <t>PD Machine</t>
        </is>
      </c>
      <c r="N2098" s="7" t="inlineStr">
        <is>
          <t>Steam Bratt Pan No.4</t>
        </is>
      </c>
      <c r="O2098" s="11" t="n">
        <v>2</v>
      </c>
      <c r="P2098" s="10" t="inlineStr">
        <is>
          <t>Burkert GERMANY Solinoid Valve 3/2 Way
G1/8" Coil 24 vdc with Fitting TYPE:6014</t>
        </is>
      </c>
      <c r="Q2098" s="277" t="n">
        <v>1</v>
      </c>
      <c r="R2098" s="5" t="inlineStr">
        <is>
          <t>PCS.</t>
        </is>
      </c>
      <c r="S2098" s="284">
        <f>RawDataGenPO[[#This Row],[Total price]]/RawDataGenPO[[#This Row],[Qty'']]</f>
        <v/>
      </c>
      <c r="T2098" s="278" t="n">
        <v>7460</v>
      </c>
      <c r="U2098" s="291" t="n"/>
      <c r="V2098" s="7" t="inlineStr">
        <is>
          <t>V1001061 - Flu-Tech Co., Ltd.</t>
        </is>
      </c>
      <c r="W2098" s="30" t="inlineStr">
        <is>
          <t>Recive bill and GRN already</t>
        </is>
      </c>
      <c r="X2098" s="5" t="inlineStr">
        <is>
          <t>GRN2627-0000035</t>
        </is>
      </c>
      <c r="Y2098" s="3" t="n">
        <v>46114</v>
      </c>
      <c r="Z2098" s="23" t="n"/>
      <c r="AA2098" s="17">
        <f>IF(RawDataGenPO[[#This Row],[Date Gen PO]]="","",RawDataGenPO[[#This Row],[Date recive bill]]-RawDataGenPO[[#This Row],[Date Gen PO]])</f>
        <v/>
      </c>
      <c r="AB2098" s="16">
        <f>IF(RawDataGenPO[[#This Row],[GRN-PO date]]&gt;RawDataGenPO[[#This Row],[Lead time delivery (day)]],"over deliverry","Ontime")</f>
        <v/>
      </c>
      <c r="AC2098" s="22" t="n"/>
    </row>
    <row r="2099" ht="15" customHeight="1">
      <c r="A2099" s="5">
        <f>ROW()-ROW(RawDataGenPO[[#Headers],[No.]])</f>
        <v/>
      </c>
      <c r="B2099" s="29" t="inlineStr">
        <is>
          <t>Expent  cost</t>
        </is>
      </c>
      <c r="C2099" s="373" t="n"/>
      <c r="D2099" s="374" t="n"/>
      <c r="E2099" s="374" t="n"/>
      <c r="F2099" s="281" t="n">
        <v>46101</v>
      </c>
      <c r="G2099" s="5" t="inlineStr">
        <is>
          <t>PR2526-05421</t>
        </is>
      </c>
      <c r="H2099" s="5" t="inlineStr">
        <is>
          <t>PO2526-07700</t>
        </is>
      </c>
      <c r="I2099" s="286" t="n">
        <v>46105</v>
      </c>
      <c r="J2099" s="26" t="n"/>
      <c r="K2099" s="20" t="n">
        <v>60</v>
      </c>
      <c r="L2099" s="5" t="inlineStr">
        <is>
          <t>SFST81000048</t>
        </is>
      </c>
      <c r="M2099" s="7" t="inlineStr">
        <is>
          <t>PD Machine</t>
        </is>
      </c>
      <c r="N2099" s="7" t="inlineStr">
        <is>
          <t>Machine Spare part</t>
        </is>
      </c>
      <c r="O2099" s="11" t="n">
        <v>1</v>
      </c>
      <c r="P2099" s="10" t="inlineStr">
        <is>
          <t>cablestainless steel headrearunionstainless steel size 1" lengthWm 100cm. 10Bar</t>
        </is>
      </c>
      <c r="Q2099" s="277" t="n">
        <v>4</v>
      </c>
      <c r="R2099" s="5" t="inlineStr">
        <is>
          <t>PCS.</t>
        </is>
      </c>
      <c r="S2099" s="284">
        <f>RawDataGenPO[[#This Row],[Total price]]/RawDataGenPO[[#This Row],[Qty'']]</f>
        <v/>
      </c>
      <c r="T2099" s="278" t="n">
        <v>2920</v>
      </c>
      <c r="U2099" s="291" t="n"/>
      <c r="V2099" s="7" t="inlineStr">
        <is>
          <t>V1000259 - JJP SUPPLY CO., LTD</t>
        </is>
      </c>
      <c r="W2099" s="30" t="inlineStr">
        <is>
          <t>Recive bill and GRN already</t>
        </is>
      </c>
      <c r="X2099" s="5" t="inlineStr">
        <is>
          <t>GRN2627-0000245</t>
        </is>
      </c>
      <c r="Y2099" s="3" t="n">
        <v>46119</v>
      </c>
      <c r="Z2099" s="23" t="n"/>
      <c r="AA2099" s="17">
        <f>IF(RawDataGenPO[[#This Row],[Date Gen PO]]="","",RawDataGenPO[[#This Row],[Date recive bill]]-RawDataGenPO[[#This Row],[Date Gen PO]])</f>
        <v/>
      </c>
      <c r="AB2099" s="16">
        <f>IF(RawDataGenPO[[#This Row],[GRN-PO date]]&gt;RawDataGenPO[[#This Row],[Lead time delivery (day)]],"over deliverry","Ontime")</f>
        <v/>
      </c>
      <c r="AC2099" s="22" t="n"/>
    </row>
    <row r="2100" ht="15" customHeight="1">
      <c r="A2100" s="5">
        <f>ROW()-ROW(RawDataGenPO[[#Headers],[No.]])</f>
        <v/>
      </c>
      <c r="B2100" s="29" t="inlineStr">
        <is>
          <t>Expent  cost</t>
        </is>
      </c>
      <c r="C2100" s="373" t="n"/>
      <c r="D2100" s="374" t="n"/>
      <c r="E2100" s="374" t="n"/>
      <c r="F2100" s="281" t="n">
        <v>46101</v>
      </c>
      <c r="G2100" s="5" t="inlineStr">
        <is>
          <t>PR2526-05421</t>
        </is>
      </c>
      <c r="H2100" s="5" t="inlineStr">
        <is>
          <t>PO2526-07700</t>
        </is>
      </c>
      <c r="I2100" s="286" t="n">
        <v>46105</v>
      </c>
      <c r="J2100" s="26" t="n"/>
      <c r="K2100" s="20" t="n">
        <v>60</v>
      </c>
      <c r="L2100" s="5" t="inlineStr">
        <is>
          <t>SFST81000048</t>
        </is>
      </c>
      <c r="M2100" s="7" t="inlineStr">
        <is>
          <t>PD Machine</t>
        </is>
      </c>
      <c r="N2100" s="7" t="inlineStr">
        <is>
          <t>Machine Spare part</t>
        </is>
      </c>
      <c r="O2100" s="11" t="n">
        <v>2</v>
      </c>
      <c r="P2100" s="10" t="inlineStr">
        <is>
          <t>cablestainless steel headrearunionstainless steel size 3/4" lengthWm 100cm. 10Bar</t>
        </is>
      </c>
      <c r="Q2100" s="277" t="n">
        <v>2</v>
      </c>
      <c r="R2100" s="5" t="inlineStr">
        <is>
          <t>PCS.</t>
        </is>
      </c>
      <c r="S2100" s="284">
        <f>RawDataGenPO[[#This Row],[Total price]]/RawDataGenPO[[#This Row],[Qty'']]</f>
        <v/>
      </c>
      <c r="T2100" s="278" t="n">
        <v>1230</v>
      </c>
      <c r="U2100" s="291" t="n"/>
      <c r="V2100" s="7" t="inlineStr">
        <is>
          <t>V1000259 - JJP SUPPLY CO., LTD</t>
        </is>
      </c>
      <c r="W2100" s="30" t="inlineStr">
        <is>
          <t>Recive bill and GRN already</t>
        </is>
      </c>
      <c r="X2100" s="5" t="inlineStr">
        <is>
          <t>GRN2627-0000245</t>
        </is>
      </c>
      <c r="Y2100" s="3" t="n">
        <v>46119</v>
      </c>
      <c r="Z2100" s="23" t="n"/>
      <c r="AA2100" s="17">
        <f>IF(RawDataGenPO[[#This Row],[Date Gen PO]]="","",RawDataGenPO[[#This Row],[Date recive bill]]-RawDataGenPO[[#This Row],[Date Gen PO]])</f>
        <v/>
      </c>
      <c r="AB2100" s="16">
        <f>IF(RawDataGenPO[[#This Row],[GRN-PO date]]&gt;RawDataGenPO[[#This Row],[Lead time delivery (day)]],"over deliverry","Ontime")</f>
        <v/>
      </c>
      <c r="AC2100" s="22" t="n"/>
    </row>
    <row r="2101" ht="15" customHeight="1">
      <c r="A2101" s="5">
        <f>ROW()-ROW(RawDataGenPO[[#Headers],[No.]])</f>
        <v/>
      </c>
      <c r="B2101" s="29" t="inlineStr">
        <is>
          <t>Expent  cost</t>
        </is>
      </c>
      <c r="C2101" s="373" t="n"/>
      <c r="D2101" s="374" t="n"/>
      <c r="E2101" s="374" t="n"/>
      <c r="F2101" s="281" t="n">
        <v>46101</v>
      </c>
      <c r="G2101" s="5" t="inlineStr">
        <is>
          <t>PR2526-05421</t>
        </is>
      </c>
      <c r="H2101" s="5" t="inlineStr">
        <is>
          <t>PO2526-07700</t>
        </is>
      </c>
      <c r="I2101" s="286" t="n">
        <v>46105</v>
      </c>
      <c r="J2101" s="26" t="n"/>
      <c r="K2101" s="20" t="n">
        <v>60</v>
      </c>
      <c r="L2101" s="5" t="inlineStr">
        <is>
          <t>SFST81000048</t>
        </is>
      </c>
      <c r="M2101" s="7" t="inlineStr">
        <is>
          <t>PD Machine</t>
        </is>
      </c>
      <c r="N2101" s="7" t="inlineStr">
        <is>
          <t>Machine Spare part</t>
        </is>
      </c>
      <c r="O2101" s="11" t="n">
        <v>3</v>
      </c>
      <c r="P2101" s="10" t="inlineStr">
        <is>
          <t>cablestainless steel headrearunionstainless steel size 1/2" lengthWm 100cm. 10Bar</t>
        </is>
      </c>
      <c r="Q2101" s="277" t="n">
        <v>2</v>
      </c>
      <c r="R2101" s="5" t="inlineStr">
        <is>
          <t>PCS.</t>
        </is>
      </c>
      <c r="S2101" s="284">
        <f>RawDataGenPO[[#This Row],[Total price]]/RawDataGenPO[[#This Row],[Qty'']]</f>
        <v/>
      </c>
      <c r="T2101" s="278" t="n">
        <v>930</v>
      </c>
      <c r="U2101" s="291" t="n"/>
      <c r="V2101" s="7" t="inlineStr">
        <is>
          <t>V1000259 - JJP SUPPLY CO., LTD</t>
        </is>
      </c>
      <c r="W2101" s="30" t="inlineStr">
        <is>
          <t>Recive bill and GRN already</t>
        </is>
      </c>
      <c r="X2101" s="5" t="inlineStr">
        <is>
          <t>GRN2627-0000245</t>
        </is>
      </c>
      <c r="Y2101" s="3" t="n">
        <v>46119</v>
      </c>
      <c r="Z2101" s="23" t="n"/>
      <c r="AA2101" s="17">
        <f>IF(RawDataGenPO[[#This Row],[Date Gen PO]]="","",RawDataGenPO[[#This Row],[Date recive bill]]-RawDataGenPO[[#This Row],[Date Gen PO]])</f>
        <v/>
      </c>
      <c r="AB2101" s="16">
        <f>IF(RawDataGenPO[[#This Row],[GRN-PO date]]&gt;RawDataGenPO[[#This Row],[Lead time delivery (day)]],"over deliverry","Ontime")</f>
        <v/>
      </c>
      <c r="AC2101" s="22" t="n"/>
    </row>
    <row r="2102" ht="15" customHeight="1">
      <c r="A2102" s="5">
        <f>ROW()-ROW(RawDataGenPO[[#Headers],[No.]])</f>
        <v/>
      </c>
      <c r="B2102" s="29" t="inlineStr">
        <is>
          <t>Expent  cost</t>
        </is>
      </c>
      <c r="C2102" s="373" t="n"/>
      <c r="D2102" s="374" t="n"/>
      <c r="E2102" s="374" t="n"/>
      <c r="F2102" s="281" t="n">
        <v>46106</v>
      </c>
      <c r="G2102" s="5" t="inlineStr">
        <is>
          <t>PR2526-05449</t>
        </is>
      </c>
      <c r="H2102" s="5" t="inlineStr">
        <is>
          <t>PO2526-07806</t>
        </is>
      </c>
      <c r="I2102" s="286" t="n">
        <v>46111</v>
      </c>
      <c r="J2102" s="26" t="n"/>
      <c r="K2102" s="20" t="n">
        <v>30</v>
      </c>
      <c r="L2102" s="5" t="inlineStr">
        <is>
          <t>SFST34000138</t>
        </is>
      </c>
      <c r="M2102" s="7" t="inlineStr">
        <is>
          <t>Consumable part for MN</t>
        </is>
      </c>
      <c r="N2102" s="7" t="inlineStr">
        <is>
          <t>Consumable part</t>
        </is>
      </c>
      <c r="O2102" s="11" t="n">
        <v>1</v>
      </c>
      <c r="P2102" s="10" t="inlineStr">
        <is>
          <t>fittingstraight couplingair linemale thread 1/8" outlet 6 mm.</t>
        </is>
      </c>
      <c r="Q2102" s="277" t="n">
        <v>10</v>
      </c>
      <c r="R2102" s="5" t="inlineStr">
        <is>
          <t>PCS.</t>
        </is>
      </c>
      <c r="S2102" s="284">
        <f>RawDataGenPO[[#This Row],[Total price]]/RawDataGenPO[[#This Row],[Qty'']]</f>
        <v/>
      </c>
      <c r="T2102" s="278" t="n">
        <v>130</v>
      </c>
      <c r="U2102" s="291" t="n"/>
      <c r="V2102" s="7" t="inlineStr">
        <is>
          <t>V1000310 - BOONBAWORN ENGINEERING CO., LTD</t>
        </is>
      </c>
      <c r="W2102" s="30" t="inlineStr">
        <is>
          <t>Recive bill and GRN already</t>
        </is>
      </c>
      <c r="X2102" s="5" t="inlineStr">
        <is>
          <t>GRN2627-0000038</t>
        </is>
      </c>
      <c r="Y2102" s="3" t="n">
        <v>46114</v>
      </c>
      <c r="Z2102" s="23" t="n"/>
      <c r="AA2102" s="17">
        <f>IF(RawDataGenPO[[#This Row],[Date Gen PO]]="","",RawDataGenPO[[#This Row],[Date recive bill]]-RawDataGenPO[[#This Row],[Date Gen PO]])</f>
        <v/>
      </c>
      <c r="AB2102" s="16">
        <f>IF(RawDataGenPO[[#This Row],[GRN-PO date]]&gt;RawDataGenPO[[#This Row],[Lead time delivery (day)]],"over deliverry","Ontime")</f>
        <v/>
      </c>
      <c r="AC2102" s="22" t="n"/>
    </row>
    <row r="2103" ht="15" customHeight="1">
      <c r="A2103" s="5">
        <f>ROW()-ROW(RawDataGenPO[[#Headers],[No.]])</f>
        <v/>
      </c>
      <c r="B2103" s="29" t="inlineStr">
        <is>
          <t>Expent  cost</t>
        </is>
      </c>
      <c r="C2103" s="373" t="n"/>
      <c r="D2103" s="374" t="n"/>
      <c r="E2103" s="374" t="n"/>
      <c r="F2103" s="281" t="n">
        <v>46106</v>
      </c>
      <c r="G2103" s="5" t="inlineStr">
        <is>
          <t>PR2526-05449</t>
        </is>
      </c>
      <c r="H2103" s="5" t="inlineStr">
        <is>
          <t>PO2526-07806</t>
        </is>
      </c>
      <c r="I2103" s="286" t="n">
        <v>46111</v>
      </c>
      <c r="J2103" s="26" t="n"/>
      <c r="K2103" s="20" t="n">
        <v>30</v>
      </c>
      <c r="L2103" s="5" t="inlineStr">
        <is>
          <t>SFST34000139</t>
        </is>
      </c>
      <c r="M2103" s="7" t="inlineStr">
        <is>
          <t>Consumable part for MN</t>
        </is>
      </c>
      <c r="N2103" s="7" t="inlineStr">
        <is>
          <t>Consumable part</t>
        </is>
      </c>
      <c r="O2103" s="11" t="n">
        <v>2</v>
      </c>
      <c r="P2103" s="10" t="inlineStr">
        <is>
          <t>fittingstraight couplingair linemale thread 1/4" outlet 6 mm.</t>
        </is>
      </c>
      <c r="Q2103" s="277" t="n">
        <v>10</v>
      </c>
      <c r="R2103" s="5" t="inlineStr">
        <is>
          <t>PCS.</t>
        </is>
      </c>
      <c r="S2103" s="284">
        <f>RawDataGenPO[[#This Row],[Total price]]/RawDataGenPO[[#This Row],[Qty'']]</f>
        <v/>
      </c>
      <c r="T2103" s="278" t="n">
        <v>130</v>
      </c>
      <c r="U2103" s="291" t="n"/>
      <c r="V2103" s="7" t="inlineStr">
        <is>
          <t>V1000310 - BOONBAWORN ENGINEERING CO., LTD</t>
        </is>
      </c>
      <c r="W2103" s="30" t="inlineStr">
        <is>
          <t>Recive bill and GRN already</t>
        </is>
      </c>
      <c r="X2103" s="5" t="inlineStr">
        <is>
          <t>GRN2627-0000038</t>
        </is>
      </c>
      <c r="Y2103" s="3" t="n">
        <v>46114</v>
      </c>
      <c r="Z2103" s="23" t="n"/>
      <c r="AA2103" s="17">
        <f>IF(RawDataGenPO[[#This Row],[Date Gen PO]]="","",RawDataGenPO[[#This Row],[Date recive bill]]-RawDataGenPO[[#This Row],[Date Gen PO]])</f>
        <v/>
      </c>
      <c r="AB2103" s="16">
        <f>IF(RawDataGenPO[[#This Row],[GRN-PO date]]&gt;RawDataGenPO[[#This Row],[Lead time delivery (day)]],"over deliverry","Ontime")</f>
        <v/>
      </c>
      <c r="AC2103" s="22" t="n"/>
    </row>
    <row r="2104" ht="15" customHeight="1">
      <c r="A2104" s="5">
        <f>ROW()-ROW(RawDataGenPO[[#Headers],[No.]])</f>
        <v/>
      </c>
      <c r="B2104" s="29" t="inlineStr">
        <is>
          <t>Expent  cost</t>
        </is>
      </c>
      <c r="C2104" s="373" t="n"/>
      <c r="D2104" s="374" t="n"/>
      <c r="E2104" s="374" t="n"/>
      <c r="F2104" s="281" t="n">
        <v>46106</v>
      </c>
      <c r="G2104" s="5" t="inlineStr">
        <is>
          <t>PR2526-05449</t>
        </is>
      </c>
      <c r="H2104" s="5" t="inlineStr">
        <is>
          <t>PO2526-07806</t>
        </is>
      </c>
      <c r="I2104" s="286" t="n">
        <v>46111</v>
      </c>
      <c r="J2104" s="26" t="n"/>
      <c r="K2104" s="20" t="n">
        <v>30</v>
      </c>
      <c r="L2104" s="5" t="inlineStr">
        <is>
          <t>SFST34000143</t>
        </is>
      </c>
      <c r="M2104" s="7" t="inlineStr">
        <is>
          <t>Consumable part for MN</t>
        </is>
      </c>
      <c r="N2104" s="7" t="inlineStr">
        <is>
          <t>Consumable part</t>
        </is>
      </c>
      <c r="O2104" s="11" t="n">
        <v>3</v>
      </c>
      <c r="P2104" s="10" t="inlineStr">
        <is>
          <t>fittingstraight couplingair linemale thread 1/4" outlet 8 mm.</t>
        </is>
      </c>
      <c r="Q2104" s="277" t="n">
        <v>10</v>
      </c>
      <c r="R2104" s="5" t="inlineStr">
        <is>
          <t>PCS.</t>
        </is>
      </c>
      <c r="S2104" s="284">
        <f>RawDataGenPO[[#This Row],[Total price]]/RawDataGenPO[[#This Row],[Qty'']]</f>
        <v/>
      </c>
      <c r="T2104" s="278" t="n">
        <v>130</v>
      </c>
      <c r="U2104" s="291" t="n"/>
      <c r="V2104" s="7" t="inlineStr">
        <is>
          <t>V1000310 - BOONBAWORN ENGINEERING CO., LTD</t>
        </is>
      </c>
      <c r="W2104" s="30" t="inlineStr">
        <is>
          <t>Recive bill and GRN already</t>
        </is>
      </c>
      <c r="X2104" s="5" t="inlineStr">
        <is>
          <t>GRN2627-0000038</t>
        </is>
      </c>
      <c r="Y2104" s="3" t="n">
        <v>46114</v>
      </c>
      <c r="Z2104" s="23" t="n"/>
      <c r="AA2104" s="17">
        <f>IF(RawDataGenPO[[#This Row],[Date Gen PO]]="","",RawDataGenPO[[#This Row],[Date recive bill]]-RawDataGenPO[[#This Row],[Date Gen PO]])</f>
        <v/>
      </c>
      <c r="AB2104" s="16">
        <f>IF(RawDataGenPO[[#This Row],[GRN-PO date]]&gt;RawDataGenPO[[#This Row],[Lead time delivery (day)]],"over deliverry","Ontime")</f>
        <v/>
      </c>
      <c r="AC2104" s="22" t="n"/>
    </row>
    <row r="2105" ht="15" customHeight="1">
      <c r="A2105" s="5">
        <f>ROW()-ROW(RawDataGenPO[[#Headers],[No.]])</f>
        <v/>
      </c>
      <c r="B2105" s="29" t="inlineStr">
        <is>
          <t>Expent  cost</t>
        </is>
      </c>
      <c r="C2105" s="373" t="n"/>
      <c r="D2105" s="374" t="n"/>
      <c r="E2105" s="374" t="n"/>
      <c r="F2105" s="281" t="n">
        <v>46106</v>
      </c>
      <c r="G2105" s="5" t="inlineStr">
        <is>
          <t>PR2526-05449</t>
        </is>
      </c>
      <c r="H2105" s="5" t="inlineStr">
        <is>
          <t>PO2526-07806</t>
        </is>
      </c>
      <c r="I2105" s="286" t="n">
        <v>46111</v>
      </c>
      <c r="J2105" s="26" t="n"/>
      <c r="K2105" s="20" t="n">
        <v>30</v>
      </c>
      <c r="L2105" s="5" t="inlineStr">
        <is>
          <t>SFST34000144</t>
        </is>
      </c>
      <c r="M2105" s="7" t="inlineStr">
        <is>
          <t>Consumable part for MN</t>
        </is>
      </c>
      <c r="N2105" s="7" t="inlineStr">
        <is>
          <t>Consumable part</t>
        </is>
      </c>
      <c r="O2105" s="11" t="n">
        <v>4</v>
      </c>
      <c r="P2105" s="10" t="inlineStr">
        <is>
          <t>fittingstraight couplingair linemale thread 3/8" outlet 8 mm.</t>
        </is>
      </c>
      <c r="Q2105" s="277" t="n">
        <v>10</v>
      </c>
      <c r="R2105" s="5" t="inlineStr">
        <is>
          <t>PCS.</t>
        </is>
      </c>
      <c r="S2105" s="284">
        <f>RawDataGenPO[[#This Row],[Total price]]/RawDataGenPO[[#This Row],[Qty'']]</f>
        <v/>
      </c>
      <c r="T2105" s="278" t="n">
        <v>200</v>
      </c>
      <c r="U2105" s="291" t="n"/>
      <c r="V2105" s="7" t="inlineStr">
        <is>
          <t>V1000310 - BOONBAWORN ENGINEERING CO., LTD</t>
        </is>
      </c>
      <c r="W2105" s="30" t="inlineStr">
        <is>
          <t>Recive bill and GRN already</t>
        </is>
      </c>
      <c r="X2105" s="5" t="inlineStr">
        <is>
          <t>GRN2627-0000038</t>
        </is>
      </c>
      <c r="Y2105" s="3" t="n">
        <v>46114</v>
      </c>
      <c r="Z2105" s="23" t="n"/>
      <c r="AA2105" s="17">
        <f>IF(RawDataGenPO[[#This Row],[Date Gen PO]]="","",RawDataGenPO[[#This Row],[Date recive bill]]-RawDataGenPO[[#This Row],[Date Gen PO]])</f>
        <v/>
      </c>
      <c r="AB2105" s="16">
        <f>IF(RawDataGenPO[[#This Row],[GRN-PO date]]&gt;RawDataGenPO[[#This Row],[Lead time delivery (day)]],"over deliverry","Ontime")</f>
        <v/>
      </c>
      <c r="AC2105" s="22" t="n"/>
    </row>
    <row r="2106" ht="15" customHeight="1">
      <c r="A2106" s="5">
        <f>ROW()-ROW(RawDataGenPO[[#Headers],[No.]])</f>
        <v/>
      </c>
      <c r="B2106" s="29" t="inlineStr">
        <is>
          <t>Expent  cost</t>
        </is>
      </c>
      <c r="C2106" s="373" t="n"/>
      <c r="D2106" s="374" t="n"/>
      <c r="E2106" s="374" t="n"/>
      <c r="F2106" s="281" t="n">
        <v>46106</v>
      </c>
      <c r="G2106" s="5" t="inlineStr">
        <is>
          <t>PR2526-05449</t>
        </is>
      </c>
      <c r="H2106" s="5" t="inlineStr">
        <is>
          <t>PO2526-07806</t>
        </is>
      </c>
      <c r="I2106" s="286" t="n">
        <v>46111</v>
      </c>
      <c r="J2106" s="26" t="n"/>
      <c r="K2106" s="20" t="n">
        <v>30</v>
      </c>
      <c r="L2106" s="5" t="inlineStr">
        <is>
          <t>SFST34000145</t>
        </is>
      </c>
      <c r="M2106" s="7" t="inlineStr">
        <is>
          <t>Consumable part for MN</t>
        </is>
      </c>
      <c r="N2106" s="7" t="inlineStr">
        <is>
          <t>Consumable part</t>
        </is>
      </c>
      <c r="O2106" s="11" t="n">
        <v>5</v>
      </c>
      <c r="P2106" s="10" t="inlineStr">
        <is>
          <t>fittingstraight couplingair linemale thread 1/2" outlet 8 mm.</t>
        </is>
      </c>
      <c r="Q2106" s="277" t="n">
        <v>10</v>
      </c>
      <c r="R2106" s="5" t="inlineStr">
        <is>
          <t>PCS.</t>
        </is>
      </c>
      <c r="S2106" s="284">
        <f>RawDataGenPO[[#This Row],[Total price]]/RawDataGenPO[[#This Row],[Qty'']]</f>
        <v/>
      </c>
      <c r="T2106" s="278" t="n">
        <v>300</v>
      </c>
      <c r="U2106" s="291" t="n"/>
      <c r="V2106" s="7" t="inlineStr">
        <is>
          <t>V1000310 - BOONBAWORN ENGINEERING CO., LTD</t>
        </is>
      </c>
      <c r="W2106" s="30" t="inlineStr">
        <is>
          <t>Recive bill and GRN already</t>
        </is>
      </c>
      <c r="X2106" s="5" t="inlineStr">
        <is>
          <t>GRN2627-0000038</t>
        </is>
      </c>
      <c r="Y2106" s="3" t="n">
        <v>46114</v>
      </c>
      <c r="Z2106" s="23" t="n"/>
      <c r="AA2106" s="17">
        <f>IF(RawDataGenPO[[#This Row],[Date Gen PO]]="","",RawDataGenPO[[#This Row],[Date recive bill]]-RawDataGenPO[[#This Row],[Date Gen PO]])</f>
        <v/>
      </c>
      <c r="AB2106" s="16">
        <f>IF(RawDataGenPO[[#This Row],[GRN-PO date]]&gt;RawDataGenPO[[#This Row],[Lead time delivery (day)]],"over deliverry","Ontime")</f>
        <v/>
      </c>
      <c r="AC2106" s="22" t="n"/>
    </row>
    <row r="2107" ht="15" customHeight="1">
      <c r="A2107" s="5">
        <f>ROW()-ROW(RawDataGenPO[[#Headers],[No.]])</f>
        <v/>
      </c>
      <c r="B2107" s="29" t="inlineStr">
        <is>
          <t>Expent  cost</t>
        </is>
      </c>
      <c r="C2107" s="373" t="n"/>
      <c r="D2107" s="374" t="n"/>
      <c r="E2107" s="374" t="n"/>
      <c r="F2107" s="281" t="n">
        <v>46106</v>
      </c>
      <c r="G2107" s="5" t="inlineStr">
        <is>
          <t>PR2526-05449</t>
        </is>
      </c>
      <c r="H2107" s="5" t="inlineStr">
        <is>
          <t>PO2526-07806</t>
        </is>
      </c>
      <c r="I2107" s="286" t="n">
        <v>46111</v>
      </c>
      <c r="J2107" s="26" t="n"/>
      <c r="K2107" s="20" t="n">
        <v>30</v>
      </c>
      <c r="L2107" s="5" t="inlineStr">
        <is>
          <t>SFST34000150</t>
        </is>
      </c>
      <c r="M2107" s="7" t="inlineStr">
        <is>
          <t>Consumable part for MN</t>
        </is>
      </c>
      <c r="N2107" s="7" t="inlineStr">
        <is>
          <t>Consumable part</t>
        </is>
      </c>
      <c r="O2107" s="11" t="n">
        <v>6</v>
      </c>
      <c r="P2107" s="10" t="inlineStr">
        <is>
          <t>fittingstraight couplingplugair linetypereducing 8 mm to 6 mm.</t>
        </is>
      </c>
      <c r="Q2107" s="277" t="n">
        <v>10</v>
      </c>
      <c r="R2107" s="5" t="inlineStr">
        <is>
          <t>PCS.</t>
        </is>
      </c>
      <c r="S2107" s="284">
        <f>RawDataGenPO[[#This Row],[Total price]]/RawDataGenPO[[#This Row],[Qty'']]</f>
        <v/>
      </c>
      <c r="T2107" s="278" t="n">
        <v>340</v>
      </c>
      <c r="U2107" s="291" t="n"/>
      <c r="V2107" s="7" t="inlineStr">
        <is>
          <t>V1000310 - BOONBAWORN ENGINEERING CO., LTD</t>
        </is>
      </c>
      <c r="W2107" s="30" t="inlineStr">
        <is>
          <t>Recive bill and GRN already</t>
        </is>
      </c>
      <c r="X2107" s="5" t="inlineStr">
        <is>
          <t>GRN2627-0000038</t>
        </is>
      </c>
      <c r="Y2107" s="3" t="n">
        <v>46114</v>
      </c>
      <c r="Z2107" s="23" t="n"/>
      <c r="AA2107" s="17">
        <f>IF(RawDataGenPO[[#This Row],[Date Gen PO]]="","",RawDataGenPO[[#This Row],[Date recive bill]]-RawDataGenPO[[#This Row],[Date Gen PO]])</f>
        <v/>
      </c>
      <c r="AB2107" s="16">
        <f>IF(RawDataGenPO[[#This Row],[GRN-PO date]]&gt;RawDataGenPO[[#This Row],[Lead time delivery (day)]],"over deliverry","Ontime")</f>
        <v/>
      </c>
      <c r="AC2107" s="22" t="n"/>
    </row>
    <row r="2108" ht="15" customHeight="1">
      <c r="A2108" s="5">
        <f>ROW()-ROW(RawDataGenPO[[#Headers],[No.]])</f>
        <v/>
      </c>
      <c r="B2108" s="29" t="inlineStr">
        <is>
          <t>Expent  cost</t>
        </is>
      </c>
      <c r="C2108" s="373" t="n"/>
      <c r="D2108" s="374" t="n"/>
      <c r="E2108" s="374" t="n"/>
      <c r="F2108" s="281" t="n">
        <v>46106</v>
      </c>
      <c r="G2108" s="5" t="inlineStr">
        <is>
          <t>PR2526-05449</t>
        </is>
      </c>
      <c r="H2108" s="5" t="inlineStr">
        <is>
          <t>PO2526-07806</t>
        </is>
      </c>
      <c r="I2108" s="286" t="n">
        <v>46111</v>
      </c>
      <c r="J2108" s="26" t="n"/>
      <c r="K2108" s="20" t="n">
        <v>30</v>
      </c>
      <c r="L2108" s="5" t="inlineStr">
        <is>
          <t>SFST34000151</t>
        </is>
      </c>
      <c r="M2108" s="7" t="inlineStr">
        <is>
          <t>Consumable part for MN</t>
        </is>
      </c>
      <c r="N2108" s="7" t="inlineStr">
        <is>
          <t>Consumable part</t>
        </is>
      </c>
      <c r="O2108" s="11" t="n">
        <v>7</v>
      </c>
      <c r="P2108" s="10" t="inlineStr">
        <is>
          <t>fittingstraight couplingplugair linetypereducing 10 mm to 8 mm.</t>
        </is>
      </c>
      <c r="Q2108" s="277" t="n">
        <v>20</v>
      </c>
      <c r="R2108" s="5" t="inlineStr">
        <is>
          <t>PCS.</t>
        </is>
      </c>
      <c r="S2108" s="284">
        <f>RawDataGenPO[[#This Row],[Total price]]/RawDataGenPO[[#This Row],[Qty'']]</f>
        <v/>
      </c>
      <c r="T2108" s="278" t="n">
        <v>760</v>
      </c>
      <c r="U2108" s="291" t="n"/>
      <c r="V2108" s="7" t="inlineStr">
        <is>
          <t>V1000310 - BOONBAWORN ENGINEERING CO., LTD</t>
        </is>
      </c>
      <c r="W2108" s="30" t="inlineStr">
        <is>
          <t>Recive bill and GRN already</t>
        </is>
      </c>
      <c r="X2108" s="5" t="inlineStr">
        <is>
          <t>GRN2627-0000038</t>
        </is>
      </c>
      <c r="Y2108" s="3" t="n">
        <v>46114</v>
      </c>
      <c r="Z2108" s="23" t="n"/>
      <c r="AA2108" s="17">
        <f>IF(RawDataGenPO[[#This Row],[Date Gen PO]]="","",RawDataGenPO[[#This Row],[Date recive bill]]-RawDataGenPO[[#This Row],[Date Gen PO]])</f>
        <v/>
      </c>
      <c r="AB2108" s="16">
        <f>IF(RawDataGenPO[[#This Row],[GRN-PO date]]&gt;RawDataGenPO[[#This Row],[Lead time delivery (day)]],"over deliverry","Ontime")</f>
        <v/>
      </c>
      <c r="AC2108" s="22" t="n"/>
    </row>
    <row r="2109" ht="15" customHeight="1">
      <c r="A2109" s="5">
        <f>ROW()-ROW(RawDataGenPO[[#Headers],[No.]])</f>
        <v/>
      </c>
      <c r="B2109" s="29" t="inlineStr">
        <is>
          <t>Expent  cost</t>
        </is>
      </c>
      <c r="C2109" s="373" t="n"/>
      <c r="D2109" s="374" t="n"/>
      <c r="E2109" s="374" t="n"/>
      <c r="F2109" s="281" t="n">
        <v>46106</v>
      </c>
      <c r="G2109" s="5" t="inlineStr">
        <is>
          <t>PR2526-05449</t>
        </is>
      </c>
      <c r="H2109" s="5" t="inlineStr">
        <is>
          <t>PO2526-07806</t>
        </is>
      </c>
      <c r="I2109" s="286" t="n">
        <v>46111</v>
      </c>
      <c r="J2109" s="26" t="n"/>
      <c r="K2109" s="20" t="n">
        <v>30</v>
      </c>
      <c r="L2109" s="5" t="inlineStr">
        <is>
          <t>SFST34000153</t>
        </is>
      </c>
      <c r="M2109" s="7" t="inlineStr">
        <is>
          <t>Consumable part for MN</t>
        </is>
      </c>
      <c r="N2109" s="7" t="inlineStr">
        <is>
          <t>Consumable part</t>
        </is>
      </c>
      <c r="O2109" s="11" t="n">
        <v>8</v>
      </c>
      <c r="P2109" s="10" t="inlineStr">
        <is>
          <t>pcssoundproof (Silencer) male threadsize 1/8"</t>
        </is>
      </c>
      <c r="Q2109" s="277" t="n">
        <v>10</v>
      </c>
      <c r="R2109" s="5" t="inlineStr">
        <is>
          <t>PCS.</t>
        </is>
      </c>
      <c r="S2109" s="284">
        <f>RawDataGenPO[[#This Row],[Total price]]/RawDataGenPO[[#This Row],[Qty'']]</f>
        <v/>
      </c>
      <c r="T2109" s="278" t="n">
        <v>160</v>
      </c>
      <c r="U2109" s="291" t="n"/>
      <c r="V2109" s="7" t="inlineStr">
        <is>
          <t>V1000310 - BOONBAWORN ENGINEERING CO., LTD</t>
        </is>
      </c>
      <c r="W2109" s="30" t="inlineStr">
        <is>
          <t>Recive bill and GRN already</t>
        </is>
      </c>
      <c r="X2109" s="5" t="inlineStr">
        <is>
          <t>GRN2627-0000038</t>
        </is>
      </c>
      <c r="Y2109" s="3" t="n">
        <v>46114</v>
      </c>
      <c r="Z2109" s="23" t="n"/>
      <c r="AA2109" s="17">
        <f>IF(RawDataGenPO[[#This Row],[Date Gen PO]]="","",RawDataGenPO[[#This Row],[Date recive bill]]-RawDataGenPO[[#This Row],[Date Gen PO]])</f>
        <v/>
      </c>
      <c r="AB2109" s="16">
        <f>IF(RawDataGenPO[[#This Row],[GRN-PO date]]&gt;RawDataGenPO[[#This Row],[Lead time delivery (day)]],"over deliverry","Ontime")</f>
        <v/>
      </c>
      <c r="AC2109" s="22" t="n"/>
    </row>
    <row r="2110" ht="15" customHeight="1">
      <c r="A2110" s="5">
        <f>ROW()-ROW(RawDataGenPO[[#Headers],[No.]])</f>
        <v/>
      </c>
      <c r="B2110" s="29" t="inlineStr">
        <is>
          <t>Expent  cost</t>
        </is>
      </c>
      <c r="C2110" s="373" t="n"/>
      <c r="D2110" s="374" t="n"/>
      <c r="E2110" s="374" t="n"/>
      <c r="F2110" s="281" t="n">
        <v>46106</v>
      </c>
      <c r="G2110" s="5" t="inlineStr">
        <is>
          <t>PR2526-05449</t>
        </is>
      </c>
      <c r="H2110" s="5" t="inlineStr">
        <is>
          <t>PO2526-07806</t>
        </is>
      </c>
      <c r="I2110" s="286" t="n">
        <v>46111</v>
      </c>
      <c r="J2110" s="26" t="n"/>
      <c r="K2110" s="20" t="n">
        <v>30</v>
      </c>
      <c r="L2110" s="5" t="inlineStr">
        <is>
          <t>SFST34000156</t>
        </is>
      </c>
      <c r="M2110" s="7" t="inlineStr">
        <is>
          <t>Consumable part for MN</t>
        </is>
      </c>
      <c r="N2110" s="7" t="inlineStr">
        <is>
          <t>Consumable part</t>
        </is>
      </c>
      <c r="O2110" s="11" t="n">
        <v>9</v>
      </c>
      <c r="P2110" s="10" t="inlineStr">
        <is>
          <t>fittingstraight couplingplugair line 6 mm.</t>
        </is>
      </c>
      <c r="Q2110" s="277" t="n">
        <v>10</v>
      </c>
      <c r="R2110" s="5" t="inlineStr">
        <is>
          <t>PCS.</t>
        </is>
      </c>
      <c r="S2110" s="284">
        <f>RawDataGenPO[[#This Row],[Total price]]/RawDataGenPO[[#This Row],[Qty'']]</f>
        <v/>
      </c>
      <c r="T2110" s="278" t="n">
        <v>150</v>
      </c>
      <c r="U2110" s="291" t="n"/>
      <c r="V2110" s="7" t="inlineStr">
        <is>
          <t>V1000310 - BOONBAWORN ENGINEERING CO., LTD</t>
        </is>
      </c>
      <c r="W2110" s="30" t="inlineStr">
        <is>
          <t>Recive bill and GRN already</t>
        </is>
      </c>
      <c r="X2110" s="5" t="inlineStr">
        <is>
          <t>GRN2627-0000038</t>
        </is>
      </c>
      <c r="Y2110" s="3" t="n">
        <v>46114</v>
      </c>
      <c r="Z2110" s="23" t="n"/>
      <c r="AA2110" s="17">
        <f>IF(RawDataGenPO[[#This Row],[Date Gen PO]]="","",RawDataGenPO[[#This Row],[Date recive bill]]-RawDataGenPO[[#This Row],[Date Gen PO]])</f>
        <v/>
      </c>
      <c r="AB2110" s="16">
        <f>IF(RawDataGenPO[[#This Row],[GRN-PO date]]&gt;RawDataGenPO[[#This Row],[Lead time delivery (day)]],"over deliverry","Ontime")</f>
        <v/>
      </c>
      <c r="AC2110" s="22" t="n"/>
    </row>
    <row r="2111" ht="15" customHeight="1">
      <c r="A2111" s="5">
        <f>ROW()-ROW(RawDataGenPO[[#Headers],[No.]])</f>
        <v/>
      </c>
      <c r="B2111" s="29" t="inlineStr">
        <is>
          <t>Expent  cost</t>
        </is>
      </c>
      <c r="C2111" s="373" t="n"/>
      <c r="D2111" s="374" t="n"/>
      <c r="E2111" s="374" t="n"/>
      <c r="F2111" s="281" t="n">
        <v>46106</v>
      </c>
      <c r="G2111" s="5" t="inlineStr">
        <is>
          <t>PR2526-05449</t>
        </is>
      </c>
      <c r="H2111" s="5" t="inlineStr">
        <is>
          <t>PO2526-07806</t>
        </is>
      </c>
      <c r="I2111" s="286" t="n">
        <v>46111</v>
      </c>
      <c r="J2111" s="26" t="n"/>
      <c r="K2111" s="20" t="n">
        <v>30</v>
      </c>
      <c r="L2111" s="5" t="inlineStr">
        <is>
          <t>SFST34000157</t>
        </is>
      </c>
      <c r="M2111" s="7" t="inlineStr">
        <is>
          <t>Consumable part for MN</t>
        </is>
      </c>
      <c r="N2111" s="7" t="inlineStr">
        <is>
          <t>Consumable part</t>
        </is>
      </c>
      <c r="O2111" s="11" t="n">
        <v>10</v>
      </c>
      <c r="P2111" s="10" t="inlineStr">
        <is>
          <t>fittingstraight couplingplugair line 8 mm.</t>
        </is>
      </c>
      <c r="Q2111" s="277" t="n">
        <v>20</v>
      </c>
      <c r="R2111" s="5" t="inlineStr">
        <is>
          <t>PCS.</t>
        </is>
      </c>
      <c r="S2111" s="284">
        <f>RawDataGenPO[[#This Row],[Total price]]/RawDataGenPO[[#This Row],[Qty'']]</f>
        <v/>
      </c>
      <c r="T2111" s="278" t="n">
        <v>320</v>
      </c>
      <c r="U2111" s="291" t="n"/>
      <c r="V2111" s="7" t="inlineStr">
        <is>
          <t>V1000310 - BOONBAWORN ENGINEERING CO., LTD</t>
        </is>
      </c>
      <c r="W2111" s="30" t="inlineStr">
        <is>
          <t>Recive bill and GRN already</t>
        </is>
      </c>
      <c r="X2111" s="5" t="inlineStr">
        <is>
          <t>GRN2627-0000038</t>
        </is>
      </c>
      <c r="Y2111" s="3" t="n">
        <v>46114</v>
      </c>
      <c r="Z2111" s="23" t="n"/>
      <c r="AA2111" s="17">
        <f>IF(RawDataGenPO[[#This Row],[Date Gen PO]]="","",RawDataGenPO[[#This Row],[Date recive bill]]-RawDataGenPO[[#This Row],[Date Gen PO]])</f>
        <v/>
      </c>
      <c r="AB2111" s="16">
        <f>IF(RawDataGenPO[[#This Row],[GRN-PO date]]&gt;RawDataGenPO[[#This Row],[Lead time delivery (day)]],"over deliverry","Ontime")</f>
        <v/>
      </c>
      <c r="AC2111" s="22" t="n"/>
    </row>
    <row r="2112" ht="15" customHeight="1">
      <c r="A2112" s="5">
        <f>ROW()-ROW(RawDataGenPO[[#Headers],[No.]])</f>
        <v/>
      </c>
      <c r="B2112" s="29" t="inlineStr">
        <is>
          <t>Expent  cost</t>
        </is>
      </c>
      <c r="C2112" s="373" t="n"/>
      <c r="D2112" s="374" t="n"/>
      <c r="E2112" s="374" t="n"/>
      <c r="F2112" s="281" t="n">
        <v>46107</v>
      </c>
      <c r="G2112" s="5" t="inlineStr">
        <is>
          <t>PR2526-05474</t>
        </is>
      </c>
      <c r="H2112" s="5" t="inlineStr">
        <is>
          <t>PO2526-07801</t>
        </is>
      </c>
      <c r="I2112" s="286" t="n">
        <v>46109</v>
      </c>
      <c r="J2112" s="26" t="n"/>
      <c r="K2112" s="20" t="n">
        <v>60</v>
      </c>
      <c r="L2112" s="5" t="inlineStr">
        <is>
          <t>SFST81000048</t>
        </is>
      </c>
      <c r="M2112" s="7" t="inlineStr">
        <is>
          <t>PD Machine</t>
        </is>
      </c>
      <c r="N2112" s="7" t="inlineStr">
        <is>
          <t>Combi oven No.1</t>
        </is>
      </c>
      <c r="O2112" s="11" t="n">
        <v>1</v>
      </c>
      <c r="P2112" s="10" t="inlineStr">
        <is>
          <t>Service Charge of inspection combi oven in working day</t>
        </is>
      </c>
      <c r="Q2112" s="277" t="n">
        <v>1</v>
      </c>
      <c r="R2112" s="5" t="inlineStr">
        <is>
          <t>JOB.</t>
        </is>
      </c>
      <c r="S2112" s="284">
        <f>RawDataGenPO[[#This Row],[Total price]]/RawDataGenPO[[#This Row],[Qty'']]</f>
        <v/>
      </c>
      <c r="T2112" s="278" t="n">
        <v>3000</v>
      </c>
      <c r="U2112" s="291" t="n"/>
      <c r="V2112" s="7" t="inlineStr">
        <is>
          <t>V1000460 - FIX EVOLUTION CO., LTD.</t>
        </is>
      </c>
      <c r="W2112" s="30" t="inlineStr">
        <is>
          <t xml:space="preserve">Waitting Supplier transportation </t>
        </is>
      </c>
      <c r="Z2112" s="23" t="n"/>
      <c r="AA2112" s="17">
        <f>IF(RawDataGenPO[[#This Row],[Date Gen PO]]="","",RawDataGenPO[[#This Row],[Date recive bill]]-RawDataGenPO[[#This Row],[Date Gen PO]])</f>
        <v/>
      </c>
      <c r="AB2112" s="16">
        <f>IF(RawDataGenPO[[#This Row],[GRN-PO date]]&gt;RawDataGenPO[[#This Row],[Lead time delivery (day)]],"over deliverry","Ontime")</f>
        <v/>
      </c>
      <c r="AC2112" s="22" t="n"/>
    </row>
    <row r="2113" ht="60" customHeight="1">
      <c r="A2113" s="5">
        <f>ROW()-ROW(RawDataGenPO[[#Headers],[No.]])</f>
        <v/>
      </c>
      <c r="B2113" s="29" t="inlineStr">
        <is>
          <t>Expent  cost</t>
        </is>
      </c>
      <c r="C2113" s="373" t="n"/>
      <c r="D2113" s="374" t="n"/>
      <c r="E2113" s="374" t="n"/>
      <c r="F2113" s="281" t="n">
        <v>46108</v>
      </c>
      <c r="G2113" s="5" t="inlineStr">
        <is>
          <t>PR2526-05506</t>
        </is>
      </c>
      <c r="H2113" s="5" t="inlineStr">
        <is>
          <t xml:space="preserve">PO2526-07809 </t>
        </is>
      </c>
      <c r="I2113" s="286" t="n">
        <v>46111</v>
      </c>
      <c r="J2113" s="26" t="n"/>
      <c r="K2113" s="20" t="n">
        <v>60</v>
      </c>
      <c r="L2113" s="5" t="inlineStr">
        <is>
          <t>SFST81000048</t>
        </is>
      </c>
      <c r="M2113" s="7" t="inlineStr">
        <is>
          <t>PD Machine</t>
        </is>
      </c>
      <c r="N2113" s="7" t="inlineStr">
        <is>
          <t>Hood No.1</t>
        </is>
      </c>
      <c r="O2113" s="11" t="n">
        <v>1</v>
      </c>
      <c r="P2113" s="10" t="inlineStr">
        <is>
          <t>replacepipe Hood (Steam box)
- material side seam
- dismantleandreplace piperoundm, piperound Diameter 280 mm length 5 m
- insertflange bolt vibration canvas - insulatedinsulation</t>
        </is>
      </c>
      <c r="Q2113" s="277" t="n">
        <v>1</v>
      </c>
      <c r="R2113" s="5" t="inlineStr">
        <is>
          <t>JOB.</t>
        </is>
      </c>
      <c r="S2113" s="284">
        <f>RawDataGenPO[[#This Row],[Total price]]/RawDataGenPO[[#This Row],[Qty'']]</f>
        <v/>
      </c>
      <c r="T2113" s="278" t="n">
        <v>28500</v>
      </c>
      <c r="U2113" s="291" t="n"/>
      <c r="V2113" s="7" t="inlineStr">
        <is>
          <t>V1000798 - MGO SERVICE LIMITED PARTNERSHIP</t>
        </is>
      </c>
      <c r="W2113" s="30" t="inlineStr">
        <is>
          <t>Recive bill and GRN already</t>
        </is>
      </c>
      <c r="X2113" s="5" t="inlineStr">
        <is>
          <t>GRN2627-0000492</t>
        </is>
      </c>
      <c r="Y2113" s="3" t="n">
        <v>46132</v>
      </c>
      <c r="Z2113" s="23" t="n"/>
      <c r="AA2113" s="17">
        <f>IF(RawDataGenPO[[#This Row],[Date Gen PO]]="","",RawDataGenPO[[#This Row],[Date recive bill]]-RawDataGenPO[[#This Row],[Date Gen PO]])</f>
        <v/>
      </c>
      <c r="AB2113" s="16">
        <f>IF(RawDataGenPO[[#This Row],[GRN-PO date]]&gt;RawDataGenPO[[#This Row],[Lead time delivery (day)]],"over deliverry","Ontime")</f>
        <v/>
      </c>
      <c r="AC2113" s="22" t="n"/>
    </row>
    <row r="2114" ht="75" customHeight="1">
      <c r="A2114" s="5">
        <f>ROW()-ROW(RawDataGenPO[[#Headers],[No.]])</f>
        <v/>
      </c>
      <c r="B2114" s="29" t="inlineStr">
        <is>
          <t>Expent  cost</t>
        </is>
      </c>
      <c r="C2114" s="373" t="n"/>
      <c r="D2114" s="374" t="n"/>
      <c r="E2114" s="374" t="n"/>
      <c r="F2114" s="281" t="n">
        <v>46108</v>
      </c>
      <c r="G2114" s="5" t="inlineStr">
        <is>
          <t>PR2526-05506</t>
        </is>
      </c>
      <c r="H2114" s="5" t="inlineStr">
        <is>
          <t xml:space="preserve">PO2526-07809 </t>
        </is>
      </c>
      <c r="I2114" s="286" t="n">
        <v>46111</v>
      </c>
      <c r="J2114" s="26" t="n"/>
      <c r="K2114" s="20" t="n">
        <v>60</v>
      </c>
      <c r="L2114" s="5" t="inlineStr">
        <is>
          <t>SFST81000048</t>
        </is>
      </c>
      <c r="M2114" s="7" t="inlineStr">
        <is>
          <t>PD Machine</t>
        </is>
      </c>
      <c r="N2114" s="7" t="inlineStr">
        <is>
          <t>Hood No.2</t>
        </is>
      </c>
      <c r="O2114" s="11" t="n">
        <v>2</v>
      </c>
      <c r="P2114" s="10" t="inlineStr">
        <is>
          <t>replacepipe Hood (Steam box 2)
- material side seam
- material stainless steel SUS 304 side seam
- dismantleandreplace piperoundm, piperound Diameter 280 mm length 8 m
- insertflange bolt vibration canvas -insulatedinsulation</t>
        </is>
      </c>
      <c r="Q2114" s="277" t="n">
        <v>1</v>
      </c>
      <c r="R2114" s="5" t="inlineStr">
        <is>
          <t>JOB.</t>
        </is>
      </c>
      <c r="S2114" s="284">
        <f>RawDataGenPO[[#This Row],[Total price]]/RawDataGenPO[[#This Row],[Qty'']]</f>
        <v/>
      </c>
      <c r="T2114" s="278" t="n">
        <v>34500</v>
      </c>
      <c r="U2114" s="291" t="n"/>
      <c r="V2114" s="7" t="inlineStr">
        <is>
          <t>V1000798 - MGO SERVICE LIMITED PARTNERSHIP</t>
        </is>
      </c>
      <c r="W2114" s="30" t="inlineStr">
        <is>
          <t>Recive bill and GRN already</t>
        </is>
      </c>
      <c r="X2114" s="5" t="inlineStr">
        <is>
          <t>GRN2627-0000492</t>
        </is>
      </c>
      <c r="Y2114" s="3" t="n">
        <v>46132</v>
      </c>
      <c r="Z2114" s="23" t="n"/>
      <c r="AA2114" s="17">
        <f>IF(RawDataGenPO[[#This Row],[Date Gen PO]]="","",RawDataGenPO[[#This Row],[Date recive bill]]-RawDataGenPO[[#This Row],[Date Gen PO]])</f>
        <v/>
      </c>
      <c r="AB2114" s="16">
        <f>IF(RawDataGenPO[[#This Row],[GRN-PO date]]&gt;RawDataGenPO[[#This Row],[Lead time delivery (day)]],"over deliverry","Ontime")</f>
        <v/>
      </c>
      <c r="AC2114" s="22" t="n"/>
    </row>
    <row r="2115" ht="60" customHeight="1">
      <c r="A2115" s="5">
        <f>ROW()-ROW(RawDataGenPO[[#Headers],[No.]])</f>
        <v/>
      </c>
      <c r="B2115" s="29" t="inlineStr">
        <is>
          <t>Expent  cost</t>
        </is>
      </c>
      <c r="C2115" s="373" t="n"/>
      <c r="D2115" s="374" t="n"/>
      <c r="E2115" s="374" t="n"/>
      <c r="F2115" s="281" t="n">
        <v>46108</v>
      </c>
      <c r="G2115" s="5" t="inlineStr">
        <is>
          <t>PR2526-05506</t>
        </is>
      </c>
      <c r="H2115" s="5" t="inlineStr">
        <is>
          <t xml:space="preserve">PO2526-07809 </t>
        </is>
      </c>
      <c r="I2115" s="286" t="n">
        <v>46111</v>
      </c>
      <c r="J2115" s="26" t="n"/>
      <c r="K2115" s="20" t="n">
        <v>60</v>
      </c>
      <c r="L2115" s="5" t="inlineStr">
        <is>
          <t>SFST81000048</t>
        </is>
      </c>
      <c r="M2115" s="7" t="inlineStr">
        <is>
          <t>PD Machine</t>
        </is>
      </c>
      <c r="N2115" s="7" t="inlineStr">
        <is>
          <t>Hood No.3</t>
        </is>
      </c>
      <c r="O2115" s="11" t="n">
        <v>3</v>
      </c>
      <c r="P2115" s="10" t="inlineStr">
        <is>
          <t>replacepipe Hood (Steam Bratt Pan 1)
- material stainless steel SUS 304 Diameter 420 mm
- dismantleandreplace piperoundm-piperound insertflange - bolt
- Support pipestainless steel - vibration canvas</t>
        </is>
      </c>
      <c r="Q2115" s="277" t="n">
        <v>1</v>
      </c>
      <c r="R2115" s="5" t="inlineStr">
        <is>
          <t>JOB.</t>
        </is>
      </c>
      <c r="S2115" s="284">
        <f>RawDataGenPO[[#This Row],[Total price]]/RawDataGenPO[[#This Row],[Qty'']]</f>
        <v/>
      </c>
      <c r="T2115" s="278" t="n">
        <v>48500</v>
      </c>
      <c r="U2115" s="291" t="n"/>
      <c r="V2115" s="7" t="inlineStr">
        <is>
          <t>V1000798 - MGO SERVICE LIMITED PARTNERSHIP</t>
        </is>
      </c>
      <c r="W2115" s="30" t="inlineStr">
        <is>
          <t>Recive bill and GRN already</t>
        </is>
      </c>
      <c r="X2115" s="5" t="inlineStr">
        <is>
          <t>GRN2627-0000492</t>
        </is>
      </c>
      <c r="Y2115" s="3" t="n">
        <v>46132</v>
      </c>
      <c r="Z2115" s="23" t="n"/>
      <c r="AA2115" s="17">
        <f>IF(RawDataGenPO[[#This Row],[Date Gen PO]]="","",RawDataGenPO[[#This Row],[Date recive bill]]-RawDataGenPO[[#This Row],[Date Gen PO]])</f>
        <v/>
      </c>
      <c r="AB2115" s="16">
        <f>IF(RawDataGenPO[[#This Row],[GRN-PO date]]&gt;RawDataGenPO[[#This Row],[Lead time delivery (day)]],"over deliverry","Ontime")</f>
        <v/>
      </c>
      <c r="AC2115" s="22" t="n"/>
    </row>
    <row r="2116" ht="60" customHeight="1">
      <c r="A2116" s="5">
        <f>ROW()-ROW(RawDataGenPO[[#Headers],[No.]])</f>
        <v/>
      </c>
      <c r="B2116" s="29" t="inlineStr">
        <is>
          <t>Expent  cost</t>
        </is>
      </c>
      <c r="C2116" s="373" t="n"/>
      <c r="D2116" s="374" t="n"/>
      <c r="E2116" s="374" t="n"/>
      <c r="F2116" s="281" t="n">
        <v>46108</v>
      </c>
      <c r="G2116" s="5" t="inlineStr">
        <is>
          <t>PR2526-05506</t>
        </is>
      </c>
      <c r="H2116" s="5" t="inlineStr">
        <is>
          <t xml:space="preserve">PO2526-07809 </t>
        </is>
      </c>
      <c r="I2116" s="286" t="n">
        <v>46111</v>
      </c>
      <c r="J2116" s="26" t="n"/>
      <c r="K2116" s="20" t="n">
        <v>60</v>
      </c>
      <c r="L2116" s="5" t="inlineStr">
        <is>
          <t>SFST81000048</t>
        </is>
      </c>
      <c r="M2116" s="7" t="inlineStr">
        <is>
          <t>PD Machine</t>
        </is>
      </c>
      <c r="N2116" s="7" t="inlineStr">
        <is>
          <t>Hood No.4</t>
        </is>
      </c>
      <c r="O2116" s="11" t="n">
        <v>4</v>
      </c>
      <c r="P2116" s="10" t="inlineStr">
        <is>
          <t>replacepipe Hood (Steam Bratt Pan 3)
-material stainless steel SUS 304 side seam Diameter 420 mm
- dismantleandreplace piperound insertflange - bolt
- Support pipestainless steel - vibration canvas</t>
        </is>
      </c>
      <c r="Q2116" s="277" t="n">
        <v>1</v>
      </c>
      <c r="R2116" s="5" t="inlineStr">
        <is>
          <t>JOB.</t>
        </is>
      </c>
      <c r="S2116" s="284">
        <f>RawDataGenPO[[#This Row],[Total price]]/RawDataGenPO[[#This Row],[Qty'']]</f>
        <v/>
      </c>
      <c r="T2116" s="278" t="n">
        <v>45500</v>
      </c>
      <c r="U2116" s="291" t="n"/>
      <c r="V2116" s="7" t="inlineStr">
        <is>
          <t>V1000798 - MGO SERVICE LIMITED PARTNERSHIP</t>
        </is>
      </c>
      <c r="W2116" s="30" t="inlineStr">
        <is>
          <t>Recive bill and GRN already</t>
        </is>
      </c>
      <c r="X2116" s="5" t="inlineStr">
        <is>
          <t>GRN2627-0000492</t>
        </is>
      </c>
      <c r="Y2116" s="3" t="n">
        <v>46132</v>
      </c>
      <c r="Z2116" s="23" t="n"/>
      <c r="AA2116" s="17">
        <f>IF(RawDataGenPO[[#This Row],[Date Gen PO]]="","",RawDataGenPO[[#This Row],[Date recive bill]]-RawDataGenPO[[#This Row],[Date Gen PO]])</f>
        <v/>
      </c>
      <c r="AB2116" s="16">
        <f>IF(RawDataGenPO[[#This Row],[GRN-PO date]]&gt;RawDataGenPO[[#This Row],[Lead time delivery (day)]],"over deliverry","Ontime")</f>
        <v/>
      </c>
      <c r="AC2116" s="22" t="n"/>
    </row>
    <row r="2117" ht="60" customHeight="1">
      <c r="A2117" s="5">
        <f>ROW()-ROW(RawDataGenPO[[#Headers],[No.]])</f>
        <v/>
      </c>
      <c r="B2117" s="29" t="inlineStr">
        <is>
          <t>Expent  cost</t>
        </is>
      </c>
      <c r="C2117" s="373" t="n"/>
      <c r="D2117" s="374" t="n"/>
      <c r="E2117" s="374" t="n"/>
      <c r="F2117" s="281" t="n">
        <v>46108</v>
      </c>
      <c r="G2117" s="5" t="inlineStr">
        <is>
          <t>PR2526-05506</t>
        </is>
      </c>
      <c r="H2117" s="5" t="inlineStr">
        <is>
          <t xml:space="preserve">PO2526-07809 </t>
        </is>
      </c>
      <c r="I2117" s="286" t="n">
        <v>46111</v>
      </c>
      <c r="J2117" s="26" t="n"/>
      <c r="K2117" s="20" t="n">
        <v>60</v>
      </c>
      <c r="L2117" s="5" t="inlineStr">
        <is>
          <t>SFST81000048</t>
        </is>
      </c>
      <c r="M2117" s="7" t="inlineStr">
        <is>
          <t>PD Machine</t>
        </is>
      </c>
      <c r="N2117" s="7" t="inlineStr">
        <is>
          <t>Hood No.5</t>
        </is>
      </c>
      <c r="O2117" s="11" t="n">
        <v>5</v>
      </c>
      <c r="P2117" s="10" t="inlineStr">
        <is>
          <t>replacepipe Hood (Fryer)
- material stainless steel SUS 304 side seam Diameter 420 mm
- dismantleandreplace piperoundm-piperound flange - bolt
- Support pipestainless steel vibration canvas</t>
        </is>
      </c>
      <c r="Q2117" s="277" t="n">
        <v>1</v>
      </c>
      <c r="R2117" s="5" t="inlineStr">
        <is>
          <t>JOB.</t>
        </is>
      </c>
      <c r="S2117" s="284">
        <f>RawDataGenPO[[#This Row],[Total price]]/RawDataGenPO[[#This Row],[Qty'']]</f>
        <v/>
      </c>
      <c r="T2117" s="278" t="n">
        <v>48500</v>
      </c>
      <c r="U2117" s="291" t="n"/>
      <c r="V2117" s="7" t="inlineStr">
        <is>
          <t>V1000798 - MGO SERVICE LIMITED PARTNERSHIP</t>
        </is>
      </c>
      <c r="W2117" s="30" t="inlineStr">
        <is>
          <t>Recive bill and GRN already</t>
        </is>
      </c>
      <c r="X2117" s="5" t="inlineStr">
        <is>
          <t>GRN2627-0000492</t>
        </is>
      </c>
      <c r="Y2117" s="3" t="n">
        <v>46132</v>
      </c>
      <c r="Z2117" s="23" t="n"/>
      <c r="AA2117" s="17">
        <f>IF(RawDataGenPO[[#This Row],[Date Gen PO]]="","",RawDataGenPO[[#This Row],[Date recive bill]]-RawDataGenPO[[#This Row],[Date Gen PO]])</f>
        <v/>
      </c>
      <c r="AB2117" s="16">
        <f>IF(RawDataGenPO[[#This Row],[GRN-PO date]]&gt;RawDataGenPO[[#This Row],[Lead time delivery (day)]],"over deliverry","Ontime")</f>
        <v/>
      </c>
      <c r="AC2117" s="22" t="n"/>
    </row>
    <row r="2118" ht="60" customHeight="1">
      <c r="A2118" s="5">
        <f>ROW()-ROW(RawDataGenPO[[#Headers],[No.]])</f>
        <v/>
      </c>
      <c r="B2118" s="29" t="inlineStr">
        <is>
          <t>Expent  cost</t>
        </is>
      </c>
      <c r="C2118" s="373" t="n"/>
      <c r="D2118" s="374" t="n"/>
      <c r="E2118" s="374" t="n"/>
      <c r="F2118" s="281" t="n">
        <v>46108</v>
      </c>
      <c r="G2118" s="5" t="inlineStr">
        <is>
          <t>PR2526-05506</t>
        </is>
      </c>
      <c r="H2118" s="5" t="inlineStr">
        <is>
          <t xml:space="preserve">PO2526-07809 </t>
        </is>
      </c>
      <c r="I2118" s="286" t="n">
        <v>46111</v>
      </c>
      <c r="J2118" s="26" t="n"/>
      <c r="K2118" s="20" t="n">
        <v>60</v>
      </c>
      <c r="L2118" s="5" t="inlineStr">
        <is>
          <t>SFST81000048</t>
        </is>
      </c>
      <c r="M2118" s="7" t="inlineStr">
        <is>
          <t>PD Machine</t>
        </is>
      </c>
      <c r="N2118" s="7" t="inlineStr">
        <is>
          <t>Hood No.6</t>
        </is>
      </c>
      <c r="O2118" s="11" t="n">
        <v>6</v>
      </c>
      <c r="P2118" s="10" t="inlineStr">
        <is>
          <t>replacepipe Hood (Steam box 1)
- material side seam
- dismantleandreplace piperoundm, piperound Diameter 280 mm
- insertflange bolt vibration canvas insulatedinsulation</t>
        </is>
      </c>
      <c r="Q2118" s="277" t="n">
        <v>1</v>
      </c>
      <c r="R2118" s="5" t="inlineStr">
        <is>
          <t>JOB.</t>
        </is>
      </c>
      <c r="S2118" s="284">
        <f>RawDataGenPO[[#This Row],[Total price]]/RawDataGenPO[[#This Row],[Qty'']]</f>
        <v/>
      </c>
      <c r="T2118" s="278" t="n">
        <v>28500</v>
      </c>
      <c r="U2118" s="291" t="n"/>
      <c r="V2118" s="7" t="inlineStr">
        <is>
          <t>V1000798 - MGO SERVICE LIMITED PARTNERSHIP</t>
        </is>
      </c>
      <c r="W2118" s="30" t="inlineStr">
        <is>
          <t>Recive bill and GRN already</t>
        </is>
      </c>
      <c r="X2118" s="5" t="inlineStr">
        <is>
          <t>GRN2627-0000492</t>
        </is>
      </c>
      <c r="Y2118" s="3" t="n">
        <v>46132</v>
      </c>
      <c r="Z2118" s="23" t="n"/>
      <c r="AA2118" s="17">
        <f>IF(RawDataGenPO[[#This Row],[Date Gen PO]]="","",RawDataGenPO[[#This Row],[Date recive bill]]-RawDataGenPO[[#This Row],[Date Gen PO]])</f>
        <v/>
      </c>
      <c r="AB2118" s="16">
        <f>IF(RawDataGenPO[[#This Row],[GRN-PO date]]&gt;RawDataGenPO[[#This Row],[Lead time delivery (day)]],"over deliverry","Ontime")</f>
        <v/>
      </c>
      <c r="AC2118" s="22" t="n"/>
    </row>
    <row r="2119" ht="15" customHeight="1">
      <c r="A2119" s="5">
        <f>ROW()-ROW(RawDataGenPO[[#Headers],[No.]])</f>
        <v/>
      </c>
      <c r="B2119" s="29" t="inlineStr">
        <is>
          <t>Expent  cost</t>
        </is>
      </c>
      <c r="C2119" s="373" t="n"/>
      <c r="D2119" s="374" t="n"/>
      <c r="E2119" s="374" t="n"/>
      <c r="F2119" s="281" t="n">
        <v>46108</v>
      </c>
      <c r="G2119" s="5" t="inlineStr">
        <is>
          <t>PR2526-05507</t>
        </is>
      </c>
      <c r="I2119" s="286" t="n"/>
      <c r="J2119" s="26" t="n"/>
      <c r="K2119" s="20" t="n"/>
      <c r="L2119" s="5" t="inlineStr">
        <is>
          <t>SFST81000050</t>
        </is>
      </c>
      <c r="M2119" s="7" t="inlineStr">
        <is>
          <t>Safety equipment</t>
        </is>
      </c>
      <c r="N2119" s="7" t="inlineStr">
        <is>
          <t>Safety equipment</t>
        </is>
      </c>
      <c r="O2119" s="11" t="n">
        <v>1</v>
      </c>
      <c r="P2119" s="10" t="inlineStr">
        <is>
          <t>boots #39</t>
        </is>
      </c>
      <c r="Q2119" s="277" t="n">
        <v>4</v>
      </c>
      <c r="R2119" s="5" t="inlineStr">
        <is>
          <t>PCS.</t>
        </is>
      </c>
      <c r="S2119" s="284">
        <f>RawDataGenPO[[#This Row],[Total price]]/RawDataGenPO[[#This Row],[Qty'']]</f>
        <v/>
      </c>
      <c r="T2119" s="278" t="n">
        <v>900</v>
      </c>
      <c r="U2119" s="291" t="n"/>
      <c r="W2119" s="30" t="inlineStr">
        <is>
          <t xml:space="preserve">Waitting Supplier transportation </t>
        </is>
      </c>
      <c r="Z2119" s="23" t="n"/>
      <c r="AA2119" s="17">
        <f>IF(RawDataGenPO[[#This Row],[Date Gen PO]]="","",RawDataGenPO[[#This Row],[Date recive bill]]-RawDataGenPO[[#This Row],[Date Gen PO]])</f>
        <v/>
      </c>
      <c r="AB2119" s="16">
        <f>IF(RawDataGenPO[[#This Row],[GRN-PO date]]&gt;RawDataGenPO[[#This Row],[Lead time delivery (day)]],"over deliverry","Ontime")</f>
        <v/>
      </c>
      <c r="AC2119" s="22" t="n"/>
    </row>
    <row r="2120" ht="15" customHeight="1">
      <c r="A2120" s="5">
        <f>ROW()-ROW(RawDataGenPO[[#Headers],[No.]])</f>
        <v/>
      </c>
      <c r="B2120" s="29" t="inlineStr">
        <is>
          <t>Expent  cost</t>
        </is>
      </c>
      <c r="C2120" s="373" t="n"/>
      <c r="D2120" s="374" t="n"/>
      <c r="E2120" s="374" t="n"/>
      <c r="F2120" s="281" t="n">
        <v>46108</v>
      </c>
      <c r="G2120" s="5" t="inlineStr">
        <is>
          <t>PR2526-05507</t>
        </is>
      </c>
      <c r="I2120" s="286" t="n"/>
      <c r="J2120" s="26" t="n"/>
      <c r="K2120" s="20" t="n"/>
      <c r="L2120" s="5" t="inlineStr">
        <is>
          <t>SFST81000050</t>
        </is>
      </c>
      <c r="M2120" s="7" t="inlineStr">
        <is>
          <t>Safety equipment</t>
        </is>
      </c>
      <c r="N2120" s="7" t="inlineStr">
        <is>
          <t>Safety equipment</t>
        </is>
      </c>
      <c r="O2120" s="11" t="n">
        <v>2</v>
      </c>
      <c r="P2120" s="10" t="inlineStr">
        <is>
          <t>boots #42</t>
        </is>
      </c>
      <c r="Q2120" s="277" t="n">
        <v>8</v>
      </c>
      <c r="R2120" s="5" t="inlineStr">
        <is>
          <t>PCS.</t>
        </is>
      </c>
      <c r="S2120" s="284">
        <f>RawDataGenPO[[#This Row],[Total price]]/RawDataGenPO[[#This Row],[Qty'']]</f>
        <v/>
      </c>
      <c r="T2120" s="278" t="n">
        <v>1880</v>
      </c>
      <c r="U2120" s="291" t="n"/>
      <c r="W2120" s="30" t="inlineStr">
        <is>
          <t xml:space="preserve">Waitting Supplier transportation </t>
        </is>
      </c>
      <c r="Z2120" s="23" t="n"/>
      <c r="AA2120" s="17">
        <f>IF(RawDataGenPO[[#This Row],[Date Gen PO]]="","",RawDataGenPO[[#This Row],[Date recive bill]]-RawDataGenPO[[#This Row],[Date Gen PO]])</f>
        <v/>
      </c>
      <c r="AB2120" s="16">
        <f>IF(RawDataGenPO[[#This Row],[GRN-PO date]]&gt;RawDataGenPO[[#This Row],[Lead time delivery (day)]],"over deliverry","Ontime")</f>
        <v/>
      </c>
      <c r="AC2120" s="22" t="n"/>
    </row>
    <row r="2121" ht="15" customHeight="1">
      <c r="A2121" s="5">
        <f>ROW()-ROW(RawDataGenPO[[#Headers],[No.]])</f>
        <v/>
      </c>
      <c r="B2121" s="29" t="inlineStr">
        <is>
          <t>Expent  cost</t>
        </is>
      </c>
      <c r="C2121" s="373" t="n"/>
      <c r="D2121" s="374" t="n"/>
      <c r="E2121" s="374" t="n"/>
      <c r="F2121" s="281" t="n">
        <v>46108</v>
      </c>
      <c r="G2121" s="5" t="inlineStr">
        <is>
          <t>PR2526-05507</t>
        </is>
      </c>
      <c r="I2121" s="286" t="n"/>
      <c r="J2121" s="26" t="n"/>
      <c r="K2121" s="20" t="n"/>
      <c r="L2121" s="5" t="inlineStr">
        <is>
          <t>SFST81000050</t>
        </is>
      </c>
      <c r="M2121" s="7" t="inlineStr">
        <is>
          <t>Safety equipment</t>
        </is>
      </c>
      <c r="N2121" s="7" t="inlineStr">
        <is>
          <t>Safety equipment</t>
        </is>
      </c>
      <c r="O2121" s="11" t="n">
        <v>3</v>
      </c>
      <c r="P2121" s="10" t="inlineStr">
        <is>
          <t>boots #46</t>
        </is>
      </c>
      <c r="Q2121" s="277" t="n">
        <v>3</v>
      </c>
      <c r="R2121" s="5" t="inlineStr">
        <is>
          <t>PCS.</t>
        </is>
      </c>
      <c r="S2121" s="284">
        <f>RawDataGenPO[[#This Row],[Total price]]/RawDataGenPO[[#This Row],[Qty'']]</f>
        <v/>
      </c>
      <c r="T2121" s="278" t="n">
        <v>765</v>
      </c>
      <c r="U2121" s="291" t="n"/>
      <c r="W2121" s="30" t="inlineStr">
        <is>
          <t xml:space="preserve">Waitting Supplier transportation </t>
        </is>
      </c>
      <c r="Z2121" s="23" t="n"/>
      <c r="AA2121" s="17">
        <f>IF(RawDataGenPO[[#This Row],[Date Gen PO]]="","",RawDataGenPO[[#This Row],[Date recive bill]]-RawDataGenPO[[#This Row],[Date Gen PO]])</f>
        <v/>
      </c>
      <c r="AB2121" s="16">
        <f>IF(RawDataGenPO[[#This Row],[GRN-PO date]]&gt;RawDataGenPO[[#This Row],[Lead time delivery (day)]],"over deliverry","Ontime")</f>
        <v/>
      </c>
      <c r="AC2121" s="22" t="n"/>
    </row>
    <row r="2122" ht="15" customHeight="1">
      <c r="A2122" s="5">
        <f>ROW()-ROW(RawDataGenPO[[#Headers],[No.]])</f>
        <v/>
      </c>
      <c r="B2122" s="29" t="inlineStr">
        <is>
          <t>Expent  cost</t>
        </is>
      </c>
      <c r="C2122" s="373" t="n"/>
      <c r="D2122" s="374" t="n"/>
      <c r="E2122" s="374" t="n"/>
      <c r="F2122" s="281" t="n">
        <v>46108</v>
      </c>
      <c r="G2122" s="5" t="inlineStr">
        <is>
          <t>PR2526-05508</t>
        </is>
      </c>
      <c r="H2122" s="5" t="inlineStr">
        <is>
          <t>PO2627-00140</t>
        </is>
      </c>
      <c r="I2122" s="286" t="n">
        <v>46120</v>
      </c>
      <c r="J2122" s="26" t="n"/>
      <c r="K2122" s="20" t="n">
        <v>120</v>
      </c>
      <c r="L2122" s="5" t="inlineStr">
        <is>
          <t>SFST81000050</t>
        </is>
      </c>
      <c r="M2122" s="7" t="inlineStr">
        <is>
          <t>Safety equipment</t>
        </is>
      </c>
      <c r="N2122" s="7" t="inlineStr">
        <is>
          <t>Safety equipment</t>
        </is>
      </c>
      <c r="O2122" s="11" t="n">
        <v>1</v>
      </c>
      <c r="P2122" s="10" t="inlineStr">
        <is>
          <t>DISANA EVA M999-1 floorthickfitting length 13 inch m (11)</t>
        </is>
      </c>
      <c r="Q2122" s="277" t="n">
        <v>12</v>
      </c>
      <c r="R2122" s="5" t="inlineStr">
        <is>
          <t>PCS.</t>
        </is>
      </c>
      <c r="S2122" s="284">
        <f>RawDataGenPO[[#This Row],[Total price]]/RawDataGenPO[[#This Row],[Qty'']]</f>
        <v/>
      </c>
      <c r="T2122" s="278" t="n">
        <v>2004</v>
      </c>
      <c r="U2122" s="291" t="n"/>
      <c r="V2122" s="7" t="inlineStr">
        <is>
          <t>V1001086 - PPE MATE CO., LTD.</t>
        </is>
      </c>
      <c r="W2122" s="30" t="inlineStr">
        <is>
          <t xml:space="preserve">Waitting Supplier transportation </t>
        </is>
      </c>
      <c r="Z2122" s="23" t="n"/>
      <c r="AA2122" s="17">
        <f>IF(RawDataGenPO[[#This Row],[Date Gen PO]]="","",RawDataGenPO[[#This Row],[Date recive bill]]-RawDataGenPO[[#This Row],[Date Gen PO]])</f>
        <v/>
      </c>
      <c r="AB2122" s="16">
        <f>IF(RawDataGenPO[[#This Row],[GRN-PO date]]&gt;RawDataGenPO[[#This Row],[Lead time delivery (day)]],"over deliverry","Ontime")</f>
        <v/>
      </c>
      <c r="AC2122" s="22" t="n"/>
    </row>
    <row r="2123" ht="60" customHeight="1">
      <c r="A2123" s="5">
        <f>ROW()-ROW(RawDataGenPO[[#Headers],[No.]])</f>
        <v/>
      </c>
      <c r="B2123" s="29" t="inlineStr">
        <is>
          <t>Expent  cost</t>
        </is>
      </c>
      <c r="C2123" s="373" t="n"/>
      <c r="D2123" s="374" t="n"/>
      <c r="E2123" s="374" t="n"/>
      <c r="F2123" s="281" t="n">
        <v>46112</v>
      </c>
      <c r="G2123" s="5" t="inlineStr">
        <is>
          <t>PR2526-05555</t>
        </is>
      </c>
      <c r="H2123" s="5" t="inlineStr">
        <is>
          <t>PO2627-00055</t>
        </is>
      </c>
      <c r="I2123" s="286" t="n">
        <v>46118</v>
      </c>
      <c r="J2123" s="26" t="n"/>
      <c r="K2123" s="20" t="n">
        <v>120</v>
      </c>
      <c r="L2123" s="5" t="inlineStr">
        <is>
          <t>SFST81000048</t>
        </is>
      </c>
      <c r="M2123" s="7" t="inlineStr">
        <is>
          <t>PD Machine</t>
        </is>
      </c>
      <c r="N2123" s="7" t="inlineStr">
        <is>
          <t>Conveyor No.1</t>
        </is>
      </c>
      <c r="O2123" s="11" t="n">
        <v>1</v>
      </c>
      <c r="P2123" s="10" t="inlineStr">
        <is>
          <t>Conveyor belt DEL/FLEX blue th 2 mm. lower Surface embossed
- with guide Souplex 10x6 blue, centered, lower side
- Width 500 mm., Length Open 10,700 mm.
- "MAFDEL" Made in France</t>
        </is>
      </c>
      <c r="Q2123" s="277" t="n">
        <v>1</v>
      </c>
      <c r="R2123" s="5" t="inlineStr">
        <is>
          <t>JOB.</t>
        </is>
      </c>
      <c r="S2123" s="284">
        <f>RawDataGenPO[[#This Row],[Total price]]/RawDataGenPO[[#This Row],[Qty'']]</f>
        <v/>
      </c>
      <c r="T2123" s="278" t="n">
        <v>54500</v>
      </c>
      <c r="U2123" s="291" t="n"/>
      <c r="V2123" s="7" t="inlineStr">
        <is>
          <t>V1000904 - M-PLUS TECH CO.,LTD.</t>
        </is>
      </c>
      <c r="W2123" s="30" t="inlineStr">
        <is>
          <t xml:space="preserve">Waitting Supplier transportation </t>
        </is>
      </c>
      <c r="Z2123" s="23" t="n"/>
      <c r="AA2123" s="17">
        <f>IF(RawDataGenPO[[#This Row],[Date Gen PO]]="","",RawDataGenPO[[#This Row],[Date recive bill]]-RawDataGenPO[[#This Row],[Date Gen PO]])</f>
        <v/>
      </c>
      <c r="AB2123" s="16">
        <f>IF(RawDataGenPO[[#This Row],[GRN-PO date]]&gt;RawDataGenPO[[#This Row],[Lead time delivery (day)]],"over deliverry","Ontime")</f>
        <v/>
      </c>
      <c r="AC2123" s="22" t="n"/>
    </row>
    <row r="2124" ht="45" customHeight="1">
      <c r="A2124" s="5">
        <f>ROW()-ROW(RawDataGenPO[[#Headers],[No.]])</f>
        <v/>
      </c>
      <c r="B2124" s="29" t="inlineStr">
        <is>
          <t>Expent  cost</t>
        </is>
      </c>
      <c r="C2124" s="373" t="n"/>
      <c r="D2124" s="374" t="n"/>
      <c r="E2124" s="374" t="n"/>
      <c r="F2124" s="281" t="n">
        <v>46112</v>
      </c>
      <c r="G2124" s="5" t="inlineStr">
        <is>
          <t>PR2526-05555</t>
        </is>
      </c>
      <c r="H2124" s="5" t="inlineStr">
        <is>
          <t>PO2627-00055</t>
        </is>
      </c>
      <c r="I2124" s="286" t="n">
        <v>46118</v>
      </c>
      <c r="J2124" s="26" t="n"/>
      <c r="K2124" s="20" t="n">
        <v>120</v>
      </c>
      <c r="L2124" s="5" t="inlineStr">
        <is>
          <t>SFST81000048</t>
        </is>
      </c>
      <c r="M2124" s="7" t="inlineStr">
        <is>
          <t>PD Machine</t>
        </is>
      </c>
      <c r="N2124" s="7" t="inlineStr">
        <is>
          <t>Conveyor No.1</t>
        </is>
      </c>
      <c r="O2124" s="11" t="n">
        <v>2</v>
      </c>
      <c r="P2124" s="10" t="inlineStr">
        <is>
          <t>PE1000 for Support Belt
- Size: Thk 10 x W 500 x L 5,000 mm.
- PE 1000 support belt Line</t>
        </is>
      </c>
      <c r="Q2124" s="277" t="n">
        <v>1</v>
      </c>
      <c r="R2124" s="5" t="inlineStr">
        <is>
          <t>JOB.</t>
        </is>
      </c>
      <c r="S2124" s="284">
        <f>RawDataGenPO[[#This Row],[Total price]]/RawDataGenPO[[#This Row],[Qty'']]</f>
        <v/>
      </c>
      <c r="T2124" s="278" t="n">
        <v>40000</v>
      </c>
      <c r="U2124" s="291" t="n"/>
      <c r="V2124" s="7" t="inlineStr">
        <is>
          <t>V1000904 - M-PLUS TECH CO.,LTD.</t>
        </is>
      </c>
      <c r="W2124" s="30" t="inlineStr">
        <is>
          <t xml:space="preserve">Waitting Supplier transportation </t>
        </is>
      </c>
      <c r="Z2124" s="23" t="n"/>
      <c r="AA2124" s="17">
        <f>IF(RawDataGenPO[[#This Row],[Date Gen PO]]="","",RawDataGenPO[[#This Row],[Date recive bill]]-RawDataGenPO[[#This Row],[Date Gen PO]])</f>
        <v/>
      </c>
      <c r="AB2124" s="16">
        <f>IF(RawDataGenPO[[#This Row],[GRN-PO date]]&gt;RawDataGenPO[[#This Row],[Lead time delivery (day)]],"over deliverry","Ontime")</f>
        <v/>
      </c>
      <c r="AC2124" s="22" t="n"/>
    </row>
    <row r="2125" ht="15" customHeight="1">
      <c r="A2125" s="5">
        <f>ROW()-ROW(RawDataGenPO[[#Headers],[No.]])</f>
        <v/>
      </c>
      <c r="B2125" s="29" t="inlineStr">
        <is>
          <t>Expent  cost</t>
        </is>
      </c>
      <c r="C2125" s="373" t="n"/>
      <c r="D2125" s="374" t="n"/>
      <c r="E2125" s="374" t="n"/>
      <c r="F2125" s="281" t="n">
        <v>46112</v>
      </c>
      <c r="G2125" s="5" t="inlineStr">
        <is>
          <t>PR2526-05555</t>
        </is>
      </c>
      <c r="H2125" s="5" t="inlineStr">
        <is>
          <t>PO2627-00055</t>
        </is>
      </c>
      <c r="I2125" s="286" t="n">
        <v>46118</v>
      </c>
      <c r="J2125" s="26" t="n"/>
      <c r="K2125" s="20" t="n">
        <v>120</v>
      </c>
      <c r="L2125" s="5" t="inlineStr">
        <is>
          <t>SFST81000048</t>
        </is>
      </c>
      <c r="M2125" s="7" t="inlineStr">
        <is>
          <t>PD Machine</t>
        </is>
      </c>
      <c r="N2125" s="7" t="inlineStr">
        <is>
          <t>Conveyor No.1</t>
        </is>
      </c>
      <c r="O2125" s="11" t="n">
        <v>3</v>
      </c>
      <c r="P2125" s="10" t="inlineStr">
        <is>
          <t>installwork daySaturday-Sunday</t>
        </is>
      </c>
      <c r="Q2125" s="277" t="n">
        <v>1</v>
      </c>
      <c r="R2125" s="5" t="inlineStr">
        <is>
          <t>JOB.</t>
        </is>
      </c>
      <c r="S2125" s="284">
        <f>RawDataGenPO[[#This Row],[Total price]]/RawDataGenPO[[#This Row],[Qty'']]</f>
        <v/>
      </c>
      <c r="T2125" s="278" t="n">
        <v>15000</v>
      </c>
      <c r="U2125" s="291" t="n"/>
      <c r="V2125" s="7" t="inlineStr">
        <is>
          <t>V1000904 - M-PLUS TECH CO.,LTD.</t>
        </is>
      </c>
      <c r="W2125" s="30" t="inlineStr">
        <is>
          <t xml:space="preserve">Waitting Supplier transportation </t>
        </is>
      </c>
      <c r="Z2125" s="23" t="n"/>
      <c r="AA2125" s="17">
        <f>IF(RawDataGenPO[[#This Row],[Date Gen PO]]="","",RawDataGenPO[[#This Row],[Date recive bill]]-RawDataGenPO[[#This Row],[Date Gen PO]])</f>
        <v/>
      </c>
      <c r="AB2125" s="16">
        <f>IF(RawDataGenPO[[#This Row],[GRN-PO date]]&gt;RawDataGenPO[[#This Row],[Lead time delivery (day)]],"over deliverry","Ontime")</f>
        <v/>
      </c>
      <c r="AC2125" s="22" t="n"/>
    </row>
    <row r="2126" ht="15" customHeight="1">
      <c r="A2126" s="5">
        <f>ROW()-ROW(RawDataGenPO[[#Headers],[No.]])</f>
        <v/>
      </c>
      <c r="B2126" s="29" t="inlineStr">
        <is>
          <t>Expent  cost</t>
        </is>
      </c>
      <c r="C2126" s="373" t="n"/>
      <c r="D2126" s="374" t="n"/>
      <c r="E2126" s="374" t="n"/>
      <c r="F2126" s="281" t="n">
        <v>46112</v>
      </c>
      <c r="G2126" s="5" t="inlineStr">
        <is>
          <t>PR2526-05556</t>
        </is>
      </c>
      <c r="H2126" s="5" t="inlineStr">
        <is>
          <t>PO2627-00056</t>
        </is>
      </c>
      <c r="I2126" s="286" t="n">
        <v>46118</v>
      </c>
      <c r="J2126" s="26" t="n"/>
      <c r="K2126" s="20" t="n">
        <v>120</v>
      </c>
      <c r="L2126" s="5" t="inlineStr">
        <is>
          <t>SFST81000048</t>
        </is>
      </c>
      <c r="M2126" s="7" t="inlineStr">
        <is>
          <t>PD Machine</t>
        </is>
      </c>
      <c r="N2126" s="7" t="inlineStr">
        <is>
          <t>Condencer Unit No.33 (Ice Maker)</t>
        </is>
      </c>
      <c r="O2126" s="11" t="n">
        <v>1</v>
      </c>
      <c r="P2126" s="10" t="inlineStr">
        <is>
          <t>fromstainless steel thick 1.2 mm, 40 x 40 mm. length 2400 mm.</t>
        </is>
      </c>
      <c r="Q2126" s="277" t="n">
        <v>1</v>
      </c>
      <c r="R2126" s="5" t="inlineStr">
        <is>
          <t>JOB.</t>
        </is>
      </c>
      <c r="S2126" s="284">
        <f>RawDataGenPO[[#This Row],[Total price]]/RawDataGenPO[[#This Row],[Qty'']]</f>
        <v/>
      </c>
      <c r="T2126" s="278" t="n">
        <v>17350</v>
      </c>
      <c r="U2126" s="291" t="n"/>
      <c r="V2126" s="7" t="inlineStr">
        <is>
          <t>V1000654 - A AND B REFRIGERATION CO., LTD.</t>
        </is>
      </c>
      <c r="W2126" s="30" t="inlineStr">
        <is>
          <t>Recive bill and GRN already</t>
        </is>
      </c>
      <c r="X2126" s="5" t="inlineStr">
        <is>
          <t>GRN2627-0000718</t>
        </is>
      </c>
      <c r="Y2126" s="3" t="n">
        <v>46135</v>
      </c>
      <c r="Z2126" s="23" t="n"/>
      <c r="AA2126" s="17">
        <f>IF(RawDataGenPO[[#This Row],[Date Gen PO]]="","",RawDataGenPO[[#This Row],[Date recive bill]]-RawDataGenPO[[#This Row],[Date Gen PO]])</f>
        <v/>
      </c>
      <c r="AB2126" s="16">
        <f>IF(RawDataGenPO[[#This Row],[GRN-PO date]]&gt;RawDataGenPO[[#This Row],[Lead time delivery (day)]],"over deliverry","Ontime")</f>
        <v/>
      </c>
      <c r="AC2126" s="22" t="n"/>
    </row>
    <row r="2127" ht="15" customHeight="1">
      <c r="A2127" s="5">
        <f>ROW()-ROW(RawDataGenPO[[#Headers],[No.]])</f>
        <v/>
      </c>
      <c r="B2127" s="29" t="inlineStr">
        <is>
          <t>Expent  cost</t>
        </is>
      </c>
      <c r="C2127" s="373" t="n"/>
      <c r="D2127" s="374" t="n"/>
      <c r="E2127" s="374" t="n"/>
      <c r="F2127" s="281" t="n">
        <v>46112</v>
      </c>
      <c r="G2127" s="5" t="inlineStr">
        <is>
          <t>PR2526-05556</t>
        </is>
      </c>
      <c r="H2127" s="5" t="inlineStr">
        <is>
          <t>PO2627-00056</t>
        </is>
      </c>
      <c r="I2127" s="286" t="n">
        <v>46118</v>
      </c>
      <c r="J2127" s="26" t="n"/>
      <c r="K2127" s="20" t="n">
        <v>120</v>
      </c>
      <c r="L2127" s="5" t="inlineStr">
        <is>
          <t>SFST81000048</t>
        </is>
      </c>
      <c r="M2127" s="7" t="inlineStr">
        <is>
          <t>PD Machine</t>
        </is>
      </c>
      <c r="N2127" s="7" t="inlineStr">
        <is>
          <t>Condencer Unit No.33 (Ice Maker)</t>
        </is>
      </c>
      <c r="O2127" s="11" t="n">
        <v>2</v>
      </c>
      <c r="P2127" s="10" t="inlineStr">
        <is>
          <t>pcsstainless steel SS304 thick 1.2 mm. size 1750 mm. x 1330</t>
        </is>
      </c>
      <c r="Q2127" s="277" t="n">
        <v>1</v>
      </c>
      <c r="R2127" s="5" t="inlineStr">
        <is>
          <t>JOB.</t>
        </is>
      </c>
      <c r="S2127" s="284">
        <f>RawDataGenPO[[#This Row],[Total price]]/RawDataGenPO[[#This Row],[Qty'']]</f>
        <v/>
      </c>
      <c r="T2127" s="278" t="n">
        <v>19000</v>
      </c>
      <c r="U2127" s="291" t="n"/>
      <c r="V2127" s="7" t="inlineStr">
        <is>
          <t>V1000654 - A AND B REFRIGERATION CO., LTD.</t>
        </is>
      </c>
      <c r="W2127" s="30" t="inlineStr">
        <is>
          <t>Recive bill and GRN already</t>
        </is>
      </c>
      <c r="X2127" s="5" t="inlineStr">
        <is>
          <t>GRN2627-0000718</t>
        </is>
      </c>
      <c r="Y2127" s="3" t="n">
        <v>46135</v>
      </c>
      <c r="Z2127" s="23" t="n"/>
      <c r="AA2127" s="17">
        <f>IF(RawDataGenPO[[#This Row],[Date Gen PO]]="","",RawDataGenPO[[#This Row],[Date recive bill]]-RawDataGenPO[[#This Row],[Date Gen PO]])</f>
        <v/>
      </c>
      <c r="AB2127" s="16">
        <f>IF(RawDataGenPO[[#This Row],[GRN-PO date]]&gt;RawDataGenPO[[#This Row],[Lead time delivery (day)]],"over deliverry","Ontime")</f>
        <v/>
      </c>
      <c r="AC2127" s="22" t="n"/>
    </row>
    <row r="2128" ht="15" customHeight="1">
      <c r="A2128" s="5">
        <f>ROW()-ROW(RawDataGenPO[[#Headers],[No.]])</f>
        <v/>
      </c>
      <c r="B2128" s="29" t="inlineStr">
        <is>
          <t>Expent  cost</t>
        </is>
      </c>
      <c r="C2128" s="373" t="n"/>
      <c r="D2128" s="374" t="n"/>
      <c r="E2128" s="374" t="n"/>
      <c r="F2128" s="281" t="n">
        <v>46112</v>
      </c>
      <c r="G2128" s="5" t="inlineStr">
        <is>
          <t>PR2526-05556</t>
        </is>
      </c>
      <c r="H2128" s="5" t="inlineStr">
        <is>
          <t>PO2627-00056</t>
        </is>
      </c>
      <c r="I2128" s="286" t="n">
        <v>46118</v>
      </c>
      <c r="J2128" s="26" t="n"/>
      <c r="K2128" s="20" t="n">
        <v>120</v>
      </c>
      <c r="L2128" s="5" t="inlineStr">
        <is>
          <t>SFST81000048</t>
        </is>
      </c>
      <c r="M2128" s="7" t="inlineStr">
        <is>
          <t>PD Machine</t>
        </is>
      </c>
      <c r="N2128" s="7" t="inlineStr">
        <is>
          <t>Condencer Unit No.33 (Ice Maker)</t>
        </is>
      </c>
      <c r="O2128" s="11" t="n">
        <v>3</v>
      </c>
      <c r="P2128" s="10" t="inlineStr">
        <is>
          <t>equipment</t>
        </is>
      </c>
      <c r="Q2128" s="277" t="n">
        <v>1</v>
      </c>
      <c r="R2128" s="5" t="inlineStr">
        <is>
          <t>JOB.</t>
        </is>
      </c>
      <c r="S2128" s="284">
        <f>RawDataGenPO[[#This Row],[Total price]]/RawDataGenPO[[#This Row],[Qty'']]</f>
        <v/>
      </c>
      <c r="T2128" s="278" t="n">
        <v>2000</v>
      </c>
      <c r="U2128" s="291" t="n"/>
      <c r="V2128" s="7" t="inlineStr">
        <is>
          <t>V1000654 - A AND B REFRIGERATION CO., LTD.</t>
        </is>
      </c>
      <c r="W2128" s="30" t="inlineStr">
        <is>
          <t>Recive bill and GRN already</t>
        </is>
      </c>
      <c r="X2128" s="5" t="inlineStr">
        <is>
          <t>GRN2627-0000718</t>
        </is>
      </c>
      <c r="Y2128" s="3" t="n">
        <v>46135</v>
      </c>
      <c r="Z2128" s="23" t="n"/>
      <c r="AA2128" s="17">
        <f>IF(RawDataGenPO[[#This Row],[Date Gen PO]]="","",RawDataGenPO[[#This Row],[Date recive bill]]-RawDataGenPO[[#This Row],[Date Gen PO]])</f>
        <v/>
      </c>
      <c r="AB2128" s="16">
        <f>IF(RawDataGenPO[[#This Row],[GRN-PO date]]&gt;RawDataGenPO[[#This Row],[Lead time delivery (day)]],"over deliverry","Ontime")</f>
        <v/>
      </c>
      <c r="AC2128" s="22" t="n"/>
    </row>
    <row r="2129" ht="15" customHeight="1">
      <c r="A2129" s="5">
        <f>ROW()-ROW(RawDataGenPO[[#Headers],[No.]])</f>
        <v/>
      </c>
      <c r="B2129" s="29" t="inlineStr">
        <is>
          <t>Expent  cost</t>
        </is>
      </c>
      <c r="C2129" s="373" t="n"/>
      <c r="D2129" s="374" t="n"/>
      <c r="E2129" s="374" t="n"/>
      <c r="F2129" s="281" t="n">
        <v>46112</v>
      </c>
      <c r="G2129" s="5" t="inlineStr">
        <is>
          <t>PR2526-05556</t>
        </is>
      </c>
      <c r="H2129" s="5" t="inlineStr">
        <is>
          <t>PO2627-00056</t>
        </is>
      </c>
      <c r="I2129" s="286" t="n">
        <v>46118</v>
      </c>
      <c r="J2129" s="26" t="n"/>
      <c r="K2129" s="20" t="n">
        <v>120</v>
      </c>
      <c r="L2129" s="5" t="inlineStr">
        <is>
          <t>SFST81000048</t>
        </is>
      </c>
      <c r="M2129" s="7" t="inlineStr">
        <is>
          <t>PD Machine</t>
        </is>
      </c>
      <c r="N2129" s="7" t="inlineStr">
        <is>
          <t>Condencer Unit No.33 (Ice Maker)</t>
        </is>
      </c>
      <c r="O2129" s="11" t="n">
        <v>4</v>
      </c>
      <c r="P2129" s="10" t="inlineStr">
        <is>
          <t>Inspection service chargeincluding repair and round-trip travel cost</t>
        </is>
      </c>
      <c r="Q2129" s="277" t="n">
        <v>1</v>
      </c>
      <c r="R2129" s="5" t="inlineStr">
        <is>
          <t>JOB.</t>
        </is>
      </c>
      <c r="S2129" s="284">
        <f>RawDataGenPO[[#This Row],[Total price]]/RawDataGenPO[[#This Row],[Qty'']]</f>
        <v/>
      </c>
      <c r="T2129" s="278" t="n">
        <v>12000</v>
      </c>
      <c r="U2129" s="291" t="n"/>
      <c r="V2129" s="7" t="inlineStr">
        <is>
          <t>V1000654 - A AND B REFRIGERATION CO., LTD.</t>
        </is>
      </c>
      <c r="W2129" s="30" t="inlineStr">
        <is>
          <t>Recive bill and GRN already</t>
        </is>
      </c>
      <c r="X2129" s="5" t="inlineStr">
        <is>
          <t>GRN2627-0000718</t>
        </is>
      </c>
      <c r="Y2129" s="3" t="n">
        <v>46135</v>
      </c>
      <c r="Z2129" s="23" t="n"/>
      <c r="AA2129" s="17">
        <f>IF(RawDataGenPO[[#This Row],[Date Gen PO]]="","",RawDataGenPO[[#This Row],[Date recive bill]]-RawDataGenPO[[#This Row],[Date Gen PO]])</f>
        <v/>
      </c>
      <c r="AB2129" s="16">
        <f>IF(RawDataGenPO[[#This Row],[GRN-PO date]]&gt;RawDataGenPO[[#This Row],[Lead time delivery (day)]],"over deliverry","Ontime")</f>
        <v/>
      </c>
      <c r="AC2129" s="22" t="n"/>
    </row>
    <row r="2130" ht="15" customHeight="1">
      <c r="A2130" s="5">
        <f>ROW()-ROW(RawDataGenPO[[#Headers],[No.]])</f>
        <v/>
      </c>
      <c r="B2130" s="29" t="inlineStr">
        <is>
          <t>Expent  cost</t>
        </is>
      </c>
      <c r="C2130" s="373" t="n"/>
      <c r="D2130" s="374" t="n"/>
      <c r="E2130" s="374" t="n"/>
      <c r="F2130" s="281" t="n">
        <v>46112</v>
      </c>
      <c r="G2130" s="5" t="inlineStr">
        <is>
          <t>PR2526-05557</t>
        </is>
      </c>
      <c r="H2130" s="5" t="inlineStr">
        <is>
          <t>PO2627-00057</t>
        </is>
      </c>
      <c r="I2130" s="286" t="n">
        <v>46118</v>
      </c>
      <c r="J2130" s="26" t="n"/>
      <c r="K2130" s="20" t="n">
        <v>30</v>
      </c>
      <c r="L2130" s="5" t="inlineStr">
        <is>
          <t>SFST81000048</t>
        </is>
      </c>
      <c r="M2130" s="7" t="inlineStr">
        <is>
          <t>Machanical part</t>
        </is>
      </c>
      <c r="N2130" s="7" t="inlineStr">
        <is>
          <t>Machanical part</t>
        </is>
      </c>
      <c r="O2130" s="11" t="n">
        <v>1</v>
      </c>
      <c r="P2130" s="10" t="inlineStr">
        <is>
          <t>Air Filter (pcsfilterair)</t>
        </is>
      </c>
      <c r="Q2130" s="277" t="n">
        <v>1</v>
      </c>
      <c r="R2130" s="5" t="inlineStr">
        <is>
          <t>JOB.</t>
        </is>
      </c>
      <c r="S2130" s="284">
        <f>RawDataGenPO[[#This Row],[Total price]]/RawDataGenPO[[#This Row],[Qty'']]</f>
        <v/>
      </c>
      <c r="T2130" s="278" t="n">
        <v>2650</v>
      </c>
      <c r="U2130" s="291" t="n"/>
      <c r="V2130" s="7" t="inlineStr">
        <is>
          <t>V1000477 - Company YAWATA air compressor Ltd.</t>
        </is>
      </c>
      <c r="W2130" s="30" t="inlineStr">
        <is>
          <t>Recive bill and GRN already</t>
        </is>
      </c>
      <c r="X2130" s="5" t="inlineStr">
        <is>
          <t>GRN2627-0000379</t>
        </is>
      </c>
      <c r="Y2130" s="3" t="n">
        <v>46123</v>
      </c>
      <c r="Z2130" s="23" t="n"/>
      <c r="AA2130" s="17">
        <f>IF(RawDataGenPO[[#This Row],[Date Gen PO]]="","",RawDataGenPO[[#This Row],[Date recive bill]]-RawDataGenPO[[#This Row],[Date Gen PO]])</f>
        <v/>
      </c>
      <c r="AB2130" s="16">
        <f>IF(RawDataGenPO[[#This Row],[GRN-PO date]]&gt;RawDataGenPO[[#This Row],[Lead time delivery (day)]],"over deliverry","Ontime")</f>
        <v/>
      </c>
      <c r="AC2130" s="22" t="n"/>
    </row>
    <row r="2131" ht="15" customHeight="1">
      <c r="A2131" s="5">
        <f>ROW()-ROW(RawDataGenPO[[#Headers],[No.]])</f>
        <v/>
      </c>
      <c r="B2131" s="29" t="inlineStr">
        <is>
          <t>Expent  cost</t>
        </is>
      </c>
      <c r="C2131" s="373" t="n"/>
      <c r="D2131" s="374" t="n"/>
      <c r="E2131" s="374" t="n"/>
      <c r="F2131" s="281" t="n">
        <v>46112</v>
      </c>
      <c r="G2131" s="5" t="inlineStr">
        <is>
          <t>PR2526-05557</t>
        </is>
      </c>
      <c r="H2131" s="5" t="inlineStr">
        <is>
          <t>PO2627-00057</t>
        </is>
      </c>
      <c r="I2131" s="286" t="n">
        <v>46118</v>
      </c>
      <c r="J2131" s="26" t="n"/>
      <c r="K2131" s="20" t="n">
        <v>30</v>
      </c>
      <c r="L2131" s="5" t="inlineStr">
        <is>
          <t>SFST81000048</t>
        </is>
      </c>
      <c r="M2131" s="7" t="inlineStr">
        <is>
          <t>Machanical part</t>
        </is>
      </c>
      <c r="N2131" s="7" t="inlineStr">
        <is>
          <t>Machanical part</t>
        </is>
      </c>
      <c r="O2131" s="11" t="n">
        <v>2</v>
      </c>
      <c r="P2131" s="10" t="inlineStr">
        <is>
          <t>Oil Filter (pcsfilteroil)</t>
        </is>
      </c>
      <c r="Q2131" s="277" t="n">
        <v>1</v>
      </c>
      <c r="R2131" s="5" t="inlineStr">
        <is>
          <t>JOB.</t>
        </is>
      </c>
      <c r="S2131" s="284">
        <f>RawDataGenPO[[#This Row],[Total price]]/RawDataGenPO[[#This Row],[Qty'']]</f>
        <v/>
      </c>
      <c r="T2131" s="278" t="n">
        <v>1500</v>
      </c>
      <c r="U2131" s="291" t="n"/>
      <c r="V2131" s="7" t="inlineStr">
        <is>
          <t>V1000477 - Company YAWATA air compressor Ltd.</t>
        </is>
      </c>
      <c r="W2131" s="30" t="inlineStr">
        <is>
          <t>Recive bill and GRN already</t>
        </is>
      </c>
      <c r="X2131" s="5" t="inlineStr">
        <is>
          <t>GRN2627-0000379</t>
        </is>
      </c>
      <c r="Y2131" s="3" t="n">
        <v>46123</v>
      </c>
      <c r="Z2131" s="23" t="n"/>
      <c r="AA2131" s="17">
        <f>IF(RawDataGenPO[[#This Row],[Date Gen PO]]="","",RawDataGenPO[[#This Row],[Date recive bill]]-RawDataGenPO[[#This Row],[Date Gen PO]])</f>
        <v/>
      </c>
      <c r="AB2131" s="16">
        <f>IF(RawDataGenPO[[#This Row],[GRN-PO date]]&gt;RawDataGenPO[[#This Row],[Lead time delivery (day)]],"over deliverry","Ontime")</f>
        <v/>
      </c>
      <c r="AC2131" s="22" t="n"/>
    </row>
    <row r="2132" ht="15" customHeight="1">
      <c r="A2132" s="5">
        <f>ROW()-ROW(RawDataGenPO[[#Headers],[No.]])</f>
        <v/>
      </c>
      <c r="B2132" s="29" t="inlineStr">
        <is>
          <t>Expent  cost</t>
        </is>
      </c>
      <c r="C2132" s="373" t="n"/>
      <c r="D2132" s="374" t="n"/>
      <c r="E2132" s="374" t="n"/>
      <c r="F2132" s="281" t="n">
        <v>46112</v>
      </c>
      <c r="G2132" s="5" t="inlineStr">
        <is>
          <t>PR2526-05557</t>
        </is>
      </c>
      <c r="H2132" s="5" t="inlineStr">
        <is>
          <t>PO2627-00057</t>
        </is>
      </c>
      <c r="I2132" s="286" t="n">
        <v>46118</v>
      </c>
      <c r="J2132" s="26" t="n"/>
      <c r="K2132" s="20" t="n">
        <v>30</v>
      </c>
      <c r="L2132" s="5" t="inlineStr">
        <is>
          <t>SFST81000048</t>
        </is>
      </c>
      <c r="M2132" s="7" t="inlineStr">
        <is>
          <t>Machanical part</t>
        </is>
      </c>
      <c r="N2132" s="7" t="inlineStr">
        <is>
          <t>Machanical part</t>
        </is>
      </c>
      <c r="O2132" s="11" t="n">
        <v>3</v>
      </c>
      <c r="P2132" s="10" t="inlineStr">
        <is>
          <t>Separater (pcsoil)</t>
        </is>
      </c>
      <c r="Q2132" s="277" t="n">
        <v>1</v>
      </c>
      <c r="R2132" s="5" t="inlineStr">
        <is>
          <t>JOB.</t>
        </is>
      </c>
      <c r="S2132" s="284">
        <f>RawDataGenPO[[#This Row],[Total price]]/RawDataGenPO[[#This Row],[Qty'']]</f>
        <v/>
      </c>
      <c r="T2132" s="278" t="n">
        <v>9000</v>
      </c>
      <c r="U2132" s="291" t="n"/>
      <c r="V2132" s="7" t="inlineStr">
        <is>
          <t>V1000477 - Company YAWATA air compressor Ltd.</t>
        </is>
      </c>
      <c r="W2132" s="30" t="inlineStr">
        <is>
          <t>Recive bill and GRN already</t>
        </is>
      </c>
      <c r="X2132" s="5" t="inlineStr">
        <is>
          <t>GRN2627-0000379</t>
        </is>
      </c>
      <c r="Y2132" s="3" t="n">
        <v>46123</v>
      </c>
      <c r="Z2132" s="23" t="n"/>
      <c r="AA2132" s="17">
        <f>IF(RawDataGenPO[[#This Row],[Date Gen PO]]="","",RawDataGenPO[[#This Row],[Date recive bill]]-RawDataGenPO[[#This Row],[Date Gen PO]])</f>
        <v/>
      </c>
      <c r="AB2132" s="16">
        <f>IF(RawDataGenPO[[#This Row],[GRN-PO date]]&gt;RawDataGenPO[[#This Row],[Lead time delivery (day)]],"over deliverry","Ontime")</f>
        <v/>
      </c>
      <c r="AC2132" s="22" t="n"/>
    </row>
    <row r="2133" ht="15" customHeight="1">
      <c r="A2133" s="5">
        <f>ROW()-ROW(RawDataGenPO[[#Headers],[No.]])</f>
        <v/>
      </c>
      <c r="B2133" s="29" t="inlineStr">
        <is>
          <t>Expent  cost</t>
        </is>
      </c>
      <c r="C2133" s="373" t="n"/>
      <c r="D2133" s="374" t="n"/>
      <c r="E2133" s="374" t="n"/>
      <c r="F2133" s="281" t="n">
        <v>46112</v>
      </c>
      <c r="G2133" s="5" t="inlineStr">
        <is>
          <t>PR2526-05557</t>
        </is>
      </c>
      <c r="H2133" s="5" t="inlineStr">
        <is>
          <t>PO2627-00057</t>
        </is>
      </c>
      <c r="I2133" s="286" t="n">
        <v>46118</v>
      </c>
      <c r="J2133" s="26" t="n"/>
      <c r="K2133" s="20" t="n">
        <v>30</v>
      </c>
      <c r="L2133" s="5" t="inlineStr">
        <is>
          <t>SFST81000048</t>
        </is>
      </c>
      <c r="M2133" s="7" t="inlineStr">
        <is>
          <t>Machanical part</t>
        </is>
      </c>
      <c r="N2133" s="7" t="inlineStr">
        <is>
          <t>Machanical part</t>
        </is>
      </c>
      <c r="O2133" s="11" t="n">
        <v>4</v>
      </c>
      <c r="P2133" s="10" t="inlineStr">
        <is>
          <t>Lubricant S46 (20 lites) (oilmm)</t>
        </is>
      </c>
      <c r="Q2133" s="277" t="n">
        <v>1</v>
      </c>
      <c r="R2133" s="5" t="inlineStr">
        <is>
          <t>JOB.</t>
        </is>
      </c>
      <c r="S2133" s="284">
        <f>RawDataGenPO[[#This Row],[Total price]]/RawDataGenPO[[#This Row],[Qty'']]</f>
        <v/>
      </c>
      <c r="T2133" s="278" t="n">
        <v>5250</v>
      </c>
      <c r="U2133" s="291" t="n"/>
      <c r="V2133" s="7" t="inlineStr">
        <is>
          <t>V1000477 - Company YAWATA air compressor Ltd.</t>
        </is>
      </c>
      <c r="W2133" s="30" t="inlineStr">
        <is>
          <t>Recive bill and GRN already</t>
        </is>
      </c>
      <c r="X2133" s="5" t="inlineStr">
        <is>
          <t>GRN2627-0000379</t>
        </is>
      </c>
      <c r="Y2133" s="3" t="n">
        <v>46123</v>
      </c>
      <c r="Z2133" s="23" t="n"/>
      <c r="AA2133" s="17">
        <f>IF(RawDataGenPO[[#This Row],[Date Gen PO]]="","",RawDataGenPO[[#This Row],[Date recive bill]]-RawDataGenPO[[#This Row],[Date Gen PO]])</f>
        <v/>
      </c>
      <c r="AB2133" s="16">
        <f>IF(RawDataGenPO[[#This Row],[GRN-PO date]]&gt;RawDataGenPO[[#This Row],[Lead time delivery (day)]],"over deliverry","Ontime")</f>
        <v/>
      </c>
      <c r="AC2133" s="22" t="n"/>
    </row>
    <row r="2134" ht="15" customHeight="1">
      <c r="A2134" s="5">
        <f>ROW()-ROW(RawDataGenPO[[#Headers],[No.]])</f>
        <v/>
      </c>
      <c r="B2134" s="29" t="inlineStr">
        <is>
          <t>Expent  cost</t>
        </is>
      </c>
      <c r="C2134" s="373" t="n"/>
      <c r="D2134" s="374" t="n"/>
      <c r="E2134" s="374" t="n"/>
      <c r="F2134" s="281" t="n">
        <v>46114</v>
      </c>
      <c r="G2134" s="5" t="inlineStr">
        <is>
          <t>PR2627-00012</t>
        </is>
      </c>
      <c r="H2134" s="5" t="inlineStr">
        <is>
          <t>PO2627-00143</t>
        </is>
      </c>
      <c r="I2134" s="286" t="n"/>
      <c r="J2134" s="26" t="n"/>
      <c r="K2134" s="20" t="n"/>
      <c r="L2134" s="5" t="inlineStr">
        <is>
          <t>SFST81000009</t>
        </is>
      </c>
      <c r="M2134" s="7" t="inlineStr">
        <is>
          <t>Machanical jobs</t>
        </is>
      </c>
      <c r="N2134" s="7" t="inlineStr">
        <is>
          <t>Machanical jobs</t>
        </is>
      </c>
      <c r="O2134" s="11" t="n">
        <v>1</v>
      </c>
      <c r="P2134" s="10" t="inlineStr">
        <is>
          <t>repairsystempipewastewaterairroom RD</t>
        </is>
      </c>
      <c r="Q2134" s="277" t="n">
        <v>1</v>
      </c>
      <c r="R2134" s="5" t="inlineStr">
        <is>
          <t>JOB.</t>
        </is>
      </c>
      <c r="S2134" s="284">
        <f>RawDataGenPO[[#This Row],[Total price]]/RawDataGenPO[[#This Row],[Qty'']]</f>
        <v/>
      </c>
      <c r="T2134" s="278" t="n">
        <v>1590</v>
      </c>
      <c r="U2134" s="291" t="n"/>
      <c r="V2134" s="7" t="inlineStr">
        <is>
          <t>V1000543 - T.W.A.N. Engineering Co.,Ltd</t>
        </is>
      </c>
      <c r="W2134" s="30" t="inlineStr">
        <is>
          <t xml:space="preserve">Waitting Supplier transportation </t>
        </is>
      </c>
      <c r="Z2134" s="23" t="n"/>
      <c r="AA2134" s="17">
        <f>IF(RawDataGenPO[[#This Row],[Date Gen PO]]="","",RawDataGenPO[[#This Row],[Date recive bill]]-RawDataGenPO[[#This Row],[Date Gen PO]])</f>
        <v/>
      </c>
      <c r="AB2134" s="16">
        <f>IF(RawDataGenPO[[#This Row],[GRN-PO date]]&gt;RawDataGenPO[[#This Row],[Lead time delivery (day)]],"over deliverry","Ontime")</f>
        <v/>
      </c>
      <c r="AC2134" s="22" t="n"/>
    </row>
    <row r="2135" ht="15" customHeight="1">
      <c r="A2135" s="5">
        <f>ROW()-ROW(RawDataGenPO[[#Headers],[No.]])</f>
        <v/>
      </c>
      <c r="B2135" s="29" t="inlineStr">
        <is>
          <t>Expent  cost</t>
        </is>
      </c>
      <c r="C2135" s="373" t="n"/>
      <c r="D2135" s="374" t="n"/>
      <c r="E2135" s="374" t="n"/>
      <c r="F2135" s="281" t="n">
        <v>46115</v>
      </c>
      <c r="G2135" s="5" t="inlineStr">
        <is>
          <t>PR2627-00016</t>
        </is>
      </c>
      <c r="H2135" s="5" t="inlineStr">
        <is>
          <t>PO2627-00142</t>
        </is>
      </c>
      <c r="I2135" s="286" t="n">
        <v>46121</v>
      </c>
      <c r="J2135" s="26" t="n"/>
      <c r="K2135" s="20" t="n">
        <v>30</v>
      </c>
      <c r="L2135" s="5" t="inlineStr">
        <is>
          <t>SFST81000009</t>
        </is>
      </c>
      <c r="M2135" s="7" t="inlineStr">
        <is>
          <t>Machanical jobs</t>
        </is>
      </c>
      <c r="N2135" s="7" t="inlineStr">
        <is>
          <t>Machanical jobs</t>
        </is>
      </c>
      <c r="O2135" s="11" t="n">
        <v>2</v>
      </c>
      <c r="P2135" s="10" t="inlineStr">
        <is>
          <t>Repair sensor air conditioner the SATS Meeting room</t>
        </is>
      </c>
      <c r="Q2135" s="277" t="n">
        <v>1</v>
      </c>
      <c r="R2135" s="5" t="inlineStr">
        <is>
          <t>JOB.</t>
        </is>
      </c>
      <c r="S2135" s="284">
        <f>RawDataGenPO[[#This Row],[Total price]]/RawDataGenPO[[#This Row],[Qty'']]</f>
        <v/>
      </c>
      <c r="T2135" s="278" t="n">
        <v>3560</v>
      </c>
      <c r="U2135" s="291" t="n"/>
      <c r="V2135" s="7" t="inlineStr">
        <is>
          <t>V1000543 - T.W.A.N. Engineering Co.,Ltd</t>
        </is>
      </c>
      <c r="W2135" s="30" t="inlineStr">
        <is>
          <t>Recive bill and GRN already</t>
        </is>
      </c>
      <c r="X2135" s="5" t="inlineStr">
        <is>
          <t>GRN2627-0000381</t>
        </is>
      </c>
      <c r="Y2135" s="3" t="n">
        <v>46123</v>
      </c>
      <c r="Z2135" s="23" t="n"/>
      <c r="AA2135" s="17">
        <f>IF(RawDataGenPO[[#This Row],[Date Gen PO]]="","",RawDataGenPO[[#This Row],[Date recive bill]]-RawDataGenPO[[#This Row],[Date Gen PO]])</f>
        <v/>
      </c>
      <c r="AB2135" s="16">
        <f>IF(RawDataGenPO[[#This Row],[GRN-PO date]]&gt;RawDataGenPO[[#This Row],[Lead time delivery (day)]],"over deliverry","Ontime")</f>
        <v/>
      </c>
      <c r="AC2135" s="22" t="n"/>
    </row>
    <row r="2136" ht="15" customHeight="1">
      <c r="A2136" s="5">
        <f>ROW()-ROW(RawDataGenPO[[#Headers],[No.]])</f>
        <v/>
      </c>
      <c r="B2136" s="29" t="inlineStr">
        <is>
          <t>Expent  cost</t>
        </is>
      </c>
      <c r="C2136" s="373" t="n"/>
      <c r="D2136" s="374" t="n"/>
      <c r="E2136" s="374" t="n"/>
      <c r="F2136" s="281" t="n">
        <v>46119</v>
      </c>
      <c r="G2136" s="5" t="inlineStr">
        <is>
          <t>PR2627-00066</t>
        </is>
      </c>
      <c r="H2136" s="5" t="inlineStr">
        <is>
          <t xml:space="preserve">PO2627-00167 </t>
        </is>
      </c>
      <c r="I2136" s="286" t="n">
        <v>46121</v>
      </c>
      <c r="J2136" s="26" t="n"/>
      <c r="K2136" s="20" t="n">
        <v>120</v>
      </c>
      <c r="L2136" s="5" t="inlineStr">
        <is>
          <t>SFST81000048</t>
        </is>
      </c>
      <c r="M2136" s="7" t="inlineStr">
        <is>
          <t>PD Machine</t>
        </is>
      </c>
      <c r="N2136" s="7" t="inlineStr">
        <is>
          <t>Vacuum Tumbler large No.3</t>
        </is>
      </c>
      <c r="O2136" s="11" t="n">
        <v>1</v>
      </c>
      <c r="P2136" s="10" t="inlineStr">
        <is>
          <t>Chain</t>
        </is>
      </c>
      <c r="Q2136" s="277" t="n">
        <v>2.5</v>
      </c>
      <c r="R2136" s="5" t="inlineStr">
        <is>
          <t>PCS.</t>
        </is>
      </c>
      <c r="S2136" s="284">
        <f>RawDataGenPO[[#This Row],[Total price]]/RawDataGenPO[[#This Row],[Qty'']]</f>
        <v/>
      </c>
      <c r="T2136" s="278" t="n">
        <v>23450</v>
      </c>
      <c r="U2136" s="291" t="n"/>
      <c r="V2136" s="7" t="inlineStr">
        <is>
          <t>V1000666 - HITEC FOOD EQUIPMENT CO.,LTD.</t>
        </is>
      </c>
      <c r="W2136" s="30" t="inlineStr">
        <is>
          <t xml:space="preserve">Waitting Supplier transportation </t>
        </is>
      </c>
      <c r="Z2136" s="23" t="n"/>
      <c r="AA2136" s="17">
        <f>IF(RawDataGenPO[[#This Row],[Date Gen PO]]="","",RawDataGenPO[[#This Row],[Date recive bill]]-RawDataGenPO[[#This Row],[Date Gen PO]])</f>
        <v/>
      </c>
      <c r="AB2136" s="16">
        <f>IF(RawDataGenPO[[#This Row],[GRN-PO date]]&gt;RawDataGenPO[[#This Row],[Lead time delivery (day)]],"over deliverry","Ontime")</f>
        <v/>
      </c>
      <c r="AC2136" s="22" t="n"/>
    </row>
    <row r="2137" ht="15" customHeight="1">
      <c r="A2137" s="5">
        <f>ROW()-ROW(RawDataGenPO[[#Headers],[No.]])</f>
        <v/>
      </c>
      <c r="B2137" s="29" t="inlineStr">
        <is>
          <t>Expent  cost</t>
        </is>
      </c>
      <c r="C2137" s="373" t="n"/>
      <c r="D2137" s="374" t="n"/>
      <c r="E2137" s="374" t="n"/>
      <c r="F2137" s="281" t="n">
        <v>46119</v>
      </c>
      <c r="G2137" s="5" t="inlineStr">
        <is>
          <t>PR2627-00066</t>
        </is>
      </c>
      <c r="H2137" s="5" t="inlineStr">
        <is>
          <t xml:space="preserve">PO2627-00167 </t>
        </is>
      </c>
      <c r="I2137" s="286" t="n">
        <v>46121</v>
      </c>
      <c r="J2137" s="26" t="n"/>
      <c r="K2137" s="20" t="n">
        <v>120</v>
      </c>
      <c r="L2137" s="5" t="inlineStr">
        <is>
          <t>SFST81000048</t>
        </is>
      </c>
      <c r="M2137" s="7" t="inlineStr">
        <is>
          <t>PD Machine</t>
        </is>
      </c>
      <c r="N2137" s="7" t="inlineStr">
        <is>
          <t>Vacuum Tumbler large No.3</t>
        </is>
      </c>
      <c r="O2137" s="11" t="n">
        <v>2</v>
      </c>
      <c r="P2137" s="10" t="inlineStr">
        <is>
          <t>Connection Pin 16B-1 OC</t>
        </is>
      </c>
      <c r="Q2137" s="277" t="n">
        <v>1</v>
      </c>
      <c r="R2137" s="5" t="inlineStr">
        <is>
          <t>PCS.</t>
        </is>
      </c>
      <c r="S2137" s="284">
        <f>RawDataGenPO[[#This Row],[Total price]]/RawDataGenPO[[#This Row],[Qty'']]</f>
        <v/>
      </c>
      <c r="T2137" s="278" t="n">
        <v>1440</v>
      </c>
      <c r="U2137" s="291" t="n"/>
      <c r="V2137" s="7" t="inlineStr">
        <is>
          <t>V1000666 - HITEC FOOD EQUIPMENT CO.,LTD.</t>
        </is>
      </c>
      <c r="W2137" s="30" t="inlineStr">
        <is>
          <t xml:space="preserve">Waitting Supplier transportation </t>
        </is>
      </c>
      <c r="Z2137" s="23" t="n"/>
      <c r="AA2137" s="17">
        <f>IF(RawDataGenPO[[#This Row],[Date Gen PO]]="","",RawDataGenPO[[#This Row],[Date recive bill]]-RawDataGenPO[[#This Row],[Date Gen PO]])</f>
        <v/>
      </c>
      <c r="AB2137" s="16">
        <f>IF(RawDataGenPO[[#This Row],[GRN-PO date]]&gt;RawDataGenPO[[#This Row],[Lead time delivery (day)]],"over deliverry","Ontime")</f>
        <v/>
      </c>
      <c r="AC2137" s="22" t="n"/>
    </row>
    <row r="2138" ht="15" customHeight="1">
      <c r="A2138" s="5">
        <f>ROW()-ROW(RawDataGenPO[[#Headers],[No.]])</f>
        <v/>
      </c>
      <c r="B2138" s="29" t="inlineStr">
        <is>
          <t>Expent  cost</t>
        </is>
      </c>
      <c r="C2138" s="373" t="n"/>
      <c r="D2138" s="374" t="n"/>
      <c r="E2138" s="374" t="n"/>
      <c r="F2138" s="281" t="n">
        <v>46119</v>
      </c>
      <c r="G2138" s="5" t="inlineStr">
        <is>
          <t>PR2627-00066</t>
        </is>
      </c>
      <c r="H2138" s="5" t="inlineStr">
        <is>
          <t xml:space="preserve">PO2627-00167 </t>
        </is>
      </c>
      <c r="I2138" s="286" t="n">
        <v>46121</v>
      </c>
      <c r="J2138" s="26" t="n"/>
      <c r="K2138" s="20" t="n">
        <v>120</v>
      </c>
      <c r="L2138" s="5" t="inlineStr">
        <is>
          <t>SFST81000048</t>
        </is>
      </c>
      <c r="M2138" s="7" t="inlineStr">
        <is>
          <t>PD Machine</t>
        </is>
      </c>
      <c r="N2138" s="7" t="inlineStr">
        <is>
          <t>Vacuum Tumbler large No.3</t>
        </is>
      </c>
      <c r="O2138" s="11" t="n">
        <v>3</v>
      </c>
      <c r="P2138" s="10" t="inlineStr">
        <is>
          <t>M07.16.00.002 Chain Wheel Z-</t>
        </is>
      </c>
      <c r="Q2138" s="277" t="n">
        <v>1</v>
      </c>
      <c r="R2138" s="5" t="inlineStr">
        <is>
          <t>PCS.</t>
        </is>
      </c>
      <c r="S2138" s="284">
        <f>RawDataGenPO[[#This Row],[Total price]]/RawDataGenPO[[#This Row],[Qty'']]</f>
        <v/>
      </c>
      <c r="T2138" s="278" t="n">
        <v>18858</v>
      </c>
      <c r="U2138" s="291" t="n"/>
      <c r="V2138" s="7" t="inlineStr">
        <is>
          <t>V1000666 - HITEC FOOD EQUIPMENT CO.,LTD.</t>
        </is>
      </c>
      <c r="W2138" s="30" t="inlineStr">
        <is>
          <t xml:space="preserve">Waitting Supplier transportation </t>
        </is>
      </c>
      <c r="Z2138" s="23" t="n"/>
      <c r="AA2138" s="17">
        <f>IF(RawDataGenPO[[#This Row],[Date Gen PO]]="","",RawDataGenPO[[#This Row],[Date recive bill]]-RawDataGenPO[[#This Row],[Date Gen PO]])</f>
        <v/>
      </c>
      <c r="AB2138" s="16">
        <f>IF(RawDataGenPO[[#This Row],[GRN-PO date]]&gt;RawDataGenPO[[#This Row],[Lead time delivery (day)]],"over deliverry","Ontime")</f>
        <v/>
      </c>
      <c r="AC2138" s="22" t="n"/>
    </row>
    <row r="2139" ht="15" customHeight="1">
      <c r="A2139" s="5">
        <f>ROW()-ROW(RawDataGenPO[[#Headers],[No.]])</f>
        <v/>
      </c>
      <c r="B2139" s="29" t="inlineStr">
        <is>
          <t>Expent  cost</t>
        </is>
      </c>
      <c r="C2139" s="373" t="n"/>
      <c r="D2139" s="374" t="n"/>
      <c r="E2139" s="374" t="n"/>
      <c r="F2139" s="281" t="n">
        <v>46119</v>
      </c>
      <c r="G2139" s="5" t="inlineStr">
        <is>
          <t>PR2627-00066</t>
        </is>
      </c>
      <c r="H2139" s="5" t="inlineStr">
        <is>
          <t xml:space="preserve">PO2627-00167 </t>
        </is>
      </c>
      <c r="I2139" s="286" t="n">
        <v>46121</v>
      </c>
      <c r="J2139" s="26" t="n"/>
      <c r="K2139" s="20" t="n">
        <v>120</v>
      </c>
      <c r="L2139" s="5" t="inlineStr">
        <is>
          <t>SFST81000048</t>
        </is>
      </c>
      <c r="M2139" s="7" t="inlineStr">
        <is>
          <t>PD Machine</t>
        </is>
      </c>
      <c r="N2139" s="7" t="inlineStr">
        <is>
          <t>Vacuum Tumbler large No.3</t>
        </is>
      </c>
      <c r="O2139" s="11" t="n">
        <v>4</v>
      </c>
      <c r="P2139" s="10" t="inlineStr">
        <is>
          <t>Air Filter 532-000-005</t>
        </is>
      </c>
      <c r="Q2139" s="277" t="n">
        <v>1</v>
      </c>
      <c r="R2139" s="5" t="inlineStr">
        <is>
          <t>PCS.</t>
        </is>
      </c>
      <c r="S2139" s="284">
        <f>RawDataGenPO[[#This Row],[Total price]]/RawDataGenPO[[#This Row],[Qty'']]</f>
        <v/>
      </c>
      <c r="T2139" s="278" t="n">
        <v>3220</v>
      </c>
      <c r="U2139" s="291" t="n"/>
      <c r="V2139" s="7" t="inlineStr">
        <is>
          <t>V1000666 - HITEC FOOD EQUIPMENT CO.,LTD.</t>
        </is>
      </c>
      <c r="W2139" s="30" t="inlineStr">
        <is>
          <t xml:space="preserve">Waitting Supplier transportation </t>
        </is>
      </c>
      <c r="Z2139" s="23" t="n"/>
      <c r="AA2139" s="17">
        <f>IF(RawDataGenPO[[#This Row],[Date Gen PO]]="","",RawDataGenPO[[#This Row],[Date recive bill]]-RawDataGenPO[[#This Row],[Date Gen PO]])</f>
        <v/>
      </c>
      <c r="AB2139" s="16">
        <f>IF(RawDataGenPO[[#This Row],[GRN-PO date]]&gt;RawDataGenPO[[#This Row],[Lead time delivery (day)]],"over deliverry","Ontime")</f>
        <v/>
      </c>
      <c r="AC2139" s="22" t="n"/>
    </row>
    <row r="2140" ht="15" customHeight="1">
      <c r="A2140" s="5">
        <f>ROW()-ROW(RawDataGenPO[[#Headers],[No.]])</f>
        <v/>
      </c>
      <c r="B2140" s="29" t="inlineStr">
        <is>
          <t>Expent  cost</t>
        </is>
      </c>
      <c r="C2140" s="373" t="n"/>
      <c r="D2140" s="374" t="n"/>
      <c r="E2140" s="374" t="n"/>
      <c r="F2140" s="281" t="n">
        <v>46119</v>
      </c>
      <c r="G2140" s="5" t="inlineStr">
        <is>
          <t>PR2627-00066</t>
        </is>
      </c>
      <c r="H2140" s="5" t="inlineStr">
        <is>
          <t xml:space="preserve">PO2627-00167 </t>
        </is>
      </c>
      <c r="I2140" s="286" t="n">
        <v>46121</v>
      </c>
      <c r="J2140" s="26" t="n"/>
      <c r="K2140" s="20" t="n">
        <v>120</v>
      </c>
      <c r="L2140" s="5" t="inlineStr">
        <is>
          <t>SFST81000048</t>
        </is>
      </c>
      <c r="M2140" s="7" t="inlineStr">
        <is>
          <t>PD Machine</t>
        </is>
      </c>
      <c r="N2140" s="7" t="inlineStr">
        <is>
          <t>Vacuum Tumbler large No.3</t>
        </is>
      </c>
      <c r="O2140" s="11" t="n">
        <v>5</v>
      </c>
      <c r="P2140" s="10" t="inlineStr">
        <is>
          <t>Exhaust Filter</t>
        </is>
      </c>
      <c r="Q2140" s="277" t="n">
        <v>1</v>
      </c>
      <c r="R2140" s="5" t="inlineStr">
        <is>
          <t>PCS.</t>
        </is>
      </c>
      <c r="S2140" s="284">
        <f>RawDataGenPO[[#This Row],[Total price]]/RawDataGenPO[[#This Row],[Qty'']]</f>
        <v/>
      </c>
      <c r="T2140" s="278" t="n">
        <v>8960</v>
      </c>
      <c r="U2140" s="291" t="n"/>
      <c r="V2140" s="7" t="inlineStr">
        <is>
          <t>V1000666 - HITEC FOOD EQUIPMENT CO.,LTD.</t>
        </is>
      </c>
      <c r="W2140" s="30" t="inlineStr">
        <is>
          <t xml:space="preserve">Waitting Supplier transportation </t>
        </is>
      </c>
      <c r="Z2140" s="23" t="n"/>
      <c r="AA2140" s="17">
        <f>IF(RawDataGenPO[[#This Row],[Date Gen PO]]="","",RawDataGenPO[[#This Row],[Date recive bill]]-RawDataGenPO[[#This Row],[Date Gen PO]])</f>
        <v/>
      </c>
      <c r="AB2140" s="16">
        <f>IF(RawDataGenPO[[#This Row],[GRN-PO date]]&gt;RawDataGenPO[[#This Row],[Lead time delivery (day)]],"over deliverry","Ontime")</f>
        <v/>
      </c>
      <c r="AC2140" s="22" t="n"/>
    </row>
    <row r="2141" ht="15" customHeight="1">
      <c r="A2141" s="5">
        <f>ROW()-ROW(RawDataGenPO[[#Headers],[No.]])</f>
        <v/>
      </c>
      <c r="B2141" s="29" t="inlineStr">
        <is>
          <t>Expent  cost</t>
        </is>
      </c>
      <c r="C2141" s="373" t="n"/>
      <c r="D2141" s="374" t="n"/>
      <c r="E2141" s="374" t="n"/>
      <c r="F2141" s="281" t="n">
        <v>46119</v>
      </c>
      <c r="G2141" s="5" t="inlineStr">
        <is>
          <t>PR2627-00066</t>
        </is>
      </c>
      <c r="H2141" s="5" t="inlineStr">
        <is>
          <t xml:space="preserve">PO2627-00167 </t>
        </is>
      </c>
      <c r="I2141" s="286" t="n">
        <v>46121</v>
      </c>
      <c r="J2141" s="26" t="n"/>
      <c r="K2141" s="20" t="n">
        <v>120</v>
      </c>
      <c r="L2141" s="5" t="inlineStr">
        <is>
          <t>SFST81000048</t>
        </is>
      </c>
      <c r="M2141" s="7" t="inlineStr">
        <is>
          <t>PD Machine</t>
        </is>
      </c>
      <c r="N2141" s="7" t="inlineStr">
        <is>
          <t>Vacuum Tumbler large No.3</t>
        </is>
      </c>
      <c r="O2141" s="11" t="n">
        <v>6</v>
      </c>
      <c r="P2141" s="10" t="inlineStr">
        <is>
          <t>Vacuum Oil (5L.)</t>
        </is>
      </c>
      <c r="Q2141" s="277" t="n">
        <v>2</v>
      </c>
      <c r="R2141" s="5" t="inlineStr">
        <is>
          <t>PCS.</t>
        </is>
      </c>
      <c r="S2141" s="284">
        <f>RawDataGenPO[[#This Row],[Total price]]/RawDataGenPO[[#This Row],[Qty'']]</f>
        <v/>
      </c>
      <c r="T2141" s="278" t="n">
        <v>1700</v>
      </c>
      <c r="U2141" s="291" t="n"/>
      <c r="V2141" s="7" t="inlineStr">
        <is>
          <t>V1000666 - HITEC FOOD EQUIPMENT CO.,LTD.</t>
        </is>
      </c>
      <c r="W2141" s="30" t="inlineStr">
        <is>
          <t xml:space="preserve">Waitting Supplier transportation </t>
        </is>
      </c>
      <c r="Z2141" s="23" t="n"/>
      <c r="AA2141" s="17">
        <f>IF(RawDataGenPO[[#This Row],[Date Gen PO]]="","",RawDataGenPO[[#This Row],[Date recive bill]]-RawDataGenPO[[#This Row],[Date Gen PO]])</f>
        <v/>
      </c>
      <c r="AB2141" s="16">
        <f>IF(RawDataGenPO[[#This Row],[GRN-PO date]]&gt;RawDataGenPO[[#This Row],[Lead time delivery (day)]],"over deliverry","Ontime")</f>
        <v/>
      </c>
      <c r="AC2141" s="22" t="n"/>
    </row>
    <row r="2142" ht="15" customHeight="1">
      <c r="A2142" s="5">
        <f>ROW()-ROW(RawDataGenPO[[#Headers],[No.]])</f>
        <v/>
      </c>
      <c r="B2142" s="29" t="inlineStr">
        <is>
          <t>Expent  cost</t>
        </is>
      </c>
      <c r="C2142" s="373" t="n"/>
      <c r="D2142" s="374" t="n"/>
      <c r="E2142" s="374" t="n"/>
      <c r="F2142" s="281" t="n">
        <v>46119</v>
      </c>
      <c r="G2142" s="5" t="inlineStr">
        <is>
          <t>PR2627-00066</t>
        </is>
      </c>
      <c r="H2142" s="5" t="inlineStr">
        <is>
          <t xml:space="preserve">PO2627-00167 </t>
        </is>
      </c>
      <c r="I2142" s="286" t="n">
        <v>46121</v>
      </c>
      <c r="J2142" s="26" t="n"/>
      <c r="K2142" s="20" t="n">
        <v>120</v>
      </c>
      <c r="L2142" s="5" t="inlineStr">
        <is>
          <t>SFST81000048</t>
        </is>
      </c>
      <c r="M2142" s="7" t="inlineStr">
        <is>
          <t>PD Machine</t>
        </is>
      </c>
      <c r="N2142" s="7" t="inlineStr">
        <is>
          <t>Vacuum Tumbler large No.3</t>
        </is>
      </c>
      <c r="O2142" s="11" t="n">
        <v>7</v>
      </c>
      <c r="P2142" s="10" t="inlineStr">
        <is>
          <t>Gear Oil #320</t>
        </is>
      </c>
      <c r="Q2142" s="277" t="n">
        <v>1</v>
      </c>
      <c r="R2142" s="5" t="inlineStr">
        <is>
          <t>PCS.</t>
        </is>
      </c>
      <c r="S2142" s="284">
        <f>RawDataGenPO[[#This Row],[Total price]]/RawDataGenPO[[#This Row],[Qty'']]</f>
        <v/>
      </c>
      <c r="T2142" s="278" t="n">
        <v>1200</v>
      </c>
      <c r="U2142" s="291" t="n"/>
      <c r="V2142" s="7" t="inlineStr">
        <is>
          <t>V1000666 - HITEC FOOD EQUIPMENT CO.,LTD.</t>
        </is>
      </c>
      <c r="W2142" s="30" t="inlineStr">
        <is>
          <t xml:space="preserve">Waitting Supplier transportation </t>
        </is>
      </c>
      <c r="Z2142" s="23" t="n"/>
      <c r="AA2142" s="17">
        <f>IF(RawDataGenPO[[#This Row],[Date Gen PO]]="","",RawDataGenPO[[#This Row],[Date recive bill]]-RawDataGenPO[[#This Row],[Date Gen PO]])</f>
        <v/>
      </c>
      <c r="AB2142" s="16">
        <f>IF(RawDataGenPO[[#This Row],[GRN-PO date]]&gt;RawDataGenPO[[#This Row],[Lead time delivery (day)]],"over deliverry","Ontime")</f>
        <v/>
      </c>
      <c r="AC2142" s="22" t="n"/>
    </row>
    <row r="2143" ht="15" customHeight="1">
      <c r="A2143" s="5">
        <f>ROW()-ROW(RawDataGenPO[[#Headers],[No.]])</f>
        <v/>
      </c>
      <c r="B2143" s="29" t="inlineStr">
        <is>
          <t>Expent  cost</t>
        </is>
      </c>
      <c r="C2143" s="373" t="n"/>
      <c r="D2143" s="374" t="n"/>
      <c r="E2143" s="374" t="n"/>
      <c r="F2143" s="281" t="n">
        <v>46119</v>
      </c>
      <c r="G2143" s="5" t="inlineStr">
        <is>
          <t>PR2627-00066</t>
        </is>
      </c>
      <c r="H2143" s="5" t="inlineStr">
        <is>
          <t xml:space="preserve">PO2627-00167 </t>
        </is>
      </c>
      <c r="I2143" s="286" t="n">
        <v>46121</v>
      </c>
      <c r="J2143" s="26" t="n"/>
      <c r="K2143" s="20" t="n">
        <v>120</v>
      </c>
      <c r="L2143" s="5" t="inlineStr">
        <is>
          <t>SFST81000048</t>
        </is>
      </c>
      <c r="M2143" s="7" t="inlineStr">
        <is>
          <t>PD Machine</t>
        </is>
      </c>
      <c r="N2143" s="7" t="inlineStr">
        <is>
          <t>Vacuum Tumbler large No.3</t>
        </is>
      </c>
      <c r="O2143" s="11" t="n">
        <v>8</v>
      </c>
      <c r="P2143" s="10" t="inlineStr">
        <is>
          <t>Food Grease - Fuchs Cassida RLS 2/ C12x0.38Kg</t>
        </is>
      </c>
      <c r="Q2143" s="277" t="n">
        <v>1</v>
      </c>
      <c r="R2143" s="5" t="inlineStr">
        <is>
          <t>PCS.</t>
        </is>
      </c>
      <c r="S2143" s="284">
        <f>RawDataGenPO[[#This Row],[Total price]]/RawDataGenPO[[#This Row],[Qty'']]</f>
        <v/>
      </c>
      <c r="T2143" s="278" t="n">
        <v>1800</v>
      </c>
      <c r="U2143" s="291" t="n"/>
      <c r="V2143" s="7" t="inlineStr">
        <is>
          <t>V1000666 - HITEC FOOD EQUIPMENT CO.,LTD.</t>
        </is>
      </c>
      <c r="W2143" s="30" t="inlineStr">
        <is>
          <t xml:space="preserve">Waitting Supplier transportation </t>
        </is>
      </c>
      <c r="Z2143" s="23" t="n"/>
      <c r="AA2143" s="17">
        <f>IF(RawDataGenPO[[#This Row],[Date Gen PO]]="","",RawDataGenPO[[#This Row],[Date recive bill]]-RawDataGenPO[[#This Row],[Date Gen PO]])</f>
        <v/>
      </c>
      <c r="AB2143" s="16">
        <f>IF(RawDataGenPO[[#This Row],[GRN-PO date]]&gt;RawDataGenPO[[#This Row],[Lead time delivery (day)]],"over deliverry","Ontime")</f>
        <v/>
      </c>
      <c r="AC2143" s="22" t="n"/>
    </row>
    <row r="2144" ht="15" customHeight="1">
      <c r="A2144" s="5">
        <f>ROW()-ROW(RawDataGenPO[[#Headers],[No.]])</f>
        <v/>
      </c>
      <c r="B2144" s="29" t="inlineStr">
        <is>
          <t>Expent  cost</t>
        </is>
      </c>
      <c r="C2144" s="373" t="n"/>
      <c r="D2144" s="374" t="n"/>
      <c r="E2144" s="374" t="n"/>
      <c r="F2144" s="281" t="n">
        <v>46119</v>
      </c>
      <c r="G2144" s="5" t="inlineStr">
        <is>
          <t>PR2627-00066</t>
        </is>
      </c>
      <c r="H2144" s="5" t="inlineStr">
        <is>
          <t xml:space="preserve">PO2627-00167 </t>
        </is>
      </c>
      <c r="I2144" s="286" t="n">
        <v>46121</v>
      </c>
      <c r="J2144" s="26" t="n"/>
      <c r="K2144" s="20" t="n">
        <v>120</v>
      </c>
      <c r="L2144" s="5" t="inlineStr">
        <is>
          <t>SFST81000048</t>
        </is>
      </c>
      <c r="M2144" s="7" t="inlineStr">
        <is>
          <t>PD Machine</t>
        </is>
      </c>
      <c r="N2144" s="7" t="inlineStr">
        <is>
          <t>Vacuum Tumbler large No.3</t>
        </is>
      </c>
      <c r="O2144" s="11" t="n">
        <v>9</v>
      </c>
      <c r="P2144" s="10" t="inlineStr">
        <is>
          <t>Service chargeinletreplacespare partinternalpiece TH26-03-0446 (daym)</t>
        </is>
      </c>
      <c r="Q2144" s="277" t="n">
        <v>1</v>
      </c>
      <c r="R2144" s="5" t="inlineStr">
        <is>
          <t>JOB.</t>
        </is>
      </c>
      <c r="S2144" s="284">
        <f>RawDataGenPO[[#This Row],[Total price]]/RawDataGenPO[[#This Row],[Qty'']]</f>
        <v/>
      </c>
      <c r="T2144" s="278" t="n">
        <v>9200</v>
      </c>
      <c r="U2144" s="291" t="n"/>
      <c r="V2144" s="7" t="inlineStr">
        <is>
          <t>V1000666 - HITEC FOOD EQUIPMENT CO.,LTD.</t>
        </is>
      </c>
      <c r="W2144" s="30" t="inlineStr">
        <is>
          <t xml:space="preserve">Waitting Supplier transportation </t>
        </is>
      </c>
      <c r="Z2144" s="23" t="n"/>
      <c r="AA2144" s="17">
        <f>IF(RawDataGenPO[[#This Row],[Date Gen PO]]="","",RawDataGenPO[[#This Row],[Date recive bill]]-RawDataGenPO[[#This Row],[Date Gen PO]])</f>
        <v/>
      </c>
      <c r="AB2144" s="16">
        <f>IF(RawDataGenPO[[#This Row],[GRN-PO date]]&gt;RawDataGenPO[[#This Row],[Lead time delivery (day)]],"over deliverry","Ontime")</f>
        <v/>
      </c>
      <c r="AC2144" s="22" t="n"/>
    </row>
    <row r="2145" ht="90" customHeight="1">
      <c r="A2145" s="5">
        <f>ROW()-ROW(RawDataGenPO[[#Headers],[No.]])</f>
        <v/>
      </c>
      <c r="B2145" s="29" t="inlineStr">
        <is>
          <t>Expent  cost</t>
        </is>
      </c>
      <c r="C2145" s="373" t="n"/>
      <c r="D2145" s="374" t="n"/>
      <c r="E2145" s="374" t="n"/>
      <c r="F2145" s="281" t="n">
        <v>46119</v>
      </c>
      <c r="G2145" s="5" t="inlineStr">
        <is>
          <t>PR2627-00067</t>
        </is>
      </c>
      <c r="H2145" s="5" t="inlineStr">
        <is>
          <t>PO2627-00329</t>
        </is>
      </c>
      <c r="I2145" s="286" t="n">
        <v>46132</v>
      </c>
      <c r="J2145" s="26" t="n"/>
      <c r="K2145" s="20" t="n">
        <v>120</v>
      </c>
      <c r="L2145" s="5" t="inlineStr">
        <is>
          <t>SFST81000064</t>
        </is>
      </c>
      <c r="M2145" s="7" t="inlineStr">
        <is>
          <t>PD Machine</t>
        </is>
      </c>
      <c r="N2145" s="7" t="inlineStr">
        <is>
          <t>Inspect cost</t>
        </is>
      </c>
      <c r="O2145" s="11" t="n">
        <v>1</v>
      </c>
      <c r="P2145" s="10" t="inlineStr">
        <is>
          <t>Service Charge
High-Risk Machines Inspection
- Aicon X-Ray Packing 1
- Aicon X-Ray Packing 2
- Plusotronic Weigher Packing 1
- Plusotronic Weigher Packing 2</t>
        </is>
      </c>
      <c r="Q2145" s="277" t="n">
        <v>1</v>
      </c>
      <c r="R2145" s="5" t="inlineStr">
        <is>
          <t>JOB.</t>
        </is>
      </c>
      <c r="S2145" s="284">
        <f>RawDataGenPO[[#This Row],[Total price]]/RawDataGenPO[[#This Row],[Qty'']]</f>
        <v/>
      </c>
      <c r="T2145" s="278" t="n">
        <v>12000</v>
      </c>
      <c r="U2145" s="291" t="n"/>
      <c r="V2145" s="7" t="inlineStr">
        <is>
          <t>V1001052 - FPT Asia Co., Ltd.</t>
        </is>
      </c>
      <c r="W2145" s="30" t="inlineStr">
        <is>
          <t xml:space="preserve">Waitting Supplier transportation </t>
        </is>
      </c>
      <c r="Z2145" s="23" t="n"/>
      <c r="AA2145" s="17">
        <f>IF(RawDataGenPO[[#This Row],[Date Gen PO]]="","",RawDataGenPO[[#This Row],[Date recive bill]]-RawDataGenPO[[#This Row],[Date Gen PO]])</f>
        <v/>
      </c>
      <c r="AB2145" s="16">
        <f>IF(RawDataGenPO[[#This Row],[GRN-PO date]]&gt;RawDataGenPO[[#This Row],[Lead time delivery (day)]],"over deliverry","Ontime")</f>
        <v/>
      </c>
      <c r="AC2145" s="22" t="n"/>
    </row>
    <row r="2146" ht="15" customHeight="1">
      <c r="A2146" s="5">
        <f>ROW()-ROW(RawDataGenPO[[#Headers],[No.]])</f>
        <v/>
      </c>
      <c r="B2146" s="29" t="inlineStr">
        <is>
          <t>Expent  cost</t>
        </is>
      </c>
      <c r="C2146" s="373" t="n"/>
      <c r="D2146" s="374" t="n"/>
      <c r="E2146" s="374" t="n"/>
      <c r="F2146" s="281" t="n">
        <v>46119</v>
      </c>
      <c r="G2146" s="5" t="inlineStr">
        <is>
          <t>PR2627-00068</t>
        </is>
      </c>
      <c r="H2146" s="5" t="inlineStr">
        <is>
          <t>PO2627-00168</t>
        </is>
      </c>
      <c r="I2146" s="286" t="n">
        <v>46121</v>
      </c>
      <c r="J2146" s="26" t="n"/>
      <c r="K2146" s="20" t="n">
        <v>120</v>
      </c>
      <c r="L2146" s="5" t="inlineStr">
        <is>
          <t>SFST81000048</t>
        </is>
      </c>
      <c r="M2146" s="7" t="inlineStr">
        <is>
          <t>PD Machine</t>
        </is>
      </c>
      <c r="N2146" s="7" t="inlineStr">
        <is>
          <t>Vegetable Dicing Machine  Robot coupe CL-50 No.1</t>
        </is>
      </c>
      <c r="O2146" s="11" t="n">
        <v>1</v>
      </c>
      <c r="P2146" s="10" t="inlineStr">
        <is>
          <t>Blade Sharpening for Vegetable Slicer (2 PC/Set)</t>
        </is>
      </c>
      <c r="Q2146" s="277" t="n">
        <v>1</v>
      </c>
      <c r="R2146" s="5" t="inlineStr">
        <is>
          <t>JOB.</t>
        </is>
      </c>
      <c r="S2146" s="284">
        <f>RawDataGenPO[[#This Row],[Total price]]/RawDataGenPO[[#This Row],[Qty'']]</f>
        <v/>
      </c>
      <c r="T2146" s="278" t="n">
        <v>1800</v>
      </c>
      <c r="U2146" s="291" t="n"/>
      <c r="V2146" s="7" t="inlineStr">
        <is>
          <t>V1000452 - SRIPIPAT ENGINEERING CO.,LTD.</t>
        </is>
      </c>
      <c r="W2146" s="30" t="inlineStr">
        <is>
          <t>Recive bill and GRN already</t>
        </is>
      </c>
      <c r="X2146" s="5" t="inlineStr">
        <is>
          <t>GRN2627-0000553</t>
        </is>
      </c>
      <c r="Y2146" s="3" t="n">
        <v>46133</v>
      </c>
      <c r="Z2146" s="23" t="n"/>
      <c r="AA2146" s="17">
        <f>IF(RawDataGenPO[[#This Row],[Date Gen PO]]="","",RawDataGenPO[[#This Row],[Date recive bill]]-RawDataGenPO[[#This Row],[Date Gen PO]])</f>
        <v/>
      </c>
      <c r="AB2146" s="16">
        <f>IF(RawDataGenPO[[#This Row],[GRN-PO date]]&gt;RawDataGenPO[[#This Row],[Lead time delivery (day)]],"over deliverry","Ontime")</f>
        <v/>
      </c>
      <c r="AC2146" s="22" t="n"/>
    </row>
    <row r="2147" ht="15" customHeight="1">
      <c r="A2147" s="5">
        <f>ROW()-ROW(RawDataGenPO[[#Headers],[No.]])</f>
        <v/>
      </c>
      <c r="B2147" s="29" t="inlineStr">
        <is>
          <t>Expent  cost</t>
        </is>
      </c>
      <c r="C2147" s="373" t="n"/>
      <c r="D2147" s="374" t="n"/>
      <c r="E2147" s="374" t="n"/>
      <c r="F2147" s="281" t="n">
        <v>46119</v>
      </c>
      <c r="G2147" s="5" t="inlineStr">
        <is>
          <t>PR2627-00069</t>
        </is>
      </c>
      <c r="H2147" s="5" t="inlineStr">
        <is>
          <t>PO2627-00169</t>
        </is>
      </c>
      <c r="I2147" s="286" t="n">
        <v>46121</v>
      </c>
      <c r="J2147" s="26" t="n"/>
      <c r="K2147" s="20" t="n">
        <v>120</v>
      </c>
      <c r="L2147" s="5" t="inlineStr">
        <is>
          <t>SFST81000048</t>
        </is>
      </c>
      <c r="M2147" s="7" t="inlineStr">
        <is>
          <t>PD Machine</t>
        </is>
      </c>
      <c r="N2147" s="7" t="inlineStr">
        <is>
          <t>Bowl Cutter (Chopper) No.1</t>
        </is>
      </c>
      <c r="O2147" s="11" t="n">
        <v>1</v>
      </c>
      <c r="P2147" s="10" t="inlineStr">
        <is>
          <t>Sharpening Knife of Bowl Cutter &amp; Dicer K+G Wetter</t>
        </is>
      </c>
      <c r="Q2147" s="277" t="n">
        <v>1</v>
      </c>
      <c r="R2147" s="5" t="inlineStr">
        <is>
          <t>JOB.</t>
        </is>
      </c>
      <c r="S2147" s="284">
        <f>RawDataGenPO[[#This Row],[Total price]]/RawDataGenPO[[#This Row],[Qty'']]</f>
        <v/>
      </c>
      <c r="T2147" s="278" t="n">
        <v>6000</v>
      </c>
      <c r="U2147" s="291" t="n"/>
      <c r="V2147" s="7" t="inlineStr">
        <is>
          <t>V1001052 - FPT Asia Co., Ltd.</t>
        </is>
      </c>
      <c r="W2147" s="30" t="inlineStr">
        <is>
          <t>Recive bill and GRN already</t>
        </is>
      </c>
      <c r="X2147" s="5" t="inlineStr">
        <is>
          <t>GRN2627-0000543</t>
        </is>
      </c>
      <c r="Y2147" s="3" t="n">
        <v>46133</v>
      </c>
      <c r="Z2147" s="23" t="n"/>
      <c r="AA2147" s="17">
        <f>IF(RawDataGenPO[[#This Row],[Date Gen PO]]="","",RawDataGenPO[[#This Row],[Date recive bill]]-RawDataGenPO[[#This Row],[Date Gen PO]])</f>
        <v/>
      </c>
      <c r="AB2147" s="16">
        <f>IF(RawDataGenPO[[#This Row],[GRN-PO date]]&gt;RawDataGenPO[[#This Row],[Lead time delivery (day)]],"over deliverry","Ontime")</f>
        <v/>
      </c>
      <c r="AC2147" s="22" t="n"/>
    </row>
    <row r="2148" ht="15" customHeight="1">
      <c r="A2148" s="5">
        <f>ROW()-ROW(RawDataGenPO[[#Headers],[No.]])</f>
        <v/>
      </c>
      <c r="B2148" s="29" t="inlineStr">
        <is>
          <t>Expent  cost</t>
        </is>
      </c>
      <c r="C2148" s="373" t="n"/>
      <c r="D2148" s="374" t="n"/>
      <c r="E2148" s="374" t="n"/>
      <c r="F2148" s="281" t="n">
        <v>46119</v>
      </c>
      <c r="G2148" s="5" t="inlineStr">
        <is>
          <t>PR2627-00070</t>
        </is>
      </c>
      <c r="H2148" s="5" t="inlineStr">
        <is>
          <t>PO2627-00170</t>
        </is>
      </c>
      <c r="I2148" s="286" t="n">
        <v>46121</v>
      </c>
      <c r="J2148" s="26" t="n"/>
      <c r="K2148" s="20" t="n">
        <v>120</v>
      </c>
      <c r="L2148" s="5" t="inlineStr">
        <is>
          <t>SFST81000048</t>
        </is>
      </c>
      <c r="M2148" s="7" t="inlineStr">
        <is>
          <t>PD Machine</t>
        </is>
      </c>
      <c r="N2148" s="7" t="inlineStr">
        <is>
          <t>Combi oven No.1</t>
        </is>
      </c>
      <c r="O2148" s="11" t="n">
        <v>1</v>
      </c>
      <c r="P2148" s="10" t="inlineStr">
        <is>
          <t>40.03.683S Contactor</t>
        </is>
      </c>
      <c r="Q2148" s="277" t="n">
        <v>1</v>
      </c>
      <c r="R2148" s="5" t="inlineStr">
        <is>
          <t>PCS.</t>
        </is>
      </c>
      <c r="S2148" s="284">
        <f>RawDataGenPO[[#This Row],[Total price]]/RawDataGenPO[[#This Row],[Qty'']]</f>
        <v/>
      </c>
      <c r="T2148" s="278" t="n">
        <v>20900</v>
      </c>
      <c r="U2148" s="291" t="n"/>
      <c r="V2148" s="7" t="inlineStr">
        <is>
          <t>V1000460 - FIX EVOLUTION CO., LTD.</t>
        </is>
      </c>
      <c r="W2148" s="30" t="inlineStr">
        <is>
          <t xml:space="preserve">Waitting Supplier transportation </t>
        </is>
      </c>
      <c r="Z2148" s="23" t="n"/>
      <c r="AA2148" s="17">
        <f>IF(RawDataGenPO[[#This Row],[Date Gen PO]]="","",RawDataGenPO[[#This Row],[Date recive bill]]-RawDataGenPO[[#This Row],[Date Gen PO]])</f>
        <v/>
      </c>
      <c r="AB2148" s="16">
        <f>IF(RawDataGenPO[[#This Row],[GRN-PO date]]&gt;RawDataGenPO[[#This Row],[Lead time delivery (day)]],"over deliverry","Ontime")</f>
        <v/>
      </c>
      <c r="AC2148" s="22" t="n"/>
    </row>
    <row r="2149" ht="15" customHeight="1">
      <c r="A2149" s="5">
        <f>ROW()-ROW(RawDataGenPO[[#Headers],[No.]])</f>
        <v/>
      </c>
      <c r="B2149" s="29" t="inlineStr">
        <is>
          <t>Expent  cost</t>
        </is>
      </c>
      <c r="C2149" s="373" t="n"/>
      <c r="D2149" s="374" t="n"/>
      <c r="E2149" s="374" t="n"/>
      <c r="F2149" s="281" t="n">
        <v>46119</v>
      </c>
      <c r="G2149" s="5" t="inlineStr">
        <is>
          <t>PR2627-00070</t>
        </is>
      </c>
      <c r="H2149" s="5" t="inlineStr">
        <is>
          <t>PO2627-00170</t>
        </is>
      </c>
      <c r="I2149" s="286" t="n">
        <v>46121</v>
      </c>
      <c r="J2149" s="26" t="n"/>
      <c r="K2149" s="20" t="n">
        <v>120</v>
      </c>
      <c r="L2149" s="5" t="inlineStr">
        <is>
          <t>SFST81000048</t>
        </is>
      </c>
      <c r="M2149" s="7" t="inlineStr">
        <is>
          <t>PD Machine</t>
        </is>
      </c>
      <c r="N2149" s="7" t="inlineStr">
        <is>
          <t>Combi oven No.1</t>
        </is>
      </c>
      <c r="O2149" s="11" t="n">
        <v>2</v>
      </c>
      <c r="P2149" s="10" t="inlineStr">
        <is>
          <t>40.00.453P Solid State Relais</t>
        </is>
      </c>
      <c r="Q2149" s="277" t="n">
        <v>4</v>
      </c>
      <c r="R2149" s="5" t="inlineStr">
        <is>
          <t>PCS.</t>
        </is>
      </c>
      <c r="S2149" s="284">
        <f>RawDataGenPO[[#This Row],[Total price]]/RawDataGenPO[[#This Row],[Qty'']]</f>
        <v/>
      </c>
      <c r="T2149" s="278" t="n">
        <v>24000</v>
      </c>
      <c r="U2149" s="291" t="n"/>
      <c r="V2149" s="7" t="inlineStr">
        <is>
          <t>V1000460 - FIX EVOLUTION CO., LTD.</t>
        </is>
      </c>
      <c r="W2149" s="30" t="inlineStr">
        <is>
          <t xml:space="preserve">Waitting Supplier transportation </t>
        </is>
      </c>
      <c r="Z2149" s="23" t="n"/>
      <c r="AA2149" s="17">
        <f>IF(RawDataGenPO[[#This Row],[Date Gen PO]]="","",RawDataGenPO[[#This Row],[Date recive bill]]-RawDataGenPO[[#This Row],[Date Gen PO]])</f>
        <v/>
      </c>
      <c r="AB2149" s="16">
        <f>IF(RawDataGenPO[[#This Row],[GRN-PO date]]&gt;RawDataGenPO[[#This Row],[Lead time delivery (day)]],"over deliverry","Ontime")</f>
        <v/>
      </c>
      <c r="AC2149" s="22" t="n"/>
    </row>
    <row r="2150" ht="15" customHeight="1">
      <c r="A2150" s="5">
        <f>ROW()-ROW(RawDataGenPO[[#Headers],[No.]])</f>
        <v/>
      </c>
      <c r="B2150" s="29" t="inlineStr">
        <is>
          <t>Expent  cost</t>
        </is>
      </c>
      <c r="C2150" s="373" t="n"/>
      <c r="D2150" s="374" t="n"/>
      <c r="E2150" s="374" t="n"/>
      <c r="F2150" s="281" t="n">
        <v>46119</v>
      </c>
      <c r="G2150" s="5" t="inlineStr">
        <is>
          <t>PR2627-00070</t>
        </is>
      </c>
      <c r="H2150" s="5" t="inlineStr">
        <is>
          <t>PO2627-00170</t>
        </is>
      </c>
      <c r="I2150" s="286" t="n">
        <v>46121</v>
      </c>
      <c r="J2150" s="26" t="n"/>
      <c r="K2150" s="20" t="n">
        <v>120</v>
      </c>
      <c r="L2150" s="5" t="inlineStr">
        <is>
          <t>SFST81000048</t>
        </is>
      </c>
      <c r="M2150" s="7" t="inlineStr">
        <is>
          <t>PD Machine</t>
        </is>
      </c>
      <c r="N2150" s="7" t="inlineStr">
        <is>
          <t>Combi oven No.1</t>
        </is>
      </c>
      <c r="O2150" s="11" t="n">
        <v>3</v>
      </c>
      <c r="P2150" s="10" t="inlineStr">
        <is>
          <t>87.01.078 Heating Assembly</t>
        </is>
      </c>
      <c r="Q2150" s="277" t="n">
        <v>1</v>
      </c>
      <c r="R2150" s="5" t="inlineStr">
        <is>
          <t>PCS.</t>
        </is>
      </c>
      <c r="S2150" s="284">
        <f>RawDataGenPO[[#This Row],[Total price]]/RawDataGenPO[[#This Row],[Qty'']]</f>
        <v/>
      </c>
      <c r="T2150" s="278" t="n">
        <v>50250</v>
      </c>
      <c r="U2150" s="291" t="n"/>
      <c r="V2150" s="7" t="inlineStr">
        <is>
          <t>V1000460 - FIX EVOLUTION CO., LTD.</t>
        </is>
      </c>
      <c r="W2150" s="30" t="inlineStr">
        <is>
          <t xml:space="preserve">Waitting Supplier transportation </t>
        </is>
      </c>
      <c r="Z2150" s="23" t="n"/>
      <c r="AA2150" s="17">
        <f>IF(RawDataGenPO[[#This Row],[Date Gen PO]]="","",RawDataGenPO[[#This Row],[Date recive bill]]-RawDataGenPO[[#This Row],[Date Gen PO]])</f>
        <v/>
      </c>
      <c r="AB2150" s="16">
        <f>IF(RawDataGenPO[[#This Row],[GRN-PO date]]&gt;RawDataGenPO[[#This Row],[Lead time delivery (day)]],"over deliverry","Ontime")</f>
        <v/>
      </c>
      <c r="AC2150" s="22" t="n"/>
    </row>
    <row r="2151" ht="15" customHeight="1">
      <c r="A2151" s="5">
        <f>ROW()-ROW(RawDataGenPO[[#Headers],[No.]])</f>
        <v/>
      </c>
      <c r="B2151" s="29" t="inlineStr">
        <is>
          <t>Expent  cost</t>
        </is>
      </c>
      <c r="C2151" s="373" t="n"/>
      <c r="D2151" s="374" t="n"/>
      <c r="E2151" s="374" t="n"/>
      <c r="F2151" s="281" t="n">
        <v>46119</v>
      </c>
      <c r="G2151" s="5" t="inlineStr">
        <is>
          <t>PR2627-00070</t>
        </is>
      </c>
      <c r="H2151" s="5" t="inlineStr">
        <is>
          <t>PO2627-00170</t>
        </is>
      </c>
      <c r="I2151" s="286" t="n">
        <v>46121</v>
      </c>
      <c r="J2151" s="26" t="n"/>
      <c r="K2151" s="20" t="n">
        <v>120</v>
      </c>
      <c r="L2151" s="5" t="inlineStr">
        <is>
          <t>SFST81000048</t>
        </is>
      </c>
      <c r="M2151" s="7" t="inlineStr">
        <is>
          <t>PD Machine</t>
        </is>
      </c>
      <c r="N2151" s="7" t="inlineStr">
        <is>
          <t>Combi oven No.1</t>
        </is>
      </c>
      <c r="O2151" s="11" t="n">
        <v>4</v>
      </c>
      <c r="P2151" s="10" t="inlineStr">
        <is>
          <t>56.00.618S Ball Valve Drain SCC cpl.</t>
        </is>
      </c>
      <c r="Q2151" s="277" t="n">
        <v>1</v>
      </c>
      <c r="R2151" s="5" t="inlineStr">
        <is>
          <t>PCS.</t>
        </is>
      </c>
      <c r="S2151" s="284">
        <f>RawDataGenPO[[#This Row],[Total price]]/RawDataGenPO[[#This Row],[Qty'']]</f>
        <v/>
      </c>
      <c r="T2151" s="278" t="n">
        <v>24800</v>
      </c>
      <c r="U2151" s="291" t="n"/>
      <c r="V2151" s="7" t="inlineStr">
        <is>
          <t>V1000460 - FIX EVOLUTION CO., LTD.</t>
        </is>
      </c>
      <c r="W2151" s="30" t="inlineStr">
        <is>
          <t xml:space="preserve">Waitting Supplier transportation </t>
        </is>
      </c>
      <c r="Z2151" s="23" t="n"/>
      <c r="AA2151" s="17">
        <f>IF(RawDataGenPO[[#This Row],[Date Gen PO]]="","",RawDataGenPO[[#This Row],[Date recive bill]]-RawDataGenPO[[#This Row],[Date Gen PO]])</f>
        <v/>
      </c>
      <c r="AB2151" s="16">
        <f>IF(RawDataGenPO[[#This Row],[GRN-PO date]]&gt;RawDataGenPO[[#This Row],[Lead time delivery (day)]],"over deliverry","Ontime")</f>
        <v/>
      </c>
      <c r="AC2151" s="22" t="n"/>
    </row>
    <row r="2152" ht="15" customHeight="1">
      <c r="A2152" s="5">
        <f>ROW()-ROW(RawDataGenPO[[#Headers],[No.]])</f>
        <v/>
      </c>
      <c r="B2152" s="29" t="inlineStr">
        <is>
          <t>Expent  cost</t>
        </is>
      </c>
      <c r="C2152" s="373" t="n"/>
      <c r="D2152" s="374" t="n"/>
      <c r="E2152" s="374" t="n"/>
      <c r="F2152" s="281" t="n">
        <v>46119</v>
      </c>
      <c r="G2152" s="5" t="inlineStr">
        <is>
          <t>PR2627-00070</t>
        </is>
      </c>
      <c r="H2152" s="5" t="inlineStr">
        <is>
          <t>PO2627-00170</t>
        </is>
      </c>
      <c r="I2152" s="286" t="n">
        <v>46121</v>
      </c>
      <c r="J2152" s="26" t="n"/>
      <c r="K2152" s="20" t="n">
        <v>120</v>
      </c>
      <c r="L2152" s="5" t="inlineStr">
        <is>
          <t>SFST81000048</t>
        </is>
      </c>
      <c r="M2152" s="7" t="inlineStr">
        <is>
          <t>PD Machine</t>
        </is>
      </c>
      <c r="N2152" s="7" t="inlineStr">
        <is>
          <t>Combi oven No.1</t>
        </is>
      </c>
      <c r="O2152" s="11" t="n">
        <v>5</v>
      </c>
      <c r="P2152" s="10" t="inlineStr">
        <is>
          <t>24.04.797P Gasket Glass Pane/Trolly</t>
        </is>
      </c>
      <c r="Q2152" s="277" t="n">
        <v>1</v>
      </c>
      <c r="R2152" s="5" t="inlineStr">
        <is>
          <t>PCS.</t>
        </is>
      </c>
      <c r="S2152" s="284">
        <f>RawDataGenPO[[#This Row],[Total price]]/RawDataGenPO[[#This Row],[Qty'']]</f>
        <v/>
      </c>
      <c r="T2152" s="278" t="n">
        <v>3300</v>
      </c>
      <c r="U2152" s="291" t="n"/>
      <c r="V2152" s="7" t="inlineStr">
        <is>
          <t>V1000460 - FIX EVOLUTION CO., LTD.</t>
        </is>
      </c>
      <c r="W2152" s="30" t="inlineStr">
        <is>
          <t xml:space="preserve">Waitting Supplier transportation </t>
        </is>
      </c>
      <c r="Z2152" s="23" t="n"/>
      <c r="AA2152" s="17">
        <f>IF(RawDataGenPO[[#This Row],[Date Gen PO]]="","",RawDataGenPO[[#This Row],[Date recive bill]]-RawDataGenPO[[#This Row],[Date Gen PO]])</f>
        <v/>
      </c>
      <c r="AB2152" s="16">
        <f>IF(RawDataGenPO[[#This Row],[GRN-PO date]]&gt;RawDataGenPO[[#This Row],[Lead time delivery (day)]],"over deliverry","Ontime")</f>
        <v/>
      </c>
      <c r="AC2152" s="22" t="n"/>
    </row>
    <row r="2153" ht="15" customHeight="1">
      <c r="A2153" s="5">
        <f>ROW()-ROW(RawDataGenPO[[#Headers],[No.]])</f>
        <v/>
      </c>
      <c r="B2153" s="29" t="inlineStr">
        <is>
          <t>Expent  cost</t>
        </is>
      </c>
      <c r="C2153" s="373" t="n"/>
      <c r="D2153" s="374" t="n"/>
      <c r="E2153" s="374" t="n"/>
      <c r="F2153" s="281" t="n">
        <v>46119</v>
      </c>
      <c r="G2153" s="5" t="inlineStr">
        <is>
          <t>PR2627-00070</t>
        </is>
      </c>
      <c r="H2153" s="5" t="inlineStr">
        <is>
          <t>PO2627-00170</t>
        </is>
      </c>
      <c r="I2153" s="286" t="n">
        <v>46121</v>
      </c>
      <c r="J2153" s="26" t="n"/>
      <c r="K2153" s="20" t="n">
        <v>120</v>
      </c>
      <c r="L2153" s="5" t="inlineStr">
        <is>
          <t>SFST81000048</t>
        </is>
      </c>
      <c r="M2153" s="7" t="inlineStr">
        <is>
          <t>PD Machine</t>
        </is>
      </c>
      <c r="N2153" s="7" t="inlineStr">
        <is>
          <t>Combi oven No.1</t>
        </is>
      </c>
      <c r="O2153" s="11" t="n">
        <v>6</v>
      </c>
      <c r="P2153" s="10" t="inlineStr">
        <is>
          <t>20.00.399P Door Gasket</t>
        </is>
      </c>
      <c r="Q2153" s="277" t="n">
        <v>1</v>
      </c>
      <c r="R2153" s="5" t="inlineStr">
        <is>
          <t>PCS.</t>
        </is>
      </c>
      <c r="S2153" s="284">
        <f>RawDataGenPO[[#This Row],[Total price]]/RawDataGenPO[[#This Row],[Qty'']]</f>
        <v/>
      </c>
      <c r="T2153" s="278" t="n">
        <v>7500</v>
      </c>
      <c r="U2153" s="291" t="n"/>
      <c r="V2153" s="7" t="inlineStr">
        <is>
          <t>V1000460 - FIX EVOLUTION CO., LTD.</t>
        </is>
      </c>
      <c r="W2153" s="30" t="inlineStr">
        <is>
          <t xml:space="preserve">Waitting Supplier transportation </t>
        </is>
      </c>
      <c r="Z2153" s="23" t="n"/>
      <c r="AA2153" s="17">
        <f>IF(RawDataGenPO[[#This Row],[Date Gen PO]]="","",RawDataGenPO[[#This Row],[Date recive bill]]-RawDataGenPO[[#This Row],[Date Gen PO]])</f>
        <v/>
      </c>
      <c r="AB2153" s="16">
        <f>IF(RawDataGenPO[[#This Row],[GRN-PO date]]&gt;RawDataGenPO[[#This Row],[Lead time delivery (day)]],"over deliverry","Ontime")</f>
        <v/>
      </c>
      <c r="AC2153" s="22" t="n"/>
    </row>
    <row r="2154" ht="15" customHeight="1">
      <c r="A2154" s="5">
        <f>ROW()-ROW(RawDataGenPO[[#Headers],[No.]])</f>
        <v/>
      </c>
      <c r="B2154" s="29" t="inlineStr">
        <is>
          <t>Expent  cost</t>
        </is>
      </c>
      <c r="C2154" s="373" t="n"/>
      <c r="D2154" s="374" t="n"/>
      <c r="E2154" s="374" t="n"/>
      <c r="F2154" s="281" t="n">
        <v>46119</v>
      </c>
      <c r="G2154" s="5" t="inlineStr">
        <is>
          <t>PR2627-00070</t>
        </is>
      </c>
      <c r="H2154" s="5" t="inlineStr">
        <is>
          <t>PO2627-00170</t>
        </is>
      </c>
      <c r="I2154" s="286" t="n">
        <v>46121</v>
      </c>
      <c r="J2154" s="26" t="n"/>
      <c r="K2154" s="20" t="n">
        <v>120</v>
      </c>
      <c r="L2154" s="5" t="inlineStr">
        <is>
          <t>SFST81000048</t>
        </is>
      </c>
      <c r="M2154" s="7" t="inlineStr">
        <is>
          <t>PD Machine</t>
        </is>
      </c>
      <c r="N2154" s="7" t="inlineStr">
        <is>
          <t>Combi oven No.1</t>
        </is>
      </c>
      <c r="O2154" s="11" t="n">
        <v>7</v>
      </c>
      <c r="P2154" s="10" t="inlineStr">
        <is>
          <t>Service Fee</t>
        </is>
      </c>
      <c r="Q2154" s="277" t="n">
        <v>1</v>
      </c>
      <c r="R2154" s="5" t="inlineStr">
        <is>
          <t>PCS.</t>
        </is>
      </c>
      <c r="S2154" s="284">
        <f>RawDataGenPO[[#This Row],[Total price]]/RawDataGenPO[[#This Row],[Qty'']]</f>
        <v/>
      </c>
      <c r="T2154" s="278" t="n">
        <v>2000</v>
      </c>
      <c r="U2154" s="291" t="n"/>
      <c r="V2154" s="7" t="inlineStr">
        <is>
          <t>V1000460 - FIX EVOLUTION CO., LTD.</t>
        </is>
      </c>
      <c r="W2154" s="30" t="inlineStr">
        <is>
          <t xml:space="preserve">Waitting Supplier transportation </t>
        </is>
      </c>
      <c r="Z2154" s="23" t="n"/>
      <c r="AA2154" s="17">
        <f>IF(RawDataGenPO[[#This Row],[Date Gen PO]]="","",RawDataGenPO[[#This Row],[Date recive bill]]-RawDataGenPO[[#This Row],[Date Gen PO]])</f>
        <v/>
      </c>
      <c r="AB2154" s="16">
        <f>IF(RawDataGenPO[[#This Row],[GRN-PO date]]&gt;RawDataGenPO[[#This Row],[Lead time delivery (day)]],"over deliverry","Ontime")</f>
        <v/>
      </c>
      <c r="AC2154" s="22" t="n"/>
    </row>
    <row r="2155" ht="15" customHeight="1">
      <c r="A2155" s="5">
        <f>ROW()-ROW(RawDataGenPO[[#Headers],[No.]])</f>
        <v/>
      </c>
      <c r="B2155" s="29" t="inlineStr">
        <is>
          <t>Expent  cost</t>
        </is>
      </c>
      <c r="C2155" s="373" t="n"/>
      <c r="D2155" s="374" t="n"/>
      <c r="E2155" s="374" t="n"/>
      <c r="F2155" s="281" t="n">
        <v>46119</v>
      </c>
      <c r="G2155" s="5" t="inlineStr">
        <is>
          <t>PR2627-00071</t>
        </is>
      </c>
      <c r="H2155" s="5" t="inlineStr">
        <is>
          <t xml:space="preserve">PO2627-00145 </t>
        </is>
      </c>
      <c r="I2155" s="286" t="n">
        <v>46121</v>
      </c>
      <c r="J2155" s="26" t="n"/>
      <c r="K2155" s="20" t="n">
        <v>120</v>
      </c>
      <c r="L2155" s="5" t="inlineStr">
        <is>
          <t>SFST11000256</t>
        </is>
      </c>
      <c r="M2155" s="7" t="inlineStr">
        <is>
          <t>Consumable part for MN</t>
        </is>
      </c>
      <c r="N2155" s="7" t="inlineStr">
        <is>
          <t>Consumable part</t>
        </is>
      </c>
      <c r="O2155" s="11" t="n">
        <v>1</v>
      </c>
      <c r="P2155" s="10" t="inlineStr">
        <is>
          <t>Bio Solution 1 lit</t>
        </is>
      </c>
      <c r="Q2155" s="277" t="n">
        <v>4</v>
      </c>
      <c r="R2155" s="5" t="inlineStr">
        <is>
          <t>bot</t>
        </is>
      </c>
      <c r="S2155" s="284">
        <f>RawDataGenPO[[#This Row],[Total price]]/RawDataGenPO[[#This Row],[Qty'']]</f>
        <v/>
      </c>
      <c r="T2155" s="278" t="n">
        <v>3200</v>
      </c>
      <c r="U2155" s="291" t="n"/>
      <c r="V2155" s="7" t="inlineStr">
        <is>
          <t>V1000206 - TECHMAN (THAILAND) CO.,LTD.</t>
        </is>
      </c>
      <c r="W2155" s="30" t="inlineStr">
        <is>
          <t>Recive bill and GRN already</t>
        </is>
      </c>
      <c r="X2155" s="5" t="inlineStr">
        <is>
          <t>GRN2627-0000542</t>
        </is>
      </c>
      <c r="Y2155" s="3" t="n">
        <v>46133</v>
      </c>
      <c r="Z2155" s="23" t="n"/>
      <c r="AA2155" s="17">
        <f>IF(RawDataGenPO[[#This Row],[Date Gen PO]]="","",RawDataGenPO[[#This Row],[Date recive bill]]-RawDataGenPO[[#This Row],[Date Gen PO]])</f>
        <v/>
      </c>
      <c r="AB2155" s="16">
        <f>IF(RawDataGenPO[[#This Row],[GRN-PO date]]&gt;RawDataGenPO[[#This Row],[Lead time delivery (day)]],"over deliverry","Ontime")</f>
        <v/>
      </c>
      <c r="AC2155" s="22" t="n"/>
    </row>
    <row r="2156" ht="15" customHeight="1">
      <c r="A2156" s="5">
        <f>ROW()-ROW(RawDataGenPO[[#Headers],[No.]])</f>
        <v/>
      </c>
      <c r="B2156" s="29" t="inlineStr">
        <is>
          <t>Expent  cost</t>
        </is>
      </c>
      <c r="C2156" s="373" t="n"/>
      <c r="D2156" s="374" t="n"/>
      <c r="E2156" s="374" t="n"/>
      <c r="F2156" s="281" t="n">
        <v>46120</v>
      </c>
      <c r="G2156" s="5" t="inlineStr">
        <is>
          <t>PR2627-00086</t>
        </is>
      </c>
      <c r="H2156" s="5" t="inlineStr">
        <is>
          <t>PO2627-00414</t>
        </is>
      </c>
      <c r="I2156" s="286" t="n"/>
      <c r="J2156" s="26" t="n"/>
      <c r="K2156" s="20" t="n"/>
      <c r="L2156" s="5" t="inlineStr">
        <is>
          <t>SFST34000025</t>
        </is>
      </c>
      <c r="M2156" s="7" t="inlineStr">
        <is>
          <t>Consumable part for MN</t>
        </is>
      </c>
      <c r="N2156" s="7" t="inlineStr">
        <is>
          <t>Consumable part</t>
        </is>
      </c>
      <c r="O2156" s="11" t="n">
        <v>1</v>
      </c>
      <c r="P2156" s="10" t="inlineStr">
        <is>
          <t>ball valve stainless steel 304 size 1/2’’ inch (Ball Valve Stainless)</t>
        </is>
      </c>
      <c r="Q2156" s="277" t="n">
        <v>20</v>
      </c>
      <c r="R2156" s="5" t="inlineStr">
        <is>
          <t>PCS.</t>
        </is>
      </c>
      <c r="S2156" s="284">
        <f>RawDataGenPO[[#This Row],[Total price]]/RawDataGenPO[[#This Row],[Qty'']]</f>
        <v/>
      </c>
      <c r="T2156" s="278" t="n">
        <v>3200</v>
      </c>
      <c r="U2156" s="291" t="n"/>
      <c r="V2156" s="7" t="inlineStr">
        <is>
          <t>V1000259 - JJP SUPPLY CO., LTD</t>
        </is>
      </c>
      <c r="W2156" s="30" t="inlineStr">
        <is>
          <t xml:space="preserve">Waitting Supplier transportation </t>
        </is>
      </c>
      <c r="Z2156" s="23" t="n"/>
      <c r="AA2156" s="17">
        <f>IF(RawDataGenPO[[#This Row],[Date Gen PO]]="","",RawDataGenPO[[#This Row],[Date recive bill]]-RawDataGenPO[[#This Row],[Date Gen PO]])</f>
        <v/>
      </c>
      <c r="AB2156" s="16">
        <f>IF(RawDataGenPO[[#This Row],[GRN-PO date]]&gt;RawDataGenPO[[#This Row],[Lead time delivery (day)]],"over deliverry","Ontime")</f>
        <v/>
      </c>
      <c r="AC2156" s="22" t="n"/>
    </row>
    <row r="2157" ht="15" customHeight="1">
      <c r="A2157" s="5">
        <f>ROW()-ROW(RawDataGenPO[[#Headers],[No.]])</f>
        <v/>
      </c>
      <c r="B2157" s="29" t="inlineStr">
        <is>
          <t>Expent  cost</t>
        </is>
      </c>
      <c r="C2157" s="373" t="n"/>
      <c r="D2157" s="374" t="n"/>
      <c r="E2157" s="374" t="n"/>
      <c r="F2157" s="281" t="n">
        <v>46120</v>
      </c>
      <c r="G2157" s="5" t="inlineStr">
        <is>
          <t>PR2627-00097</t>
        </is>
      </c>
      <c r="I2157" s="286" t="n"/>
      <c r="J2157" s="26" t="n"/>
      <c r="K2157" s="20" t="n"/>
      <c r="L2157" s="5" t="inlineStr">
        <is>
          <t>SFST81000050</t>
        </is>
      </c>
      <c r="M2157" s="7" t="inlineStr">
        <is>
          <t>Consumable part for MN</t>
        </is>
      </c>
      <c r="N2157" s="7" t="inlineStr">
        <is>
          <t>Consumable part</t>
        </is>
      </c>
      <c r="O2157" s="11" t="n">
        <v>1</v>
      </c>
      <c r="P2157" s="10" t="inlineStr">
        <is>
          <t>TOYOX cablechemical (TFB-15) 5/8" TOYOFOODS</t>
        </is>
      </c>
      <c r="Q2157" s="277" t="n">
        <v>50</v>
      </c>
      <c r="R2157" s="5" t="inlineStr">
        <is>
          <t>M.</t>
        </is>
      </c>
      <c r="S2157" s="284">
        <f>RawDataGenPO[[#This Row],[Total price]]/RawDataGenPO[[#This Row],[Qty'']]</f>
        <v/>
      </c>
      <c r="T2157" s="278" t="n">
        <v>8330</v>
      </c>
      <c r="U2157" s="291" t="n"/>
      <c r="W2157" s="30" t="inlineStr">
        <is>
          <t xml:space="preserve">Waitting Supplier transportation </t>
        </is>
      </c>
      <c r="Z2157" s="23" t="n"/>
      <c r="AA2157" s="17">
        <f>IF(RawDataGenPO[[#This Row],[Date Gen PO]]="","",RawDataGenPO[[#This Row],[Date recive bill]]-RawDataGenPO[[#This Row],[Date Gen PO]])</f>
        <v/>
      </c>
      <c r="AB2157" s="16">
        <f>IF(RawDataGenPO[[#This Row],[GRN-PO date]]&gt;RawDataGenPO[[#This Row],[Lead time delivery (day)]],"over deliverry","Ontime")</f>
        <v/>
      </c>
      <c r="AC2157" s="22" t="n"/>
    </row>
    <row r="2158" ht="15" customHeight="1">
      <c r="A2158" s="5">
        <f>ROW()-ROW(RawDataGenPO[[#Headers],[No.]])</f>
        <v/>
      </c>
      <c r="B2158" s="29" t="inlineStr">
        <is>
          <t>Expent  cost</t>
        </is>
      </c>
      <c r="C2158" s="373" t="n"/>
      <c r="D2158" s="374" t="n"/>
      <c r="E2158" s="374" t="n"/>
      <c r="F2158" s="281" t="n">
        <v>46121</v>
      </c>
      <c r="G2158" s="5" t="inlineStr">
        <is>
          <t>PR2627-00097</t>
        </is>
      </c>
      <c r="I2158" s="286" t="n"/>
      <c r="J2158" s="26" t="n"/>
      <c r="K2158" s="20" t="n"/>
      <c r="L2158" s="5" t="inlineStr">
        <is>
          <t>SFST81000050</t>
        </is>
      </c>
      <c r="M2158" s="7" t="inlineStr">
        <is>
          <t>Consumable part for MN</t>
        </is>
      </c>
      <c r="N2158" s="7" t="inlineStr">
        <is>
          <t>Consumable part</t>
        </is>
      </c>
      <c r="O2158" s="11" t="n">
        <v>2</v>
      </c>
      <c r="P2158" s="10" t="inlineStr"/>
      <c r="Q2158" s="277" t="n">
        <v>1</v>
      </c>
      <c r="R2158" s="5" t="inlineStr">
        <is>
          <t>JOB.</t>
        </is>
      </c>
      <c r="S2158" s="284">
        <f>RawDataGenPO[[#This Row],[Total price]]/RawDataGenPO[[#This Row],[Qty'']]</f>
        <v/>
      </c>
      <c r="T2158" s="278" t="n">
        <v>122.5</v>
      </c>
      <c r="U2158" s="291" t="n"/>
      <c r="W2158" s="30" t="inlineStr">
        <is>
          <t xml:space="preserve">Waitting Supplier transportation </t>
        </is>
      </c>
      <c r="Z2158" s="23" t="n"/>
      <c r="AA2158" s="17">
        <f>IF(RawDataGenPO[[#This Row],[Date Gen PO]]="","",RawDataGenPO[[#This Row],[Date recive bill]]-RawDataGenPO[[#This Row],[Date Gen PO]])</f>
        <v/>
      </c>
      <c r="AB2158" s="16">
        <f>IF(RawDataGenPO[[#This Row],[GRN-PO date]]&gt;RawDataGenPO[[#This Row],[Lead time delivery (day)]],"over deliverry","Ontime")</f>
        <v/>
      </c>
      <c r="AC2158" s="22" t="n"/>
    </row>
    <row r="2159" ht="15" customHeight="1">
      <c r="A2159" s="5">
        <f>ROW()-ROW(RawDataGenPO[[#Headers],[No.]])</f>
        <v/>
      </c>
      <c r="B2159" s="29" t="inlineStr">
        <is>
          <t>Expent  cost</t>
        </is>
      </c>
      <c r="C2159" s="373" t="n"/>
      <c r="D2159" s="374" t="n"/>
      <c r="E2159" s="374" t="n"/>
      <c r="F2159" s="281" t="n">
        <v>46121</v>
      </c>
      <c r="G2159" s="5" t="inlineStr">
        <is>
          <t>PR2627-00098</t>
        </is>
      </c>
      <c r="H2159" s="5" t="inlineStr">
        <is>
          <t>PO2627-00421</t>
        </is>
      </c>
      <c r="I2159" s="286" t="n">
        <v>46134</v>
      </c>
      <c r="J2159" s="26" t="n"/>
      <c r="K2159" s="20" t="n">
        <v>60</v>
      </c>
      <c r="L2159" s="5" t="inlineStr">
        <is>
          <t>SFST81000050</t>
        </is>
      </c>
      <c r="M2159" s="7" t="inlineStr">
        <is>
          <t>Consumable part for MN</t>
        </is>
      </c>
      <c r="N2159" s="7" t="inlineStr">
        <is>
          <t>Consumable part</t>
        </is>
      </c>
      <c r="O2159" s="11" t="n">
        <v>1</v>
      </c>
      <c r="P2159" s="10" t="inlineStr">
        <is>
          <t>tabletchemical DPD No.1 "Lovibond"</t>
        </is>
      </c>
      <c r="Q2159" s="277" t="n">
        <v>20</v>
      </c>
      <c r="R2159" s="5" t="inlineStr">
        <is>
          <t>PCS.</t>
        </is>
      </c>
      <c r="S2159" s="284">
        <f>RawDataGenPO[[#This Row],[Total price]]/RawDataGenPO[[#This Row],[Qty'']]</f>
        <v/>
      </c>
      <c r="T2159" s="278" t="n">
        <v>26600</v>
      </c>
      <c r="U2159" s="291" t="n"/>
      <c r="V2159" s="7" t="inlineStr">
        <is>
          <t>V1000210 - U.P. MARKETING GENERAL SUPPLY CO., LTD.</t>
        </is>
      </c>
      <c r="W2159" s="30" t="inlineStr">
        <is>
          <t xml:space="preserve">Waitting Supplier transportation </t>
        </is>
      </c>
      <c r="Z2159" s="23" t="n"/>
      <c r="AA2159" s="17">
        <f>IF(RawDataGenPO[[#This Row],[Date Gen PO]]="","",RawDataGenPO[[#This Row],[Date recive bill]]-RawDataGenPO[[#This Row],[Date Gen PO]])</f>
        <v/>
      </c>
      <c r="AB2159" s="16">
        <f>IF(RawDataGenPO[[#This Row],[GRN-PO date]]&gt;RawDataGenPO[[#This Row],[Lead time delivery (day)]],"over deliverry","Ontime")</f>
        <v/>
      </c>
      <c r="AC2159" s="22" t="n"/>
    </row>
    <row r="2160" ht="45" customHeight="1">
      <c r="A2160" s="5">
        <f>ROW()-ROW(RawDataGenPO[[#Headers],[No.]])</f>
        <v/>
      </c>
      <c r="B2160" s="29" t="inlineStr">
        <is>
          <t>Expent  cost</t>
        </is>
      </c>
      <c r="C2160" s="373" t="n"/>
      <c r="D2160" s="374" t="n"/>
      <c r="E2160" s="374" t="n"/>
      <c r="F2160" s="281" t="n">
        <v>46121</v>
      </c>
      <c r="G2160" s="5" t="inlineStr">
        <is>
          <t>PR2627-00098</t>
        </is>
      </c>
      <c r="H2160" s="5" t="inlineStr">
        <is>
          <t>PO2627-00421</t>
        </is>
      </c>
      <c r="I2160" s="286" t="n">
        <v>46134</v>
      </c>
      <c r="J2160" s="26" t="n"/>
      <c r="K2160" s="20" t="n">
        <v>60</v>
      </c>
      <c r="L2160" s="5" t="inlineStr">
        <is>
          <t>SFST81000050</t>
        </is>
      </c>
      <c r="M2160" s="7" t="inlineStr">
        <is>
          <t>Consumable part for MN</t>
        </is>
      </c>
      <c r="N2160" s="7" t="inlineStr">
        <is>
          <t>Consumable part</t>
        </is>
      </c>
      <c r="O2160" s="11" t="n">
        <v>2</v>
      </c>
      <c r="P2160" s="10" t="inlineStr">
        <is>
          <t>Lovibond photometer sample cell, round glass 16mm.
16mm. Diameter, 96mm. Height with lid 10ml.
#197620"</t>
        </is>
      </c>
      <c r="Q2160" s="277" t="n">
        <v>6</v>
      </c>
      <c r="R2160" s="5" t="inlineStr">
        <is>
          <t>PCS.</t>
        </is>
      </c>
      <c r="S2160" s="284">
        <f>RawDataGenPO[[#This Row],[Total price]]/RawDataGenPO[[#This Row],[Qty'']]</f>
        <v/>
      </c>
      <c r="T2160" s="278" t="n">
        <v>2400</v>
      </c>
      <c r="U2160" s="291" t="n"/>
      <c r="V2160" s="7" t="inlineStr">
        <is>
          <t>V1000210 - U.P. MARKETING GENERAL SUPPLY CO., LTD.</t>
        </is>
      </c>
      <c r="W2160" s="30" t="inlineStr">
        <is>
          <t xml:space="preserve">Waitting Supplier transportation </t>
        </is>
      </c>
      <c r="Z2160" s="23" t="n"/>
      <c r="AA2160" s="17">
        <f>IF(RawDataGenPO[[#This Row],[Date Gen PO]]="","",RawDataGenPO[[#This Row],[Date recive bill]]-RawDataGenPO[[#This Row],[Date Gen PO]])</f>
        <v/>
      </c>
      <c r="AB2160" s="16">
        <f>IF(RawDataGenPO[[#This Row],[GRN-PO date]]&gt;RawDataGenPO[[#This Row],[Lead time delivery (day)]],"over deliverry","Ontime")</f>
        <v/>
      </c>
      <c r="AC2160" s="22" t="n"/>
    </row>
    <row r="2161" ht="105" customHeight="1">
      <c r="A2161" s="5">
        <f>ROW()-ROW(RawDataGenPO[[#Headers],[No.]])</f>
        <v/>
      </c>
      <c r="B2161" s="29" t="inlineStr">
        <is>
          <t>Expent  cost</t>
        </is>
      </c>
      <c r="C2161" s="373" t="n"/>
      <c r="D2161" s="374" t="n"/>
      <c r="E2161" s="374" t="n"/>
      <c r="F2161" s="281" t="n">
        <v>46122</v>
      </c>
      <c r="G2161" s="5" t="inlineStr">
        <is>
          <t>PR2627-00136</t>
        </is>
      </c>
      <c r="H2161" s="5" t="inlineStr">
        <is>
          <t>PO2627-00415</t>
        </is>
      </c>
      <c r="I2161" s="286" t="n">
        <v>46134</v>
      </c>
      <c r="J2161" s="26" t="n"/>
      <c r="K2161" s="20" t="n">
        <v>120</v>
      </c>
      <c r="L2161" s="5" t="inlineStr">
        <is>
          <t>SFST81000064</t>
        </is>
      </c>
      <c r="M2161" s="7" t="inlineStr">
        <is>
          <t>PD Machine</t>
        </is>
      </c>
      <c r="N2161" s="7" t="inlineStr">
        <is>
          <t>Inspect cost</t>
        </is>
      </c>
      <c r="O2161" s="11" t="n">
        <v>1</v>
      </c>
      <c r="P2161" s="10" t="inlineStr">
        <is>
          <t>Service Charge
Low-Risk Machines Inspection
- K+G Wetter CM 120 STL
- Firex steam bratt pan 1
- Jumainox steam bratt pan 2
- Jumainox steam bratt pan 3
- Jumainox steam bratt pan 4</t>
        </is>
      </c>
      <c r="Q2161" s="277" t="n">
        <v>1</v>
      </c>
      <c r="R2161" s="5" t="inlineStr">
        <is>
          <t>JOB.</t>
        </is>
      </c>
      <c r="S2161" s="284">
        <f>RawDataGenPO[[#This Row],[Total price]]/RawDataGenPO[[#This Row],[Qty'']]</f>
        <v/>
      </c>
      <c r="T2161" s="278" t="n">
        <v>16000</v>
      </c>
      <c r="U2161" s="291" t="n"/>
      <c r="V2161" s="7" t="inlineStr">
        <is>
          <t>V1001052 - FPT Asia Co., Ltd.</t>
        </is>
      </c>
      <c r="W2161" s="30" t="inlineStr">
        <is>
          <t xml:space="preserve">Waitting Supplier transportation </t>
        </is>
      </c>
      <c r="Z2161" s="23" t="n"/>
      <c r="AA2161" s="17">
        <f>IF(RawDataGenPO[[#This Row],[Date Gen PO]]="","",RawDataGenPO[[#This Row],[Date recive bill]]-RawDataGenPO[[#This Row],[Date Gen PO]])</f>
        <v/>
      </c>
      <c r="AB2161" s="16">
        <f>IF(RawDataGenPO[[#This Row],[GRN-PO date]]&gt;RawDataGenPO[[#This Row],[Lead time delivery (day)]],"over deliverry","Ontime")</f>
        <v/>
      </c>
      <c r="AC2161" s="22" t="n"/>
    </row>
    <row r="2162" ht="15" customHeight="1">
      <c r="A2162" s="5">
        <f>ROW()-ROW(RawDataGenPO[[#Headers],[No.]])</f>
        <v/>
      </c>
      <c r="B2162" s="29" t="inlineStr">
        <is>
          <t>Expent  cost</t>
        </is>
      </c>
      <c r="C2162" s="373" t="n"/>
      <c r="D2162" s="374" t="n"/>
      <c r="E2162" s="374" t="n"/>
      <c r="F2162" s="281" t="n">
        <v>46122</v>
      </c>
      <c r="G2162" s="5" t="inlineStr">
        <is>
          <t>PR2627-00137</t>
        </is>
      </c>
      <c r="H2162" s="5" t="inlineStr">
        <is>
          <t>PO2627-00416</t>
        </is>
      </c>
      <c r="I2162" s="286" t="n">
        <v>46134</v>
      </c>
      <c r="J2162" s="26" t="n"/>
      <c r="K2162" s="20" t="n">
        <v>120</v>
      </c>
      <c r="L2162" s="5" t="inlineStr">
        <is>
          <t>SFST81000064</t>
        </is>
      </c>
      <c r="M2162" s="7" t="inlineStr">
        <is>
          <t>PD Machine</t>
        </is>
      </c>
      <c r="N2162" s="7" t="inlineStr">
        <is>
          <t>Inspect cost</t>
        </is>
      </c>
      <c r="O2162" s="11" t="n">
        <v>1</v>
      </c>
      <c r="P2162" s="10" t="inlineStr">
        <is>
          <t>MODEL: ICP 202-SN: E22SJ23013133144 (No.2)</t>
        </is>
      </c>
      <c r="Q2162" s="277" t="n">
        <v>1</v>
      </c>
      <c r="R2162" s="5" t="inlineStr">
        <is>
          <t>JOB.</t>
        </is>
      </c>
      <c r="S2162" s="284">
        <f>RawDataGenPO[[#This Row],[Total price]]/RawDataGenPO[[#This Row],[Qty'']]</f>
        <v/>
      </c>
      <c r="T2162" s="278" t="n">
        <v>3000</v>
      </c>
      <c r="U2162" s="291" t="n"/>
      <c r="V2162" s="7" t="inlineStr">
        <is>
          <t>V1000460 - FIX EVOLUTION CO., LTD.</t>
        </is>
      </c>
      <c r="W2162" s="30" t="inlineStr">
        <is>
          <t xml:space="preserve">Waitting Supplier transportation </t>
        </is>
      </c>
      <c r="Z2162" s="23" t="n"/>
      <c r="AA2162" s="17">
        <f>IF(RawDataGenPO[[#This Row],[Date Gen PO]]="","",RawDataGenPO[[#This Row],[Date recive bill]]-RawDataGenPO[[#This Row],[Date Gen PO]])</f>
        <v/>
      </c>
      <c r="AB2162" s="16">
        <f>IF(RawDataGenPO[[#This Row],[GRN-PO date]]&gt;RawDataGenPO[[#This Row],[Lead time delivery (day)]],"over deliverry","Ontime")</f>
        <v/>
      </c>
      <c r="AC2162" s="22" t="n"/>
    </row>
    <row r="2163" ht="15" customHeight="1">
      <c r="A2163" s="5">
        <f>ROW()-ROW(RawDataGenPO[[#Headers],[No.]])</f>
        <v/>
      </c>
      <c r="B2163" s="29" t="inlineStr">
        <is>
          <t>Expent  cost</t>
        </is>
      </c>
      <c r="C2163" s="373" t="n"/>
      <c r="D2163" s="374" t="n"/>
      <c r="E2163" s="374" t="n"/>
      <c r="F2163" s="281" t="n">
        <v>46122</v>
      </c>
      <c r="G2163" s="5" t="inlineStr">
        <is>
          <t>PR2627-00137</t>
        </is>
      </c>
      <c r="H2163" s="5" t="inlineStr">
        <is>
          <t>PO2627-00416</t>
        </is>
      </c>
      <c r="I2163" s="286" t="n">
        <v>46134</v>
      </c>
      <c r="J2163" s="26" t="n"/>
      <c r="K2163" s="20" t="n">
        <v>120</v>
      </c>
      <c r="L2163" s="5" t="inlineStr">
        <is>
          <t>SFST81000064</t>
        </is>
      </c>
      <c r="M2163" s="7" t="inlineStr">
        <is>
          <t>PD Machine</t>
        </is>
      </c>
      <c r="N2163" s="7" t="inlineStr">
        <is>
          <t>Inspect cost</t>
        </is>
      </c>
      <c r="O2163" s="11" t="n">
        <v>2</v>
      </c>
      <c r="P2163" s="10" t="inlineStr">
        <is>
          <t>MODEL: SCC WE 202-SN: EZ2SI19032734036 (No.3)</t>
        </is>
      </c>
      <c r="Q2163" s="277" t="n">
        <v>1</v>
      </c>
      <c r="R2163" s="5" t="inlineStr">
        <is>
          <t>JOB.</t>
        </is>
      </c>
      <c r="S2163" s="284">
        <f>RawDataGenPO[[#This Row],[Total price]]/RawDataGenPO[[#This Row],[Qty'']]</f>
        <v/>
      </c>
      <c r="T2163" s="278" t="n">
        <v>1500</v>
      </c>
      <c r="U2163" s="291" t="n"/>
      <c r="V2163" s="7" t="inlineStr">
        <is>
          <t>V1000460 - FIX EVOLUTION CO., LTD.</t>
        </is>
      </c>
      <c r="W2163" s="30" t="inlineStr">
        <is>
          <t xml:space="preserve">Waitting Supplier transportation </t>
        </is>
      </c>
      <c r="Z2163" s="23" t="n"/>
      <c r="AA2163" s="17">
        <f>IF(RawDataGenPO[[#This Row],[Date Gen PO]]="","",RawDataGenPO[[#This Row],[Date recive bill]]-RawDataGenPO[[#This Row],[Date Gen PO]])</f>
        <v/>
      </c>
      <c r="AB2163" s="16">
        <f>IF(RawDataGenPO[[#This Row],[GRN-PO date]]&gt;RawDataGenPO[[#This Row],[Lead time delivery (day)]],"over deliverry","Ontime")</f>
        <v/>
      </c>
      <c r="AC2163" s="22" t="n"/>
    </row>
    <row r="2164" ht="15" customHeight="1">
      <c r="A2164" s="5">
        <f>ROW()-ROW(RawDataGenPO[[#Headers],[No.]])</f>
        <v/>
      </c>
      <c r="B2164" s="29" t="inlineStr">
        <is>
          <t>Expent  cost</t>
        </is>
      </c>
      <c r="C2164" s="373" t="n"/>
      <c r="D2164" s="374" t="n"/>
      <c r="E2164" s="374" t="n"/>
      <c r="F2164" s="281" t="n">
        <v>46122</v>
      </c>
      <c r="G2164" s="5" t="inlineStr">
        <is>
          <t>PR2627-00137</t>
        </is>
      </c>
      <c r="H2164" s="5" t="inlineStr">
        <is>
          <t>PO2627-00416</t>
        </is>
      </c>
      <c r="I2164" s="286" t="n">
        <v>46134</v>
      </c>
      <c r="J2164" s="26" t="n"/>
      <c r="K2164" s="20" t="n">
        <v>120</v>
      </c>
      <c r="L2164" s="5" t="inlineStr">
        <is>
          <t>SFST81000064</t>
        </is>
      </c>
      <c r="M2164" s="7" t="inlineStr">
        <is>
          <t>PD Machine</t>
        </is>
      </c>
      <c r="N2164" s="7" t="inlineStr">
        <is>
          <t>Inspect cost</t>
        </is>
      </c>
      <c r="O2164" s="11" t="n">
        <v>3</v>
      </c>
      <c r="P2164" s="10" t="inlineStr">
        <is>
          <t>MODEL: ICP 202-SN: E225123083078215 (No.4)</t>
        </is>
      </c>
      <c r="Q2164" s="277" t="n">
        <v>1</v>
      </c>
      <c r="R2164" s="5" t="inlineStr">
        <is>
          <t>JOB.</t>
        </is>
      </c>
      <c r="S2164" s="284">
        <f>RawDataGenPO[[#This Row],[Total price]]/RawDataGenPO[[#This Row],[Qty'']]</f>
        <v/>
      </c>
      <c r="T2164" s="278" t="n">
        <v>1500</v>
      </c>
      <c r="U2164" s="291" t="n"/>
      <c r="V2164" s="7" t="inlineStr">
        <is>
          <t>V1000460 - FIX EVOLUTION CO., LTD.</t>
        </is>
      </c>
      <c r="W2164" s="30" t="inlineStr">
        <is>
          <t xml:space="preserve">Waitting Supplier transportation </t>
        </is>
      </c>
      <c r="Z2164" s="23" t="n"/>
      <c r="AA2164" s="17">
        <f>IF(RawDataGenPO[[#This Row],[Date Gen PO]]="","",RawDataGenPO[[#This Row],[Date recive bill]]-RawDataGenPO[[#This Row],[Date Gen PO]])</f>
        <v/>
      </c>
      <c r="AB2164" s="16">
        <f>IF(RawDataGenPO[[#This Row],[GRN-PO date]]&gt;RawDataGenPO[[#This Row],[Lead time delivery (day)]],"over deliverry","Ontime")</f>
        <v/>
      </c>
      <c r="AC2164" s="22" t="n"/>
    </row>
    <row r="2165" ht="15" customHeight="1">
      <c r="A2165" s="5">
        <f>ROW()-ROW(RawDataGenPO[[#Headers],[No.]])</f>
        <v/>
      </c>
      <c r="B2165" s="29" t="inlineStr">
        <is>
          <t>Expent  cost</t>
        </is>
      </c>
      <c r="C2165" s="373" t="n"/>
      <c r="D2165" s="374" t="n"/>
      <c r="E2165" s="374" t="n"/>
      <c r="F2165" s="281" t="n">
        <v>46122</v>
      </c>
      <c r="G2165" s="5" t="inlineStr">
        <is>
          <t>PR2627-00137</t>
        </is>
      </c>
      <c r="H2165" s="5" t="inlineStr">
        <is>
          <t>PO2627-00416</t>
        </is>
      </c>
      <c r="I2165" s="286" t="n">
        <v>46134</v>
      </c>
      <c r="J2165" s="26" t="n"/>
      <c r="K2165" s="20" t="n">
        <v>120</v>
      </c>
      <c r="L2165" s="5" t="inlineStr">
        <is>
          <t>SFST81000064</t>
        </is>
      </c>
      <c r="M2165" s="7" t="inlineStr">
        <is>
          <t>PD Machine</t>
        </is>
      </c>
      <c r="N2165" s="7" t="inlineStr">
        <is>
          <t>Inspect cost</t>
        </is>
      </c>
      <c r="O2165" s="11" t="n">
        <v>4</v>
      </c>
      <c r="P2165" s="10" t="inlineStr">
        <is>
          <t>MODEL: Angelo Po Combi Oven (R&amp;D)</t>
        </is>
      </c>
      <c r="Q2165" s="277" t="n">
        <v>1</v>
      </c>
      <c r="R2165" s="5" t="inlineStr">
        <is>
          <t>JOB.</t>
        </is>
      </c>
      <c r="S2165" s="284">
        <f>RawDataGenPO[[#This Row],[Total price]]/RawDataGenPO[[#This Row],[Qty'']]</f>
        <v/>
      </c>
      <c r="T2165" s="278" t="n">
        <v>2000</v>
      </c>
      <c r="U2165" s="291" t="n"/>
      <c r="V2165" s="7" t="inlineStr">
        <is>
          <t>V1000460 - FIX EVOLUTION CO., LTD.</t>
        </is>
      </c>
      <c r="W2165" s="30" t="inlineStr">
        <is>
          <t xml:space="preserve">Waitting Supplier transportation </t>
        </is>
      </c>
      <c r="Z2165" s="23" t="n"/>
      <c r="AA2165" s="17">
        <f>IF(RawDataGenPO[[#This Row],[Date Gen PO]]="","",RawDataGenPO[[#This Row],[Date recive bill]]-RawDataGenPO[[#This Row],[Date Gen PO]])</f>
        <v/>
      </c>
      <c r="AB2165" s="16">
        <f>IF(RawDataGenPO[[#This Row],[GRN-PO date]]&gt;RawDataGenPO[[#This Row],[Lead time delivery (day)]],"over deliverry","Ontime")</f>
        <v/>
      </c>
      <c r="AC2165" s="22" t="n"/>
    </row>
    <row r="2166" ht="15" customHeight="1">
      <c r="A2166" s="5">
        <f>ROW()-ROW(RawDataGenPO[[#Headers],[No.]])</f>
        <v/>
      </c>
      <c r="B2166" s="29" t="inlineStr">
        <is>
          <t>Expent  cost</t>
        </is>
      </c>
      <c r="C2166" s="373" t="n"/>
      <c r="D2166" s="374" t="n"/>
      <c r="E2166" s="374" t="n"/>
      <c r="F2166" s="281" t="n">
        <v>46122</v>
      </c>
      <c r="G2166" s="5" t="inlineStr">
        <is>
          <t>PR2627-00137</t>
        </is>
      </c>
      <c r="H2166" s="5" t="inlineStr">
        <is>
          <t>PO2627-00416</t>
        </is>
      </c>
      <c r="I2166" s="286" t="n">
        <v>46134</v>
      </c>
      <c r="J2166" s="26" t="n"/>
      <c r="K2166" s="20" t="n">
        <v>120</v>
      </c>
      <c r="L2166" s="5" t="inlineStr">
        <is>
          <t>SFST81000064</t>
        </is>
      </c>
      <c r="M2166" s="7" t="inlineStr">
        <is>
          <t>PD Machine</t>
        </is>
      </c>
      <c r="N2166" s="7" t="inlineStr">
        <is>
          <t>Inspect cost</t>
        </is>
      </c>
      <c r="O2166" s="11" t="n">
        <v>5</v>
      </c>
      <c r="P2166" s="10" t="inlineStr">
        <is>
          <t>MODEL: SCC WE 202-SN: E225119032739795 (No. 1)</t>
        </is>
      </c>
      <c r="Q2166" s="277" t="n">
        <v>1</v>
      </c>
      <c r="R2166" s="5" t="inlineStr">
        <is>
          <t>JOB.</t>
        </is>
      </c>
      <c r="S2166" s="284">
        <f>RawDataGenPO[[#This Row],[Total price]]/RawDataGenPO[[#This Row],[Qty'']]</f>
        <v/>
      </c>
      <c r="T2166" s="278" t="n">
        <v>1500</v>
      </c>
      <c r="U2166" s="291" t="n"/>
      <c r="V2166" s="7" t="inlineStr">
        <is>
          <t>V1000460 - FIX EVOLUTION CO., LTD.</t>
        </is>
      </c>
      <c r="W2166" s="30" t="inlineStr">
        <is>
          <t xml:space="preserve">Waitting Supplier transportation </t>
        </is>
      </c>
      <c r="Z2166" s="23" t="n"/>
      <c r="AA2166" s="17">
        <f>IF(RawDataGenPO[[#This Row],[Date Gen PO]]="","",RawDataGenPO[[#This Row],[Date recive bill]]-RawDataGenPO[[#This Row],[Date Gen PO]])</f>
        <v/>
      </c>
      <c r="AB2166" s="16">
        <f>IF(RawDataGenPO[[#This Row],[GRN-PO date]]&gt;RawDataGenPO[[#This Row],[Lead time delivery (day)]],"over deliverry","Ontime")</f>
        <v/>
      </c>
      <c r="AC2166" s="22" t="n"/>
    </row>
    <row r="2167" ht="15" customHeight="1">
      <c r="A2167" s="5">
        <f>ROW()-ROW(RawDataGenPO[[#Headers],[No.]])</f>
        <v/>
      </c>
      <c r="B2167" s="29" t="inlineStr">
        <is>
          <t>Expent  cost</t>
        </is>
      </c>
      <c r="C2167" s="373" t="n"/>
      <c r="D2167" s="374" t="n"/>
      <c r="E2167" s="374" t="n"/>
      <c r="F2167" s="281" t="n">
        <v>46122</v>
      </c>
      <c r="G2167" s="5" t="inlineStr">
        <is>
          <t>PR2627-00140</t>
        </is>
      </c>
      <c r="H2167" s="5" t="inlineStr">
        <is>
          <t>PO2627-00422</t>
        </is>
      </c>
      <c r="I2167" s="286" t="n"/>
      <c r="J2167" s="26" t="n"/>
      <c r="K2167" s="20" t="n"/>
      <c r="L2167" s="5" t="inlineStr">
        <is>
          <t>SFST81000050</t>
        </is>
      </c>
      <c r="M2167" s="7" t="inlineStr">
        <is>
          <t>Consumable part for MN</t>
        </is>
      </c>
      <c r="N2167" s="7" t="inlineStr">
        <is>
          <t>Consumable part</t>
        </is>
      </c>
      <c r="O2167" s="11" t="n">
        <v>1</v>
      </c>
      <c r="P2167" s="10" t="inlineStr">
        <is>
          <t>oxygen gas size 1.5 Q</t>
        </is>
      </c>
      <c r="Q2167" s="277" t="n">
        <v>1</v>
      </c>
      <c r="R2167" s="5" t="inlineStr">
        <is>
          <t>DRUM.</t>
        </is>
      </c>
      <c r="S2167" s="284">
        <f>RawDataGenPO[[#This Row],[Total price]]/RawDataGenPO[[#This Row],[Qty'']]</f>
        <v/>
      </c>
      <c r="T2167" s="278" t="n">
        <v>150</v>
      </c>
      <c r="U2167" s="291" t="n"/>
      <c r="V2167" s="7" t="inlineStr">
        <is>
          <t>V1000475 - Klong Karn Kha Trading</t>
        </is>
      </c>
      <c r="W2167" s="30" t="inlineStr">
        <is>
          <t xml:space="preserve">Waitting Supplier transportation </t>
        </is>
      </c>
      <c r="Z2167" s="23" t="n"/>
      <c r="AA2167" s="17">
        <f>IF(RawDataGenPO[[#This Row],[Date Gen PO]]="","",RawDataGenPO[[#This Row],[Date recive bill]]-RawDataGenPO[[#This Row],[Date Gen PO]])</f>
        <v/>
      </c>
      <c r="AB2167" s="16">
        <f>IF(RawDataGenPO[[#This Row],[GRN-PO date]]&gt;RawDataGenPO[[#This Row],[Lead time delivery (day)]],"over deliverry","Ontime")</f>
        <v/>
      </c>
      <c r="AC2167" s="22" t="n"/>
    </row>
    <row r="2168" ht="15" customHeight="1">
      <c r="A2168" s="5">
        <f>ROW()-ROW(RawDataGenPO[[#Headers],[No.]])</f>
        <v/>
      </c>
      <c r="B2168" s="29" t="inlineStr">
        <is>
          <t>Expent  cost</t>
        </is>
      </c>
      <c r="C2168" s="373" t="n"/>
      <c r="D2168" s="374" t="n"/>
      <c r="E2168" s="374" t="n"/>
      <c r="F2168" s="281" t="n">
        <v>46122</v>
      </c>
      <c r="G2168" s="5" t="inlineStr">
        <is>
          <t>PR2627-00140</t>
        </is>
      </c>
      <c r="H2168" s="5" t="inlineStr">
        <is>
          <t>PO2627-00422</t>
        </is>
      </c>
      <c r="I2168" s="286" t="n"/>
      <c r="J2168" s="26" t="n"/>
      <c r="K2168" s="20" t="n"/>
      <c r="L2168" s="5" t="inlineStr">
        <is>
          <t>SFST81000050</t>
        </is>
      </c>
      <c r="M2168" s="7" t="inlineStr">
        <is>
          <t>Consumable part for MN</t>
        </is>
      </c>
      <c r="N2168" s="7" t="inlineStr">
        <is>
          <t>Consumable part</t>
        </is>
      </c>
      <c r="O2168" s="11" t="n">
        <v>2</v>
      </c>
      <c r="P2168" s="10" t="inlineStr">
        <is>
          <t>oxygen gas size 1.5 Q</t>
        </is>
      </c>
      <c r="Q2168" s="277" t="n">
        <v>1</v>
      </c>
      <c r="R2168" s="5" t="inlineStr">
        <is>
          <t>DRUM.</t>
        </is>
      </c>
      <c r="S2168" s="284">
        <f>RawDataGenPO[[#This Row],[Total price]]/RawDataGenPO[[#This Row],[Qty'']]</f>
        <v/>
      </c>
      <c r="T2168" s="278" t="n">
        <v>150</v>
      </c>
      <c r="U2168" s="291" t="n"/>
      <c r="V2168" s="7" t="inlineStr">
        <is>
          <t>V1000475 - Klong Karn Kha Trading</t>
        </is>
      </c>
      <c r="W2168" s="30" t="inlineStr">
        <is>
          <t xml:space="preserve">Waitting Supplier transportation </t>
        </is>
      </c>
      <c r="Z2168" s="23" t="n"/>
      <c r="AA2168" s="17">
        <f>IF(RawDataGenPO[[#This Row],[Date Gen PO]]="","",RawDataGenPO[[#This Row],[Date recive bill]]-RawDataGenPO[[#This Row],[Date Gen PO]])</f>
        <v/>
      </c>
      <c r="AB2168" s="16">
        <f>IF(RawDataGenPO[[#This Row],[GRN-PO date]]&gt;RawDataGenPO[[#This Row],[Lead time delivery (day)]],"over deliverry","Ontime")</f>
        <v/>
      </c>
      <c r="AC2168" s="22" t="n"/>
    </row>
    <row r="2169" ht="15" customHeight="1">
      <c r="A2169" s="5">
        <f>ROW()-ROW(RawDataGenPO[[#Headers],[No.]])</f>
        <v/>
      </c>
      <c r="B2169" s="29" t="inlineStr">
        <is>
          <t>Expent  cost</t>
        </is>
      </c>
      <c r="C2169" s="373" t="n"/>
      <c r="D2169" s="374" t="n"/>
      <c r="E2169" s="374" t="n"/>
      <c r="F2169" s="281" t="n">
        <v>46122</v>
      </c>
      <c r="G2169" s="5" t="inlineStr">
        <is>
          <t>PR2627-00140</t>
        </is>
      </c>
      <c r="H2169" s="5" t="inlineStr">
        <is>
          <t>PO2627-00422</t>
        </is>
      </c>
      <c r="I2169" s="286" t="n"/>
      <c r="J2169" s="26" t="n"/>
      <c r="K2169" s="20" t="n"/>
      <c r="L2169" s="5" t="inlineStr">
        <is>
          <t>SFST81000050</t>
        </is>
      </c>
      <c r="M2169" s="7" t="inlineStr">
        <is>
          <t>Consumable part for MN</t>
        </is>
      </c>
      <c r="N2169" s="7" t="inlineStr">
        <is>
          <t>Consumable part</t>
        </is>
      </c>
      <c r="O2169" s="11" t="n">
        <v>3</v>
      </c>
      <c r="P2169" s="10" t="inlineStr">
        <is>
          <t>oxygen gas size 1.5 Q</t>
        </is>
      </c>
      <c r="Q2169" s="277" t="n">
        <v>1</v>
      </c>
      <c r="R2169" s="5" t="inlineStr">
        <is>
          <t>DRUM.</t>
        </is>
      </c>
      <c r="S2169" s="284">
        <f>RawDataGenPO[[#This Row],[Total price]]/RawDataGenPO[[#This Row],[Qty'']]</f>
        <v/>
      </c>
      <c r="T2169" s="278" t="n">
        <v>150</v>
      </c>
      <c r="U2169" s="291" t="n"/>
      <c r="V2169" s="7" t="inlineStr">
        <is>
          <t>V1000475 - Klong Karn Kha Trading</t>
        </is>
      </c>
      <c r="W2169" s="30" t="inlineStr">
        <is>
          <t xml:space="preserve">Waitting Supplier transportation </t>
        </is>
      </c>
      <c r="Z2169" s="23" t="n"/>
      <c r="AA2169" s="17">
        <f>IF(RawDataGenPO[[#This Row],[Date Gen PO]]="","",RawDataGenPO[[#This Row],[Date recive bill]]-RawDataGenPO[[#This Row],[Date Gen PO]])</f>
        <v/>
      </c>
      <c r="AB2169" s="16">
        <f>IF(RawDataGenPO[[#This Row],[GRN-PO date]]&gt;RawDataGenPO[[#This Row],[Lead time delivery (day)]],"over deliverry","Ontime")</f>
        <v/>
      </c>
      <c r="AC2169" s="22" t="n"/>
    </row>
    <row r="2170" ht="15" customHeight="1">
      <c r="A2170" s="5">
        <f>ROW()-ROW(RawDataGenPO[[#Headers],[No.]])</f>
        <v/>
      </c>
      <c r="B2170" s="29" t="inlineStr">
        <is>
          <t>Expent  cost</t>
        </is>
      </c>
      <c r="C2170" s="373" t="n"/>
      <c r="D2170" s="374" t="n"/>
      <c r="E2170" s="374" t="n"/>
      <c r="F2170" s="281" t="n">
        <v>46122</v>
      </c>
      <c r="G2170" s="5" t="inlineStr">
        <is>
          <t>PR2627-00140</t>
        </is>
      </c>
      <c r="H2170" s="5" t="inlineStr">
        <is>
          <t>PO2627-00422</t>
        </is>
      </c>
      <c r="I2170" s="286" t="n"/>
      <c r="J2170" s="26" t="n"/>
      <c r="K2170" s="20" t="n"/>
      <c r="L2170" s="5" t="inlineStr">
        <is>
          <t>SFST81000050</t>
        </is>
      </c>
      <c r="M2170" s="7" t="inlineStr">
        <is>
          <t>Consumable part for MN</t>
        </is>
      </c>
      <c r="N2170" s="7" t="inlineStr">
        <is>
          <t>Consumable part</t>
        </is>
      </c>
      <c r="O2170" s="11" t="n">
        <v>4</v>
      </c>
      <c r="P2170" s="10" t="inlineStr">
        <is>
          <t>oxygen gas size 1.5 Q</t>
        </is>
      </c>
      <c r="Q2170" s="277" t="n">
        <v>1</v>
      </c>
      <c r="R2170" s="5" t="inlineStr">
        <is>
          <t>DRUM.</t>
        </is>
      </c>
      <c r="S2170" s="284">
        <f>RawDataGenPO[[#This Row],[Total price]]/RawDataGenPO[[#This Row],[Qty'']]</f>
        <v/>
      </c>
      <c r="T2170" s="278" t="n">
        <v>150</v>
      </c>
      <c r="U2170" s="291" t="n"/>
      <c r="V2170" s="7" t="inlineStr">
        <is>
          <t>V1000475 - Klong Karn Kha Trading</t>
        </is>
      </c>
      <c r="W2170" s="30" t="inlineStr">
        <is>
          <t xml:space="preserve">Waitting Supplier transportation </t>
        </is>
      </c>
      <c r="Z2170" s="23" t="n"/>
      <c r="AA2170" s="17">
        <f>IF(RawDataGenPO[[#This Row],[Date Gen PO]]="","",RawDataGenPO[[#This Row],[Date recive bill]]-RawDataGenPO[[#This Row],[Date Gen PO]])</f>
        <v/>
      </c>
      <c r="AB2170" s="16">
        <f>IF(RawDataGenPO[[#This Row],[GRN-PO date]]&gt;RawDataGenPO[[#This Row],[Lead time delivery (day)]],"over deliverry","Ontime")</f>
        <v/>
      </c>
      <c r="AC2170" s="22" t="n"/>
    </row>
    <row r="2171" ht="15" customHeight="1">
      <c r="A2171" s="5">
        <f>ROW()-ROW(RawDataGenPO[[#Headers],[No.]])</f>
        <v/>
      </c>
      <c r="B2171" s="29" t="inlineStr">
        <is>
          <t>Expent  cost</t>
        </is>
      </c>
      <c r="C2171" s="373" t="n"/>
      <c r="D2171" s="374" t="n"/>
      <c r="E2171" s="374" t="n"/>
      <c r="F2171" s="281" t="n">
        <v>46122</v>
      </c>
      <c r="G2171" s="5" t="inlineStr">
        <is>
          <t>PR2627-00140</t>
        </is>
      </c>
      <c r="H2171" s="5" t="inlineStr">
        <is>
          <t>PO2627-00422</t>
        </is>
      </c>
      <c r="I2171" s="286" t="n"/>
      <c r="J2171" s="26" t="n"/>
      <c r="K2171" s="20" t="n"/>
      <c r="L2171" s="5" t="inlineStr">
        <is>
          <t>SFST81000050</t>
        </is>
      </c>
      <c r="M2171" s="7" t="inlineStr">
        <is>
          <t>Consumable part for MN</t>
        </is>
      </c>
      <c r="N2171" s="7" t="inlineStr">
        <is>
          <t>Consumable part</t>
        </is>
      </c>
      <c r="O2171" s="11" t="n">
        <v>5</v>
      </c>
      <c r="P2171" s="10" t="inlineStr">
        <is>
          <t>oxygen gas size 1.5 Q</t>
        </is>
      </c>
      <c r="Q2171" s="277" t="n">
        <v>1</v>
      </c>
      <c r="R2171" s="5" t="inlineStr">
        <is>
          <t>DRUM.</t>
        </is>
      </c>
      <c r="S2171" s="284">
        <f>RawDataGenPO[[#This Row],[Total price]]/RawDataGenPO[[#This Row],[Qty'']]</f>
        <v/>
      </c>
      <c r="T2171" s="278" t="n">
        <v>150</v>
      </c>
      <c r="U2171" s="291" t="n"/>
      <c r="V2171" s="7" t="inlineStr">
        <is>
          <t>V1000475 - Klong Karn Kha Trading</t>
        </is>
      </c>
      <c r="W2171" s="30" t="inlineStr">
        <is>
          <t xml:space="preserve">Waitting Supplier transportation </t>
        </is>
      </c>
      <c r="Z2171" s="23" t="n"/>
      <c r="AA2171" s="17">
        <f>IF(RawDataGenPO[[#This Row],[Date Gen PO]]="","",RawDataGenPO[[#This Row],[Date recive bill]]-RawDataGenPO[[#This Row],[Date Gen PO]])</f>
        <v/>
      </c>
      <c r="AB2171" s="16">
        <f>IF(RawDataGenPO[[#This Row],[GRN-PO date]]&gt;RawDataGenPO[[#This Row],[Lead time delivery (day)]],"over deliverry","Ontime")</f>
        <v/>
      </c>
      <c r="AC2171" s="22" t="n"/>
    </row>
    <row r="2172" ht="15" customHeight="1">
      <c r="A2172" s="5">
        <f>ROW()-ROW(RawDataGenPO[[#Headers],[No.]])</f>
        <v/>
      </c>
      <c r="B2172" s="29" t="inlineStr">
        <is>
          <t>Expent  cost</t>
        </is>
      </c>
      <c r="C2172" s="373" t="n"/>
      <c r="D2172" s="374" t="n"/>
      <c r="E2172" s="374" t="n"/>
      <c r="F2172" s="281" t="n">
        <v>46122</v>
      </c>
      <c r="G2172" s="5" t="inlineStr">
        <is>
          <t>PR2627-00140</t>
        </is>
      </c>
      <c r="H2172" s="5" t="inlineStr">
        <is>
          <t>PO2627-00422</t>
        </is>
      </c>
      <c r="I2172" s="286" t="n"/>
      <c r="J2172" s="26" t="n"/>
      <c r="K2172" s="20" t="n"/>
      <c r="L2172" s="5" t="inlineStr">
        <is>
          <t>SFST81000050</t>
        </is>
      </c>
      <c r="M2172" s="7" t="inlineStr">
        <is>
          <t>Consumable part for MN</t>
        </is>
      </c>
      <c r="N2172" s="7" t="inlineStr">
        <is>
          <t>Consumable part</t>
        </is>
      </c>
      <c r="O2172" s="11" t="n">
        <v>6</v>
      </c>
      <c r="P2172" s="10" t="inlineStr">
        <is>
          <t>oxygen gas size 1.5 Q</t>
        </is>
      </c>
      <c r="Q2172" s="277" t="n">
        <v>1</v>
      </c>
      <c r="R2172" s="5" t="inlineStr">
        <is>
          <t>DRUM.</t>
        </is>
      </c>
      <c r="S2172" s="284">
        <f>RawDataGenPO[[#This Row],[Total price]]/RawDataGenPO[[#This Row],[Qty'']]</f>
        <v/>
      </c>
      <c r="T2172" s="278" t="n">
        <v>150</v>
      </c>
      <c r="U2172" s="291" t="n"/>
      <c r="V2172" s="7" t="inlineStr">
        <is>
          <t>V1000475 - Klong Karn Kha Trading</t>
        </is>
      </c>
      <c r="W2172" s="30" t="inlineStr">
        <is>
          <t xml:space="preserve">Waitting Supplier transportation </t>
        </is>
      </c>
      <c r="Z2172" s="23" t="n"/>
      <c r="AA2172" s="17">
        <f>IF(RawDataGenPO[[#This Row],[Date Gen PO]]="","",RawDataGenPO[[#This Row],[Date recive bill]]-RawDataGenPO[[#This Row],[Date Gen PO]])</f>
        <v/>
      </c>
      <c r="AB2172" s="16">
        <f>IF(RawDataGenPO[[#This Row],[GRN-PO date]]&gt;RawDataGenPO[[#This Row],[Lead time delivery (day)]],"over deliverry","Ontime")</f>
        <v/>
      </c>
      <c r="AC2172" s="22" t="n"/>
    </row>
    <row r="2173" ht="75" customHeight="1">
      <c r="A2173" s="5">
        <f>ROW()-ROW(RawDataGenPO[[#Headers],[No.]])</f>
        <v/>
      </c>
      <c r="B2173" s="29" t="inlineStr">
        <is>
          <t>Expent  cost</t>
        </is>
      </c>
      <c r="C2173" s="373" t="n"/>
      <c r="D2173" s="374" t="n"/>
      <c r="E2173" s="374" t="n"/>
      <c r="F2173" s="281" t="n">
        <v>46122</v>
      </c>
      <c r="G2173" s="5" t="inlineStr">
        <is>
          <t>PR2627-00155</t>
        </is>
      </c>
      <c r="H2173" s="5" t="inlineStr">
        <is>
          <t>PO2627-00417</t>
        </is>
      </c>
      <c r="I2173" s="286" t="n">
        <v>46134</v>
      </c>
      <c r="J2173" s="26" t="n"/>
      <c r="K2173" s="20" t="n">
        <v>120</v>
      </c>
      <c r="L2173" s="5" t="inlineStr">
        <is>
          <t>SFST81000048</t>
        </is>
      </c>
      <c r="M2173" s="7" t="inlineStr">
        <is>
          <t>Cooling machine for PD line</t>
        </is>
      </c>
      <c r="N2173" s="7" t="inlineStr">
        <is>
          <t>Condencer Unit No.29 (Air Blast Freezer2)</t>
        </is>
      </c>
      <c r="O2173" s="11" t="n">
        <v>1</v>
      </c>
      <c r="P2173" s="10" t="inlineStr">
        <is>
          <t>labor costworkinspectioncooling system Air Blast No.2 1
- inspectionoperationworkcooling system
- inspectionoperationworksystemwater
- inspectionoperationwork Compressor
- inspectionrepairrepairconnector</t>
        </is>
      </c>
      <c r="Q2173" s="277" t="n">
        <v>1</v>
      </c>
      <c r="R2173" s="5" t="inlineStr">
        <is>
          <t>JOB.</t>
        </is>
      </c>
      <c r="S2173" s="284">
        <f>RawDataGenPO[[#This Row],[Total price]]/RawDataGenPO[[#This Row],[Qty'']]</f>
        <v/>
      </c>
      <c r="T2173" s="278" t="n">
        <v>9500</v>
      </c>
      <c r="U2173" s="291" t="n"/>
      <c r="V2173" s="7" t="inlineStr">
        <is>
          <t>V1000762 - PORNNARIN P N SERVICE LIMITED PARTNERSHIP</t>
        </is>
      </c>
      <c r="W2173" s="30" t="inlineStr">
        <is>
          <t xml:space="preserve">Waitting Supplier transportation </t>
        </is>
      </c>
      <c r="Z2173" s="23" t="n"/>
      <c r="AA2173" s="17">
        <f>IF(RawDataGenPO[[#This Row],[Date Gen PO]]="","",RawDataGenPO[[#This Row],[Date recive bill]]-RawDataGenPO[[#This Row],[Date Gen PO]])</f>
        <v/>
      </c>
      <c r="AB2173" s="16">
        <f>IF(RawDataGenPO[[#This Row],[GRN-PO date]]&gt;RawDataGenPO[[#This Row],[Lead time delivery (day)]],"over deliverry","Ontime")</f>
        <v/>
      </c>
      <c r="AC2173" s="22" t="n"/>
    </row>
    <row r="2174" ht="60" customHeight="1">
      <c r="A2174" s="5">
        <f>ROW()-ROW(RawDataGenPO[[#Headers],[No.]])</f>
        <v/>
      </c>
      <c r="B2174" s="29" t="inlineStr">
        <is>
          <t>Expent  cost</t>
        </is>
      </c>
      <c r="C2174" s="373" t="n"/>
      <c r="D2174" s="374" t="n"/>
      <c r="E2174" s="374" t="n"/>
      <c r="F2174" s="281" t="n">
        <v>46129</v>
      </c>
      <c r="G2174" s="5" t="inlineStr">
        <is>
          <t>PR2627-00202</t>
        </is>
      </c>
      <c r="I2174" s="286" t="n"/>
      <c r="J2174" s="26" t="n"/>
      <c r="K2174" s="20" t="n"/>
      <c r="L2174" s="5" t="inlineStr">
        <is>
          <t>SFST81000048</t>
        </is>
      </c>
      <c r="M2174" s="7" t="inlineStr">
        <is>
          <t>Cooling machine for PD line</t>
        </is>
      </c>
      <c r="N2174" s="7" t="inlineStr">
        <is>
          <t>Cooling system jobs</t>
        </is>
      </c>
      <c r="O2174" s="11" t="n">
        <v>1</v>
      </c>
      <c r="P2174" s="10" t="inlineStr">
        <is>
          <t>Cleaning Evaporator
- Swap test ATP
- If the ATP result does not pass, it must be cleaned again
- 3 Zone: Hight risk, Low risk, Midium</t>
        </is>
      </c>
      <c r="Q2174" s="277" t="n">
        <v>62</v>
      </c>
      <c r="R2174" s="5" t="inlineStr">
        <is>
          <t xml:space="preserve">Unit </t>
        </is>
      </c>
      <c r="S2174" s="284">
        <f>RawDataGenPO[[#This Row],[Total price]]/RawDataGenPO[[#This Row],[Qty'']]</f>
        <v/>
      </c>
      <c r="T2174" s="278" t="n">
        <v>117800</v>
      </c>
      <c r="U2174" s="291" t="n"/>
      <c r="W2174" s="30" t="inlineStr">
        <is>
          <t xml:space="preserve">Waitting Supplier transportation </t>
        </is>
      </c>
      <c r="Z2174" s="23" t="n"/>
      <c r="AA2174" s="17">
        <f>IF(RawDataGenPO[[#This Row],[Date Gen PO]]="","",RawDataGenPO[[#This Row],[Date recive bill]]-RawDataGenPO[[#This Row],[Date Gen PO]])</f>
        <v/>
      </c>
      <c r="AB2174" s="16">
        <f>IF(RawDataGenPO[[#This Row],[GRN-PO date]]&gt;RawDataGenPO[[#This Row],[Lead time delivery (day)]],"over deliverry","Ontime")</f>
        <v/>
      </c>
      <c r="AC2174" s="22" t="n"/>
    </row>
    <row r="2175" ht="15" customHeight="1">
      <c r="A2175" s="5">
        <f>ROW()-ROW(RawDataGenPO[[#Headers],[No.]])</f>
        <v/>
      </c>
      <c r="B2175" s="29" t="inlineStr">
        <is>
          <t>Expent  cost</t>
        </is>
      </c>
      <c r="C2175" s="373" t="n"/>
      <c r="D2175" s="374" t="n"/>
      <c r="E2175" s="374" t="n"/>
      <c r="F2175" s="281" t="n">
        <v>46129</v>
      </c>
      <c r="G2175" s="5" t="inlineStr">
        <is>
          <t xml:space="preserve">PR2627-00212 </t>
        </is>
      </c>
      <c r="H2175" s="5" t="inlineStr">
        <is>
          <t xml:space="preserve">PO2627-00418 </t>
        </is>
      </c>
      <c r="I2175" s="286" t="n">
        <v>46134</v>
      </c>
      <c r="J2175" s="26" t="n"/>
      <c r="K2175" s="20" t="n">
        <v>120</v>
      </c>
      <c r="L2175" s="5" t="inlineStr">
        <is>
          <t>SFST34000102</t>
        </is>
      </c>
      <c r="M2175" s="7" t="inlineStr">
        <is>
          <t>Consumable part for MN</t>
        </is>
      </c>
      <c r="N2175" s="7" t="inlineStr">
        <is>
          <t>Consumable part</t>
        </is>
      </c>
      <c r="O2175" s="11" t="n">
        <v>1</v>
      </c>
      <c r="P2175" s="10" t="inlineStr">
        <is>
          <t>acid-free anti-mold silicone Wessbond silicone Neutra grey</t>
        </is>
      </c>
      <c r="Q2175" s="277" t="n">
        <v>25</v>
      </c>
      <c r="R2175" s="5" t="inlineStr">
        <is>
          <t>PCS.</t>
        </is>
      </c>
      <c r="S2175" s="284">
        <f>RawDataGenPO[[#This Row],[Total price]]/RawDataGenPO[[#This Row],[Qty'']]</f>
        <v/>
      </c>
      <c r="T2175" s="278" t="n">
        <v>5500</v>
      </c>
      <c r="U2175" s="291" t="n"/>
      <c r="V2175" s="7" t="inlineStr">
        <is>
          <t>V1000576 - Darmex Petroleum (Thailand) Corp., Ltd.</t>
        </is>
      </c>
      <c r="W2175" s="30" t="inlineStr">
        <is>
          <t xml:space="preserve">Waitting Supplier transportation </t>
        </is>
      </c>
      <c r="Z2175" s="23" t="n"/>
      <c r="AA2175" s="17">
        <f>IF(RawDataGenPO[[#This Row],[Date Gen PO]]="","",RawDataGenPO[[#This Row],[Date recive bill]]-RawDataGenPO[[#This Row],[Date Gen PO]])</f>
        <v/>
      </c>
      <c r="AB2175" s="16">
        <f>IF(RawDataGenPO[[#This Row],[GRN-PO date]]&gt;RawDataGenPO[[#This Row],[Lead time delivery (day)]],"over deliverry","Ontime")</f>
        <v/>
      </c>
      <c r="AC2175" s="22" t="n"/>
    </row>
    <row r="2176" ht="15" customHeight="1">
      <c r="A2176" s="5">
        <f>ROW()-ROW(RawDataGenPO[[#Headers],[No.]])</f>
        <v/>
      </c>
      <c r="B2176" s="29" t="inlineStr">
        <is>
          <t>Expent  cost</t>
        </is>
      </c>
      <c r="C2176" s="373" t="n"/>
      <c r="D2176" s="374" t="n"/>
      <c r="E2176" s="374" t="n"/>
      <c r="F2176" s="281" t="n">
        <v>46129</v>
      </c>
      <c r="G2176" s="5" t="inlineStr">
        <is>
          <t xml:space="preserve">PR2627-00212 </t>
        </is>
      </c>
      <c r="H2176" s="5" t="inlineStr">
        <is>
          <t xml:space="preserve">PO2627-00418 </t>
        </is>
      </c>
      <c r="I2176" s="286" t="n">
        <v>46134</v>
      </c>
      <c r="J2176" s="26" t="n"/>
      <c r="K2176" s="20" t="n">
        <v>120</v>
      </c>
      <c r="L2176" s="5" t="inlineStr">
        <is>
          <t>SFST34000103</t>
        </is>
      </c>
      <c r="M2176" s="7" t="inlineStr">
        <is>
          <t>Consumable part for MN</t>
        </is>
      </c>
      <c r="N2176" s="7" t="inlineStr">
        <is>
          <t>Consumable part</t>
        </is>
      </c>
      <c r="O2176" s="11" t="n">
        <v>2</v>
      </c>
      <c r="P2176" s="10" t="inlineStr">
        <is>
          <t>acid-free anti-mold silicone Wessbond silicone Neutra white</t>
        </is>
      </c>
      <c r="Q2176" s="277" t="n">
        <v>25</v>
      </c>
      <c r="R2176" s="5" t="inlineStr">
        <is>
          <t>PCS.</t>
        </is>
      </c>
      <c r="S2176" s="284">
        <f>RawDataGenPO[[#This Row],[Total price]]/RawDataGenPO[[#This Row],[Qty'']]</f>
        <v/>
      </c>
      <c r="T2176" s="278" t="n">
        <v>5750</v>
      </c>
      <c r="U2176" s="291" t="n"/>
      <c r="V2176" s="7" t="inlineStr">
        <is>
          <t>V1000576 - Darmex Petroleum (Thailand) Corp., Ltd.</t>
        </is>
      </c>
      <c r="W2176" s="30" t="inlineStr">
        <is>
          <t xml:space="preserve">Waitting Supplier transportation </t>
        </is>
      </c>
      <c r="Z2176" s="23" t="n"/>
      <c r="AA2176" s="17">
        <f>IF(RawDataGenPO[[#This Row],[Date Gen PO]]="","",RawDataGenPO[[#This Row],[Date recive bill]]-RawDataGenPO[[#This Row],[Date Gen PO]])</f>
        <v/>
      </c>
      <c r="AB2176" s="16">
        <f>IF(RawDataGenPO[[#This Row],[GRN-PO date]]&gt;RawDataGenPO[[#This Row],[Lead time delivery (day)]],"over deliverry","Ontime")</f>
        <v/>
      </c>
      <c r="AC2176" s="22" t="n"/>
    </row>
    <row r="2177" ht="15" customHeight="1">
      <c r="A2177" s="5">
        <f>ROW()-ROW(RawDataGenPO[[#Headers],[No.]])</f>
        <v/>
      </c>
      <c r="B2177" s="29" t="inlineStr">
        <is>
          <t>Expent  cost</t>
        </is>
      </c>
      <c r="C2177" s="373" t="n"/>
      <c r="D2177" s="374" t="n"/>
      <c r="E2177" s="374" t="n"/>
      <c r="F2177" s="281" t="n">
        <v>46132</v>
      </c>
      <c r="G2177" s="5" t="inlineStr">
        <is>
          <t>PR2627-00250</t>
        </is>
      </c>
      <c r="H2177" s="5" t="inlineStr">
        <is>
          <t>PO2627-00419</t>
        </is>
      </c>
      <c r="I2177" s="286" t="n">
        <v>46134</v>
      </c>
      <c r="J2177" s="26" t="n"/>
      <c r="K2177" s="20" t="n">
        <v>120</v>
      </c>
      <c r="L2177" s="5" t="inlineStr">
        <is>
          <t>SFST81000048</t>
        </is>
      </c>
      <c r="M2177" s="7" t="inlineStr">
        <is>
          <t>PD Machine</t>
        </is>
      </c>
      <c r="N2177" s="7" t="inlineStr">
        <is>
          <t>Combi oven No.1</t>
        </is>
      </c>
      <c r="O2177" s="11" t="n">
        <v>1</v>
      </c>
      <c r="P2177" s="10" t="inlineStr">
        <is>
          <t>40.03.513P Fan motor with motor shaft gasket</t>
        </is>
      </c>
      <c r="Q2177" s="277" t="n">
        <v>1</v>
      </c>
      <c r="R2177" s="5" t="inlineStr">
        <is>
          <t>PCS.</t>
        </is>
      </c>
      <c r="S2177" s="284">
        <f>RawDataGenPO[[#This Row],[Total price]]/RawDataGenPO[[#This Row],[Qty'']]</f>
        <v/>
      </c>
      <c r="T2177" s="278" t="n">
        <v>59805</v>
      </c>
      <c r="U2177" s="291" t="n"/>
      <c r="V2177" s="7" t="inlineStr">
        <is>
          <t>V1000460 - FIX EVOLUTION CO., LTD.</t>
        </is>
      </c>
      <c r="W2177" s="30" t="inlineStr">
        <is>
          <t xml:space="preserve">Waitting Supplier transportation </t>
        </is>
      </c>
      <c r="Z2177" s="23" t="n"/>
      <c r="AA2177" s="17">
        <f>IF(RawDataGenPO[[#This Row],[Date Gen PO]]="","",RawDataGenPO[[#This Row],[Date recive bill]]-RawDataGenPO[[#This Row],[Date Gen PO]])</f>
        <v/>
      </c>
      <c r="AB2177" s="16">
        <f>IF(RawDataGenPO[[#This Row],[GRN-PO date]]&gt;RawDataGenPO[[#This Row],[Lead time delivery (day)]],"over deliverry","Ontime")</f>
        <v/>
      </c>
      <c r="AC2177" s="22" t="n"/>
    </row>
    <row r="2178" ht="15" customHeight="1">
      <c r="A2178" s="5">
        <f>ROW()-ROW(RawDataGenPO[[#Headers],[No.]])</f>
        <v/>
      </c>
      <c r="B2178" s="29" t="inlineStr">
        <is>
          <t>Expent  cost</t>
        </is>
      </c>
      <c r="C2178" s="373" t="n"/>
      <c r="D2178" s="374" t="n"/>
      <c r="E2178" s="374" t="n"/>
      <c r="F2178" s="281" t="n">
        <v>46135</v>
      </c>
      <c r="G2178" s="5" t="inlineStr">
        <is>
          <t>PR2627-00300</t>
        </is>
      </c>
      <c r="I2178" s="286" t="n"/>
      <c r="J2178" s="26" t="n"/>
      <c r="K2178" s="20" t="n"/>
      <c r="L2178" s="5" t="inlineStr">
        <is>
          <t>SFST81000050</t>
        </is>
      </c>
      <c r="M2178" s="7" t="inlineStr">
        <is>
          <t>Tool and Equipment PD M/C</t>
        </is>
      </c>
      <c r="N2178" s="7" t="inlineStr">
        <is>
          <t>Tool and Equipment</t>
        </is>
      </c>
      <c r="O2178" s="11" t="n">
        <v>1</v>
      </c>
      <c r="P2178" s="10" t="inlineStr">
        <is>
          <t>Material tube bergin, Blur</t>
        </is>
      </c>
      <c r="Q2178" s="277" t="n">
        <v>75</v>
      </c>
      <c r="R2178" s="5" t="inlineStr">
        <is>
          <t>M.</t>
        </is>
      </c>
      <c r="S2178" s="284">
        <f>RawDataGenPO[[#This Row],[Total price]]/RawDataGenPO[[#This Row],[Qty'']]</f>
        <v/>
      </c>
      <c r="T2178" s="278" t="n">
        <v>45000</v>
      </c>
      <c r="U2178" s="291" t="n"/>
      <c r="W2178" s="30" t="inlineStr">
        <is>
          <t xml:space="preserve">Waitting Supplier transportation </t>
        </is>
      </c>
      <c r="Z2178" s="23" t="n"/>
      <c r="AA2178" s="17">
        <f>IF(RawDataGenPO[[#This Row],[Date Gen PO]]="","",RawDataGenPO[[#This Row],[Date recive bill]]-RawDataGenPO[[#This Row],[Date Gen PO]])</f>
        <v/>
      </c>
      <c r="AB2178" s="16">
        <f>IF(RawDataGenPO[[#This Row],[GRN-PO date]]&gt;RawDataGenPO[[#This Row],[Lead time delivery (day)]],"over deliverry","Ontime")</f>
        <v/>
      </c>
      <c r="AC2178" s="22" t="n"/>
    </row>
    <row r="2179" ht="15" customHeight="1">
      <c r="A2179" s="5">
        <f>ROW()-ROW(RawDataGenPO[[#Headers],[No.]])</f>
        <v/>
      </c>
      <c r="B2179" s="29" t="inlineStr">
        <is>
          <t>Expent  cost</t>
        </is>
      </c>
      <c r="C2179" s="373" t="n"/>
      <c r="D2179" s="374" t="n"/>
      <c r="E2179" s="374" t="n"/>
      <c r="F2179" s="281" t="n">
        <v>46135</v>
      </c>
      <c r="G2179" s="5" t="inlineStr">
        <is>
          <t>PR2627-00300</t>
        </is>
      </c>
      <c r="I2179" s="286" t="n"/>
      <c r="J2179" s="26" t="n"/>
      <c r="K2179" s="20" t="n"/>
      <c r="L2179" s="5" t="inlineStr">
        <is>
          <t>SFST81000050</t>
        </is>
      </c>
      <c r="M2179" s="7" t="inlineStr">
        <is>
          <t>Tool and Equipment PD M/C</t>
        </is>
      </c>
      <c r="N2179" s="7" t="inlineStr">
        <is>
          <t>Tool and Equipment</t>
        </is>
      </c>
      <c r="O2179" s="11" t="n">
        <v>2</v>
      </c>
      <c r="P2179" s="10" t="inlineStr">
        <is>
          <t>HYDROLIC</t>
        </is>
      </c>
      <c r="Q2179" s="277" t="n">
        <v>6</v>
      </c>
      <c r="R2179" s="5" t="inlineStr">
        <is>
          <t>SET.</t>
        </is>
      </c>
      <c r="S2179" s="284">
        <f>RawDataGenPO[[#This Row],[Total price]]/RawDataGenPO[[#This Row],[Qty'']]</f>
        <v/>
      </c>
      <c r="T2179" s="278" t="n">
        <v>2400</v>
      </c>
      <c r="U2179" s="291" t="n"/>
      <c r="W2179" s="30" t="inlineStr">
        <is>
          <t xml:space="preserve">Waitting Supplier transportation </t>
        </is>
      </c>
      <c r="Z2179" s="23" t="n"/>
      <c r="AA2179" s="17">
        <f>IF(RawDataGenPO[[#This Row],[Date Gen PO]]="","",RawDataGenPO[[#This Row],[Date recive bill]]-RawDataGenPO[[#This Row],[Date Gen PO]])</f>
        <v/>
      </c>
      <c r="AB2179" s="16">
        <f>IF(RawDataGenPO[[#This Row],[GRN-PO date]]&gt;RawDataGenPO[[#This Row],[Lead time delivery (day)]],"over deliverry","Ontime")</f>
        <v/>
      </c>
      <c r="AC2179" s="22" t="n"/>
    </row>
    <row r="2180" ht="15" customHeight="1">
      <c r="A2180" s="5">
        <f>ROW()-ROW(RawDataGenPO[[#Headers],[No.]])</f>
        <v/>
      </c>
      <c r="B2180" s="29" t="inlineStr">
        <is>
          <t>Expent  cost</t>
        </is>
      </c>
      <c r="C2180" s="373" t="n"/>
      <c r="D2180" s="374" t="n"/>
      <c r="E2180" s="374" t="n"/>
      <c r="F2180" s="281" t="n">
        <v>46135</v>
      </c>
      <c r="G2180" s="5" t="inlineStr">
        <is>
          <t>PR2627-00300</t>
        </is>
      </c>
      <c r="I2180" s="286" t="n"/>
      <c r="J2180" s="26" t="n"/>
      <c r="K2180" s="20" t="n"/>
      <c r="L2180" s="5" t="inlineStr">
        <is>
          <t>SFST81000050</t>
        </is>
      </c>
      <c r="M2180" s="7" t="inlineStr">
        <is>
          <t>Tool and Equipment PD M/C</t>
        </is>
      </c>
      <c r="N2180" s="7" t="inlineStr">
        <is>
          <t>Tool and Equipment</t>
        </is>
      </c>
      <c r="O2180" s="11" t="n">
        <v>3</v>
      </c>
      <c r="P2180" s="10" t="inlineStr">
        <is>
          <t>GBMT0808 () 4buhn male thread 4buhn</t>
        </is>
      </c>
      <c r="Q2180" s="277" t="n">
        <v>3</v>
      </c>
      <c r="R2180" s="5" t="inlineStr">
        <is>
          <t>SET.</t>
        </is>
      </c>
      <c r="S2180" s="284">
        <f>RawDataGenPO[[#This Row],[Total price]]/RawDataGenPO[[#This Row],[Qty'']]</f>
        <v/>
      </c>
      <c r="T2180" s="278" t="n">
        <v>1200</v>
      </c>
      <c r="U2180" s="291" t="n"/>
      <c r="W2180" s="30" t="inlineStr">
        <is>
          <t xml:space="preserve">Waitting Supplier transportation </t>
        </is>
      </c>
      <c r="Z2180" s="23" t="n"/>
      <c r="AA2180" s="17">
        <f>IF(RawDataGenPO[[#This Row],[Date Gen PO]]="","",RawDataGenPO[[#This Row],[Date recive bill]]-RawDataGenPO[[#This Row],[Date Gen PO]])</f>
        <v/>
      </c>
      <c r="AB2180" s="16">
        <f>IF(RawDataGenPO[[#This Row],[GRN-PO date]]&gt;RawDataGenPO[[#This Row],[Lead time delivery (day)]],"over deliverry","Ontime")</f>
        <v/>
      </c>
      <c r="AC2180" s="22" t="n"/>
    </row>
    <row r="2181" ht="15" customHeight="1">
      <c r="A2181" s="5">
        <f>ROW()-ROW(RawDataGenPO[[#Headers],[No.]])</f>
        <v/>
      </c>
      <c r="B2181" s="29" t="inlineStr">
        <is>
          <t>Expent  cost</t>
        </is>
      </c>
      <c r="C2181" s="373" t="n"/>
      <c r="D2181" s="374" t="n"/>
      <c r="E2181" s="374" t="n"/>
      <c r="F2181" s="281" t="n">
        <v>46135</v>
      </c>
      <c r="G2181" s="5" t="inlineStr">
        <is>
          <t>PR2627-00300</t>
        </is>
      </c>
      <c r="I2181" s="286" t="n"/>
      <c r="J2181" s="26" t="n"/>
      <c r="K2181" s="20" t="n"/>
      <c r="L2181" s="5" t="inlineStr">
        <is>
          <t>SFST81000050</t>
        </is>
      </c>
      <c r="M2181" s="7" t="inlineStr">
        <is>
          <t>Tool and Equipment PD M/C</t>
        </is>
      </c>
      <c r="N2181" s="7" t="inlineStr">
        <is>
          <t>Tool and Equipment</t>
        </is>
      </c>
      <c r="O2181" s="11" t="n">
        <v>4</v>
      </c>
      <c r="P2181" s="10" t="inlineStr">
        <is>
          <t>GBMT0806 () 4buhn male thread 3buhn</t>
        </is>
      </c>
      <c r="Q2181" s="277" t="n">
        <v>3</v>
      </c>
      <c r="R2181" s="5" t="inlineStr">
        <is>
          <t>SET.</t>
        </is>
      </c>
      <c r="S2181" s="284">
        <f>RawDataGenPO[[#This Row],[Total price]]/RawDataGenPO[[#This Row],[Qty'']]</f>
        <v/>
      </c>
      <c r="T2181" s="278" t="n">
        <v>1200</v>
      </c>
      <c r="U2181" s="291" t="n"/>
      <c r="W2181" s="30" t="inlineStr">
        <is>
          <t xml:space="preserve">Waitting Supplier transportation </t>
        </is>
      </c>
      <c r="Z2181" s="23" t="n"/>
      <c r="AA2181" s="17">
        <f>IF(RawDataGenPO[[#This Row],[Date Gen PO]]="","",RawDataGenPO[[#This Row],[Date recive bill]]-RawDataGenPO[[#This Row],[Date Gen PO]])</f>
        <v/>
      </c>
      <c r="AB2181" s="16">
        <f>IF(RawDataGenPO[[#This Row],[GRN-PO date]]&gt;RawDataGenPO[[#This Row],[Lead time delivery (day)]],"over deliverry","Ontime")</f>
        <v/>
      </c>
      <c r="AC2181" s="22" t="n"/>
    </row>
    <row r="2182" ht="15" customHeight="1">
      <c r="A2182" s="5">
        <f>ROW()-ROW(RawDataGenPO[[#Headers],[No.]])</f>
        <v/>
      </c>
      <c r="B2182" s="29" t="inlineStr">
        <is>
          <t>Expent  cost</t>
        </is>
      </c>
      <c r="C2182" s="373" t="n"/>
      <c r="D2182" s="374" t="n"/>
      <c r="E2182" s="374" t="n"/>
      <c r="F2182" s="281" t="n">
        <v>46135</v>
      </c>
      <c r="G2182" s="5" t="inlineStr">
        <is>
          <t>PR2627-00300</t>
        </is>
      </c>
      <c r="I2182" s="286" t="n"/>
      <c r="J2182" s="26" t="n"/>
      <c r="K2182" s="20" t="n"/>
      <c r="L2182" s="5" t="inlineStr">
        <is>
          <t>SFST81000050</t>
        </is>
      </c>
      <c r="M2182" s="7" t="inlineStr">
        <is>
          <t>Tool and Equipment PD M/C</t>
        </is>
      </c>
      <c r="N2182" s="7" t="inlineStr">
        <is>
          <t>Tool and Equipment</t>
        </is>
      </c>
      <c r="O2182" s="11" t="n">
        <v>5</v>
      </c>
      <c r="P2182" s="10" t="inlineStr">
        <is>
          <t>ball valve stainless steel-316 KITZ-6000TKM 1/2"</t>
        </is>
      </c>
      <c r="Q2182" s="277" t="n">
        <v>3</v>
      </c>
      <c r="R2182" s="5" t="inlineStr">
        <is>
          <t>SET.</t>
        </is>
      </c>
      <c r="S2182" s="284">
        <f>RawDataGenPO[[#This Row],[Total price]]/RawDataGenPO[[#This Row],[Qty'']]</f>
        <v/>
      </c>
      <c r="T2182" s="278" t="n">
        <v>2700</v>
      </c>
      <c r="U2182" s="291" t="n"/>
      <c r="W2182" s="30" t="inlineStr">
        <is>
          <t xml:space="preserve">Waitting Supplier transportation </t>
        </is>
      </c>
      <c r="Z2182" s="23" t="n"/>
      <c r="AA2182" s="17">
        <f>IF(RawDataGenPO[[#This Row],[Date Gen PO]]="","",RawDataGenPO[[#This Row],[Date recive bill]]-RawDataGenPO[[#This Row],[Date Gen PO]])</f>
        <v/>
      </c>
      <c r="AB2182" s="16">
        <f>IF(RawDataGenPO[[#This Row],[GRN-PO date]]&gt;RawDataGenPO[[#This Row],[Lead time delivery (day)]],"over deliverry","Ontime")</f>
        <v/>
      </c>
      <c r="AC2182" s="22" t="n"/>
    </row>
    <row r="2183" ht="15" customHeight="1">
      <c r="A2183" s="5">
        <f>ROW()-ROW(RawDataGenPO[[#Headers],[No.]])</f>
        <v/>
      </c>
      <c r="B2183" s="29" t="inlineStr">
        <is>
          <t>Expent  cost</t>
        </is>
      </c>
      <c r="C2183" s="373" t="n"/>
      <c r="D2183" s="374" t="n"/>
      <c r="E2183" s="374" t="n"/>
      <c r="F2183" s="281" t="n">
        <v>46135</v>
      </c>
      <c r="G2183" s="5" t="inlineStr">
        <is>
          <t>PR2627-00300</t>
        </is>
      </c>
      <c r="I2183" s="286" t="n"/>
      <c r="J2183" s="26" t="n"/>
      <c r="K2183" s="20" t="n"/>
      <c r="L2183" s="5" t="inlineStr">
        <is>
          <t>SFST81000050</t>
        </is>
      </c>
      <c r="M2183" s="7" t="inlineStr">
        <is>
          <t>Tool and Equipment PD M/C</t>
        </is>
      </c>
      <c r="N2183" s="7" t="inlineStr">
        <is>
          <t>Tool and Equipment</t>
        </is>
      </c>
      <c r="O2183" s="11" t="n">
        <v>6</v>
      </c>
      <c r="P2183" s="10" t="inlineStr">
        <is>
          <t>headm 1/2"</t>
        </is>
      </c>
      <c r="Q2183" s="277" t="n">
        <v>3</v>
      </c>
      <c r="R2183" s="5" t="inlineStr">
        <is>
          <t>SET.</t>
        </is>
      </c>
      <c r="S2183" s="284">
        <f>RawDataGenPO[[#This Row],[Total price]]/RawDataGenPO[[#This Row],[Qty'']]</f>
        <v/>
      </c>
      <c r="T2183" s="278" t="n">
        <v>3300</v>
      </c>
      <c r="U2183" s="291" t="n"/>
      <c r="W2183" s="30" t="inlineStr">
        <is>
          <t xml:space="preserve">Waitting Supplier transportation </t>
        </is>
      </c>
      <c r="Z2183" s="23" t="n"/>
      <c r="AA2183" s="17">
        <f>IF(RawDataGenPO[[#This Row],[Date Gen PO]]="","",RawDataGenPO[[#This Row],[Date recive bill]]-RawDataGenPO[[#This Row],[Date Gen PO]])</f>
        <v/>
      </c>
      <c r="AB2183" s="16">
        <f>IF(RawDataGenPO[[#This Row],[GRN-PO date]]&gt;RawDataGenPO[[#This Row],[Lead time delivery (day)]],"over deliverry","Ontime")</f>
        <v/>
      </c>
      <c r="AC2183" s="22" t="n"/>
    </row>
    <row r="2184" ht="15" customHeight="1">
      <c r="A2184" s="5">
        <f>ROW()-ROW(RawDataGenPO[[#Headers],[No.]])</f>
        <v/>
      </c>
      <c r="B2184" s="29" t="inlineStr">
        <is>
          <t>Expent  cost</t>
        </is>
      </c>
      <c r="C2184" s="373" t="n"/>
      <c r="D2184" s="374" t="n"/>
      <c r="E2184" s="374" t="n"/>
      <c r="F2184" s="281" t="n">
        <v>46135</v>
      </c>
      <c r="G2184" s="5" t="inlineStr">
        <is>
          <t>PR2627-00300</t>
        </is>
      </c>
      <c r="I2184" s="286" t="n"/>
      <c r="J2184" s="26" t="n"/>
      <c r="K2184" s="20" t="n"/>
      <c r="L2184" s="5" t="inlineStr">
        <is>
          <t>SFST81000050</t>
        </is>
      </c>
      <c r="M2184" s="7" t="inlineStr">
        <is>
          <t>Tool and Equipment PD M/C</t>
        </is>
      </c>
      <c r="N2184" s="7" t="inlineStr">
        <is>
          <t>Tool and Equipment</t>
        </is>
      </c>
      <c r="O2184" s="11" t="n">
        <v>7</v>
      </c>
      <c r="P2184" s="10" t="inlineStr">
        <is>
          <t>Hoses for cleaning process</t>
        </is>
      </c>
      <c r="Q2184" s="277" t="n">
        <v>3</v>
      </c>
      <c r="R2184" s="5" t="inlineStr">
        <is>
          <t>SET.</t>
        </is>
      </c>
      <c r="S2184" s="284">
        <f>RawDataGenPO[[#This Row],[Total price]]/RawDataGenPO[[#This Row],[Qty'']]</f>
        <v/>
      </c>
      <c r="T2184" s="278" t="n">
        <v>4500</v>
      </c>
      <c r="U2184" s="291" t="n"/>
      <c r="W2184" s="30" t="inlineStr">
        <is>
          <t xml:space="preserve">Waitting Supplier transportation </t>
        </is>
      </c>
      <c r="Z2184" s="23" t="n"/>
      <c r="AA2184" s="17">
        <f>IF(RawDataGenPO[[#This Row],[Date Gen PO]]="","",RawDataGenPO[[#This Row],[Date recive bill]]-RawDataGenPO[[#This Row],[Date Gen PO]])</f>
        <v/>
      </c>
      <c r="AB2184" s="16">
        <f>IF(RawDataGenPO[[#This Row],[GRN-PO date]]&gt;RawDataGenPO[[#This Row],[Lead time delivery (day)]],"over deliverry","Ontime")</f>
        <v/>
      </c>
      <c r="AC2184" s="22" t="n"/>
    </row>
    <row r="2185" ht="30" customHeight="1">
      <c r="A2185" s="5">
        <f>ROW()-ROW(RawDataGenPO[[#Headers],[No.]])</f>
        <v/>
      </c>
      <c r="B2185" s="29" t="inlineStr">
        <is>
          <t>Expent  cost</t>
        </is>
      </c>
      <c r="C2185" s="373" t="n"/>
      <c r="D2185" s="374" t="n"/>
      <c r="E2185" s="374" t="n"/>
      <c r="F2185" s="281" t="n">
        <v>46135</v>
      </c>
      <c r="G2185" s="5" t="inlineStr">
        <is>
          <t>PR2627-00302</t>
        </is>
      </c>
      <c r="I2185" s="286" t="n"/>
      <c r="J2185" s="26" t="n"/>
      <c r="K2185" s="20" t="n"/>
      <c r="L2185" s="5" t="inlineStr">
        <is>
          <t>SFST81000050</t>
        </is>
      </c>
      <c r="M2185" s="7" t="inlineStr">
        <is>
          <t>Refrigerant-oil for cooling M/C</t>
        </is>
      </c>
      <c r="N2185" s="7" t="inlineStr">
        <is>
          <t>Tool and Equipment</t>
        </is>
      </c>
      <c r="O2185" s="11" t="n">
        <v>1</v>
      </c>
      <c r="P2185" s="10" t="inlineStr">
        <is>
          <t>oilcompressor Solest-170 POE Refrigeration Oil 18.9L Screw Compressors</t>
        </is>
      </c>
      <c r="Q2185" s="277" t="n">
        <v>6</v>
      </c>
      <c r="R2185" s="5" t="inlineStr">
        <is>
          <t>DRUM.</t>
        </is>
      </c>
      <c r="S2185" s="284">
        <f>RawDataGenPO[[#This Row],[Total price]]/RawDataGenPO[[#This Row],[Qty'']]</f>
        <v/>
      </c>
      <c r="T2185" s="278" t="n">
        <v>96000</v>
      </c>
      <c r="U2185" s="291" t="n"/>
      <c r="W2185" s="30" t="inlineStr">
        <is>
          <t xml:space="preserve">Waitting Supplier transportation </t>
        </is>
      </c>
      <c r="Z2185" s="23" t="n"/>
      <c r="AA2185" s="17">
        <f>IF(RawDataGenPO[[#This Row],[Date Gen PO]]="","",RawDataGenPO[[#This Row],[Date recive bill]]-RawDataGenPO[[#This Row],[Date Gen PO]])</f>
        <v/>
      </c>
      <c r="AB2185" s="16">
        <f>IF(RawDataGenPO[[#This Row],[GRN-PO date]]&gt;RawDataGenPO[[#This Row],[Lead time delivery (day)]],"over deliverry","Ontime")</f>
        <v/>
      </c>
      <c r="AC2185" s="22" t="n"/>
    </row>
    <row r="2186" ht="15" customHeight="1">
      <c r="A2186" s="5">
        <f>ROW()-ROW(RawDataGenPO[[#Headers],[No.]])</f>
        <v/>
      </c>
      <c r="B2186" s="29" t="inlineStr">
        <is>
          <t>Expent  cost</t>
        </is>
      </c>
      <c r="C2186" s="373" t="n"/>
      <c r="D2186" s="374" t="n"/>
      <c r="E2186" s="374" t="n"/>
      <c r="F2186" s="281" t="n">
        <v>46135</v>
      </c>
      <c r="G2186" s="5" t="inlineStr">
        <is>
          <t>PR2627-00303</t>
        </is>
      </c>
      <c r="I2186" s="286" t="n"/>
      <c r="J2186" s="26" t="n"/>
      <c r="K2186" s="20" t="n"/>
      <c r="L2186" s="5" t="inlineStr">
        <is>
          <t>SFST81000050</t>
        </is>
      </c>
      <c r="M2186" s="7" t="inlineStr">
        <is>
          <t>Tool and Equipment PD M/C</t>
        </is>
      </c>
      <c r="N2186" s="7" t="inlineStr">
        <is>
          <t>Electrical part</t>
        </is>
      </c>
      <c r="O2186" s="11" t="n">
        <v>1</v>
      </c>
      <c r="P2186" s="10" t="inlineStr">
        <is>
          <t>Emergency Stop Switch IDEC YW1B-V 14-16AWG.Ui300-600V 10A.</t>
        </is>
      </c>
      <c r="Q2186" s="277" t="n">
        <v>10</v>
      </c>
      <c r="R2186" s="5" t="inlineStr">
        <is>
          <t>PC.</t>
        </is>
      </c>
      <c r="S2186" s="284">
        <f>RawDataGenPO[[#This Row],[Total price]]/RawDataGenPO[[#This Row],[Qty'']]</f>
        <v/>
      </c>
      <c r="T2186" s="278" t="n">
        <v>547.2</v>
      </c>
      <c r="U2186" s="291" t="n"/>
      <c r="W2186" s="30" t="inlineStr">
        <is>
          <t xml:space="preserve">Waitting Supplier transportation </t>
        </is>
      </c>
      <c r="Z2186" s="23" t="n"/>
      <c r="AA2186" s="17">
        <f>IF(RawDataGenPO[[#This Row],[Date Gen PO]]="","",RawDataGenPO[[#This Row],[Date recive bill]]-RawDataGenPO[[#This Row],[Date Gen PO]])</f>
        <v/>
      </c>
      <c r="AB2186" s="16">
        <f>IF(RawDataGenPO[[#This Row],[GRN-PO date]]&gt;RawDataGenPO[[#This Row],[Lead time delivery (day)]],"over deliverry","Ontime")</f>
        <v/>
      </c>
      <c r="AC2186" s="22" t="n"/>
    </row>
    <row r="2187" ht="30" customHeight="1">
      <c r="A2187" s="5">
        <f>ROW()-ROW(RawDataGenPO[[#Headers],[No.]])</f>
        <v/>
      </c>
      <c r="B2187" s="29" t="inlineStr">
        <is>
          <t>Expent  cost</t>
        </is>
      </c>
      <c r="C2187" s="373" t="n"/>
      <c r="D2187" s="374" t="n"/>
      <c r="E2187" s="374" t="n"/>
      <c r="F2187" s="281" t="n">
        <v>46135</v>
      </c>
      <c r="G2187" s="5" t="inlineStr">
        <is>
          <t>PR2627-00303</t>
        </is>
      </c>
      <c r="I2187" s="286" t="n"/>
      <c r="J2187" s="26" t="n"/>
      <c r="K2187" s="20" t="n"/>
      <c r="L2187" s="5" t="inlineStr">
        <is>
          <t>SFST81000050</t>
        </is>
      </c>
      <c r="M2187" s="7" t="inlineStr">
        <is>
          <t>Tool and Equipment PD M/C</t>
        </is>
      </c>
      <c r="N2187" s="7" t="inlineStr">
        <is>
          <t>Electrical part</t>
        </is>
      </c>
      <c r="O2187" s="11" t="n">
        <v>2</v>
      </c>
      <c r="P2187" s="10" t="inlineStr">
        <is>
          <t>"EMERGENCY STOP"center60mminternal22mmflooryellowpcsblack</t>
        </is>
      </c>
      <c r="Q2187" s="277" t="n">
        <v>10</v>
      </c>
      <c r="R2187" s="5" t="inlineStr">
        <is>
          <t>PC.</t>
        </is>
      </c>
      <c r="S2187" s="284">
        <f>RawDataGenPO[[#This Row],[Total price]]/RawDataGenPO[[#This Row],[Qty'']]</f>
        <v/>
      </c>
      <c r="T2187" s="278" t="n">
        <v>866.4</v>
      </c>
      <c r="U2187" s="291" t="n"/>
      <c r="W2187" s="30" t="inlineStr">
        <is>
          <t xml:space="preserve">Waitting Supplier transportation </t>
        </is>
      </c>
      <c r="Z2187" s="23" t="n"/>
      <c r="AA2187" s="17">
        <f>IF(RawDataGenPO[[#This Row],[Date Gen PO]]="","",RawDataGenPO[[#This Row],[Date recive bill]]-RawDataGenPO[[#This Row],[Date Gen PO]])</f>
        <v/>
      </c>
      <c r="AB2187" s="16">
        <f>IF(RawDataGenPO[[#This Row],[GRN-PO date]]&gt;RawDataGenPO[[#This Row],[Lead time delivery (day)]],"over deliverry","Ontime")</f>
        <v/>
      </c>
      <c r="AC2187" s="22" t="n"/>
    </row>
    <row r="2188" ht="15" customHeight="1">
      <c r="A2188" s="5">
        <f>ROW()-ROW(RawDataGenPO[[#Headers],[No.]])</f>
        <v/>
      </c>
      <c r="B2188" s="29" t="inlineStr">
        <is>
          <t>Expent  cost</t>
        </is>
      </c>
      <c r="C2188" s="373" t="n"/>
      <c r="D2188" s="374" t="n"/>
      <c r="E2188" s="374" t="n"/>
      <c r="F2188" s="281" t="n">
        <v>46135</v>
      </c>
      <c r="G2188" s="5" t="inlineStr">
        <is>
          <t>PR2627-00303</t>
        </is>
      </c>
      <c r="I2188" s="286" t="n"/>
      <c r="J2188" s="26" t="n"/>
      <c r="K2188" s="20" t="n"/>
      <c r="L2188" s="5" t="inlineStr">
        <is>
          <t>SFST81000050</t>
        </is>
      </c>
      <c r="M2188" s="7" t="inlineStr">
        <is>
          <t>Tool and Equipment PD M/C</t>
        </is>
      </c>
      <c r="N2188" s="7" t="inlineStr">
        <is>
          <t>Electrical part</t>
        </is>
      </c>
      <c r="O2188" s="11" t="n">
        <v>3</v>
      </c>
      <c r="P2188" s="10" t="inlineStr">
        <is>
          <t>YW1B-M1E01R IDEC switch 1NC red</t>
        </is>
      </c>
      <c r="Q2188" s="277" t="n">
        <v>10</v>
      </c>
      <c r="R2188" s="5" t="inlineStr">
        <is>
          <t>PC.</t>
        </is>
      </c>
      <c r="S2188" s="284">
        <f>RawDataGenPO[[#This Row],[Total price]]/RawDataGenPO[[#This Row],[Qty'']]</f>
        <v/>
      </c>
      <c r="T2188" s="278" t="n">
        <v>784.4</v>
      </c>
      <c r="U2188" s="291" t="n"/>
      <c r="W2188" s="30" t="inlineStr">
        <is>
          <t xml:space="preserve">Waitting Supplier transportation </t>
        </is>
      </c>
      <c r="Z2188" s="23" t="n"/>
      <c r="AA2188" s="17">
        <f>IF(RawDataGenPO[[#This Row],[Date Gen PO]]="","",RawDataGenPO[[#This Row],[Date recive bill]]-RawDataGenPO[[#This Row],[Date Gen PO]])</f>
        <v/>
      </c>
      <c r="AB2188" s="16">
        <f>IF(RawDataGenPO[[#This Row],[GRN-PO date]]&gt;RawDataGenPO[[#This Row],[Lead time delivery (day)]],"over deliverry","Ontime")</f>
        <v/>
      </c>
      <c r="AC2188" s="22" t="n"/>
    </row>
    <row r="2189" ht="15" customHeight="1">
      <c r="A2189" s="5">
        <f>ROW()-ROW(RawDataGenPO[[#Headers],[No.]])</f>
        <v/>
      </c>
      <c r="B2189" s="29" t="inlineStr">
        <is>
          <t>Expent  cost</t>
        </is>
      </c>
      <c r="C2189" s="373" t="n"/>
      <c r="D2189" s="374" t="n"/>
      <c r="E2189" s="374" t="n"/>
      <c r="F2189" s="281" t="n">
        <v>46135</v>
      </c>
      <c r="G2189" s="5" t="inlineStr">
        <is>
          <t>PR2627-00303</t>
        </is>
      </c>
      <c r="I2189" s="286" t="n"/>
      <c r="J2189" s="26" t="n"/>
      <c r="K2189" s="20" t="n"/>
      <c r="L2189" s="5" t="inlineStr">
        <is>
          <t>SFST81000050</t>
        </is>
      </c>
      <c r="M2189" s="7" t="inlineStr">
        <is>
          <t>Tool and Equipment PD M/C</t>
        </is>
      </c>
      <c r="N2189" s="7" t="inlineStr">
        <is>
          <t>Electrical part</t>
        </is>
      </c>
      <c r="O2189" s="11" t="n">
        <v>4</v>
      </c>
      <c r="P2189" s="10" t="inlineStr">
        <is>
          <t>YW1B-M1E01R IDEC switch 1NC green</t>
        </is>
      </c>
      <c r="Q2189" s="277" t="n">
        <v>10</v>
      </c>
      <c r="R2189" s="5" t="inlineStr">
        <is>
          <t>PC.</t>
        </is>
      </c>
      <c r="S2189" s="284">
        <f>RawDataGenPO[[#This Row],[Total price]]/RawDataGenPO[[#This Row],[Qty'']]</f>
        <v/>
      </c>
      <c r="T2189" s="278" t="n">
        <v>547.2</v>
      </c>
      <c r="U2189" s="291" t="n"/>
      <c r="W2189" s="30" t="inlineStr">
        <is>
          <t xml:space="preserve">Waitting Supplier transportation </t>
        </is>
      </c>
      <c r="Z2189" s="23" t="n"/>
      <c r="AA2189" s="17">
        <f>IF(RawDataGenPO[[#This Row],[Date Gen PO]]="","",RawDataGenPO[[#This Row],[Date recive bill]]-RawDataGenPO[[#This Row],[Date Gen PO]])</f>
        <v/>
      </c>
      <c r="AB2189" s="16">
        <f>IF(RawDataGenPO[[#This Row],[GRN-PO date]]&gt;RawDataGenPO[[#This Row],[Lead time delivery (day)]],"over deliverry","Ontime")</f>
        <v/>
      </c>
      <c r="AC2189" s="22" t="n"/>
    </row>
    <row r="2190" ht="15" customHeight="1">
      <c r="A2190" s="5">
        <f>ROW()-ROW(RawDataGenPO[[#Headers],[No.]])</f>
        <v/>
      </c>
      <c r="B2190" s="29" t="inlineStr">
        <is>
          <t>Expent  cost</t>
        </is>
      </c>
      <c r="C2190" s="373" t="n"/>
      <c r="D2190" s="374" t="n"/>
      <c r="E2190" s="374" t="n"/>
      <c r="F2190" s="281" t="n">
        <v>46135</v>
      </c>
      <c r="G2190" s="5" t="inlineStr">
        <is>
          <t>PR2627-00303</t>
        </is>
      </c>
      <c r="I2190" s="286" t="n"/>
      <c r="J2190" s="26" t="n"/>
      <c r="K2190" s="20" t="n"/>
      <c r="L2190" s="5" t="inlineStr">
        <is>
          <t>SFST81000050</t>
        </is>
      </c>
      <c r="M2190" s="7" t="inlineStr">
        <is>
          <t>Tool and Equipment PD M/C</t>
        </is>
      </c>
      <c r="N2190" s="7" t="inlineStr">
        <is>
          <t>Electrical part</t>
        </is>
      </c>
      <c r="O2190" s="11" t="n">
        <v>5</v>
      </c>
      <c r="P2190" s="10" t="inlineStr">
        <is>
          <t>YW1S-2E11 IDEC switchpcs 2 1NO+1NC</t>
        </is>
      </c>
      <c r="Q2190" s="277" t="n">
        <v>10</v>
      </c>
      <c r="R2190" s="5" t="inlineStr">
        <is>
          <t>PC.</t>
        </is>
      </c>
      <c r="S2190" s="284">
        <f>RawDataGenPO[[#This Row],[Total price]]/RawDataGenPO[[#This Row],[Qty'']]</f>
        <v/>
      </c>
      <c r="T2190" s="278" t="n">
        <v>1003.8</v>
      </c>
      <c r="U2190" s="291" t="n"/>
      <c r="W2190" s="30" t="inlineStr">
        <is>
          <t xml:space="preserve">Waitting Supplier transportation </t>
        </is>
      </c>
      <c r="Z2190" s="23" t="n"/>
      <c r="AA2190" s="17">
        <f>IF(RawDataGenPO[[#This Row],[Date Gen PO]]="","",RawDataGenPO[[#This Row],[Date recive bill]]-RawDataGenPO[[#This Row],[Date Gen PO]])</f>
        <v/>
      </c>
      <c r="AB2190" s="16">
        <f>IF(RawDataGenPO[[#This Row],[GRN-PO date]]&gt;RawDataGenPO[[#This Row],[Lead time delivery (day)]],"over deliverry","Ontime")</f>
        <v/>
      </c>
      <c r="AC2190" s="22" t="n"/>
    </row>
    <row r="2191" ht="15" customHeight="1">
      <c r="A2191" s="5">
        <f>ROW()-ROW(RawDataGenPO[[#Headers],[No.]])</f>
        <v/>
      </c>
      <c r="B2191" s="29" t="inlineStr">
        <is>
          <t>Expent  cost</t>
        </is>
      </c>
      <c r="C2191" s="373" t="n"/>
      <c r="D2191" s="374" t="n"/>
      <c r="E2191" s="374" t="n"/>
      <c r="F2191" s="281" t="n">
        <v>46135</v>
      </c>
      <c r="G2191" s="5" t="inlineStr">
        <is>
          <t>PR2627-00304</t>
        </is>
      </c>
      <c r="I2191" s="286" t="n"/>
      <c r="J2191" s="26" t="n"/>
      <c r="K2191" s="20" t="n"/>
      <c r="L2191" s="5" t="inlineStr">
        <is>
          <t>SFST81000064</t>
        </is>
      </c>
      <c r="M2191" s="7" t="inlineStr">
        <is>
          <t>PD Machine</t>
        </is>
      </c>
      <c r="N2191" s="7" t="inlineStr">
        <is>
          <t>Inspect cost</t>
        </is>
      </c>
      <c r="O2191" s="11" t="n">
        <v>1</v>
      </c>
      <c r="P2191" s="10" t="inlineStr">
        <is>
          <t>IX-GN-4043 J/N 205242601 Part Code S/N.100304081</t>
        </is>
      </c>
      <c r="Q2191" s="277" t="n">
        <v>1</v>
      </c>
      <c r="R2191" s="5" t="inlineStr">
        <is>
          <t>JOB.</t>
        </is>
      </c>
      <c r="S2191" s="284">
        <f>RawDataGenPO[[#This Row],[Total price]]/RawDataGenPO[[#This Row],[Qty'']]</f>
        <v/>
      </c>
      <c r="T2191" s="278" t="n">
        <v>8500</v>
      </c>
      <c r="U2191" s="291" t="n"/>
      <c r="W2191" s="30" t="inlineStr">
        <is>
          <t xml:space="preserve">Waitting Supplier transportation </t>
        </is>
      </c>
      <c r="Z2191" s="23" t="n"/>
      <c r="AA2191" s="17">
        <f>IF(RawDataGenPO[[#This Row],[Date Gen PO]]="","",RawDataGenPO[[#This Row],[Date recive bill]]-RawDataGenPO[[#This Row],[Date Gen PO]])</f>
        <v/>
      </c>
      <c r="AB2191" s="16">
        <f>IF(RawDataGenPO[[#This Row],[GRN-PO date]]&gt;RawDataGenPO[[#This Row],[Lead time delivery (day)]],"over deliverry","Ontime")</f>
        <v/>
      </c>
      <c r="AC2191" s="22" t="n"/>
    </row>
    <row r="2192" ht="15" customHeight="1">
      <c r="A2192" s="5">
        <f>ROW()-ROW(RawDataGenPO[[#Headers],[No.]])</f>
        <v/>
      </c>
      <c r="B2192" s="29" t="inlineStr">
        <is>
          <t>Expent  cost</t>
        </is>
      </c>
      <c r="C2192" s="373" t="n"/>
      <c r="D2192" s="374" t="n"/>
      <c r="E2192" s="374" t="n"/>
      <c r="F2192" s="281" t="n">
        <v>46135</v>
      </c>
      <c r="G2192" s="5" t="inlineStr">
        <is>
          <t>PR2627-00304</t>
        </is>
      </c>
      <c r="I2192" s="286" t="n"/>
      <c r="J2192" s="26" t="n"/>
      <c r="K2192" s="20" t="n"/>
      <c r="L2192" s="5" t="inlineStr">
        <is>
          <t>SFST81000064</t>
        </is>
      </c>
      <c r="M2192" s="7" t="inlineStr">
        <is>
          <t>PD Machine</t>
        </is>
      </c>
      <c r="N2192" s="7" t="inlineStr">
        <is>
          <t>Inspect cost</t>
        </is>
      </c>
      <c r="O2192" s="11" t="n">
        <v>2</v>
      </c>
      <c r="P2192" s="10" t="inlineStr">
        <is>
          <t>Transportation</t>
        </is>
      </c>
      <c r="Q2192" s="277" t="n">
        <v>1</v>
      </c>
      <c r="R2192" s="5" t="inlineStr">
        <is>
          <t>JOB.</t>
        </is>
      </c>
      <c r="S2192" s="284">
        <f>RawDataGenPO[[#This Row],[Total price]]/RawDataGenPO[[#This Row],[Qty'']]</f>
        <v/>
      </c>
      <c r="T2192" s="278" t="n">
        <v>1500</v>
      </c>
      <c r="U2192" s="291" t="n"/>
      <c r="W2192" s="30" t="inlineStr">
        <is>
          <t xml:space="preserve">Waitting Supplier transportation </t>
        </is>
      </c>
      <c r="Z2192" s="23" t="n"/>
      <c r="AA2192" s="17">
        <f>IF(RawDataGenPO[[#This Row],[Date Gen PO]]="","",RawDataGenPO[[#This Row],[Date recive bill]]-RawDataGenPO[[#This Row],[Date Gen PO]])</f>
        <v/>
      </c>
      <c r="AB2192" s="16">
        <f>IF(RawDataGenPO[[#This Row],[GRN-PO date]]&gt;RawDataGenPO[[#This Row],[Lead time delivery (day)]],"over deliverry","Ontime")</f>
        <v/>
      </c>
      <c r="AC2192" s="22" t="n"/>
    </row>
    <row r="2193" ht="15" customHeight="1">
      <c r="A2193" s="5">
        <f>ROW()-ROW(RawDataGenPO[[#Headers],[No.]])</f>
        <v/>
      </c>
      <c r="B2193" s="29" t="inlineStr">
        <is>
          <t>Expent  cost</t>
        </is>
      </c>
      <c r="C2193" s="373" t="n"/>
      <c r="D2193" s="374" t="n"/>
      <c r="E2193" s="374" t="n"/>
      <c r="F2193" s="281" t="n"/>
      <c r="I2193" s="286" t="n"/>
      <c r="J2193" s="26" t="n"/>
      <c r="K2193" s="20" t="n"/>
      <c r="S2193" s="284">
        <f>RawDataGenPO[[#This Row],[Total price]]/RawDataGenPO[[#This Row],[Qty'']]</f>
        <v/>
      </c>
      <c r="U2193" s="291" t="n"/>
      <c r="W2193" s="30" t="inlineStr">
        <is>
          <t xml:space="preserve">Waitting Supplier transportation </t>
        </is>
      </c>
      <c r="Z2193" s="23" t="n"/>
      <c r="AA2193" s="17">
        <f>IF(RawDataGenPO[[#This Row],[Date Gen PO]]="","",RawDataGenPO[[#This Row],[Date recive bill]]-RawDataGenPO[[#This Row],[Date Gen PO]])</f>
        <v/>
      </c>
      <c r="AB2193" s="16">
        <f>IF(RawDataGenPO[[#This Row],[GRN-PO date]]&gt;RawDataGenPO[[#This Row],[Lead time delivery (day)]],"over deliverry","Ontime")</f>
        <v/>
      </c>
      <c r="AC2193" s="22" t="n"/>
    </row>
    <row r="2194" ht="15" customHeight="1">
      <c r="A2194" s="5">
        <f>ROW()-ROW(RawDataGenPO[[#Headers],[No.]])</f>
        <v/>
      </c>
      <c r="B2194" s="29" t="inlineStr">
        <is>
          <t>Expent  cost</t>
        </is>
      </c>
      <c r="C2194" s="373" t="n"/>
      <c r="D2194" s="374" t="n"/>
      <c r="E2194" s="374" t="n"/>
      <c r="F2194" s="281" t="n"/>
      <c r="I2194" s="286" t="n"/>
      <c r="J2194" s="26" t="n"/>
      <c r="K2194" s="20" t="n"/>
      <c r="S2194" s="284">
        <f>RawDataGenPO[[#This Row],[Total price]]/RawDataGenPO[[#This Row],[Qty'']]</f>
        <v/>
      </c>
      <c r="U2194" s="291" t="n"/>
      <c r="W2194" s="30" t="inlineStr">
        <is>
          <t xml:space="preserve">Waitting Supplier transportation </t>
        </is>
      </c>
      <c r="Z2194" s="23" t="n"/>
      <c r="AA2194" s="17">
        <f>IF(RawDataGenPO[[#This Row],[Date Gen PO]]="","",RawDataGenPO[[#This Row],[Date recive bill]]-RawDataGenPO[[#This Row],[Date Gen PO]])</f>
        <v/>
      </c>
      <c r="AB2194" s="16">
        <f>IF(RawDataGenPO[[#This Row],[GRN-PO date]]&gt;RawDataGenPO[[#This Row],[Lead time delivery (day)]],"over deliverry","Ontime")</f>
        <v/>
      </c>
      <c r="AC2194" s="22" t="n"/>
    </row>
    <row r="2195" ht="15" customHeight="1">
      <c r="A2195" s="5">
        <f>ROW()-ROW(RawDataGenPO[[#Headers],[No.]])</f>
        <v/>
      </c>
      <c r="B2195" s="29" t="inlineStr">
        <is>
          <t>Expent  cost</t>
        </is>
      </c>
      <c r="C2195" s="373" t="n"/>
      <c r="D2195" s="374" t="n"/>
      <c r="E2195" s="374" t="n"/>
      <c r="F2195" s="281" t="n"/>
      <c r="I2195" s="286" t="n"/>
      <c r="J2195" s="26" t="n"/>
      <c r="K2195" s="20" t="n"/>
      <c r="S2195" s="284">
        <f>RawDataGenPO[[#This Row],[Total price]]/RawDataGenPO[[#This Row],[Qty'']]</f>
        <v/>
      </c>
      <c r="U2195" s="291" t="n"/>
      <c r="W2195" s="30" t="inlineStr">
        <is>
          <t xml:space="preserve">Waitting Supplier transportation </t>
        </is>
      </c>
      <c r="Z2195" s="23" t="n"/>
      <c r="AA2195" s="17">
        <f>IF(RawDataGenPO[[#This Row],[Date Gen PO]]="","",RawDataGenPO[[#This Row],[Date recive bill]]-RawDataGenPO[[#This Row],[Date Gen PO]])</f>
        <v/>
      </c>
      <c r="AB2195" s="16">
        <f>IF(RawDataGenPO[[#This Row],[GRN-PO date]]&gt;RawDataGenPO[[#This Row],[Lead time delivery (day)]],"over deliverry","Ontime")</f>
        <v/>
      </c>
      <c r="AC2195" s="22" t="n"/>
    </row>
    <row r="2196" ht="15" customHeight="1">
      <c r="A2196" s="5">
        <f>ROW()-ROW(RawDataGenPO[[#Headers],[No.]])</f>
        <v/>
      </c>
      <c r="B2196" s="29" t="inlineStr">
        <is>
          <t>Expent  cost</t>
        </is>
      </c>
      <c r="C2196" s="373" t="n"/>
      <c r="D2196" s="374" t="n"/>
      <c r="E2196" s="374" t="n"/>
      <c r="F2196" s="281" t="n"/>
      <c r="I2196" s="286" t="n"/>
      <c r="J2196" s="26" t="n"/>
      <c r="K2196" s="20" t="n"/>
      <c r="S2196" s="284">
        <f>RawDataGenPO[[#This Row],[Total price]]/RawDataGenPO[[#This Row],[Qty'']]</f>
        <v/>
      </c>
      <c r="U2196" s="291" t="n"/>
      <c r="W2196" s="30" t="inlineStr">
        <is>
          <t xml:space="preserve">Waitting Supplier transportation </t>
        </is>
      </c>
      <c r="Z2196" s="23" t="n"/>
      <c r="AA2196" s="17">
        <f>IF(RawDataGenPO[[#This Row],[Date Gen PO]]="","",RawDataGenPO[[#This Row],[Date recive bill]]-RawDataGenPO[[#This Row],[Date Gen PO]])</f>
        <v/>
      </c>
      <c r="AB2196" s="16">
        <f>IF(RawDataGenPO[[#This Row],[GRN-PO date]]&gt;RawDataGenPO[[#This Row],[Lead time delivery (day)]],"over deliverry","Ontime")</f>
        <v/>
      </c>
      <c r="AC2196" s="22" t="n"/>
    </row>
    <row r="2197" ht="15" customHeight="1">
      <c r="A2197" s="5">
        <f>ROW()-ROW(RawDataGenPO[[#Headers],[No.]])</f>
        <v/>
      </c>
      <c r="B2197" s="29" t="inlineStr">
        <is>
          <t>Expent  cost</t>
        </is>
      </c>
      <c r="C2197" s="373" t="n"/>
      <c r="D2197" s="374" t="n"/>
      <c r="E2197" s="374" t="n"/>
      <c r="F2197" s="281" t="n"/>
      <c r="I2197" s="286" t="n"/>
      <c r="J2197" s="26" t="n"/>
      <c r="K2197" s="20" t="n"/>
      <c r="S2197" s="284">
        <f>RawDataGenPO[[#This Row],[Total price]]/RawDataGenPO[[#This Row],[Qty'']]</f>
        <v/>
      </c>
      <c r="U2197" s="291" t="n"/>
      <c r="W2197" s="30" t="inlineStr">
        <is>
          <t xml:space="preserve">Waitting Supplier transportation </t>
        </is>
      </c>
      <c r="Z2197" s="23" t="n"/>
      <c r="AA2197" s="17">
        <f>IF(RawDataGenPO[[#This Row],[Date Gen PO]]="","",RawDataGenPO[[#This Row],[Date recive bill]]-RawDataGenPO[[#This Row],[Date Gen PO]])</f>
        <v/>
      </c>
      <c r="AB2197" s="16">
        <f>IF(RawDataGenPO[[#This Row],[GRN-PO date]]&gt;RawDataGenPO[[#This Row],[Lead time delivery (day)]],"over deliverry","Ontime")</f>
        <v/>
      </c>
      <c r="AC2197" s="22" t="n"/>
    </row>
    <row r="2198" ht="15" customHeight="1">
      <c r="A2198" s="5">
        <f>ROW()-ROW(RawDataGenPO[[#Headers],[No.]])</f>
        <v/>
      </c>
      <c r="B2198" s="29" t="inlineStr">
        <is>
          <t>Expent  cost</t>
        </is>
      </c>
      <c r="C2198" s="373" t="n"/>
      <c r="D2198" s="374" t="n"/>
      <c r="E2198" s="374" t="n"/>
      <c r="F2198" s="281" t="n"/>
      <c r="I2198" s="286" t="n"/>
      <c r="J2198" s="26" t="n"/>
      <c r="K2198" s="20" t="n"/>
      <c r="S2198" s="284">
        <f>RawDataGenPO[[#This Row],[Total price]]/RawDataGenPO[[#This Row],[Qty'']]</f>
        <v/>
      </c>
      <c r="U2198" s="291" t="n"/>
      <c r="W2198" s="30" t="inlineStr">
        <is>
          <t xml:space="preserve">Waitting Supplier transportation </t>
        </is>
      </c>
      <c r="Z2198" s="23" t="n"/>
      <c r="AA2198" s="17">
        <f>IF(RawDataGenPO[[#This Row],[Date Gen PO]]="","",RawDataGenPO[[#This Row],[Date recive bill]]-RawDataGenPO[[#This Row],[Date Gen PO]])</f>
        <v/>
      </c>
      <c r="AB2198" s="16">
        <f>IF(RawDataGenPO[[#This Row],[GRN-PO date]]&gt;RawDataGenPO[[#This Row],[Lead time delivery (day)]],"over deliverry","Ontime")</f>
        <v/>
      </c>
      <c r="AC2198" s="22" t="n"/>
    </row>
    <row r="2199" ht="15" customHeight="1">
      <c r="A2199" s="5">
        <f>ROW()-ROW(RawDataGenPO[[#Headers],[No.]])</f>
        <v/>
      </c>
      <c r="B2199" s="29" t="inlineStr">
        <is>
          <t>Expent  cost</t>
        </is>
      </c>
      <c r="C2199" s="373" t="n"/>
      <c r="D2199" s="374" t="n"/>
      <c r="E2199" s="374" t="n"/>
      <c r="F2199" s="281" t="n"/>
      <c r="I2199" s="286" t="n"/>
      <c r="J2199" s="26" t="n"/>
      <c r="K2199" s="20" t="n"/>
      <c r="S2199" s="284">
        <f>RawDataGenPO[[#This Row],[Total price]]/RawDataGenPO[[#This Row],[Qty'']]</f>
        <v/>
      </c>
      <c r="U2199" s="291" t="n"/>
      <c r="W2199" s="30" t="inlineStr">
        <is>
          <t xml:space="preserve">Waitting Supplier transportation </t>
        </is>
      </c>
      <c r="Z2199" s="23" t="n"/>
      <c r="AA2199" s="17">
        <f>IF(RawDataGenPO[[#This Row],[Date Gen PO]]="","",RawDataGenPO[[#This Row],[Date recive bill]]-RawDataGenPO[[#This Row],[Date Gen PO]])</f>
        <v/>
      </c>
      <c r="AB2199" s="16">
        <f>IF(RawDataGenPO[[#This Row],[GRN-PO date]]&gt;RawDataGenPO[[#This Row],[Lead time delivery (day)]],"over deliverry","Ontime")</f>
        <v/>
      </c>
      <c r="AC2199" s="22" t="n"/>
    </row>
    <row r="2200" ht="15" customHeight="1">
      <c r="A2200" s="5">
        <f>ROW()-ROW(RawDataGenPO[[#Headers],[No.]])</f>
        <v/>
      </c>
      <c r="B2200" s="29" t="inlineStr">
        <is>
          <t>Expent  cost</t>
        </is>
      </c>
      <c r="C2200" s="373" t="n"/>
      <c r="D2200" s="374" t="n"/>
      <c r="E2200" s="374" t="n"/>
      <c r="F2200" s="281" t="n"/>
      <c r="I2200" s="286" t="n"/>
      <c r="J2200" s="26" t="n"/>
      <c r="K2200" s="20" t="n"/>
      <c r="S2200" s="284">
        <f>RawDataGenPO[[#This Row],[Total price]]/RawDataGenPO[[#This Row],[Qty'']]</f>
        <v/>
      </c>
      <c r="U2200" s="291" t="n"/>
      <c r="W2200" s="30" t="inlineStr">
        <is>
          <t xml:space="preserve">Waitting Supplier transportation </t>
        </is>
      </c>
      <c r="Z2200" s="23" t="n"/>
      <c r="AA2200" s="17">
        <f>IF(RawDataGenPO[[#This Row],[Date Gen PO]]="","",RawDataGenPO[[#This Row],[Date recive bill]]-RawDataGenPO[[#This Row],[Date Gen PO]])</f>
        <v/>
      </c>
      <c r="AB2200" s="16">
        <f>IF(RawDataGenPO[[#This Row],[GRN-PO date]]&gt;RawDataGenPO[[#This Row],[Lead time delivery (day)]],"over deliverry","Ontime")</f>
        <v/>
      </c>
      <c r="AC2200" s="22" t="n"/>
    </row>
    <row r="2201" ht="15" customHeight="1">
      <c r="A2201" s="5">
        <f>ROW()-ROW(RawDataGenPO[[#Headers],[No.]])</f>
        <v/>
      </c>
      <c r="B2201" s="29" t="inlineStr">
        <is>
          <t>Expent  cost</t>
        </is>
      </c>
      <c r="C2201" s="373" t="n"/>
      <c r="D2201" s="374" t="n"/>
      <c r="E2201" s="374" t="n"/>
      <c r="F2201" s="281" t="n"/>
      <c r="I2201" s="286" t="n"/>
      <c r="J2201" s="26" t="n"/>
      <c r="K2201" s="20" t="n"/>
      <c r="S2201" s="284">
        <f>RawDataGenPO[[#This Row],[Total price]]/RawDataGenPO[[#This Row],[Qty'']]</f>
        <v/>
      </c>
      <c r="U2201" s="291" t="n"/>
      <c r="W2201" s="5" t="n"/>
      <c r="Z2201" s="23" t="n"/>
      <c r="AA2201" s="17">
        <f>IF(RawDataGenPO[[#This Row],[Date Gen PO]]="","",RawDataGenPO[[#This Row],[Date recive bill]]-RawDataGenPO[[#This Row],[Date Gen PO]])</f>
        <v/>
      </c>
      <c r="AB2201" s="16">
        <f>IF(RawDataGenPO[[#This Row],[GRN-PO date]]&gt;RawDataGenPO[[#This Row],[Lead time delivery (day)]],"over deliverry","Ontime")</f>
        <v/>
      </c>
      <c r="AC2201" s="22" t="n"/>
    </row>
    <row r="2202" ht="15" customHeight="1">
      <c r="A2202" s="5">
        <f>ROW()-ROW(RawDataGenPO[[#Headers],[No.]])</f>
        <v/>
      </c>
      <c r="B2202" s="29" t="inlineStr">
        <is>
          <t>Expent  cost</t>
        </is>
      </c>
      <c r="C2202" s="373" t="n"/>
      <c r="D2202" s="374" t="n"/>
      <c r="E2202" s="374" t="n"/>
      <c r="F2202" s="281" t="n"/>
      <c r="I2202" s="286" t="n"/>
      <c r="J2202" s="26" t="n"/>
      <c r="K2202" s="20" t="n"/>
      <c r="S2202" s="284">
        <f>RawDataGenPO[[#This Row],[Total price]]/RawDataGenPO[[#This Row],[Qty'']]</f>
        <v/>
      </c>
      <c r="U2202" s="291" t="n"/>
      <c r="W2202" s="5" t="n"/>
      <c r="Z2202" s="23" t="n"/>
      <c r="AA2202" s="17">
        <f>IF(RawDataGenPO[[#This Row],[Date Gen PO]]="","",RawDataGenPO[[#This Row],[Date recive bill]]-RawDataGenPO[[#This Row],[Date Gen PO]])</f>
        <v/>
      </c>
      <c r="AB2202" s="16">
        <f>IF(RawDataGenPO[[#This Row],[GRN-PO date]]&gt;RawDataGenPO[[#This Row],[Lead time delivery (day)]],"over deliverry","Ontime")</f>
        <v/>
      </c>
      <c r="AC2202" s="22" t="n"/>
    </row>
    <row r="2203" ht="15" customHeight="1">
      <c r="A2203" s="5">
        <f>ROW()-ROW(RawDataGenPO[[#Headers],[No.]])</f>
        <v/>
      </c>
      <c r="B2203" s="29" t="inlineStr">
        <is>
          <t>Expent  cost</t>
        </is>
      </c>
      <c r="C2203" s="373" t="n"/>
      <c r="D2203" s="374" t="n"/>
      <c r="E2203" s="374" t="n"/>
      <c r="F2203" s="281" t="n"/>
      <c r="I2203" s="286" t="n"/>
      <c r="J2203" s="26" t="n"/>
      <c r="K2203" s="20" t="n"/>
      <c r="S2203" s="284">
        <f>RawDataGenPO[[#This Row],[Total price]]/RawDataGenPO[[#This Row],[Qty'']]</f>
        <v/>
      </c>
      <c r="U2203" s="291" t="n"/>
      <c r="W2203" s="5" t="n"/>
      <c r="Z2203" s="23" t="n"/>
      <c r="AA2203" s="17">
        <f>IF(RawDataGenPO[[#This Row],[Date Gen PO]]="","",RawDataGenPO[[#This Row],[Date recive bill]]-RawDataGenPO[[#This Row],[Date Gen PO]])</f>
        <v/>
      </c>
      <c r="AB2203" s="16">
        <f>IF(RawDataGenPO[[#This Row],[GRN-PO date]]&gt;RawDataGenPO[[#This Row],[Lead time delivery (day)]],"over deliverry","Ontime")</f>
        <v/>
      </c>
      <c r="AC2203" s="22" t="n"/>
    </row>
    <row r="2204" ht="15" customHeight="1">
      <c r="A2204" s="5">
        <f>ROW()-ROW(RawDataGenPO[[#Headers],[No.]])</f>
        <v/>
      </c>
      <c r="B2204" s="29" t="inlineStr">
        <is>
          <t>Expent  cost</t>
        </is>
      </c>
      <c r="C2204" s="373" t="n"/>
      <c r="D2204" s="374" t="n"/>
      <c r="E2204" s="374" t="n"/>
      <c r="F2204" s="281" t="n"/>
      <c r="I2204" s="286" t="n"/>
      <c r="J2204" s="26" t="n"/>
      <c r="K2204" s="20" t="n"/>
      <c r="S2204" s="284">
        <f>RawDataGenPO[[#This Row],[Total price]]/RawDataGenPO[[#This Row],[Qty'']]</f>
        <v/>
      </c>
      <c r="U2204" s="291" t="n"/>
      <c r="W2204" s="5" t="n"/>
      <c r="Z2204" s="23" t="n"/>
      <c r="AA2204" s="17">
        <f>IF(RawDataGenPO[[#This Row],[Date Gen PO]]="","",RawDataGenPO[[#This Row],[Date recive bill]]-RawDataGenPO[[#This Row],[Date Gen PO]])</f>
        <v/>
      </c>
      <c r="AB2204" s="16">
        <f>IF(RawDataGenPO[[#This Row],[GRN-PO date]]&gt;RawDataGenPO[[#This Row],[Lead time delivery (day)]],"over deliverry","Ontime")</f>
        <v/>
      </c>
      <c r="AC2204" s="22" t="n"/>
    </row>
    <row r="2205" ht="15" customHeight="1">
      <c r="A2205" s="5">
        <f>ROW()-ROW(RawDataGenPO[[#Headers],[No.]])</f>
        <v/>
      </c>
      <c r="B2205" s="29" t="inlineStr">
        <is>
          <t>Expent  cost</t>
        </is>
      </c>
      <c r="C2205" s="373" t="n"/>
      <c r="D2205" s="374" t="n"/>
      <c r="E2205" s="374" t="n"/>
      <c r="F2205" s="281" t="n"/>
      <c r="I2205" s="286" t="n"/>
      <c r="J2205" s="26" t="n"/>
      <c r="K2205" s="20" t="n"/>
      <c r="S2205" s="284">
        <f>RawDataGenPO[[#This Row],[Total price]]/RawDataGenPO[[#This Row],[Qty'']]</f>
        <v/>
      </c>
      <c r="U2205" s="291" t="n"/>
      <c r="W2205" s="5" t="n"/>
      <c r="Z2205" s="23" t="n"/>
      <c r="AA2205" s="17">
        <f>IF(RawDataGenPO[[#This Row],[Date Gen PO]]="","",RawDataGenPO[[#This Row],[Date recive bill]]-RawDataGenPO[[#This Row],[Date Gen PO]])</f>
        <v/>
      </c>
      <c r="AB2205" s="16">
        <f>IF(RawDataGenPO[[#This Row],[GRN-PO date]]&gt;RawDataGenPO[[#This Row],[Lead time delivery (day)]],"over deliverry","Ontime")</f>
        <v/>
      </c>
      <c r="AC2205" s="22" t="n"/>
    </row>
    <row r="2206" ht="15" customHeight="1">
      <c r="A2206" s="5">
        <f>ROW()-ROW(RawDataGenPO[[#Headers],[No.]])</f>
        <v/>
      </c>
      <c r="B2206" s="29" t="inlineStr">
        <is>
          <t>Expent  cost</t>
        </is>
      </c>
      <c r="C2206" s="373" t="n"/>
      <c r="D2206" s="374" t="n"/>
      <c r="E2206" s="374" t="n"/>
      <c r="F2206" s="281" t="n"/>
      <c r="I2206" s="286" t="n"/>
      <c r="J2206" s="26" t="n"/>
      <c r="K2206" s="20" t="n"/>
      <c r="S2206" s="284">
        <f>RawDataGenPO[[#This Row],[Total price]]/RawDataGenPO[[#This Row],[Qty'']]</f>
        <v/>
      </c>
      <c r="U2206" s="291" t="n"/>
      <c r="W2206" s="5" t="n"/>
      <c r="Z2206" s="23" t="n"/>
      <c r="AA2206" s="17">
        <f>IF(RawDataGenPO[[#This Row],[Date Gen PO]]="","",RawDataGenPO[[#This Row],[Date recive bill]]-RawDataGenPO[[#This Row],[Date Gen PO]])</f>
        <v/>
      </c>
      <c r="AB2206" s="16">
        <f>IF(RawDataGenPO[[#This Row],[GRN-PO date]]&gt;RawDataGenPO[[#This Row],[Lead time delivery (day)]],"over deliverry","Ontime")</f>
        <v/>
      </c>
      <c r="AC2206" s="22" t="n"/>
    </row>
    <row r="2207" ht="15" customHeight="1">
      <c r="A2207" s="5">
        <f>ROW()-ROW(RawDataGenPO[[#Headers],[No.]])</f>
        <v/>
      </c>
      <c r="B2207" s="29" t="inlineStr">
        <is>
          <t>Expent  cost</t>
        </is>
      </c>
      <c r="C2207" s="373" t="n"/>
      <c r="D2207" s="374" t="n"/>
      <c r="E2207" s="374" t="n"/>
      <c r="F2207" s="281" t="n"/>
      <c r="I2207" s="286" t="n"/>
      <c r="J2207" s="26" t="n"/>
      <c r="K2207" s="20" t="n"/>
      <c r="S2207" s="284">
        <f>RawDataGenPO[[#This Row],[Total price]]/RawDataGenPO[[#This Row],[Qty'']]</f>
        <v/>
      </c>
      <c r="U2207" s="291" t="n"/>
      <c r="W2207" s="5" t="n"/>
      <c r="Z2207" s="23" t="n"/>
      <c r="AA2207" s="17">
        <f>IF(RawDataGenPO[[#This Row],[Date Gen PO]]="","",RawDataGenPO[[#This Row],[Date recive bill]]-RawDataGenPO[[#This Row],[Date Gen PO]])</f>
        <v/>
      </c>
      <c r="AB2207" s="16">
        <f>IF(RawDataGenPO[[#This Row],[GRN-PO date]]&gt;RawDataGenPO[[#This Row],[Lead time delivery (day)]],"over deliverry","Ontime")</f>
        <v/>
      </c>
      <c r="AC2207" s="22" t="n"/>
    </row>
    <row r="2208" ht="15" customHeight="1">
      <c r="A2208" s="5">
        <f>ROW()-ROW(RawDataGenPO[[#Headers],[No.]])</f>
        <v/>
      </c>
      <c r="B2208" s="29" t="inlineStr">
        <is>
          <t>Expent  cost</t>
        </is>
      </c>
      <c r="C2208" s="373" t="n"/>
      <c r="D2208" s="374" t="n"/>
      <c r="E2208" s="374" t="n"/>
      <c r="F2208" s="281" t="n"/>
      <c r="I2208" s="286" t="n"/>
      <c r="J2208" s="26" t="n"/>
      <c r="K2208" s="20" t="n"/>
      <c r="S2208" s="284">
        <f>RawDataGenPO[[#This Row],[Total price]]/RawDataGenPO[[#This Row],[Qty'']]</f>
        <v/>
      </c>
      <c r="U2208" s="291" t="n"/>
      <c r="W2208" s="5" t="n"/>
      <c r="Z2208" s="23" t="n"/>
      <c r="AA2208" s="17">
        <f>IF(RawDataGenPO[[#This Row],[Date Gen PO]]="","",RawDataGenPO[[#This Row],[Date recive bill]]-RawDataGenPO[[#This Row],[Date Gen PO]])</f>
        <v/>
      </c>
      <c r="AB2208" s="16">
        <f>IF(RawDataGenPO[[#This Row],[GRN-PO date]]&gt;RawDataGenPO[[#This Row],[Lead time delivery (day)]],"over deliverry","Ontime")</f>
        <v/>
      </c>
      <c r="AC2208" s="22" t="n"/>
    </row>
    <row r="2209" ht="15" customHeight="1">
      <c r="A2209" s="5">
        <f>ROW()-ROW(RawDataGenPO[[#Headers],[No.]])</f>
        <v/>
      </c>
      <c r="B2209" s="29" t="inlineStr">
        <is>
          <t>Expent  cost</t>
        </is>
      </c>
      <c r="C2209" s="373" t="n"/>
      <c r="D2209" s="374" t="n"/>
      <c r="E2209" s="374" t="n"/>
      <c r="F2209" s="281" t="n"/>
      <c r="I2209" s="286" t="n"/>
      <c r="J2209" s="26" t="n"/>
      <c r="K2209" s="20" t="n"/>
      <c r="S2209" s="284">
        <f>RawDataGenPO[[#This Row],[Total price]]/RawDataGenPO[[#This Row],[Qty'']]</f>
        <v/>
      </c>
      <c r="U2209" s="291" t="n"/>
      <c r="W2209" s="5" t="n"/>
      <c r="Z2209" s="23" t="n"/>
      <c r="AA2209" s="17">
        <f>IF(RawDataGenPO[[#This Row],[Date Gen PO]]="","",RawDataGenPO[[#This Row],[Date recive bill]]-RawDataGenPO[[#This Row],[Date Gen PO]])</f>
        <v/>
      </c>
      <c r="AB2209" s="16">
        <f>IF(RawDataGenPO[[#This Row],[GRN-PO date]]&gt;RawDataGenPO[[#This Row],[Lead time delivery (day)]],"over deliverry","Ontime")</f>
        <v/>
      </c>
      <c r="AC2209" s="22" t="n"/>
    </row>
    <row r="2210" ht="15" customHeight="1">
      <c r="B2210" s="29" t="inlineStr">
        <is>
          <t>Expent  cost</t>
        </is>
      </c>
      <c r="C2210" s="373" t="n"/>
      <c r="D2210" s="374" t="n"/>
      <c r="E2210" s="374" t="n"/>
      <c r="F2210" s="281" t="n"/>
      <c r="I2210" s="286" t="n"/>
      <c r="J2210" s="26" t="n"/>
      <c r="K2210" s="20" t="n"/>
      <c r="S2210" s="284">
        <f>RawDataGenPO[[#This Row],[Total price]]/RawDataGenPO[[#This Row],[Qty'']]</f>
        <v/>
      </c>
      <c r="U2210" s="291" t="n"/>
      <c r="W2210" s="5" t="n"/>
      <c r="Z2210" s="23" t="n"/>
      <c r="AA2210" s="17">
        <f>IF(RawDataGenPO[[#This Row],[Date Gen PO]]="","",RawDataGenPO[[#This Row],[Date recive bill]]-RawDataGenPO[[#This Row],[Date Gen PO]])</f>
        <v/>
      </c>
      <c r="AB2210" s="16">
        <f>IF(RawDataGenPO[[#This Row],[GRN-PO date]]&gt;RawDataGenPO[[#This Row],[Lead time delivery (day)]],"over deliverry","Ontime")</f>
        <v/>
      </c>
      <c r="AC2210" s="22" t="n"/>
    </row>
    <row r="2211">
      <c r="F2211" s="281" t="n"/>
      <c r="I2211" s="286" t="n"/>
      <c r="K2211" s="20" t="n"/>
      <c r="X2211" s="5" t="inlineStr">
        <is>
          <t xml:space="preserve"> </t>
        </is>
      </c>
      <c r="AA2211" s="17" t="n"/>
      <c r="AB2211" s="16" t="n"/>
      <c r="AC2211" s="15" t="n"/>
    </row>
    <row r="2212">
      <c r="F2212" s="281" t="n"/>
      <c r="I2212" s="286" t="n"/>
      <c r="K2212" s="20" t="n"/>
      <c r="Y2212" s="3" t="inlineStr">
        <is>
          <t xml:space="preserve"> </t>
        </is>
      </c>
      <c r="AA2212" s="17" t="n"/>
      <c r="AB2212" s="16" t="n"/>
      <c r="AC2212" s="15" t="n"/>
    </row>
    <row r="2213">
      <c r="F2213" s="281" t="n"/>
      <c r="I2213" s="286" t="n"/>
      <c r="K2213" s="20" t="n"/>
      <c r="AA2213" s="17" t="n"/>
      <c r="AB2213" s="16" t="n"/>
      <c r="AC2213" s="15" t="n"/>
    </row>
    <row r="2214">
      <c r="F2214" s="281" t="n"/>
      <c r="I2214" s="286" t="n"/>
      <c r="K2214" s="20" t="n"/>
      <c r="L2214" s="18" t="n"/>
      <c r="AA2214" s="17" t="n"/>
      <c r="AB2214" s="16" t="n"/>
      <c r="AC2214" s="15" t="n"/>
    </row>
    <row r="2215">
      <c r="F2215" s="281" t="n"/>
      <c r="I2215" s="286" t="n"/>
      <c r="K2215" s="20" t="n"/>
      <c r="L2215" s="18" t="n"/>
      <c r="AA2215" s="17" t="n"/>
      <c r="AB2215" s="16" t="n"/>
      <c r="AC2215" s="15" t="n"/>
    </row>
    <row r="2216">
      <c r="G2216" s="18" t="n"/>
      <c r="I2216" s="286" t="n"/>
      <c r="K2216" s="20" t="n"/>
      <c r="L2216" s="18" t="n"/>
      <c r="AA2216" s="17" t="n"/>
      <c r="AB2216" s="16" t="n"/>
      <c r="AC2216" s="15" t="n"/>
    </row>
    <row r="2217">
      <c r="G2217" s="18" t="n"/>
      <c r="I2217" s="286" t="n"/>
      <c r="L2217" s="18" t="n"/>
      <c r="AA2217" s="17" t="n"/>
      <c r="AB2217" s="16" t="n"/>
      <c r="AC2217" s="15" t="n"/>
    </row>
    <row r="2218">
      <c r="G2218" s="18" t="n"/>
      <c r="I2218" s="286" t="n"/>
      <c r="L2218" s="18" t="n"/>
      <c r="X2218" s="5" t="inlineStr">
        <is>
          <t xml:space="preserve"> </t>
        </is>
      </c>
      <c r="AA2218" s="17" t="n"/>
      <c r="AB2218" s="16" t="n"/>
      <c r="AC2218" s="15" t="n"/>
    </row>
    <row r="2219">
      <c r="G2219" s="18" t="n"/>
      <c r="I2219" s="286" t="n"/>
      <c r="L2219" s="18" t="n"/>
      <c r="AA2219" s="17" t="n"/>
      <c r="AB2219" s="16" t="n"/>
      <c r="AC2219" s="15" t="n"/>
    </row>
    <row r="2220">
      <c r="G2220" s="18" t="n"/>
      <c r="I2220" s="286" t="n"/>
      <c r="AA2220" s="17" t="n"/>
      <c r="AB2220" s="16" t="n"/>
      <c r="AC2220" s="15" t="n"/>
    </row>
    <row r="2221">
      <c r="G2221" s="18" t="n"/>
      <c r="AA2221" s="17" t="n"/>
      <c r="AB2221" s="16" t="n"/>
      <c r="AC2221" s="15" t="n"/>
    </row>
    <row r="2222">
      <c r="G2222" s="18" t="n"/>
      <c r="AA2222" s="17" t="n"/>
      <c r="AB2222" s="16" t="n"/>
      <c r="AC2222" s="15" t="n"/>
    </row>
    <row r="2223">
      <c r="G2223" s="18" t="n"/>
      <c r="AA2223" s="17" t="n"/>
      <c r="AB2223" s="16" t="n"/>
      <c r="AC2223" s="15" t="n"/>
    </row>
    <row r="2224">
      <c r="G2224" s="18" t="n"/>
      <c r="AA2224" s="17" t="n"/>
      <c r="AB2224" s="16" t="n"/>
      <c r="AC2224" s="15" t="n"/>
    </row>
    <row r="2225">
      <c r="G2225" s="18" t="n"/>
      <c r="AA2225" s="17" t="n"/>
      <c r="AB2225" s="16" t="n"/>
      <c r="AC2225" s="15" t="n"/>
    </row>
    <row r="2226">
      <c r="G2226" s="18" t="n"/>
      <c r="AA2226" s="17" t="n"/>
      <c r="AB2226" s="16" t="n"/>
      <c r="AC2226" s="15" t="n"/>
    </row>
    <row r="2227">
      <c r="G2227" s="18" t="n"/>
      <c r="AA2227" s="17" t="n"/>
      <c r="AB2227" s="16" t="n"/>
      <c r="AC2227" s="15" t="n"/>
    </row>
    <row r="2228">
      <c r="G2228" s="18" t="n"/>
      <c r="AA2228" s="17" t="n"/>
      <c r="AB2228" s="16" t="n"/>
      <c r="AC2228" s="15" t="n"/>
    </row>
    <row r="2229">
      <c r="G2229" s="18" t="n"/>
      <c r="AA2229" s="17" t="n"/>
      <c r="AB2229" s="16" t="n"/>
      <c r="AC2229" s="15" t="n"/>
    </row>
    <row r="2230">
      <c r="G2230" s="18" t="n"/>
      <c r="AA2230" s="17" t="n"/>
      <c r="AB2230" s="16" t="n"/>
      <c r="AC2230" s="15" t="n"/>
    </row>
    <row r="2231">
      <c r="G2231" s="18" t="n"/>
      <c r="AA2231" s="17" t="n"/>
      <c r="AB2231" s="16" t="n"/>
      <c r="AC2231" s="15" t="n"/>
    </row>
  </sheetData>
  <conditionalFormatting sqref="W1013:W1077 W1080:W1225 W1233:W1434 W1435:X1442 W1452:W1462 W1474:X1548 W1550:X1578 W1585:X1649 W1652:X1712 W1713:W1715 W1716:X2123 W2201:X2652 X1233:X1321 X1401:X1434 X1471:X1473 X1549 X1579:X1584 X1650:X1651 X2124:X2200">
    <cfRule type="cellIs" priority="51" operator="equal" dxfId="6">
      <formula>"Inbetween Purchase sourcing and compare price"</formula>
    </cfRule>
    <cfRule type="cellIs" priority="52" operator="equal" dxfId="5">
      <formula>"Waitting  Purchasing approve  PO"</formula>
    </cfRule>
    <cfRule type="cellIs" priority="53" operator="equal" dxfId="4">
      <formula>"Waitting  Recive bill and GRN "</formula>
    </cfRule>
    <cfRule type="cellIs" priority="54" operator="equal" dxfId="2">
      <formula>"Inbetween waitting supplier Fix/Install/Other"</formula>
    </cfRule>
    <cfRule type="cellIs" priority="55" operator="equal" dxfId="2">
      <formula>"Waitting  Supplier Install"</formula>
    </cfRule>
    <cfRule type="cellIs" priority="56" operator="equal" dxfId="1">
      <formula>"Waitting Supplier transportation "</formula>
    </cfRule>
  </conditionalFormatting>
  <conditionalFormatting sqref="W2:X568 W569:W575 W1394:W1395 W1579:W1584">
    <cfRule type="containsText" priority="82" operator="containsText" dxfId="37" text="Recive bill and GRN already">
      <formula>NOT(ISERROR(SEARCH("Recive bill and GRN already",W2)))</formula>
    </cfRule>
  </conditionalFormatting>
  <conditionalFormatting sqref="W1549">
    <cfRule type="cellIs" priority="14" operator="equal" dxfId="6">
      <formula>"Inbetween Purchase sourcing and compare price"</formula>
    </cfRule>
    <cfRule type="cellIs" priority="15" operator="equal" dxfId="5">
      <formula>"Waitting  Purchasing approve  PO"</formula>
    </cfRule>
    <cfRule type="cellIs" priority="16" operator="equal" dxfId="4">
      <formula>"Waitting  Recive bill and GRN "</formula>
    </cfRule>
    <cfRule type="cellIs" priority="17" operator="equal" dxfId="2">
      <formula>"Inbetween waitting supplier Fix/Install/Other"</formula>
    </cfRule>
    <cfRule type="cellIs" priority="18" operator="equal" dxfId="2">
      <formula>"Waitting  Supplier Install"</formula>
    </cfRule>
    <cfRule type="cellIs" priority="19" operator="equal" dxfId="1">
      <formula>"Waitting Supplier transportation "</formula>
    </cfRule>
    <cfRule type="containsText" priority="20" operator="containsText" dxfId="37" text="Recive bill and GRN already">
      <formula>NOT(ISERROR(SEARCH("Recive bill and GRN already",W1549)))</formula>
    </cfRule>
  </conditionalFormatting>
  <conditionalFormatting sqref="W1650:W1651">
    <cfRule type="cellIs" priority="7" operator="equal" dxfId="6">
      <formula>"Inbetween Purchase sourcing and compare price"</formula>
    </cfRule>
    <cfRule type="cellIs" priority="8" operator="equal" dxfId="5">
      <formula>"Waitting  Purchasing approve  PO"</formula>
    </cfRule>
    <cfRule type="cellIs" priority="9" operator="equal" dxfId="4">
      <formula>"Waitting  Recive bill and GRN "</formula>
    </cfRule>
    <cfRule type="cellIs" priority="10" operator="equal" dxfId="2">
      <formula>"Inbetween waitting supplier Fix/Install/Other"</formula>
    </cfRule>
    <cfRule type="cellIs" priority="11" operator="equal" dxfId="2">
      <formula>"Waitting  Supplier Install"</formula>
    </cfRule>
    <cfRule type="cellIs" priority="12" operator="equal" dxfId="1">
      <formula>"Waitting Supplier transportation "</formula>
    </cfRule>
    <cfRule type="containsText" priority="13" operator="containsText" dxfId="37" text="Recive bill and GRN already">
      <formula>NOT(ISERROR(SEARCH("Recive bill and GRN already",W1650)))</formula>
    </cfRule>
  </conditionalFormatting>
  <conditionalFormatting sqref="W2124:W2200">
    <cfRule type="cellIs" priority="1" operator="equal" dxfId="6">
      <formula>"Inbetween Purchase sourcing and compare price"</formula>
    </cfRule>
    <cfRule type="cellIs" priority="2" operator="equal" dxfId="5">
      <formula>"Waitting  Purchasing approve  PO"</formula>
    </cfRule>
    <cfRule type="cellIs" priority="3" operator="equal" dxfId="4">
      <formula>"Waitting  Recive bill and GRN "</formula>
    </cfRule>
    <cfRule type="cellIs" priority="4" operator="equal" dxfId="2">
      <formula>"Inbetween waitting supplier Fix/Install/Other"</formula>
    </cfRule>
    <cfRule type="cellIs" priority="5" operator="equal" dxfId="2">
      <formula>"Waitting  Supplier Install"</formula>
    </cfRule>
    <cfRule type="cellIs" priority="6" operator="equal" dxfId="1">
      <formula>"Waitting Supplier transportation "</formula>
    </cfRule>
  </conditionalFormatting>
  <conditionalFormatting sqref="W2:X1012 W1227:W1228 W1443 W1444:X1451 W1463:X1470 W1471:W1473 W1579:W1584 X1323:X1397 X1399 X1452:X1462">
    <cfRule type="cellIs" priority="39" operator="equal" dxfId="6">
      <formula>"Inbetween Purchase sourcing and compare price"</formula>
    </cfRule>
    <cfRule type="cellIs" priority="40" operator="equal" dxfId="5">
      <formula>"Waitting  Purchasing approve  PO"</formula>
    </cfRule>
    <cfRule type="cellIs" priority="41" operator="equal" dxfId="4">
      <formula>"Waitting  Recive bill and GRN "</formula>
    </cfRule>
    <cfRule type="cellIs" priority="42" operator="equal" dxfId="2">
      <formula>"Inbetween waitting supplier Fix/Install/Other"</formula>
    </cfRule>
    <cfRule type="cellIs" priority="43" operator="equal" dxfId="2">
      <formula>"Waitting  Supplier Install"</formula>
    </cfRule>
    <cfRule type="cellIs" priority="44" operator="equal" dxfId="1">
      <formula>"Waitting Supplier transportation "</formula>
    </cfRule>
  </conditionalFormatting>
  <conditionalFormatting sqref="W577:X577 W578">
    <cfRule type="containsText" priority="81" operator="containsText" dxfId="37" text="Recive bill and GRN already">
      <formula>NOT(ISERROR(SEARCH("Recive bill and GRN already",W577)))</formula>
    </cfRule>
  </conditionalFormatting>
  <conditionalFormatting sqref="W579:X586">
    <cfRule type="containsText" priority="80" operator="containsText" dxfId="37" text="Recive bill and GRN already">
      <formula>NOT(ISERROR(SEARCH("Recive bill and GRN already",W579)))</formula>
    </cfRule>
  </conditionalFormatting>
  <conditionalFormatting sqref="W599:X621">
    <cfRule type="containsText" priority="79" operator="containsText" dxfId="37" text="Recive bill and GRN already">
      <formula>NOT(ISERROR(SEARCH("Recive bill and GRN already",W599)))</formula>
    </cfRule>
  </conditionalFormatting>
  <conditionalFormatting sqref="W633:X634">
    <cfRule type="containsText" priority="78" operator="containsText" dxfId="37" text="Recive bill and GRN already">
      <formula>NOT(ISERROR(SEARCH("Recive bill and GRN already",W633)))</formula>
    </cfRule>
  </conditionalFormatting>
  <conditionalFormatting sqref="W645:X647">
    <cfRule type="containsText" priority="71" operator="containsText" dxfId="37" text="Recive bill and GRN already">
      <formula>NOT(ISERROR(SEARCH("Recive bill and GRN already",W645)))</formula>
    </cfRule>
  </conditionalFormatting>
  <conditionalFormatting sqref="W1078:X1079 W1226:X1226 W1229:X1232">
    <cfRule type="cellIs" priority="72" operator="equal" dxfId="6">
      <formula>"Inbetween Purchase sourcing and compare price"</formula>
    </cfRule>
    <cfRule type="cellIs" priority="73" operator="equal" dxfId="5">
      <formula>"Waitting  Purchasing approve  PO"</formula>
    </cfRule>
    <cfRule type="cellIs" priority="74" operator="equal" dxfId="4">
      <formula>"Waitting  Recive bill and GRN "</formula>
    </cfRule>
    <cfRule type="cellIs" priority="75" operator="equal" dxfId="2">
      <formula>"Inbetween waitting supplier Fix/Install/Other"</formula>
    </cfRule>
    <cfRule type="cellIs" priority="76" operator="equal" dxfId="2">
      <formula>"Waitting  Supplier Install"</formula>
    </cfRule>
    <cfRule type="cellIs" priority="77" operator="equal" dxfId="1">
      <formula>"Waitting Supplier transportation "</formula>
    </cfRule>
  </conditionalFormatting>
  <conditionalFormatting sqref="X577">
    <cfRule type="containsText" priority="70" operator="containsText" dxfId="37" text="Recive bill and GRN already">
      <formula>NOT(ISERROR(SEARCH("Recive bill and GRN already",X577)))</formula>
    </cfRule>
  </conditionalFormatting>
  <conditionalFormatting sqref="X1013:X1070 X1072:X1077">
    <cfRule type="cellIs" priority="63" operator="equal" dxfId="6">
      <formula>"Inbetween Purchase sourcing and compare price"</formula>
    </cfRule>
    <cfRule type="cellIs" priority="64" operator="equal" dxfId="5">
      <formula>"Waitting  Purchasing approve  PO"</formula>
    </cfRule>
    <cfRule type="cellIs" priority="65" operator="equal" dxfId="4">
      <formula>"Waitting  Recive bill and GRN "</formula>
    </cfRule>
    <cfRule type="cellIs" priority="66" operator="equal" dxfId="2">
      <formula>"Inbetween waitting supplier Fix/Install/Other"</formula>
    </cfRule>
    <cfRule type="cellIs" priority="67" operator="equal" dxfId="2">
      <formula>"Waitting  Supplier Install"</formula>
    </cfRule>
    <cfRule type="cellIs" priority="68" operator="equal" dxfId="1">
      <formula>"Waitting Supplier transportation "</formula>
    </cfRule>
  </conditionalFormatting>
  <conditionalFormatting sqref="X1080:X1225">
    <cfRule type="cellIs" priority="57" operator="equal" dxfId="6">
      <formula>"Inbetween Purchase sourcing and compare price"</formula>
    </cfRule>
    <cfRule type="cellIs" priority="58" operator="equal" dxfId="5">
      <formula>"Waitting  Purchasing approve  PO"</formula>
    </cfRule>
    <cfRule type="cellIs" priority="59" operator="equal" dxfId="4">
      <formula>"Waitting  Recive bill and GRN "</formula>
    </cfRule>
    <cfRule type="cellIs" priority="60" operator="equal" dxfId="2">
      <formula>"Inbetween waitting supplier Fix/Install/Other"</formula>
    </cfRule>
    <cfRule type="cellIs" priority="61" operator="equal" dxfId="2">
      <formula>"Waitting  Supplier Install"</formula>
    </cfRule>
    <cfRule type="cellIs" priority="62" operator="equal" dxfId="1">
      <formula>"Waitting Supplier transportation "</formula>
    </cfRule>
  </conditionalFormatting>
  <conditionalFormatting sqref="X1227:X1228">
    <cfRule type="cellIs" priority="33" operator="equal" dxfId="6">
      <formula>"Inbetween Purchase sourcing and compare price"</formula>
    </cfRule>
    <cfRule type="cellIs" priority="34" operator="equal" dxfId="5">
      <formula>"Waitting  Purchasing approve  PO"</formula>
    </cfRule>
    <cfRule type="cellIs" priority="35" operator="equal" dxfId="4">
      <formula>"Waitting  Recive bill and GRN "</formula>
    </cfRule>
    <cfRule type="cellIs" priority="36" operator="equal" dxfId="2">
      <formula>"Inbetween waitting supplier Fix/Install/Other"</formula>
    </cfRule>
    <cfRule type="cellIs" priority="37" operator="equal" dxfId="2">
      <formula>"Waitting  Supplier Install"</formula>
    </cfRule>
    <cfRule type="cellIs" priority="38" operator="equal" dxfId="1">
      <formula>"Waitting Supplier transportation "</formula>
    </cfRule>
  </conditionalFormatting>
  <conditionalFormatting sqref="X1443">
    <cfRule type="cellIs" priority="21" operator="equal" dxfId="6">
      <formula>"Inbetween Purchase sourcing and compare price"</formula>
    </cfRule>
    <cfRule type="cellIs" priority="22" operator="equal" dxfId="5">
      <formula>"Waitting  Purchasing approve  PO"</formula>
    </cfRule>
    <cfRule type="cellIs" priority="23" operator="equal" dxfId="4">
      <formula>"Waitting  Recive bill and GRN "</formula>
    </cfRule>
    <cfRule type="cellIs" priority="24" operator="equal" dxfId="2">
      <formula>"Inbetween waitting supplier Fix/Install/Other"</formula>
    </cfRule>
    <cfRule type="cellIs" priority="25" operator="equal" dxfId="2">
      <formula>"Waitting  Supplier Install"</formula>
    </cfRule>
    <cfRule type="cellIs" priority="26" operator="equal" dxfId="1">
      <formula>"Waitting Supplier transportation "</formula>
    </cfRule>
  </conditionalFormatting>
  <conditionalFormatting sqref="Y1180">
    <cfRule type="cellIs" priority="27" operator="equal" dxfId="6">
      <formula>"Inbetween Purchase sourcing and compare price"</formula>
    </cfRule>
    <cfRule type="cellIs" priority="28" operator="equal" dxfId="5">
      <formula>"Waitting  Purchasing approve  PO"</formula>
    </cfRule>
    <cfRule type="cellIs" priority="29" operator="equal" dxfId="4">
      <formula>"Waitting  Recive bill and GRN "</formula>
    </cfRule>
    <cfRule type="cellIs" priority="30" operator="equal" dxfId="2">
      <formula>"Inbetween waitting supplier Fix/Install/Other"</formula>
    </cfRule>
    <cfRule type="cellIs" priority="31" operator="equal" dxfId="2">
      <formula>"Waitting  Supplier Install"</formula>
    </cfRule>
    <cfRule type="cellIs" priority="32" operator="equal" dxfId="1">
      <formula>"Waitting Supplier transportation "</formula>
    </cfRule>
  </conditionalFormatting>
  <conditionalFormatting sqref="Y1184:Y1187">
    <cfRule type="cellIs" priority="45" operator="equal" dxfId="6">
      <formula>"Inbetween Purchase sourcing and compare price"</formula>
    </cfRule>
    <cfRule type="cellIs" priority="46" operator="equal" dxfId="5">
      <formula>"Waitting  Purchasing approve  PO"</formula>
    </cfRule>
    <cfRule type="cellIs" priority="47" operator="equal" dxfId="4">
      <formula>"Waitting  Recive bill and GRN "</formula>
    </cfRule>
    <cfRule type="cellIs" priority="48" operator="equal" dxfId="2">
      <formula>"Inbetween waitting supplier Fix/Install/Other"</formula>
    </cfRule>
    <cfRule type="cellIs" priority="49" operator="equal" dxfId="2">
      <formula>"Waitting  Supplier Install"</formula>
    </cfRule>
    <cfRule type="cellIs" priority="50" operator="equal" dxfId="1">
      <formula>"Waitting Supplier transportation "</formula>
    </cfRule>
  </conditionalFormatting>
  <conditionalFormatting sqref="AB1:AB1048576">
    <cfRule type="cellIs" priority="69" operator="equal" dxfId="0">
      <formula>"Over deliverry"</formula>
    </cfRule>
  </conditionalFormatting>
  <dataValidations count="1">
    <dataValidation sqref="U2:U497" showDropDown="0" showInputMessage="1" showErrorMessage="1" allowBlank="1" type="list">
      <formula1>#REF!</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2026-04-24T02:38:59Z</dcterms:created>
  <dcterms:modified xmlns:dcterms="http://purl.org/dc/terms/" xmlns:xsi="http://www.w3.org/2001/XMLSchema-instance" xsi:type="dcterms:W3CDTF">2026-04-24T03:25:20Z</dcterms:modified>
</cp:coreProperties>
</file>