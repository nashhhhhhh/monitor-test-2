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Power_Meter_Monthly\"/>
    </mc:Choice>
  </mc:AlternateContent>
  <xr:revisionPtr revIDLastSave="0" documentId="8_{477929E3-F2E9-4212-9265-BF114F2575E9}" xr6:coauthVersionLast="47" xr6:coauthVersionMax="47" xr10:uidLastSave="{00000000-0000-0000-0000-000000000000}"/>
  <bookViews>
    <workbookView xWindow="-120" yWindow="-120" windowWidth="29040" windowHeight="15720" tabRatio="370" xr2:uid="{CF134218-FE9F-4015-9317-ACE3314EF9A3}"/>
  </bookViews>
  <sheets>
    <sheet name="ENERGY" sheetId="3" r:id="rId1"/>
    <sheet name="Graph01" sheetId="5" r:id="rId2"/>
    <sheet name="Graph02" sheetId="6" state="hidden" r:id="rId3"/>
    <sheet name="RAWDATA" sheetId="4" state="hidden" r:id="rId4"/>
  </sheets>
  <definedNames>
    <definedName name="_xlnm.Print_Area" localSheetId="0">ENERGY!$A$1:$G$43</definedName>
    <definedName name="_xlnm.Print_Area" localSheetId="1">Graph01!$A$1:$AZ$82</definedName>
    <definedName name="_xlnm.Print_Area" localSheetId="2">Graph02!$A$1:$AZ$82</definedName>
  </definedNames>
  <calcPr calcId="191029"/>
</workbook>
</file>

<file path=xl/calcChain.xml><?xml version="1.0" encoding="utf-8"?>
<calcChain xmlns="http://schemas.openxmlformats.org/spreadsheetml/2006/main">
  <c r="F42" i="3" l="1"/>
  <c r="D42" i="3"/>
  <c r="E42" i="3"/>
  <c r="C42" i="3"/>
  <c r="B42" i="3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81" i="4"/>
  <c r="H81" i="4"/>
  <c r="G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G11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B81" i="4"/>
  <c r="C81" i="4"/>
  <c r="D81" i="4"/>
  <c r="E81" i="4"/>
  <c r="F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B82" i="4"/>
  <c r="C82" i="4"/>
  <c r="D82" i="4"/>
  <c r="E82" i="4"/>
  <c r="F82" i="4"/>
  <c r="B83" i="4"/>
  <c r="C83" i="4"/>
  <c r="D83" i="4"/>
  <c r="E83" i="4"/>
  <c r="F83" i="4"/>
  <c r="B84" i="4"/>
  <c r="C84" i="4"/>
  <c r="D84" i="4"/>
  <c r="E84" i="4"/>
  <c r="F84" i="4"/>
  <c r="B85" i="4"/>
  <c r="C85" i="4"/>
  <c r="D85" i="4"/>
  <c r="E85" i="4"/>
  <c r="F85" i="4"/>
  <c r="B86" i="4"/>
  <c r="C86" i="4"/>
  <c r="D86" i="4"/>
  <c r="E86" i="4"/>
  <c r="F86" i="4"/>
  <c r="B87" i="4"/>
  <c r="C87" i="4"/>
  <c r="D87" i="4"/>
  <c r="E87" i="4"/>
  <c r="F87" i="4"/>
  <c r="B88" i="4"/>
  <c r="C88" i="4"/>
  <c r="D88" i="4"/>
  <c r="E88" i="4"/>
  <c r="F88" i="4"/>
  <c r="B89" i="4"/>
  <c r="C89" i="4"/>
  <c r="D89" i="4"/>
  <c r="E89" i="4"/>
  <c r="F89" i="4"/>
  <c r="B90" i="4"/>
  <c r="C90" i="4"/>
  <c r="D90" i="4"/>
  <c r="E90" i="4"/>
  <c r="F90" i="4"/>
  <c r="B91" i="4"/>
  <c r="C91" i="4"/>
  <c r="D91" i="4"/>
  <c r="E91" i="4"/>
  <c r="F91" i="4"/>
  <c r="B92" i="4"/>
  <c r="C92" i="4"/>
  <c r="D92" i="4"/>
  <c r="E92" i="4"/>
  <c r="F92" i="4"/>
  <c r="B93" i="4"/>
  <c r="C93" i="4"/>
  <c r="D93" i="4"/>
  <c r="E93" i="4"/>
  <c r="F93" i="4"/>
  <c r="B94" i="4"/>
  <c r="C94" i="4"/>
  <c r="D94" i="4"/>
  <c r="E94" i="4"/>
  <c r="F94" i="4"/>
  <c r="B95" i="4"/>
  <c r="C95" i="4"/>
  <c r="D95" i="4"/>
  <c r="E95" i="4"/>
  <c r="F95" i="4"/>
  <c r="B96" i="4"/>
  <c r="C96" i="4"/>
  <c r="D96" i="4"/>
  <c r="E96" i="4"/>
  <c r="F96" i="4"/>
  <c r="B97" i="4"/>
  <c r="C97" i="4"/>
  <c r="D97" i="4"/>
  <c r="E97" i="4"/>
  <c r="F97" i="4"/>
  <c r="B98" i="4"/>
  <c r="C98" i="4"/>
  <c r="D98" i="4"/>
  <c r="E98" i="4"/>
  <c r="F98" i="4"/>
  <c r="B99" i="4"/>
  <c r="C99" i="4"/>
  <c r="D99" i="4"/>
  <c r="E99" i="4"/>
  <c r="F99" i="4"/>
  <c r="B100" i="4"/>
  <c r="C100" i="4"/>
  <c r="D100" i="4"/>
  <c r="E100" i="4"/>
  <c r="F100" i="4"/>
  <c r="B101" i="4"/>
  <c r="C101" i="4"/>
  <c r="D101" i="4"/>
  <c r="E101" i="4"/>
  <c r="F101" i="4"/>
  <c r="B102" i="4"/>
  <c r="C102" i="4"/>
  <c r="D102" i="4"/>
  <c r="E102" i="4"/>
  <c r="F102" i="4"/>
  <c r="B103" i="4"/>
  <c r="C103" i="4"/>
  <c r="D103" i="4"/>
  <c r="E103" i="4"/>
  <c r="F103" i="4"/>
  <c r="B104" i="4"/>
  <c r="C104" i="4"/>
  <c r="D104" i="4"/>
  <c r="E104" i="4"/>
  <c r="F104" i="4"/>
  <c r="B105" i="4"/>
  <c r="C105" i="4"/>
  <c r="D105" i="4"/>
  <c r="E105" i="4"/>
  <c r="F105" i="4"/>
  <c r="B106" i="4"/>
  <c r="C106" i="4"/>
  <c r="D106" i="4"/>
  <c r="E106" i="4"/>
  <c r="F106" i="4"/>
  <c r="B107" i="4"/>
  <c r="C107" i="4"/>
  <c r="D107" i="4"/>
  <c r="E107" i="4"/>
  <c r="F107" i="4"/>
  <c r="B108" i="4"/>
  <c r="C108" i="4"/>
  <c r="D108" i="4"/>
  <c r="E108" i="4"/>
  <c r="F108" i="4"/>
  <c r="B109" i="4"/>
  <c r="C109" i="4"/>
  <c r="D109" i="4"/>
  <c r="E109" i="4"/>
  <c r="F109" i="4"/>
  <c r="B110" i="4"/>
  <c r="C110" i="4"/>
  <c r="D110" i="4"/>
  <c r="E110" i="4"/>
  <c r="F110" i="4"/>
  <c r="B111" i="4"/>
  <c r="C111" i="4"/>
  <c r="D111" i="4"/>
  <c r="E111" i="4"/>
  <c r="F111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G43" i="3" l="1"/>
</calcChain>
</file>

<file path=xl/sharedStrings.xml><?xml version="1.0" encoding="utf-8"?>
<sst xmlns="http://schemas.openxmlformats.org/spreadsheetml/2006/main" count="70" uniqueCount="54">
  <si>
    <t>REMARK</t>
  </si>
  <si>
    <t xml:space="preserve"> </t>
  </si>
  <si>
    <t>DATE</t>
  </si>
  <si>
    <t>Day-Month-Year</t>
  </si>
  <si>
    <t>kWh</t>
  </si>
  <si>
    <t>TOTAL MONTH (kWh)</t>
  </si>
  <si>
    <t>Datetime</t>
  </si>
  <si>
    <t>Solar cell</t>
  </si>
  <si>
    <t>MDB3</t>
  </si>
  <si>
    <t>Refrigeration</t>
  </si>
  <si>
    <t>MDB1</t>
  </si>
  <si>
    <t>MDB2</t>
  </si>
  <si>
    <t>B-ACMCC/CH3</t>
  </si>
  <si>
    <t>MDB1&amp;MDB2</t>
  </si>
  <si>
    <t>On grid</t>
  </si>
  <si>
    <t>Spiral Freezer</t>
  </si>
  <si>
    <t>Screw Compressor</t>
  </si>
  <si>
    <t>MLF01</t>
  </si>
  <si>
    <t>MLF02</t>
  </si>
  <si>
    <t>MLF03</t>
  </si>
  <si>
    <t>MDB01</t>
  </si>
  <si>
    <t>MDB02</t>
  </si>
  <si>
    <t>SATS Food Solutions (Thailand) Co., Ltd.</t>
  </si>
  <si>
    <t>November-2025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</si>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</sst>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m/d/yy\ h:mm;@"/>
    <numFmt numFmtId="166" formatCode="yyyy/mm/dd\ hh:mm:ss"/>
    <numFmt numFmtId="167" formatCode="[$-409]d\-mmm\-yyyy;@"/>
    <numFmt numFmtId="168" formatCode="[$-1070000]d/m/yy;@"/>
    <numFmt numFmtId="169" formatCode="mmm/yyyy"/>
    <numFmt numFmtId="170" formatCode="0.0;[Red]0.0"/>
  </numFmts>
  <fonts count="24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sz val="20"/>
      <name val="Times New Roman"/>
      <family val="1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u/>
      <sz val="16"/>
      <name val="Cordia New"/>
      <family val="2"/>
    </font>
    <font>
      <sz val="16"/>
      <name val="Cordia New"/>
      <family val="2"/>
    </font>
    <font>
      <sz val="8"/>
      <name val="Cordia New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36"/>
      <name val="Times New Roman"/>
      <family val="1"/>
    </font>
    <font>
      <b/>
      <sz val="24"/>
      <name val="Times New Roman"/>
      <family val="1"/>
    </font>
    <font>
      <sz val="25"/>
      <name val="Times New Roman"/>
      <family val="1"/>
    </font>
    <font>
      <b/>
      <sz val="20"/>
      <name val="Times New Roman"/>
      <family val="1"/>
    </font>
    <font>
      <b/>
      <sz val="28"/>
      <name val="Times New Roman"/>
      <family val="1"/>
    </font>
    <font>
      <sz val="11"/>
      <name val="Calibri"/>
      <family val="2"/>
      <scheme val="minor"/>
    </font>
    <font>
      <b/>
      <sz val="26"/>
      <name val="Times New Roman"/>
      <family val="1"/>
    </font>
    <font>
      <sz val="26"/>
      <name val="Cordia New"/>
      <family val="2"/>
    </font>
    <font>
      <b/>
      <sz val="30"/>
      <name val="Times New Roman"/>
      <family val="1"/>
    </font>
    <font>
      <sz val="18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21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2" fillId="2" borderId="0" xfId="0" applyFont="1" applyFill="1"/>
    <xf numFmtId="166" fontId="9" fillId="3" borderId="0" xfId="0" applyNumberFormat="1" applyFont="1" applyFill="1"/>
    <xf numFmtId="0" fontId="1" fillId="3" borderId="0" xfId="0" applyFont="1" applyFill="1"/>
    <xf numFmtId="167" fontId="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0" applyNumberFormat="1" applyFont="1"/>
    <xf numFmtId="0" fontId="0" fillId="4" borderId="0" xfId="0" applyFill="1"/>
    <xf numFmtId="0" fontId="2" fillId="4" borderId="0" xfId="0" applyFont="1" applyFill="1"/>
    <xf numFmtId="165" fontId="3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1" fontId="10" fillId="5" borderId="5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169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2" fontId="1" fillId="0" borderId="0" xfId="0" applyNumberFormat="1" applyFont="1"/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9" fontId="13" fillId="0" borderId="0" xfId="0" applyNumberFormat="1" applyFont="1" applyAlignment="1">
      <alignment vertical="center"/>
    </xf>
    <xf numFmtId="1" fontId="10" fillId="5" borderId="6" xfId="0" applyNumberFormat="1" applyFont="1" applyFill="1" applyBorder="1" applyAlignment="1">
      <alignment vertical="center"/>
    </xf>
    <xf numFmtId="0" fontId="1" fillId="2" borderId="0" xfId="0" applyFont="1" applyFill="1"/>
    <xf numFmtId="166" fontId="9" fillId="2" borderId="0" xfId="0" applyNumberFormat="1" applyFont="1" applyFill="1" applyAlignment="1">
      <alignment horizontal="center" vertical="center"/>
    </xf>
    <xf numFmtId="166" fontId="9" fillId="4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7" fontId="16" fillId="0" borderId="15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1"/>
    <xf numFmtId="170" fontId="1" fillId="0" borderId="0" xfId="1" applyNumberFormat="1"/>
    <xf numFmtId="0" fontId="19" fillId="0" borderId="0" xfId="1" applyFont="1"/>
    <xf numFmtId="49" fontId="18" fillId="0" borderId="0" xfId="0" applyNumberFormat="1" applyFont="1" applyAlignment="1">
      <alignment horizontal="left" vertical="center"/>
    </xf>
    <xf numFmtId="1" fontId="21" fillId="0" borderId="2" xfId="0" applyNumberFormat="1" applyFont="1" applyBorder="1" applyAlignment="1">
      <alignment horizontal="center" vertical="center"/>
    </xf>
    <xf numFmtId="3" fontId="20" fillId="0" borderId="10" xfId="0" applyNumberFormat="1" applyFont="1" applyBorder="1" applyAlignment="1">
      <alignment horizontal="center" vertical="center"/>
    </xf>
    <xf numFmtId="3" fontId="20" fillId="0" borderId="11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3" fontId="20" fillId="0" borderId="13" xfId="0" applyNumberFormat="1" applyFont="1" applyBorder="1" applyAlignment="1">
      <alignment horizontal="center" vertical="center"/>
    </xf>
    <xf numFmtId="3" fontId="20" fillId="0" borderId="1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3" fontId="22" fillId="3" borderId="7" xfId="0" applyNumberFormat="1" applyFont="1" applyFill="1" applyBorder="1" applyAlignment="1">
      <alignment horizontal="center" vertical="center"/>
    </xf>
    <xf numFmtId="1" fontId="23" fillId="5" borderId="8" xfId="0" applyNumberFormat="1" applyFont="1" applyFill="1" applyBorder="1" applyAlignment="1">
      <alignment horizontal="center" vertical="center"/>
    </xf>
    <xf numFmtId="3" fontId="18" fillId="0" borderId="16" xfId="0" applyNumberFormat="1" applyFont="1" applyBorder="1" applyAlignment="1">
      <alignment horizontal="center" vertical="center"/>
    </xf>
    <xf numFmtId="3" fontId="18" fillId="0" borderId="17" xfId="0" applyNumberFormat="1" applyFont="1" applyBorder="1" applyAlignment="1">
      <alignment horizontal="center" vertical="center"/>
    </xf>
    <xf numFmtId="3" fontId="20" fillId="0" borderId="22" xfId="0" applyNumberFormat="1" applyFont="1" applyBorder="1" applyAlignment="1">
      <alignment horizontal="center" vertical="center"/>
    </xf>
    <xf numFmtId="3" fontId="20" fillId="0" borderId="23" xfId="0" applyNumberFormat="1" applyFont="1" applyBorder="1" applyAlignment="1">
      <alignment horizontal="center" vertical="center"/>
    </xf>
    <xf numFmtId="3" fontId="20" fillId="0" borderId="24" xfId="0" applyNumberFormat="1" applyFont="1" applyBorder="1" applyAlignment="1">
      <alignment horizontal="center" vertical="center"/>
    </xf>
    <xf numFmtId="165" fontId="17" fillId="0" borderId="25" xfId="0" applyNumberFormat="1" applyFont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14" fontId="1" fillId="0" borderId="0" xfId="1" applyNumberFormat="1"/>
    <xf numFmtId="17" fontId="1" fillId="0" borderId="0" xfId="1" applyNumberFormat="1"/>
    <xf numFmtId="14" fontId="20" fillId="0" borderId="21" xfId="0" applyNumberFormat="1" applyFont="1" applyBorder="1" applyAlignment="1">
      <alignment horizontal="center" vertical="center"/>
    </xf>
    <xf numFmtId="14" fontId="20" fillId="0" borderId="9" xfId="0" applyNumberFormat="1" applyFont="1" applyBorder="1" applyAlignment="1">
      <alignment horizontal="center" vertical="center"/>
    </xf>
    <xf numFmtId="14" fontId="20" fillId="0" borderId="1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65" fontId="17" fillId="0" borderId="25" xfId="0" applyNumberFormat="1" applyFont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1E979956-C30C-4305-8E56-E06425524F8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4"/>
          <c:order val="0"/>
          <c:tx>
            <c:v>MLF01</c:v>
          </c:tx>
          <c:cat>
            <c:strRef>
              <c:f>ENERGY!$A$11:$A$41</c:f>
              <c:strCache>
                <c:ptCount val="30"/>
                <c:pt idx="0">
                  <c:v>2025-11-01</c:v>
                </c:pt>
                <c:pt idx="1">
                  <c:v>2025-11-02</c:v>
                </c:pt>
                <c:pt idx="2">
                  <c:v>2025-11-03</c:v>
                </c:pt>
                <c:pt idx="3">
                  <c:v>2025-11-04</c:v>
                </c:pt>
                <c:pt idx="4">
                  <c:v>2025-11-05</c:v>
                </c:pt>
                <c:pt idx="5">
                  <c:v>2025-11-06</c:v>
                </c:pt>
                <c:pt idx="6">
                  <c:v>2025-11-07</c:v>
                </c:pt>
                <c:pt idx="7">
                  <c:v>2025-11-08</c:v>
                </c:pt>
                <c:pt idx="8">
                  <c:v>2025-11-09</c:v>
                </c:pt>
                <c:pt idx="9">
                  <c:v>2025-11-10</c:v>
                </c:pt>
                <c:pt idx="10">
                  <c:v>2025-11-11</c:v>
                </c:pt>
                <c:pt idx="11">
                  <c:v>2025-11-12</c:v>
                </c:pt>
                <c:pt idx="12">
                  <c:v>2025-11-13</c:v>
                </c:pt>
                <c:pt idx="13">
                  <c:v>2025-11-14</c:v>
                </c:pt>
                <c:pt idx="14">
                  <c:v>2025-11-15</c:v>
                </c:pt>
                <c:pt idx="15">
                  <c:v>2025-11-16</c:v>
                </c:pt>
                <c:pt idx="16">
                  <c:v>2025-11-17</c:v>
                </c:pt>
                <c:pt idx="17">
                  <c:v>2025-11-18</c:v>
                </c:pt>
                <c:pt idx="18">
                  <c:v>2025-11-19</c:v>
                </c:pt>
                <c:pt idx="19">
                  <c:v>2025-11-20</c:v>
                </c:pt>
                <c:pt idx="20">
                  <c:v>2025-11-21</c:v>
                </c:pt>
                <c:pt idx="21">
                  <c:v>2025-11-22</c:v>
                </c:pt>
                <c:pt idx="22">
                  <c:v>2025-11-23</c:v>
                </c:pt>
                <c:pt idx="23">
                  <c:v>2025-11-24</c:v>
                </c:pt>
                <c:pt idx="24">
                  <c:v>2025-11-25</c:v>
                </c:pt>
                <c:pt idx="25">
                  <c:v>2025-11-26</c:v>
                </c:pt>
                <c:pt idx="26">
                  <c:v>2025-11-27</c:v>
                </c:pt>
                <c:pt idx="27">
                  <c:v>2025-11-28</c:v>
                </c:pt>
                <c:pt idx="28">
                  <c:v>2025-11-29</c:v>
                </c:pt>
                <c:pt idx="29">
                  <c:v>2025-11-30</c:v>
                </c:pt>
              </c:strCache>
            </c:strRef>
          </c:cat>
          <c:val>
            <c:numRef>
              <c:f>ENERGY!$B$11:$B$41</c:f>
              <c:numCache>
                <c:formatCode>#,##0</c:formatCode>
                <c:ptCount val="31"/>
                <c:pt idx="12">
                  <c:v>236</c:v>
                </c:pt>
                <c:pt idx="13">
                  <c:v>232</c:v>
                </c:pt>
                <c:pt idx="14">
                  <c:v>139</c:v>
                </c:pt>
                <c:pt idx="15">
                  <c:v>11</c:v>
                </c:pt>
                <c:pt idx="16">
                  <c:v>315</c:v>
                </c:pt>
                <c:pt idx="17">
                  <c:v>12</c:v>
                </c:pt>
                <c:pt idx="18">
                  <c:v>25</c:v>
                </c:pt>
                <c:pt idx="19">
                  <c:v>34</c:v>
                </c:pt>
                <c:pt idx="20">
                  <c:v>404</c:v>
                </c:pt>
                <c:pt idx="21">
                  <c:v>11</c:v>
                </c:pt>
                <c:pt idx="22">
                  <c:v>11</c:v>
                </c:pt>
                <c:pt idx="23">
                  <c:v>148</c:v>
                </c:pt>
                <c:pt idx="24">
                  <c:v>16</c:v>
                </c:pt>
                <c:pt idx="25">
                  <c:v>90</c:v>
                </c:pt>
                <c:pt idx="26">
                  <c:v>69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27-4E6D-85EB-21DCDC113E3D}"/>
            </c:ext>
          </c:extLst>
        </c:ser>
        <c:ser>
          <c:idx val="0"/>
          <c:order val="1"/>
          <c:tx>
            <c:v>MLF02</c:v>
          </c:tx>
          <c:val>
            <c:numRef>
              <c:f>ENERGY!$C$11:$C$41</c:f>
              <c:numCache>
                <c:formatCode>#,##0</c:formatCode>
                <c:ptCount val="31"/>
                <c:pt idx="12">
                  <c:v>212</c:v>
                </c:pt>
                <c:pt idx="13">
                  <c:v>135</c:v>
                </c:pt>
                <c:pt idx="14">
                  <c:v>81</c:v>
                </c:pt>
                <c:pt idx="15">
                  <c:v>10</c:v>
                </c:pt>
                <c:pt idx="16">
                  <c:v>418</c:v>
                </c:pt>
                <c:pt idx="17">
                  <c:v>318</c:v>
                </c:pt>
                <c:pt idx="18">
                  <c:v>9</c:v>
                </c:pt>
                <c:pt idx="19">
                  <c:v>4</c:v>
                </c:pt>
                <c:pt idx="20">
                  <c:v>114</c:v>
                </c:pt>
                <c:pt idx="21">
                  <c:v>10</c:v>
                </c:pt>
                <c:pt idx="22">
                  <c:v>12</c:v>
                </c:pt>
                <c:pt idx="23">
                  <c:v>146</c:v>
                </c:pt>
                <c:pt idx="24">
                  <c:v>13</c:v>
                </c:pt>
                <c:pt idx="25">
                  <c:v>10</c:v>
                </c:pt>
                <c:pt idx="26">
                  <c:v>135</c:v>
                </c:pt>
                <c:pt idx="27">
                  <c:v>12</c:v>
                </c:pt>
                <c:pt idx="28">
                  <c:v>11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7-4E6D-85EB-21DCDC113E3D}"/>
            </c:ext>
          </c:extLst>
        </c:ser>
        <c:ser>
          <c:idx val="1"/>
          <c:order val="2"/>
          <c:tx>
            <c:v>MLF03</c:v>
          </c:tx>
          <c:val>
            <c:numRef>
              <c:f>ENERGY!$D$11:$D$41</c:f>
              <c:numCache>
                <c:formatCode>#,##0</c:formatCode>
                <c:ptCount val="31"/>
                <c:pt idx="12">
                  <c:v>197</c:v>
                </c:pt>
                <c:pt idx="13">
                  <c:v>251</c:v>
                </c:pt>
                <c:pt idx="14">
                  <c:v>160</c:v>
                </c:pt>
                <c:pt idx="15">
                  <c:v>11</c:v>
                </c:pt>
                <c:pt idx="16">
                  <c:v>461</c:v>
                </c:pt>
                <c:pt idx="17">
                  <c:v>10</c:v>
                </c:pt>
                <c:pt idx="18">
                  <c:v>478</c:v>
                </c:pt>
                <c:pt idx="19">
                  <c:v>10</c:v>
                </c:pt>
                <c:pt idx="20">
                  <c:v>105</c:v>
                </c:pt>
                <c:pt idx="21">
                  <c:v>13</c:v>
                </c:pt>
                <c:pt idx="22">
                  <c:v>11</c:v>
                </c:pt>
                <c:pt idx="23">
                  <c:v>175</c:v>
                </c:pt>
                <c:pt idx="24">
                  <c:v>11</c:v>
                </c:pt>
                <c:pt idx="25">
                  <c:v>10</c:v>
                </c:pt>
                <c:pt idx="26">
                  <c:v>62</c:v>
                </c:pt>
                <c:pt idx="27">
                  <c:v>396</c:v>
                </c:pt>
                <c:pt idx="28">
                  <c:v>11</c:v>
                </c:pt>
                <c:pt idx="2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27-4E6D-85EB-21DCDC113E3D}"/>
            </c:ext>
          </c:extLst>
        </c:ser>
        <c:ser>
          <c:idx val="2"/>
          <c:order val="3"/>
          <c:tx>
            <c:v>MDB01</c:v>
          </c:tx>
          <c:val>
            <c:numRef>
              <c:f>ENERGY!$E$11:$E$41</c:f>
              <c:numCache>
                <c:formatCode>#,##0</c:formatCode>
                <c:ptCount val="31"/>
                <c:pt idx="7">
                  <c:v>8</c:v>
                </c:pt>
                <c:pt idx="8">
                  <c:v>263</c:v>
                </c:pt>
                <c:pt idx="9">
                  <c:v>298</c:v>
                </c:pt>
                <c:pt idx="10">
                  <c:v>292</c:v>
                </c:pt>
                <c:pt idx="11">
                  <c:v>495</c:v>
                </c:pt>
                <c:pt idx="12">
                  <c:v>452</c:v>
                </c:pt>
                <c:pt idx="13">
                  <c:v>401</c:v>
                </c:pt>
                <c:pt idx="14">
                  <c:v>439</c:v>
                </c:pt>
                <c:pt idx="15">
                  <c:v>3</c:v>
                </c:pt>
                <c:pt idx="16">
                  <c:v>645</c:v>
                </c:pt>
                <c:pt idx="17">
                  <c:v>460</c:v>
                </c:pt>
                <c:pt idx="18">
                  <c:v>85</c:v>
                </c:pt>
                <c:pt idx="19">
                  <c:v>87</c:v>
                </c:pt>
                <c:pt idx="20">
                  <c:v>784</c:v>
                </c:pt>
                <c:pt idx="21">
                  <c:v>50</c:v>
                </c:pt>
                <c:pt idx="22">
                  <c:v>3</c:v>
                </c:pt>
                <c:pt idx="23">
                  <c:v>296</c:v>
                </c:pt>
                <c:pt idx="24">
                  <c:v>13</c:v>
                </c:pt>
                <c:pt idx="25">
                  <c:v>245</c:v>
                </c:pt>
                <c:pt idx="26">
                  <c:v>23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27-4E6D-85EB-21DCDC113E3D}"/>
            </c:ext>
          </c:extLst>
        </c:ser>
        <c:ser>
          <c:idx val="3"/>
          <c:order val="4"/>
          <c:tx>
            <c:v>MDB02</c:v>
          </c:tx>
          <c:val>
            <c:numRef>
              <c:f>ENERGY!$F$11:$F$41</c:f>
              <c:numCache>
                <c:formatCode>#,##0</c:formatCode>
                <c:ptCount val="31"/>
                <c:pt idx="7">
                  <c:v>58</c:v>
                </c:pt>
                <c:pt idx="8">
                  <c:v>208</c:v>
                </c:pt>
                <c:pt idx="9">
                  <c:v>195</c:v>
                </c:pt>
                <c:pt idx="10">
                  <c:v>355</c:v>
                </c:pt>
                <c:pt idx="11">
                  <c:v>552</c:v>
                </c:pt>
                <c:pt idx="12">
                  <c:v>650</c:v>
                </c:pt>
                <c:pt idx="13">
                  <c:v>592</c:v>
                </c:pt>
                <c:pt idx="14">
                  <c:v>326</c:v>
                </c:pt>
                <c:pt idx="15">
                  <c:v>16</c:v>
                </c:pt>
                <c:pt idx="16">
                  <c:v>892</c:v>
                </c:pt>
                <c:pt idx="17">
                  <c:v>36</c:v>
                </c:pt>
                <c:pt idx="18">
                  <c:v>669</c:v>
                </c:pt>
                <c:pt idx="19">
                  <c:v>80</c:v>
                </c:pt>
                <c:pt idx="20">
                  <c:v>185</c:v>
                </c:pt>
                <c:pt idx="21">
                  <c:v>28</c:v>
                </c:pt>
                <c:pt idx="22">
                  <c:v>3</c:v>
                </c:pt>
                <c:pt idx="23">
                  <c:v>397</c:v>
                </c:pt>
                <c:pt idx="24">
                  <c:v>2</c:v>
                </c:pt>
                <c:pt idx="25">
                  <c:v>124</c:v>
                </c:pt>
                <c:pt idx="26">
                  <c:v>212</c:v>
                </c:pt>
                <c:pt idx="27">
                  <c:v>551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27-4E6D-85EB-21DCDC113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787648"/>
        <c:axId val="1"/>
      </c:lineChart>
      <c:catAx>
        <c:axId val="177578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77578764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600" b="0" i="0" u="none" strike="noStrike" baseline="0">
          <a:solidFill>
            <a:srgbClr val="000000"/>
          </a:solidFill>
          <a:latin typeface="Times New Roman" panose="02020603050405020304" pitchFamily="18" charset="0"/>
          <a:ea typeface="Calibri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ENERGY!$F$8</c:f>
              <c:strCache>
                <c:ptCount val="1"/>
              </c:strCache>
            </c:strRef>
          </c:tx>
          <c:spPr>
            <a:ln w="101600"/>
          </c:spPr>
          <c:cat>
            <c:strRef>
              <c:f>ENERGY!$A$11:$A$41</c:f>
              <c:strCache>
                <c:ptCount val="30"/>
                <c:pt idx="0">
                  <c:v>2025-11-01</c:v>
                </c:pt>
                <c:pt idx="1">
                  <c:v>2025-11-02</c:v>
                </c:pt>
                <c:pt idx="2">
                  <c:v>2025-11-03</c:v>
                </c:pt>
                <c:pt idx="3">
                  <c:v>2025-11-04</c:v>
                </c:pt>
                <c:pt idx="4">
                  <c:v>2025-11-05</c:v>
                </c:pt>
                <c:pt idx="5">
                  <c:v>2025-11-06</c:v>
                </c:pt>
                <c:pt idx="6">
                  <c:v>2025-11-07</c:v>
                </c:pt>
                <c:pt idx="7">
                  <c:v>2025-11-08</c:v>
                </c:pt>
                <c:pt idx="8">
                  <c:v>2025-11-09</c:v>
                </c:pt>
                <c:pt idx="9">
                  <c:v>2025-11-10</c:v>
                </c:pt>
                <c:pt idx="10">
                  <c:v>2025-11-11</c:v>
                </c:pt>
                <c:pt idx="11">
                  <c:v>2025-11-12</c:v>
                </c:pt>
                <c:pt idx="12">
                  <c:v>2025-11-13</c:v>
                </c:pt>
                <c:pt idx="13">
                  <c:v>2025-11-14</c:v>
                </c:pt>
                <c:pt idx="14">
                  <c:v>2025-11-15</c:v>
                </c:pt>
                <c:pt idx="15">
                  <c:v>2025-11-16</c:v>
                </c:pt>
                <c:pt idx="16">
                  <c:v>2025-11-17</c:v>
                </c:pt>
                <c:pt idx="17">
                  <c:v>2025-11-18</c:v>
                </c:pt>
                <c:pt idx="18">
                  <c:v>2025-11-19</c:v>
                </c:pt>
                <c:pt idx="19">
                  <c:v>2025-11-20</c:v>
                </c:pt>
                <c:pt idx="20">
                  <c:v>2025-11-21</c:v>
                </c:pt>
                <c:pt idx="21">
                  <c:v>2025-11-22</c:v>
                </c:pt>
                <c:pt idx="22">
                  <c:v>2025-11-23</c:v>
                </c:pt>
                <c:pt idx="23">
                  <c:v>2025-11-24</c:v>
                </c:pt>
                <c:pt idx="24">
                  <c:v>2025-11-25</c:v>
                </c:pt>
                <c:pt idx="25">
                  <c:v>2025-11-26</c:v>
                </c:pt>
                <c:pt idx="26">
                  <c:v>2025-11-27</c:v>
                </c:pt>
                <c:pt idx="27">
                  <c:v>2025-11-28</c:v>
                </c:pt>
                <c:pt idx="28">
                  <c:v>2025-11-29</c:v>
                </c:pt>
                <c:pt idx="29">
                  <c:v>2025-11-30</c:v>
                </c:pt>
              </c:strCache>
            </c:strRef>
          </c:cat>
          <c:val>
            <c:numRef>
              <c:f>ENERGY!$F$11:$F$41</c:f>
              <c:numCache>
                <c:formatCode>#,##0</c:formatCode>
                <c:ptCount val="31"/>
                <c:pt idx="7">
                  <c:v>58</c:v>
                </c:pt>
                <c:pt idx="8">
                  <c:v>208</c:v>
                </c:pt>
                <c:pt idx="9">
                  <c:v>195</c:v>
                </c:pt>
                <c:pt idx="10">
                  <c:v>355</c:v>
                </c:pt>
                <c:pt idx="11">
                  <c:v>552</c:v>
                </c:pt>
                <c:pt idx="12">
                  <c:v>650</c:v>
                </c:pt>
                <c:pt idx="13">
                  <c:v>592</c:v>
                </c:pt>
                <c:pt idx="14">
                  <c:v>326</c:v>
                </c:pt>
                <c:pt idx="15">
                  <c:v>16</c:v>
                </c:pt>
                <c:pt idx="16">
                  <c:v>892</c:v>
                </c:pt>
                <c:pt idx="17">
                  <c:v>36</c:v>
                </c:pt>
                <c:pt idx="18">
                  <c:v>669</c:v>
                </c:pt>
                <c:pt idx="19">
                  <c:v>80</c:v>
                </c:pt>
                <c:pt idx="20">
                  <c:v>185</c:v>
                </c:pt>
                <c:pt idx="21">
                  <c:v>28</c:v>
                </c:pt>
                <c:pt idx="22">
                  <c:v>3</c:v>
                </c:pt>
                <c:pt idx="23">
                  <c:v>397</c:v>
                </c:pt>
                <c:pt idx="24">
                  <c:v>2</c:v>
                </c:pt>
                <c:pt idx="25">
                  <c:v>124</c:v>
                </c:pt>
                <c:pt idx="26">
                  <c:v>212</c:v>
                </c:pt>
                <c:pt idx="27">
                  <c:v>551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39-4741-8B62-929B318D8AC3}"/>
            </c:ext>
          </c:extLst>
        </c:ser>
        <c:ser>
          <c:idx val="1"/>
          <c:order val="1"/>
          <c:tx>
            <c:strRef>
              <c:f>ENERGY!#REF!</c:f>
              <c:strCache>
                <c:ptCount val="1"/>
                <c:pt idx="0">
                  <c:v>LC3</c:v>
                </c:pt>
              </c:strCache>
            </c:strRef>
          </c:tx>
          <c:spPr>
            <a:ln w="101600"/>
          </c:spPr>
          <c:cat>
            <c:strRef>
              <c:f>ENERGY!$A$11:$A$41</c:f>
              <c:strCache>
                <c:ptCount val="30"/>
                <c:pt idx="0">
                  <c:v>2025-11-01</c:v>
                </c:pt>
                <c:pt idx="1">
                  <c:v>2025-11-02</c:v>
                </c:pt>
                <c:pt idx="2">
                  <c:v>2025-11-03</c:v>
                </c:pt>
                <c:pt idx="3">
                  <c:v>2025-11-04</c:v>
                </c:pt>
                <c:pt idx="4">
                  <c:v>2025-11-05</c:v>
                </c:pt>
                <c:pt idx="5">
                  <c:v>2025-11-06</c:v>
                </c:pt>
                <c:pt idx="6">
                  <c:v>2025-11-07</c:v>
                </c:pt>
                <c:pt idx="7">
                  <c:v>2025-11-08</c:v>
                </c:pt>
                <c:pt idx="8">
                  <c:v>2025-11-09</c:v>
                </c:pt>
                <c:pt idx="9">
                  <c:v>2025-11-10</c:v>
                </c:pt>
                <c:pt idx="10">
                  <c:v>2025-11-11</c:v>
                </c:pt>
                <c:pt idx="11">
                  <c:v>2025-11-12</c:v>
                </c:pt>
                <c:pt idx="12">
                  <c:v>2025-11-13</c:v>
                </c:pt>
                <c:pt idx="13">
                  <c:v>2025-11-14</c:v>
                </c:pt>
                <c:pt idx="14">
                  <c:v>2025-11-15</c:v>
                </c:pt>
                <c:pt idx="15">
                  <c:v>2025-11-16</c:v>
                </c:pt>
                <c:pt idx="16">
                  <c:v>2025-11-17</c:v>
                </c:pt>
                <c:pt idx="17">
                  <c:v>2025-11-18</c:v>
                </c:pt>
                <c:pt idx="18">
                  <c:v>2025-11-19</c:v>
                </c:pt>
                <c:pt idx="19">
                  <c:v>2025-11-20</c:v>
                </c:pt>
                <c:pt idx="20">
                  <c:v>2025-11-21</c:v>
                </c:pt>
                <c:pt idx="21">
                  <c:v>2025-11-22</c:v>
                </c:pt>
                <c:pt idx="22">
                  <c:v>2025-11-23</c:v>
                </c:pt>
                <c:pt idx="23">
                  <c:v>2025-11-24</c:v>
                </c:pt>
                <c:pt idx="24">
                  <c:v>2025-11-25</c:v>
                </c:pt>
                <c:pt idx="25">
                  <c:v>2025-11-26</c:v>
                </c:pt>
                <c:pt idx="26">
                  <c:v>2025-11-27</c:v>
                </c:pt>
                <c:pt idx="27">
                  <c:v>2025-11-28</c:v>
                </c:pt>
                <c:pt idx="28">
                  <c:v>2025-11-29</c:v>
                </c:pt>
                <c:pt idx="29">
                  <c:v>2025-11-30</c:v>
                </c:pt>
              </c:strCache>
            </c:strRef>
          </c:cat>
          <c:val>
            <c:numRef>
              <c:f>ENERGY!#REF!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39-4741-8B62-929B318D8AC3}"/>
            </c:ext>
          </c:extLst>
        </c:ser>
        <c:ser>
          <c:idx val="2"/>
          <c:order val="2"/>
          <c:tx>
            <c:v>P#1 DB1</c:v>
          </c:tx>
          <c:spPr>
            <a:ln w="101600"/>
          </c:spPr>
          <c:cat>
            <c:strRef>
              <c:f>ENERGY!$A$11:$A$41</c:f>
              <c:strCache>
                <c:ptCount val="30"/>
                <c:pt idx="0">
                  <c:v>2025-11-01</c:v>
                </c:pt>
                <c:pt idx="1">
                  <c:v>2025-11-02</c:v>
                </c:pt>
                <c:pt idx="2">
                  <c:v>2025-11-03</c:v>
                </c:pt>
                <c:pt idx="3">
                  <c:v>2025-11-04</c:v>
                </c:pt>
                <c:pt idx="4">
                  <c:v>2025-11-05</c:v>
                </c:pt>
                <c:pt idx="5">
                  <c:v>2025-11-06</c:v>
                </c:pt>
                <c:pt idx="6">
                  <c:v>2025-11-07</c:v>
                </c:pt>
                <c:pt idx="7">
                  <c:v>2025-11-08</c:v>
                </c:pt>
                <c:pt idx="8">
                  <c:v>2025-11-09</c:v>
                </c:pt>
                <c:pt idx="9">
                  <c:v>2025-11-10</c:v>
                </c:pt>
                <c:pt idx="10">
                  <c:v>2025-11-11</c:v>
                </c:pt>
                <c:pt idx="11">
                  <c:v>2025-11-12</c:v>
                </c:pt>
                <c:pt idx="12">
                  <c:v>2025-11-13</c:v>
                </c:pt>
                <c:pt idx="13">
                  <c:v>2025-11-14</c:v>
                </c:pt>
                <c:pt idx="14">
                  <c:v>2025-11-15</c:v>
                </c:pt>
                <c:pt idx="15">
                  <c:v>2025-11-16</c:v>
                </c:pt>
                <c:pt idx="16">
                  <c:v>2025-11-17</c:v>
                </c:pt>
                <c:pt idx="17">
                  <c:v>2025-11-18</c:v>
                </c:pt>
                <c:pt idx="18">
                  <c:v>2025-11-19</c:v>
                </c:pt>
                <c:pt idx="19">
                  <c:v>2025-11-20</c:v>
                </c:pt>
                <c:pt idx="20">
                  <c:v>2025-11-21</c:v>
                </c:pt>
                <c:pt idx="21">
                  <c:v>2025-11-22</c:v>
                </c:pt>
                <c:pt idx="22">
                  <c:v>2025-11-23</c:v>
                </c:pt>
                <c:pt idx="23">
                  <c:v>2025-11-24</c:v>
                </c:pt>
                <c:pt idx="24">
                  <c:v>2025-11-25</c:v>
                </c:pt>
                <c:pt idx="25">
                  <c:v>2025-11-26</c:v>
                </c:pt>
                <c:pt idx="26">
                  <c:v>2025-11-27</c:v>
                </c:pt>
                <c:pt idx="27">
                  <c:v>2025-11-28</c:v>
                </c:pt>
                <c:pt idx="28">
                  <c:v>2025-11-29</c:v>
                </c:pt>
                <c:pt idx="29">
                  <c:v>2025-11-30</c:v>
                </c:pt>
              </c:strCache>
            </c:strRef>
          </c:cat>
          <c:val>
            <c:numRef>
              <c:f>ENERGY!#REF!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2-4109-BDA9-B337C56917C0}"/>
            </c:ext>
          </c:extLst>
        </c:ser>
        <c:ser>
          <c:idx val="3"/>
          <c:order val="3"/>
          <c:tx>
            <c:v>P#1 DB2</c:v>
          </c:tx>
          <c:spPr>
            <a:ln w="101600"/>
          </c:spPr>
          <c:cat>
            <c:strRef>
              <c:f>ENERGY!$A$11:$A$41</c:f>
              <c:strCache>
                <c:ptCount val="30"/>
                <c:pt idx="0">
                  <c:v>2025-11-01</c:v>
                </c:pt>
                <c:pt idx="1">
                  <c:v>2025-11-02</c:v>
                </c:pt>
                <c:pt idx="2">
                  <c:v>2025-11-03</c:v>
                </c:pt>
                <c:pt idx="3">
                  <c:v>2025-11-04</c:v>
                </c:pt>
                <c:pt idx="4">
                  <c:v>2025-11-05</c:v>
                </c:pt>
                <c:pt idx="5">
                  <c:v>2025-11-06</c:v>
                </c:pt>
                <c:pt idx="6">
                  <c:v>2025-11-07</c:v>
                </c:pt>
                <c:pt idx="7">
                  <c:v>2025-11-08</c:v>
                </c:pt>
                <c:pt idx="8">
                  <c:v>2025-11-09</c:v>
                </c:pt>
                <c:pt idx="9">
                  <c:v>2025-11-10</c:v>
                </c:pt>
                <c:pt idx="10">
                  <c:v>2025-11-11</c:v>
                </c:pt>
                <c:pt idx="11">
                  <c:v>2025-11-12</c:v>
                </c:pt>
                <c:pt idx="12">
                  <c:v>2025-11-13</c:v>
                </c:pt>
                <c:pt idx="13">
                  <c:v>2025-11-14</c:v>
                </c:pt>
                <c:pt idx="14">
                  <c:v>2025-11-15</c:v>
                </c:pt>
                <c:pt idx="15">
                  <c:v>2025-11-16</c:v>
                </c:pt>
                <c:pt idx="16">
                  <c:v>2025-11-17</c:v>
                </c:pt>
                <c:pt idx="17">
                  <c:v>2025-11-18</c:v>
                </c:pt>
                <c:pt idx="18">
                  <c:v>2025-11-19</c:v>
                </c:pt>
                <c:pt idx="19">
                  <c:v>2025-11-20</c:v>
                </c:pt>
                <c:pt idx="20">
                  <c:v>2025-11-21</c:v>
                </c:pt>
                <c:pt idx="21">
                  <c:v>2025-11-22</c:v>
                </c:pt>
                <c:pt idx="22">
                  <c:v>2025-11-23</c:v>
                </c:pt>
                <c:pt idx="23">
                  <c:v>2025-11-24</c:v>
                </c:pt>
                <c:pt idx="24">
                  <c:v>2025-11-25</c:v>
                </c:pt>
                <c:pt idx="25">
                  <c:v>2025-11-26</c:v>
                </c:pt>
                <c:pt idx="26">
                  <c:v>2025-11-27</c:v>
                </c:pt>
                <c:pt idx="27">
                  <c:v>2025-11-28</c:v>
                </c:pt>
                <c:pt idx="28">
                  <c:v>2025-11-29</c:v>
                </c:pt>
                <c:pt idx="29">
                  <c:v>2025-11-30</c:v>
                </c:pt>
              </c:strCache>
            </c:strRef>
          </c:cat>
          <c:val>
            <c:numRef>
              <c:f>ENERGY!#REF!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4-4DCC-AB5A-46F9C84217A8}"/>
            </c:ext>
          </c:extLst>
        </c:ser>
        <c:ser>
          <c:idx val="4"/>
          <c:order val="4"/>
          <c:tx>
            <c:v>Office REF</c:v>
          </c:tx>
          <c:spPr>
            <a:ln w="101600"/>
          </c:spPr>
          <c:cat>
            <c:strRef>
              <c:f>ENERGY!$A$11:$A$41</c:f>
              <c:strCache>
                <c:ptCount val="30"/>
                <c:pt idx="0">
                  <c:v>2025-11-01</c:v>
                </c:pt>
                <c:pt idx="1">
                  <c:v>2025-11-02</c:v>
                </c:pt>
                <c:pt idx="2">
                  <c:v>2025-11-03</c:v>
                </c:pt>
                <c:pt idx="3">
                  <c:v>2025-11-04</c:v>
                </c:pt>
                <c:pt idx="4">
                  <c:v>2025-11-05</c:v>
                </c:pt>
                <c:pt idx="5">
                  <c:v>2025-11-06</c:v>
                </c:pt>
                <c:pt idx="6">
                  <c:v>2025-11-07</c:v>
                </c:pt>
                <c:pt idx="7">
                  <c:v>2025-11-08</c:v>
                </c:pt>
                <c:pt idx="8">
                  <c:v>2025-11-09</c:v>
                </c:pt>
                <c:pt idx="9">
                  <c:v>2025-11-10</c:v>
                </c:pt>
                <c:pt idx="10">
                  <c:v>2025-11-11</c:v>
                </c:pt>
                <c:pt idx="11">
                  <c:v>2025-11-12</c:v>
                </c:pt>
                <c:pt idx="12">
                  <c:v>2025-11-13</c:v>
                </c:pt>
                <c:pt idx="13">
                  <c:v>2025-11-14</c:v>
                </c:pt>
                <c:pt idx="14">
                  <c:v>2025-11-15</c:v>
                </c:pt>
                <c:pt idx="15">
                  <c:v>2025-11-16</c:v>
                </c:pt>
                <c:pt idx="16">
                  <c:v>2025-11-17</c:v>
                </c:pt>
                <c:pt idx="17">
                  <c:v>2025-11-18</c:v>
                </c:pt>
                <c:pt idx="18">
                  <c:v>2025-11-19</c:v>
                </c:pt>
                <c:pt idx="19">
                  <c:v>2025-11-20</c:v>
                </c:pt>
                <c:pt idx="20">
                  <c:v>2025-11-21</c:v>
                </c:pt>
                <c:pt idx="21">
                  <c:v>2025-11-22</c:v>
                </c:pt>
                <c:pt idx="22">
                  <c:v>2025-11-23</c:v>
                </c:pt>
                <c:pt idx="23">
                  <c:v>2025-11-24</c:v>
                </c:pt>
                <c:pt idx="24">
                  <c:v>2025-11-25</c:v>
                </c:pt>
                <c:pt idx="25">
                  <c:v>2025-11-26</c:v>
                </c:pt>
                <c:pt idx="26">
                  <c:v>2025-11-27</c:v>
                </c:pt>
                <c:pt idx="27">
                  <c:v>2025-11-28</c:v>
                </c:pt>
                <c:pt idx="28">
                  <c:v>2025-11-29</c:v>
                </c:pt>
                <c:pt idx="29">
                  <c:v>2025-11-30</c:v>
                </c:pt>
              </c:strCache>
            </c:strRef>
          </c:cat>
          <c:val>
            <c:numRef>
              <c:f>ENERGY!#REF!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4-4DCC-AB5A-46F9C84217A8}"/>
            </c:ext>
          </c:extLst>
        </c:ser>
        <c:ser>
          <c:idx val="5"/>
          <c:order val="5"/>
          <c:tx>
            <c:v>Office EN</c:v>
          </c:tx>
          <c:spPr>
            <a:ln w="101600"/>
          </c:spPr>
          <c:cat>
            <c:strRef>
              <c:f>ENERGY!$A$11:$A$41</c:f>
              <c:strCache>
                <c:ptCount val="30"/>
                <c:pt idx="0">
                  <c:v>2025-11-01</c:v>
                </c:pt>
                <c:pt idx="1">
                  <c:v>2025-11-02</c:v>
                </c:pt>
                <c:pt idx="2">
                  <c:v>2025-11-03</c:v>
                </c:pt>
                <c:pt idx="3">
                  <c:v>2025-11-04</c:v>
                </c:pt>
                <c:pt idx="4">
                  <c:v>2025-11-05</c:v>
                </c:pt>
                <c:pt idx="5">
                  <c:v>2025-11-06</c:v>
                </c:pt>
                <c:pt idx="6">
                  <c:v>2025-11-07</c:v>
                </c:pt>
                <c:pt idx="7">
                  <c:v>2025-11-08</c:v>
                </c:pt>
                <c:pt idx="8">
                  <c:v>2025-11-09</c:v>
                </c:pt>
                <c:pt idx="9">
                  <c:v>2025-11-10</c:v>
                </c:pt>
                <c:pt idx="10">
                  <c:v>2025-11-11</c:v>
                </c:pt>
                <c:pt idx="11">
                  <c:v>2025-11-12</c:v>
                </c:pt>
                <c:pt idx="12">
                  <c:v>2025-11-13</c:v>
                </c:pt>
                <c:pt idx="13">
                  <c:v>2025-11-14</c:v>
                </c:pt>
                <c:pt idx="14">
                  <c:v>2025-11-15</c:v>
                </c:pt>
                <c:pt idx="15">
                  <c:v>2025-11-16</c:v>
                </c:pt>
                <c:pt idx="16">
                  <c:v>2025-11-17</c:v>
                </c:pt>
                <c:pt idx="17">
                  <c:v>2025-11-18</c:v>
                </c:pt>
                <c:pt idx="18">
                  <c:v>2025-11-19</c:v>
                </c:pt>
                <c:pt idx="19">
                  <c:v>2025-11-20</c:v>
                </c:pt>
                <c:pt idx="20">
                  <c:v>2025-11-21</c:v>
                </c:pt>
                <c:pt idx="21">
                  <c:v>2025-11-22</c:v>
                </c:pt>
                <c:pt idx="22">
                  <c:v>2025-11-23</c:v>
                </c:pt>
                <c:pt idx="23">
                  <c:v>2025-11-24</c:v>
                </c:pt>
                <c:pt idx="24">
                  <c:v>2025-11-25</c:v>
                </c:pt>
                <c:pt idx="25">
                  <c:v>2025-11-26</c:v>
                </c:pt>
                <c:pt idx="26">
                  <c:v>2025-11-27</c:v>
                </c:pt>
                <c:pt idx="27">
                  <c:v>2025-11-28</c:v>
                </c:pt>
                <c:pt idx="28">
                  <c:v>2025-11-29</c:v>
                </c:pt>
                <c:pt idx="29">
                  <c:v>2025-11-30</c:v>
                </c:pt>
              </c:strCache>
            </c:strRef>
          </c:cat>
          <c:val>
            <c:numRef>
              <c:f>ENERGY!#REF!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A4-4DCC-AB5A-46F9C84217A8}"/>
            </c:ext>
          </c:extLst>
        </c:ser>
        <c:ser>
          <c:idx val="6"/>
          <c:order val="6"/>
          <c:tx>
            <c:v>Office REF#3</c:v>
          </c:tx>
          <c:spPr>
            <a:ln w="101600"/>
          </c:spPr>
          <c:cat>
            <c:strRef>
              <c:f>ENERGY!$A$11:$A$41</c:f>
              <c:strCache>
                <c:ptCount val="30"/>
                <c:pt idx="0">
                  <c:v>2025-11-01</c:v>
                </c:pt>
                <c:pt idx="1">
                  <c:v>2025-11-02</c:v>
                </c:pt>
                <c:pt idx="2">
                  <c:v>2025-11-03</c:v>
                </c:pt>
                <c:pt idx="3">
                  <c:v>2025-11-04</c:v>
                </c:pt>
                <c:pt idx="4">
                  <c:v>2025-11-05</c:v>
                </c:pt>
                <c:pt idx="5">
                  <c:v>2025-11-06</c:v>
                </c:pt>
                <c:pt idx="6">
                  <c:v>2025-11-07</c:v>
                </c:pt>
                <c:pt idx="7">
                  <c:v>2025-11-08</c:v>
                </c:pt>
                <c:pt idx="8">
                  <c:v>2025-11-09</c:v>
                </c:pt>
                <c:pt idx="9">
                  <c:v>2025-11-10</c:v>
                </c:pt>
                <c:pt idx="10">
                  <c:v>2025-11-11</c:v>
                </c:pt>
                <c:pt idx="11">
                  <c:v>2025-11-12</c:v>
                </c:pt>
                <c:pt idx="12">
                  <c:v>2025-11-13</c:v>
                </c:pt>
                <c:pt idx="13">
                  <c:v>2025-11-14</c:v>
                </c:pt>
                <c:pt idx="14">
                  <c:v>2025-11-15</c:v>
                </c:pt>
                <c:pt idx="15">
                  <c:v>2025-11-16</c:v>
                </c:pt>
                <c:pt idx="16">
                  <c:v>2025-11-17</c:v>
                </c:pt>
                <c:pt idx="17">
                  <c:v>2025-11-18</c:v>
                </c:pt>
                <c:pt idx="18">
                  <c:v>2025-11-19</c:v>
                </c:pt>
                <c:pt idx="19">
                  <c:v>2025-11-20</c:v>
                </c:pt>
                <c:pt idx="20">
                  <c:v>2025-11-21</c:v>
                </c:pt>
                <c:pt idx="21">
                  <c:v>2025-11-22</c:v>
                </c:pt>
                <c:pt idx="22">
                  <c:v>2025-11-23</c:v>
                </c:pt>
                <c:pt idx="23">
                  <c:v>2025-11-24</c:v>
                </c:pt>
                <c:pt idx="24">
                  <c:v>2025-11-25</c:v>
                </c:pt>
                <c:pt idx="25">
                  <c:v>2025-11-26</c:v>
                </c:pt>
                <c:pt idx="26">
                  <c:v>2025-11-27</c:v>
                </c:pt>
                <c:pt idx="27">
                  <c:v>2025-11-28</c:v>
                </c:pt>
                <c:pt idx="28">
                  <c:v>2025-11-29</c:v>
                </c:pt>
                <c:pt idx="29">
                  <c:v>2025-11-30</c:v>
                </c:pt>
              </c:strCache>
            </c:strRef>
          </c:cat>
          <c:val>
            <c:numRef>
              <c:f>ENERGY!#REF!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A4-4DCC-AB5A-46F9C84217A8}"/>
            </c:ext>
          </c:extLst>
        </c:ser>
        <c:ser>
          <c:idx val="7"/>
          <c:order val="7"/>
          <c:tx>
            <c:strRef>
              <c:f>ENERGY!#REF!</c:f>
              <c:strCache>
                <c:ptCount val="1"/>
                <c:pt idx="0">
                  <c:v>Air chiller</c:v>
                </c:pt>
              </c:strCache>
            </c:strRef>
          </c:tx>
          <c:spPr>
            <a:ln w="101600"/>
          </c:spPr>
          <c:cat>
            <c:strRef>
              <c:f>ENERGY!$A$11:$A$41</c:f>
              <c:strCache>
                <c:ptCount val="30"/>
                <c:pt idx="0">
                  <c:v>2025-11-01</c:v>
                </c:pt>
                <c:pt idx="1">
                  <c:v>2025-11-02</c:v>
                </c:pt>
                <c:pt idx="2">
                  <c:v>2025-11-03</c:v>
                </c:pt>
                <c:pt idx="3">
                  <c:v>2025-11-04</c:v>
                </c:pt>
                <c:pt idx="4">
                  <c:v>2025-11-05</c:v>
                </c:pt>
                <c:pt idx="5">
                  <c:v>2025-11-06</c:v>
                </c:pt>
                <c:pt idx="6">
                  <c:v>2025-11-07</c:v>
                </c:pt>
                <c:pt idx="7">
                  <c:v>2025-11-08</c:v>
                </c:pt>
                <c:pt idx="8">
                  <c:v>2025-11-09</c:v>
                </c:pt>
                <c:pt idx="9">
                  <c:v>2025-11-10</c:v>
                </c:pt>
                <c:pt idx="10">
                  <c:v>2025-11-11</c:v>
                </c:pt>
                <c:pt idx="11">
                  <c:v>2025-11-12</c:v>
                </c:pt>
                <c:pt idx="12">
                  <c:v>2025-11-13</c:v>
                </c:pt>
                <c:pt idx="13">
                  <c:v>2025-11-14</c:v>
                </c:pt>
                <c:pt idx="14">
                  <c:v>2025-11-15</c:v>
                </c:pt>
                <c:pt idx="15">
                  <c:v>2025-11-16</c:v>
                </c:pt>
                <c:pt idx="16">
                  <c:v>2025-11-17</c:v>
                </c:pt>
                <c:pt idx="17">
                  <c:v>2025-11-18</c:v>
                </c:pt>
                <c:pt idx="18">
                  <c:v>2025-11-19</c:v>
                </c:pt>
                <c:pt idx="19">
                  <c:v>2025-11-20</c:v>
                </c:pt>
                <c:pt idx="20">
                  <c:v>2025-11-21</c:v>
                </c:pt>
                <c:pt idx="21">
                  <c:v>2025-11-22</c:v>
                </c:pt>
                <c:pt idx="22">
                  <c:v>2025-11-23</c:v>
                </c:pt>
                <c:pt idx="23">
                  <c:v>2025-11-24</c:v>
                </c:pt>
                <c:pt idx="24">
                  <c:v>2025-11-25</c:v>
                </c:pt>
                <c:pt idx="25">
                  <c:v>2025-11-26</c:v>
                </c:pt>
                <c:pt idx="26">
                  <c:v>2025-11-27</c:v>
                </c:pt>
                <c:pt idx="27">
                  <c:v>2025-11-28</c:v>
                </c:pt>
                <c:pt idx="28">
                  <c:v>2025-11-29</c:v>
                </c:pt>
                <c:pt idx="29">
                  <c:v>2025-11-30</c:v>
                </c:pt>
              </c:strCache>
            </c:strRef>
          </c:cat>
          <c:val>
            <c:numRef>
              <c:f>ENERGY!#REF!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A4-4DCC-AB5A-46F9C84217A8}"/>
            </c:ext>
          </c:extLst>
        </c:ser>
        <c:ser>
          <c:idx val="8"/>
          <c:order val="8"/>
          <c:tx>
            <c:strRef>
              <c:f>ENERGY!#REF!</c:f>
              <c:strCache>
                <c:ptCount val="2"/>
                <c:pt idx="0">
                  <c:v>P#2,P#3</c:v>
                </c:pt>
                <c:pt idx="1">
                  <c:v>Main power</c:v>
                </c:pt>
              </c:strCache>
            </c:strRef>
          </c:tx>
          <c:spPr>
            <a:ln w="101600"/>
          </c:spPr>
          <c:cat>
            <c:strRef>
              <c:f>ENERGY!$A$11:$A$41</c:f>
              <c:strCache>
                <c:ptCount val="30"/>
                <c:pt idx="0">
                  <c:v>2025-11-01</c:v>
                </c:pt>
                <c:pt idx="1">
                  <c:v>2025-11-02</c:v>
                </c:pt>
                <c:pt idx="2">
                  <c:v>2025-11-03</c:v>
                </c:pt>
                <c:pt idx="3">
                  <c:v>2025-11-04</c:v>
                </c:pt>
                <c:pt idx="4">
                  <c:v>2025-11-05</c:v>
                </c:pt>
                <c:pt idx="5">
                  <c:v>2025-11-06</c:v>
                </c:pt>
                <c:pt idx="6">
                  <c:v>2025-11-07</c:v>
                </c:pt>
                <c:pt idx="7">
                  <c:v>2025-11-08</c:v>
                </c:pt>
                <c:pt idx="8">
                  <c:v>2025-11-09</c:v>
                </c:pt>
                <c:pt idx="9">
                  <c:v>2025-11-10</c:v>
                </c:pt>
                <c:pt idx="10">
                  <c:v>2025-11-11</c:v>
                </c:pt>
                <c:pt idx="11">
                  <c:v>2025-11-12</c:v>
                </c:pt>
                <c:pt idx="12">
                  <c:v>2025-11-13</c:v>
                </c:pt>
                <c:pt idx="13">
                  <c:v>2025-11-14</c:v>
                </c:pt>
                <c:pt idx="14">
                  <c:v>2025-11-15</c:v>
                </c:pt>
                <c:pt idx="15">
                  <c:v>2025-11-16</c:v>
                </c:pt>
                <c:pt idx="16">
                  <c:v>2025-11-17</c:v>
                </c:pt>
                <c:pt idx="17">
                  <c:v>2025-11-18</c:v>
                </c:pt>
                <c:pt idx="18">
                  <c:v>2025-11-19</c:v>
                </c:pt>
                <c:pt idx="19">
                  <c:v>2025-11-20</c:v>
                </c:pt>
                <c:pt idx="20">
                  <c:v>2025-11-21</c:v>
                </c:pt>
                <c:pt idx="21">
                  <c:v>2025-11-22</c:v>
                </c:pt>
                <c:pt idx="22">
                  <c:v>2025-11-23</c:v>
                </c:pt>
                <c:pt idx="23">
                  <c:v>2025-11-24</c:v>
                </c:pt>
                <c:pt idx="24">
                  <c:v>2025-11-25</c:v>
                </c:pt>
                <c:pt idx="25">
                  <c:v>2025-11-26</c:v>
                </c:pt>
                <c:pt idx="26">
                  <c:v>2025-11-27</c:v>
                </c:pt>
                <c:pt idx="27">
                  <c:v>2025-11-28</c:v>
                </c:pt>
                <c:pt idx="28">
                  <c:v>2025-11-29</c:v>
                </c:pt>
                <c:pt idx="29">
                  <c:v>2025-11-30</c:v>
                </c:pt>
              </c:strCache>
            </c:strRef>
          </c:cat>
          <c:val>
            <c:numRef>
              <c:f>ENERGY!#REF!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A4-4DCC-AB5A-46F9C8421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787648"/>
        <c:axId val="1"/>
      </c:lineChart>
      <c:catAx>
        <c:axId val="177578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317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77578764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600" b="0" i="0" u="none" strike="noStrike" baseline="0">
          <a:solidFill>
            <a:srgbClr val="000000"/>
          </a:solidFill>
          <a:latin typeface="Times New Roman" panose="02020603050405020304" pitchFamily="18" charset="0"/>
          <a:ea typeface="Calibri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348721</xdr:colOff>
      <xdr:row>0</xdr:row>
      <xdr:rowOff>183173</xdr:rowOff>
    </xdr:from>
    <xdr:to>
      <xdr:col>0</xdr:col>
      <xdr:colOff>1573611</xdr:colOff>
      <xdr:row>5</xdr:row>
      <xdr:rowOff>111734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7A0CA-2435-49F4-A5D0-10CB24435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8721" y="183173"/>
          <a:ext cx="1224890" cy="1225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57150</xdr:rowOff>
    </xdr:from>
    <xdr:to>
      <xdr:col>51</xdr:col>
      <xdr:colOff>495300</xdr:colOff>
      <xdr:row>81</xdr:row>
      <xdr:rowOff>76200</xdr:rowOff>
    </xdr:to>
    <xdr:graphicFrame macro="">
      <xdr:nvGraphicFramePr>
        <xdr:cNvPr id="3212" name="Chart 1">
          <a:extLst>
            <a:ext uri="{FF2B5EF4-FFF2-40B4-BE49-F238E27FC236}">
              <a16:creationId xmlns:a16="http://schemas.microsoft.com/office/drawing/2014/main" id="{CB1A2CFD-D18E-0BDB-C7DE-EAC32F6DF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57150</xdr:rowOff>
    </xdr:from>
    <xdr:to>
      <xdr:col>51</xdr:col>
      <xdr:colOff>495300</xdr:colOff>
      <xdr:row>81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F2CFE-6FEB-4842-A323-B783A4D656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F3DF-F0FB-445E-AAF0-FE076899F429}">
  <sheetPr codeName="Sheet1">
    <pageSetUpPr fitToPage="1"/>
  </sheetPr>
  <dimension ref="A1:V162"/>
  <sheetViews>
    <sheetView showGridLines="0" tabSelected="1" showWhiteSpace="0" view="pageBreakPreview" zoomScale="40" zoomScaleNormal="115" zoomScaleSheetLayoutView="40" zoomScalePageLayoutView="55" workbookViewId="0">
      <selection activeCell="G24" sqref="G24"/>
    </sheetView>
  </sheetViews>
  <sheetFormatPr defaultRowHeight="21.75" x14ac:dyDescent="0.5"/>
  <cols>
    <col min="1" max="1" width="45.7109375" style="8" customWidth="1"/>
    <col min="2" max="7" width="50.7109375" style="1" customWidth="1"/>
    <col min="8" max="8" width="12.7109375" style="1" customWidth="1"/>
    <col min="9" max="9" width="16.42578125" style="1" customWidth="1"/>
    <col min="10" max="10" width="13.140625" style="1" customWidth="1"/>
    <col min="11" max="11" width="20.140625" style="1" customWidth="1"/>
    <col min="12" max="12" width="18.85546875" style="1" customWidth="1"/>
    <col min="13" max="16384" width="9.140625" style="1"/>
  </cols>
  <sheetData>
    <row r="1" spans="1:22" s="11" customFormat="1" ht="15" customHeight="1" x14ac:dyDescent="0.5">
      <c r="A1" s="9" t="s">
        <v>1</v>
      </c>
      <c r="G1" s="12"/>
      <c r="H1" s="12"/>
    </row>
    <row r="2" spans="1:22" s="11" customFormat="1" ht="15" customHeight="1" x14ac:dyDescent="0.5">
      <c r="A2" s="76" t="s">
        <v>22</v>
      </c>
      <c r="B2" s="76"/>
      <c r="C2" s="76"/>
      <c r="D2" s="76"/>
      <c r="E2" s="76"/>
      <c r="F2" s="76"/>
      <c r="G2" s="76"/>
      <c r="H2" s="13"/>
      <c r="I2" s="13"/>
      <c r="J2" s="13"/>
      <c r="K2" s="13"/>
    </row>
    <row r="3" spans="1:22" s="11" customFormat="1" ht="15" customHeight="1" x14ac:dyDescent="0.5">
      <c r="A3" s="76"/>
      <c r="B3" s="76"/>
      <c r="C3" s="76"/>
      <c r="D3" s="76"/>
      <c r="E3" s="76"/>
      <c r="F3" s="76"/>
      <c r="G3" s="76"/>
      <c r="H3" s="12"/>
    </row>
    <row r="4" spans="1:22" s="11" customFormat="1" ht="27" x14ac:dyDescent="0.5">
      <c r="A4" s="76"/>
      <c r="B4" s="76"/>
      <c r="C4" s="76"/>
      <c r="D4" s="76"/>
      <c r="E4" s="76"/>
      <c r="F4" s="76"/>
      <c r="G4" s="76"/>
      <c r="H4" s="10"/>
      <c r="I4" s="10"/>
      <c r="J4" s="10"/>
      <c r="K4" s="10"/>
    </row>
    <row r="5" spans="1:22" s="11" customFormat="1" ht="30" x14ac:dyDescent="0.5">
      <c r="A5" s="77"/>
      <c r="B5" s="77"/>
      <c r="C5" s="77"/>
      <c r="D5" s="77"/>
      <c r="E5" s="77"/>
      <c r="F5" s="77"/>
      <c r="G5" s="77"/>
    </row>
    <row r="6" spans="1:22" s="11" customFormat="1" ht="34.5" x14ac:dyDescent="0.5">
      <c r="A6" s="52" t="s">
        <v>23</v>
      </c>
      <c r="B6" s="10"/>
      <c r="C6" s="10"/>
      <c r="D6" s="10"/>
      <c r="E6" s="31"/>
      <c r="F6" s="31"/>
      <c r="G6" s="32"/>
    </row>
    <row r="7" spans="1:22" s="11" customFormat="1" ht="4.5" customHeight="1" thickBot="1" x14ac:dyDescent="0.55000000000000004">
      <c r="A7" s="14"/>
      <c r="B7" s="15"/>
      <c r="C7" s="15"/>
      <c r="D7" s="15"/>
      <c r="E7" s="15"/>
      <c r="F7" s="15"/>
      <c r="H7" s="28"/>
    </row>
    <row r="8" spans="1:22" s="4" customFormat="1" ht="21.75" customHeight="1" thickBot="1" x14ac:dyDescent="0.55000000000000004">
      <c r="A8" s="81" t="s">
        <v>2</v>
      </c>
      <c r="B8" s="82" t="s">
        <v>15</v>
      </c>
      <c r="C8" s="82"/>
      <c r="D8" s="82"/>
      <c r="E8" s="83" t="s">
        <v>16</v>
      </c>
      <c r="F8" s="83"/>
      <c r="G8" s="78" t="s">
        <v>0</v>
      </c>
      <c r="H8" s="2"/>
      <c r="I8" s="30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s="4" customFormat="1" ht="35.25" customHeight="1" thickBot="1" x14ac:dyDescent="0.55000000000000004">
      <c r="A9" s="81"/>
      <c r="B9" s="68" t="s">
        <v>17</v>
      </c>
      <c r="C9" s="68" t="s">
        <v>18</v>
      </c>
      <c r="D9" s="68" t="s">
        <v>19</v>
      </c>
      <c r="E9" s="69" t="s">
        <v>20</v>
      </c>
      <c r="F9" s="69" t="s">
        <v>21</v>
      </c>
      <c r="G9" s="79"/>
      <c r="H9" s="5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s="7" customFormat="1" ht="26.25" thickBot="1" x14ac:dyDescent="0.55000000000000004">
      <c r="A10" s="67" t="s">
        <v>3</v>
      </c>
      <c r="B10" s="70" t="s">
        <v>4</v>
      </c>
      <c r="C10" s="70" t="s">
        <v>4</v>
      </c>
      <c r="D10" s="70" t="s">
        <v>4</v>
      </c>
      <c r="E10" s="69" t="s">
        <v>4</v>
      </c>
      <c r="F10" s="69" t="s">
        <v>4</v>
      </c>
      <c r="G10" s="80"/>
      <c r="H10" s="5"/>
      <c r="I10" s="5"/>
      <c r="J10" s="5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s="16" customFormat="1" ht="50.1" customHeight="1" x14ac:dyDescent="0.5">
      <c r="A11" s="73" t="s">
        <v>24</v>
      </c>
      <c r="B11" s="64"/>
      <c r="C11" s="65"/>
      <c r="D11" s="65"/>
      <c r="E11" s="65"/>
      <c r="F11" s="66"/>
      <c r="G11" s="53"/>
    </row>
    <row r="12" spans="1:22" s="16" customFormat="1" ht="50.1" customHeight="1" x14ac:dyDescent="0.5">
      <c r="A12" s="74" t="s">
        <v>25</v>
      </c>
      <c r="B12" s="54"/>
      <c r="C12" s="55"/>
      <c r="D12" s="55"/>
      <c r="E12" s="55"/>
      <c r="F12" s="55"/>
      <c r="G12" s="56"/>
    </row>
    <row r="13" spans="1:22" s="16" customFormat="1" ht="50.1" customHeight="1" x14ac:dyDescent="0.5">
      <c r="A13" s="74" t="s">
        <v>26</v>
      </c>
      <c r="B13" s="54"/>
      <c r="C13" s="55"/>
      <c r="D13" s="55"/>
      <c r="E13" s="55"/>
      <c r="F13" s="55"/>
      <c r="G13" s="56"/>
    </row>
    <row r="14" spans="1:22" s="16" customFormat="1" ht="50.1" customHeight="1" x14ac:dyDescent="0.5">
      <c r="A14" s="74" t="s">
        <v>27</v>
      </c>
      <c r="B14" s="54"/>
      <c r="C14" s="55"/>
      <c r="D14" s="55"/>
      <c r="E14" s="55"/>
      <c r="F14" s="55"/>
      <c r="G14" s="56"/>
    </row>
    <row r="15" spans="1:22" s="16" customFormat="1" ht="50.1" customHeight="1" x14ac:dyDescent="0.5">
      <c r="A15" s="74" t="s">
        <v>28</v>
      </c>
      <c r="B15" s="54"/>
      <c r="C15" s="55"/>
      <c r="D15" s="55"/>
      <c r="E15" s="55"/>
      <c r="F15" s="55"/>
      <c r="G15" s="56"/>
    </row>
    <row r="16" spans="1:22" s="16" customFormat="1" ht="50.1" customHeight="1" x14ac:dyDescent="0.5">
      <c r="A16" s="74" t="s">
        <v>29</v>
      </c>
      <c r="B16" s="54"/>
      <c r="C16" s="55"/>
      <c r="D16" s="55"/>
      <c r="E16" s="55"/>
      <c r="F16" s="55"/>
      <c r="G16" s="56"/>
    </row>
    <row r="17" spans="1:7" s="16" customFormat="1" ht="50.1" customHeight="1" x14ac:dyDescent="0.5">
      <c r="A17" s="74" t="s">
        <v>30</v>
      </c>
      <c r="B17" s="54"/>
      <c r="C17" s="55"/>
      <c r="D17" s="55"/>
      <c r="E17" s="55"/>
      <c r="F17" s="55"/>
      <c r="G17" s="56"/>
    </row>
    <row r="18" spans="1:7" s="16" customFormat="1" ht="50.1" customHeight="1" x14ac:dyDescent="0.5">
      <c r="A18" s="74" t="s">
        <v>31</v>
      </c>
      <c r="B18" s="54"/>
      <c r="C18" s="55"/>
      <c r="D18" s="55"/>
      <c r="E18" s="55">
        <v>8</v>
      </c>
      <c r="F18" s="55">
        <v>58</v>
      </c>
      <c r="G18" s="56"/>
    </row>
    <row r="19" spans="1:7" s="16" customFormat="1" ht="50.1" customHeight="1" x14ac:dyDescent="0.5">
      <c r="A19" s="74" t="s">
        <v>32</v>
      </c>
      <c r="B19" s="54"/>
      <c r="C19" s="55"/>
      <c r="D19" s="55"/>
      <c r="E19" s="55">
        <v>263</v>
      </c>
      <c r="F19" s="55">
        <v>208</v>
      </c>
      <c r="G19" s="56"/>
    </row>
    <row r="20" spans="1:7" s="16" customFormat="1" ht="50.1" customHeight="1" x14ac:dyDescent="0.5">
      <c r="A20" s="74" t="s">
        <v>33</v>
      </c>
      <c r="B20" s="54"/>
      <c r="C20" s="55"/>
      <c r="D20" s="55"/>
      <c r="E20" s="55">
        <v>298</v>
      </c>
      <c r="F20" s="55">
        <v>195</v>
      </c>
      <c r="G20" s="56"/>
    </row>
    <row r="21" spans="1:7" s="16" customFormat="1" ht="50.1" customHeight="1" x14ac:dyDescent="0.5">
      <c r="A21" s="74" t="s">
        <v>34</v>
      </c>
      <c r="B21" s="54"/>
      <c r="C21" s="55"/>
      <c r="D21" s="55"/>
      <c r="E21" s="55">
        <v>292</v>
      </c>
      <c r="F21" s="55">
        <v>355</v>
      </c>
      <c r="G21" s="56"/>
    </row>
    <row r="22" spans="1:7" s="16" customFormat="1" ht="50.1" customHeight="1" x14ac:dyDescent="0.5">
      <c r="A22" s="74" t="s">
        <v>35</v>
      </c>
      <c r="B22" s="54"/>
      <c r="C22" s="55"/>
      <c r="D22" s="55"/>
      <c r="E22" s="55">
        <v>495</v>
      </c>
      <c r="F22" s="55">
        <v>552</v>
      </c>
      <c r="G22" s="56"/>
    </row>
    <row r="23" spans="1:7" s="16" customFormat="1" ht="50.1" customHeight="1" x14ac:dyDescent="0.5">
      <c r="A23" s="74" t="s">
        <v>36</v>
      </c>
      <c r="B23" s="54">
        <v>236</v>
      </c>
      <c r="C23" s="55">
        <v>212</v>
      </c>
      <c r="D23" s="55">
        <v>197</v>
      </c>
      <c r="E23" s="55">
        <v>452</v>
      </c>
      <c r="F23" s="55">
        <v>650</v>
      </c>
      <c r="G23" s="56"/>
    </row>
    <row r="24" spans="1:7" s="16" customFormat="1" ht="50.1" customHeight="1" x14ac:dyDescent="0.5">
      <c r="A24" s="74" t="s">
        <v>37</v>
      </c>
      <c r="B24" s="54">
        <v>232</v>
      </c>
      <c r="C24" s="55">
        <v>135</v>
      </c>
      <c r="D24" s="55">
        <v>251</v>
      </c>
      <c r="E24" s="55">
        <v>401</v>
      </c>
      <c r="F24" s="55">
        <v>592</v>
      </c>
      <c r="G24" s="56"/>
    </row>
    <row r="25" spans="1:7" s="16" customFormat="1" ht="50.1" customHeight="1" x14ac:dyDescent="0.5">
      <c r="A25" s="74" t="s">
        <v>38</v>
      </c>
      <c r="B25" s="54">
        <v>139</v>
      </c>
      <c r="C25" s="55">
        <v>81</v>
      </c>
      <c r="D25" s="55">
        <v>160</v>
      </c>
      <c r="E25" s="55">
        <v>439</v>
      </c>
      <c r="F25" s="55">
        <v>326</v>
      </c>
      <c r="G25" s="56"/>
    </row>
    <row r="26" spans="1:7" s="16" customFormat="1" ht="50.1" customHeight="1" x14ac:dyDescent="0.5">
      <c r="A26" s="74" t="s">
        <v>39</v>
      </c>
      <c r="B26" s="54">
        <v>11</v>
      </c>
      <c r="C26" s="55">
        <v>10</v>
      </c>
      <c r="D26" s="55">
        <v>11</v>
      </c>
      <c r="E26" s="55">
        <v>3</v>
      </c>
      <c r="F26" s="55">
        <v>16</v>
      </c>
      <c r="G26" s="56"/>
    </row>
    <row r="27" spans="1:7" s="16" customFormat="1" ht="50.1" customHeight="1" x14ac:dyDescent="0.5">
      <c r="A27" s="74" t="s">
        <v>40</v>
      </c>
      <c r="B27" s="54">
        <v>315</v>
      </c>
      <c r="C27" s="55">
        <v>418</v>
      </c>
      <c r="D27" s="55">
        <v>461</v>
      </c>
      <c r="E27" s="55">
        <v>645</v>
      </c>
      <c r="F27" s="55">
        <v>892</v>
      </c>
      <c r="G27" s="56"/>
    </row>
    <row r="28" spans="1:7" s="16" customFormat="1" ht="50.1" customHeight="1" x14ac:dyDescent="0.5">
      <c r="A28" s="74" t="s">
        <v>41</v>
      </c>
      <c r="B28" s="54">
        <v>12</v>
      </c>
      <c r="C28" s="55">
        <v>318</v>
      </c>
      <c r="D28" s="55">
        <v>10</v>
      </c>
      <c r="E28" s="55">
        <v>460</v>
      </c>
      <c r="F28" s="55">
        <v>36</v>
      </c>
      <c r="G28" s="56"/>
    </row>
    <row r="29" spans="1:7" s="16" customFormat="1" ht="50.1" customHeight="1" x14ac:dyDescent="0.5">
      <c r="A29" s="74" t="s">
        <v>42</v>
      </c>
      <c r="B29" s="54">
        <v>25</v>
      </c>
      <c r="C29" s="55">
        <v>9</v>
      </c>
      <c r="D29" s="55">
        <v>478</v>
      </c>
      <c r="E29" s="55">
        <v>85</v>
      </c>
      <c r="F29" s="55">
        <v>669</v>
      </c>
      <c r="G29" s="56"/>
    </row>
    <row r="30" spans="1:7" s="16" customFormat="1" ht="50.1" customHeight="1" x14ac:dyDescent="0.5">
      <c r="A30" s="74" t="s">
        <v>43</v>
      </c>
      <c r="B30" s="54">
        <v>34</v>
      </c>
      <c r="C30" s="55">
        <v>4</v>
      </c>
      <c r="D30" s="55">
        <v>10</v>
      </c>
      <c r="E30" s="55">
        <v>87</v>
      </c>
      <c r="F30" s="55">
        <v>80</v>
      </c>
      <c r="G30" s="56"/>
    </row>
    <row r="31" spans="1:7" s="16" customFormat="1" ht="50.1" customHeight="1" x14ac:dyDescent="0.5">
      <c r="A31" s="74" t="s">
        <v>44</v>
      </c>
      <c r="B31" s="54">
        <v>404</v>
      </c>
      <c r="C31" s="55">
        <v>114</v>
      </c>
      <c r="D31" s="55">
        <v>105</v>
      </c>
      <c r="E31" s="55">
        <v>784</v>
      </c>
      <c r="F31" s="55">
        <v>185</v>
      </c>
      <c r="G31" s="56"/>
    </row>
    <row r="32" spans="1:7" s="16" customFormat="1" ht="50.1" customHeight="1" x14ac:dyDescent="0.5">
      <c r="A32" s="74" t="s">
        <v>45</v>
      </c>
      <c r="B32" s="54">
        <v>11</v>
      </c>
      <c r="C32" s="55">
        <v>10</v>
      </c>
      <c r="D32" s="55">
        <v>13</v>
      </c>
      <c r="E32" s="55">
        <v>50</v>
      </c>
      <c r="F32" s="55">
        <v>28</v>
      </c>
      <c r="G32" s="56"/>
    </row>
    <row r="33" spans="1:7" s="16" customFormat="1" ht="50.1" customHeight="1" x14ac:dyDescent="0.5">
      <c r="A33" s="74" t="s">
        <v>46</v>
      </c>
      <c r="B33" s="54">
        <v>11</v>
      </c>
      <c r="C33" s="55">
        <v>12</v>
      </c>
      <c r="D33" s="55">
        <v>11</v>
      </c>
      <c r="E33" s="55">
        <v>3</v>
      </c>
      <c r="F33" s="55">
        <v>3</v>
      </c>
      <c r="G33" s="56"/>
    </row>
    <row r="34" spans="1:7" s="16" customFormat="1" ht="50.1" customHeight="1" x14ac:dyDescent="0.5">
      <c r="A34" s="74" t="s">
        <v>47</v>
      </c>
      <c r="B34" s="54">
        <v>148</v>
      </c>
      <c r="C34" s="55">
        <v>146</v>
      </c>
      <c r="D34" s="55">
        <v>175</v>
      </c>
      <c r="E34" s="55">
        <v>296</v>
      </c>
      <c r="F34" s="55">
        <v>397</v>
      </c>
      <c r="G34" s="56"/>
    </row>
    <row r="35" spans="1:7" s="11" customFormat="1" ht="50.1" customHeight="1" x14ac:dyDescent="0.5">
      <c r="A35" s="74" t="s">
        <v>48</v>
      </c>
      <c r="B35" s="54">
        <v>16</v>
      </c>
      <c r="C35" s="55">
        <v>13</v>
      </c>
      <c r="D35" s="55">
        <v>11</v>
      </c>
      <c r="E35" s="55">
        <v>13</v>
      </c>
      <c r="F35" s="55">
        <v>2</v>
      </c>
      <c r="G35" s="56"/>
    </row>
    <row r="36" spans="1:7" s="11" customFormat="1" ht="50.1" customHeight="1" x14ac:dyDescent="0.5">
      <c r="A36" s="74" t="s">
        <v>49</v>
      </c>
      <c r="B36" s="54">
        <v>90</v>
      </c>
      <c r="C36" s="55">
        <v>10</v>
      </c>
      <c r="D36" s="55">
        <v>10</v>
      </c>
      <c r="E36" s="55">
        <v>245</v>
      </c>
      <c r="F36" s="55">
        <v>124</v>
      </c>
      <c r="G36" s="56"/>
    </row>
    <row r="37" spans="1:7" s="11" customFormat="1" ht="50.1" customHeight="1" x14ac:dyDescent="0.5">
      <c r="A37" s="74" t="s">
        <v>50</v>
      </c>
      <c r="B37" s="54">
        <v>69</v>
      </c>
      <c r="C37" s="55">
        <v>135</v>
      </c>
      <c r="D37" s="55">
        <v>62</v>
      </c>
      <c r="E37" s="55">
        <v>23</v>
      </c>
      <c r="F37" s="55">
        <v>212</v>
      </c>
      <c r="G37" s="56"/>
    </row>
    <row r="38" spans="1:7" s="11" customFormat="1" ht="50.1" customHeight="1" x14ac:dyDescent="0.5">
      <c r="A38" s="74" t="s">
        <v>51</v>
      </c>
      <c r="B38" s="54">
        <v>11</v>
      </c>
      <c r="C38" s="55">
        <v>12</v>
      </c>
      <c r="D38" s="55">
        <v>396</v>
      </c>
      <c r="E38" s="55">
        <v>3</v>
      </c>
      <c r="F38" s="55">
        <v>551</v>
      </c>
      <c r="G38" s="56"/>
    </row>
    <row r="39" spans="1:7" s="11" customFormat="1" ht="50.1" customHeight="1" x14ac:dyDescent="0.5">
      <c r="A39" s="74" t="s">
        <v>52</v>
      </c>
      <c r="B39" s="54">
        <v>11</v>
      </c>
      <c r="C39" s="55">
        <v>11</v>
      </c>
      <c r="D39" s="55">
        <v>11</v>
      </c>
      <c r="E39" s="55">
        <v>2</v>
      </c>
      <c r="F39" s="55">
        <v>2</v>
      </c>
      <c r="G39" s="56"/>
    </row>
    <row r="40" spans="1:7" s="11" customFormat="1" ht="50.1" customHeight="1" x14ac:dyDescent="0.5">
      <c r="A40" s="74" t="s">
        <v>53</v>
      </c>
      <c r="B40" s="54">
        <v>11</v>
      </c>
      <c r="C40" s="55">
        <v>11</v>
      </c>
      <c r="D40" s="55">
        <v>10</v>
      </c>
      <c r="E40" s="55">
        <v>3</v>
      </c>
      <c r="F40" s="55">
        <v>3</v>
      </c>
      <c r="G40" s="56"/>
    </row>
    <row r="41" spans="1:7" s="11" customFormat="1" ht="50.1" customHeight="1" x14ac:dyDescent="0.5">
      <c r="A41" s="75"/>
      <c r="B41" s="57"/>
      <c r="C41" s="58"/>
      <c r="D41" s="58"/>
      <c r="E41" s="58"/>
      <c r="F41" s="55"/>
      <c r="G41" s="59"/>
    </row>
    <row r="42" spans="1:7" s="11" customFormat="1" ht="50.1" customHeight="1" thickBot="1" x14ac:dyDescent="0.55000000000000004">
      <c r="A42" s="45"/>
      <c r="B42" s="62">
        <f>SUM(B11:B41)</f>
        <v>1786</v>
      </c>
      <c r="C42" s="63">
        <f>SUM(C11:C41)</f>
        <v>1661</v>
      </c>
      <c r="D42" s="63">
        <f t="shared" ref="D42:E42" si="0">SUM(D11:D41)</f>
        <v>2382</v>
      </c>
      <c r="E42" s="63">
        <f t="shared" si="0"/>
        <v>5350</v>
      </c>
      <c r="F42" s="63">
        <f>SUM(F11:F41)</f>
        <v>6136</v>
      </c>
      <c r="G42" s="61" t="s">
        <v>5</v>
      </c>
    </row>
    <row r="43" spans="1:7" s="11" customFormat="1" ht="50.1" customHeight="1" thickTop="1" thickBot="1" x14ac:dyDescent="0.55000000000000004">
      <c r="A43" s="40"/>
      <c r="B43" s="29"/>
      <c r="C43" s="29"/>
      <c r="D43" s="29"/>
      <c r="E43" s="29"/>
      <c r="F43" s="29"/>
      <c r="G43" s="60">
        <f>SUM(B42:F42)</f>
        <v>17315</v>
      </c>
    </row>
    <row r="44" spans="1:7" x14ac:dyDescent="0.5">
      <c r="A44" s="27"/>
    </row>
    <row r="45" spans="1:7" x14ac:dyDescent="0.5">
      <c r="A45" s="27"/>
    </row>
    <row r="46" spans="1:7" x14ac:dyDescent="0.5">
      <c r="A46" s="27"/>
    </row>
    <row r="47" spans="1:7" x14ac:dyDescent="0.5">
      <c r="A47" s="27"/>
    </row>
    <row r="48" spans="1:7" x14ac:dyDescent="0.5">
      <c r="A48" s="27"/>
    </row>
    <row r="49" spans="1:4" x14ac:dyDescent="0.5">
      <c r="A49" s="27"/>
    </row>
    <row r="50" spans="1:4" x14ac:dyDescent="0.5">
      <c r="A50" s="27"/>
    </row>
    <row r="51" spans="1:4" x14ac:dyDescent="0.5">
      <c r="A51" s="27"/>
    </row>
    <row r="52" spans="1:4" x14ac:dyDescent="0.5">
      <c r="A52" s="27"/>
    </row>
    <row r="53" spans="1:4" x14ac:dyDescent="0.5">
      <c r="A53" s="27"/>
    </row>
    <row r="54" spans="1:4" x14ac:dyDescent="0.5">
      <c r="A54" s="27"/>
    </row>
    <row r="55" spans="1:4" x14ac:dyDescent="0.5">
      <c r="A55" s="27"/>
    </row>
    <row r="56" spans="1:4" x14ac:dyDescent="0.5">
      <c r="A56" s="27"/>
    </row>
    <row r="57" spans="1:4" x14ac:dyDescent="0.5">
      <c r="A57" s="27"/>
    </row>
    <row r="58" spans="1:4" x14ac:dyDescent="0.5">
      <c r="A58" s="27"/>
    </row>
    <row r="59" spans="1:4" x14ac:dyDescent="0.5">
      <c r="A59" s="27"/>
    </row>
    <row r="60" spans="1:4" x14ac:dyDescent="0.5">
      <c r="A60" s="27"/>
    </row>
    <row r="61" spans="1:4" x14ac:dyDescent="0.5">
      <c r="A61" s="34"/>
      <c r="B61" s="16"/>
    </row>
    <row r="62" spans="1:4" x14ac:dyDescent="0.5">
      <c r="A62" s="34"/>
      <c r="B62" s="16"/>
    </row>
    <row r="63" spans="1:4" x14ac:dyDescent="0.5">
      <c r="A63" s="34"/>
      <c r="B63" s="16"/>
    </row>
    <row r="64" spans="1:4" x14ac:dyDescent="0.5">
      <c r="A64" s="34"/>
      <c r="B64" s="16"/>
      <c r="C64" s="16"/>
      <c r="D64" s="16"/>
    </row>
    <row r="65" spans="1:4" x14ac:dyDescent="0.5">
      <c r="A65" s="34"/>
      <c r="B65" s="16"/>
      <c r="C65" s="16"/>
      <c r="D65" s="16"/>
    </row>
    <row r="66" spans="1:4" x14ac:dyDescent="0.5">
      <c r="A66" s="34"/>
      <c r="B66" s="35"/>
      <c r="C66" s="16"/>
      <c r="D66" s="16"/>
    </row>
    <row r="67" spans="1:4" x14ac:dyDescent="0.5">
      <c r="A67" s="34"/>
      <c r="B67" s="35"/>
      <c r="C67" s="16"/>
      <c r="D67" s="16"/>
    </row>
    <row r="68" spans="1:4" x14ac:dyDescent="0.5">
      <c r="A68" s="36"/>
      <c r="B68" s="37"/>
      <c r="C68" s="16"/>
      <c r="D68" s="16"/>
    </row>
    <row r="69" spans="1:4" x14ac:dyDescent="0.5">
      <c r="A69" s="38"/>
      <c r="B69" s="39"/>
      <c r="C69" s="16"/>
      <c r="D69" s="16"/>
    </row>
    <row r="70" spans="1:4" x14ac:dyDescent="0.5">
      <c r="A70" s="38"/>
      <c r="B70" s="39"/>
      <c r="C70" s="16"/>
      <c r="D70" s="16"/>
    </row>
    <row r="71" spans="1:4" x14ac:dyDescent="0.5">
      <c r="A71" s="38"/>
      <c r="B71" s="39"/>
      <c r="C71" s="16"/>
      <c r="D71" s="16"/>
    </row>
    <row r="72" spans="1:4" x14ac:dyDescent="0.5">
      <c r="A72" s="38"/>
      <c r="B72" s="39"/>
      <c r="C72" s="16"/>
      <c r="D72" s="16"/>
    </row>
    <row r="73" spans="1:4" x14ac:dyDescent="0.5">
      <c r="A73" s="38"/>
      <c r="B73" s="39"/>
      <c r="C73" s="16"/>
      <c r="D73" s="16"/>
    </row>
    <row r="74" spans="1:4" x14ac:dyDescent="0.5">
      <c r="A74" s="38"/>
      <c r="B74" s="39"/>
      <c r="C74" s="16"/>
      <c r="D74" s="16"/>
    </row>
    <row r="75" spans="1:4" x14ac:dyDescent="0.5">
      <c r="A75" s="38"/>
      <c r="B75" s="39"/>
      <c r="C75" s="16"/>
      <c r="D75" s="16"/>
    </row>
    <row r="76" spans="1:4" x14ac:dyDescent="0.5">
      <c r="A76" s="34"/>
      <c r="B76" s="16"/>
      <c r="C76" s="16"/>
      <c r="D76" s="16"/>
    </row>
    <row r="77" spans="1:4" x14ac:dyDescent="0.5">
      <c r="A77" s="27"/>
    </row>
    <row r="78" spans="1:4" x14ac:dyDescent="0.5">
      <c r="A78" s="27"/>
    </row>
    <row r="79" spans="1:4" x14ac:dyDescent="0.5">
      <c r="A79" s="27"/>
    </row>
    <row r="80" spans="1:4" x14ac:dyDescent="0.5">
      <c r="A80" s="27"/>
    </row>
    <row r="81" spans="1:1" x14ac:dyDescent="0.5">
      <c r="A81" s="27"/>
    </row>
    <row r="82" spans="1:1" x14ac:dyDescent="0.5">
      <c r="A82" s="27"/>
    </row>
    <row r="83" spans="1:1" x14ac:dyDescent="0.5">
      <c r="A83" s="27"/>
    </row>
    <row r="84" spans="1:1" x14ac:dyDescent="0.5">
      <c r="A84" s="27"/>
    </row>
    <row r="85" spans="1:1" x14ac:dyDescent="0.5">
      <c r="A85" s="27"/>
    </row>
    <row r="86" spans="1:1" x14ac:dyDescent="0.5">
      <c r="A86" s="27"/>
    </row>
    <row r="87" spans="1:1" x14ac:dyDescent="0.5">
      <c r="A87" s="27"/>
    </row>
    <row r="88" spans="1:1" x14ac:dyDescent="0.5">
      <c r="A88" s="27"/>
    </row>
    <row r="89" spans="1:1" x14ac:dyDescent="0.5">
      <c r="A89" s="27"/>
    </row>
    <row r="90" spans="1:1" x14ac:dyDescent="0.5">
      <c r="A90" s="27"/>
    </row>
    <row r="91" spans="1:1" x14ac:dyDescent="0.5">
      <c r="A91" s="27"/>
    </row>
    <row r="92" spans="1:1" x14ac:dyDescent="0.5">
      <c r="A92" s="27"/>
    </row>
    <row r="93" spans="1:1" x14ac:dyDescent="0.5">
      <c r="A93" s="27"/>
    </row>
    <row r="94" spans="1:1" x14ac:dyDescent="0.5">
      <c r="A94" s="27"/>
    </row>
    <row r="95" spans="1:1" x14ac:dyDescent="0.5">
      <c r="A95" s="27"/>
    </row>
    <row r="96" spans="1:1" x14ac:dyDescent="0.5">
      <c r="A96" s="27"/>
    </row>
    <row r="97" spans="1:1" x14ac:dyDescent="0.5">
      <c r="A97" s="27"/>
    </row>
    <row r="98" spans="1:1" x14ac:dyDescent="0.5">
      <c r="A98" s="27"/>
    </row>
    <row r="99" spans="1:1" x14ac:dyDescent="0.5">
      <c r="A99" s="27"/>
    </row>
    <row r="100" spans="1:1" x14ac:dyDescent="0.5">
      <c r="A100" s="27"/>
    </row>
    <row r="101" spans="1:1" x14ac:dyDescent="0.5">
      <c r="A101" s="27"/>
    </row>
    <row r="102" spans="1:1" x14ac:dyDescent="0.5">
      <c r="A102" s="27"/>
    </row>
    <row r="103" spans="1:1" x14ac:dyDescent="0.5">
      <c r="A103" s="27"/>
    </row>
    <row r="104" spans="1:1" x14ac:dyDescent="0.5">
      <c r="A104" s="27"/>
    </row>
    <row r="105" spans="1:1" x14ac:dyDescent="0.5">
      <c r="A105" s="27"/>
    </row>
    <row r="106" spans="1:1" x14ac:dyDescent="0.5">
      <c r="A106" s="27"/>
    </row>
    <row r="107" spans="1:1" x14ac:dyDescent="0.5">
      <c r="A107" s="27"/>
    </row>
    <row r="108" spans="1:1" x14ac:dyDescent="0.5">
      <c r="A108" s="27"/>
    </row>
    <row r="109" spans="1:1" x14ac:dyDescent="0.5">
      <c r="A109" s="27"/>
    </row>
    <row r="110" spans="1:1" x14ac:dyDescent="0.5">
      <c r="A110" s="27"/>
    </row>
    <row r="111" spans="1:1" x14ac:dyDescent="0.5">
      <c r="A111" s="27"/>
    </row>
    <row r="112" spans="1:1" x14ac:dyDescent="0.5">
      <c r="A112" s="27"/>
    </row>
    <row r="113" spans="1:1" x14ac:dyDescent="0.5">
      <c r="A113" s="27"/>
    </row>
    <row r="114" spans="1:1" x14ac:dyDescent="0.5">
      <c r="A114" s="27"/>
    </row>
    <row r="115" spans="1:1" x14ac:dyDescent="0.5">
      <c r="A115" s="27"/>
    </row>
    <row r="116" spans="1:1" x14ac:dyDescent="0.5">
      <c r="A116" s="27"/>
    </row>
    <row r="117" spans="1:1" x14ac:dyDescent="0.5">
      <c r="A117" s="27"/>
    </row>
    <row r="118" spans="1:1" x14ac:dyDescent="0.5">
      <c r="A118" s="27"/>
    </row>
    <row r="119" spans="1:1" x14ac:dyDescent="0.5">
      <c r="A119" s="27"/>
    </row>
    <row r="120" spans="1:1" x14ac:dyDescent="0.5">
      <c r="A120" s="27"/>
    </row>
    <row r="121" spans="1:1" x14ac:dyDescent="0.5">
      <c r="A121" s="27"/>
    </row>
    <row r="122" spans="1:1" x14ac:dyDescent="0.5">
      <c r="A122" s="27"/>
    </row>
    <row r="123" spans="1:1" x14ac:dyDescent="0.5">
      <c r="A123" s="27"/>
    </row>
    <row r="124" spans="1:1" x14ac:dyDescent="0.5">
      <c r="A124" s="27"/>
    </row>
    <row r="125" spans="1:1" x14ac:dyDescent="0.5">
      <c r="A125" s="27"/>
    </row>
    <row r="126" spans="1:1" x14ac:dyDescent="0.5">
      <c r="A126" s="27"/>
    </row>
    <row r="127" spans="1:1" x14ac:dyDescent="0.5">
      <c r="A127" s="27"/>
    </row>
    <row r="128" spans="1:1" x14ac:dyDescent="0.5">
      <c r="A128" s="27"/>
    </row>
    <row r="129" spans="1:2" x14ac:dyDescent="0.5">
      <c r="A129" s="27"/>
    </row>
    <row r="130" spans="1:2" x14ac:dyDescent="0.5">
      <c r="A130" s="27"/>
    </row>
    <row r="131" spans="1:2" x14ac:dyDescent="0.5">
      <c r="A131" s="27"/>
    </row>
    <row r="132" spans="1:2" x14ac:dyDescent="0.5">
      <c r="A132" s="36"/>
      <c r="B132" s="37"/>
    </row>
    <row r="133" spans="1:2" x14ac:dyDescent="0.5">
      <c r="A133" s="38"/>
      <c r="B133" s="39"/>
    </row>
    <row r="134" spans="1:2" x14ac:dyDescent="0.5">
      <c r="A134" s="38"/>
      <c r="B134" s="39"/>
    </row>
    <row r="135" spans="1:2" x14ac:dyDescent="0.5">
      <c r="A135" s="27"/>
    </row>
    <row r="136" spans="1:2" x14ac:dyDescent="0.5">
      <c r="A136" s="27"/>
    </row>
    <row r="137" spans="1:2" x14ac:dyDescent="0.5">
      <c r="A137" s="27"/>
    </row>
    <row r="138" spans="1:2" x14ac:dyDescent="0.5">
      <c r="A138" s="27"/>
    </row>
    <row r="139" spans="1:2" x14ac:dyDescent="0.5">
      <c r="A139" s="27"/>
    </row>
    <row r="140" spans="1:2" x14ac:dyDescent="0.5">
      <c r="A140" s="27"/>
    </row>
    <row r="141" spans="1:2" x14ac:dyDescent="0.5">
      <c r="A141" s="27"/>
    </row>
    <row r="142" spans="1:2" x14ac:dyDescent="0.5">
      <c r="A142" s="27"/>
    </row>
    <row r="143" spans="1:2" x14ac:dyDescent="0.5">
      <c r="A143" s="27"/>
    </row>
    <row r="144" spans="1:2" x14ac:dyDescent="0.5">
      <c r="A144" s="27"/>
    </row>
    <row r="145" spans="1:1" x14ac:dyDescent="0.5">
      <c r="A145" s="27"/>
    </row>
    <row r="146" spans="1:1" x14ac:dyDescent="0.5">
      <c r="A146" s="27"/>
    </row>
    <row r="147" spans="1:1" x14ac:dyDescent="0.5">
      <c r="A147" s="27"/>
    </row>
    <row r="148" spans="1:1" x14ac:dyDescent="0.5">
      <c r="A148" s="27"/>
    </row>
    <row r="149" spans="1:1" x14ac:dyDescent="0.5">
      <c r="A149" s="27"/>
    </row>
    <row r="150" spans="1:1" x14ac:dyDescent="0.5">
      <c r="A150" s="27"/>
    </row>
    <row r="151" spans="1:1" x14ac:dyDescent="0.5">
      <c r="A151" s="27"/>
    </row>
    <row r="152" spans="1:1" x14ac:dyDescent="0.5">
      <c r="A152" s="27"/>
    </row>
    <row r="153" spans="1:1" x14ac:dyDescent="0.5">
      <c r="A153" s="27"/>
    </row>
    <row r="154" spans="1:1" x14ac:dyDescent="0.5">
      <c r="A154" s="27"/>
    </row>
    <row r="155" spans="1:1" x14ac:dyDescent="0.5">
      <c r="A155" s="27"/>
    </row>
    <row r="156" spans="1:1" x14ac:dyDescent="0.5">
      <c r="A156" s="27"/>
    </row>
    <row r="157" spans="1:1" x14ac:dyDescent="0.5">
      <c r="A157" s="27"/>
    </row>
    <row r="158" spans="1:1" x14ac:dyDescent="0.5">
      <c r="A158" s="27"/>
    </row>
    <row r="159" spans="1:1" x14ac:dyDescent="0.5">
      <c r="A159" s="27"/>
    </row>
    <row r="160" spans="1:1" x14ac:dyDescent="0.5">
      <c r="A160" s="27"/>
    </row>
    <row r="161" spans="1:1" x14ac:dyDescent="0.5">
      <c r="A161" s="27"/>
    </row>
    <row r="162" spans="1:1" x14ac:dyDescent="0.5">
      <c r="A162" s="27"/>
    </row>
  </sheetData>
  <dataConsolidate/>
  <mergeCells count="6">
    <mergeCell ref="A2:G4"/>
    <mergeCell ref="A5:G5"/>
    <mergeCell ref="G8:G10"/>
    <mergeCell ref="A8:A9"/>
    <mergeCell ref="B8:D8"/>
    <mergeCell ref="E8:F8"/>
  </mergeCells>
  <phoneticPr fontId="0" type="noConversion"/>
  <printOptions horizontalCentered="1" verticalCentered="1"/>
  <pageMargins left="0.5" right="0.5" top="0.5" bottom="0.5" header="1" footer="1"/>
  <pageSetup paperSize="9" scale="2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A371-3E0C-4C56-974C-71DCF29F3514}">
  <sheetPr codeName="Sheet3">
    <pageSetUpPr fitToPage="1"/>
  </sheetPr>
  <dimension ref="A6:L46"/>
  <sheetViews>
    <sheetView tabSelected="1" view="pageBreakPreview" zoomScale="25" zoomScaleNormal="100" zoomScaleSheetLayoutView="25" zoomScalePageLayoutView="10" workbookViewId="0">
      <selection activeCell="G24" sqref="G24"/>
    </sheetView>
  </sheetViews>
  <sheetFormatPr defaultRowHeight="21.75" x14ac:dyDescent="0.5"/>
  <cols>
    <col min="1" max="16384" width="9.140625" style="49"/>
  </cols>
  <sheetData>
    <row r="6" spans="1:12" x14ac:dyDescent="0.5">
      <c r="A6" s="72">
        <v>45658</v>
      </c>
    </row>
    <row r="7" spans="1:12" x14ac:dyDescent="0.5">
      <c r="A7" s="71">
        <v>45670</v>
      </c>
    </row>
    <row r="14" spans="1:12" x14ac:dyDescent="0.5">
      <c r="L14" s="50"/>
    </row>
    <row r="15" spans="1:12" x14ac:dyDescent="0.5">
      <c r="L15" s="50"/>
    </row>
    <row r="16" spans="1:12" x14ac:dyDescent="0.5">
      <c r="L16" s="50"/>
    </row>
    <row r="17" spans="11:12" x14ac:dyDescent="0.5">
      <c r="L17" s="50"/>
    </row>
    <row r="18" spans="11:12" x14ac:dyDescent="0.5">
      <c r="L18" s="50"/>
    </row>
    <row r="19" spans="11:12" x14ac:dyDescent="0.5">
      <c r="L19" s="50"/>
    </row>
    <row r="20" spans="11:12" x14ac:dyDescent="0.5">
      <c r="K20" s="51"/>
      <c r="L20" s="50"/>
    </row>
    <row r="21" spans="11:12" x14ac:dyDescent="0.5">
      <c r="K21" s="51"/>
      <c r="L21" s="50"/>
    </row>
    <row r="22" spans="11:12" x14ac:dyDescent="0.5">
      <c r="K22" s="51"/>
      <c r="L22" s="50"/>
    </row>
    <row r="23" spans="11:12" x14ac:dyDescent="0.5">
      <c r="K23" s="51"/>
      <c r="L23" s="50"/>
    </row>
    <row r="37" spans="12:12" x14ac:dyDescent="0.5">
      <c r="L37" s="50"/>
    </row>
    <row r="38" spans="12:12" x14ac:dyDescent="0.5">
      <c r="L38" s="50"/>
    </row>
    <row r="39" spans="12:12" x14ac:dyDescent="0.5">
      <c r="L39" s="50"/>
    </row>
    <row r="40" spans="12:12" x14ac:dyDescent="0.5">
      <c r="L40" s="50"/>
    </row>
    <row r="41" spans="12:12" x14ac:dyDescent="0.5">
      <c r="L41" s="50"/>
    </row>
    <row r="42" spans="12:12" x14ac:dyDescent="0.5">
      <c r="L42" s="50"/>
    </row>
    <row r="43" spans="12:12" x14ac:dyDescent="0.5">
      <c r="L43" s="50"/>
    </row>
    <row r="44" spans="12:12" x14ac:dyDescent="0.5">
      <c r="L44" s="50"/>
    </row>
    <row r="45" spans="12:12" x14ac:dyDescent="0.5">
      <c r="L45" s="50"/>
    </row>
    <row r="46" spans="12:12" x14ac:dyDescent="0.5">
      <c r="L46" s="50"/>
    </row>
  </sheetData>
  <pageMargins left="0" right="0.2" top="0" bottom="0" header="0" footer="0"/>
  <pageSetup paperSize="9" scale="32" orientation="landscape" r:id="rId1"/>
  <rowBreaks count="1" manualBreakCount="1">
    <brk id="8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1DFB-182D-4CF3-A248-B4A203C3C3FF}">
  <sheetPr codeName="Sheet4">
    <pageSetUpPr fitToPage="1"/>
  </sheetPr>
  <dimension ref="K14:L46"/>
  <sheetViews>
    <sheetView view="pageBreakPreview" zoomScale="25" zoomScaleNormal="100" zoomScaleSheetLayoutView="25" zoomScalePageLayoutView="10" workbookViewId="0">
      <selection activeCell="BI73" sqref="BI73"/>
    </sheetView>
  </sheetViews>
  <sheetFormatPr defaultRowHeight="21.75" x14ac:dyDescent="0.5"/>
  <cols>
    <col min="1" max="16384" width="9.140625" style="49"/>
  </cols>
  <sheetData>
    <row r="14" spans="12:12" x14ac:dyDescent="0.5">
      <c r="L14" s="50"/>
    </row>
    <row r="15" spans="12:12" x14ac:dyDescent="0.5">
      <c r="L15" s="50"/>
    </row>
    <row r="16" spans="12:12" x14ac:dyDescent="0.5">
      <c r="L16" s="50"/>
    </row>
    <row r="17" spans="11:12" x14ac:dyDescent="0.5">
      <c r="L17" s="50"/>
    </row>
    <row r="18" spans="11:12" x14ac:dyDescent="0.5">
      <c r="L18" s="50"/>
    </row>
    <row r="19" spans="11:12" x14ac:dyDescent="0.5">
      <c r="L19" s="50"/>
    </row>
    <row r="20" spans="11:12" x14ac:dyDescent="0.5">
      <c r="K20" s="51"/>
      <c r="L20" s="50"/>
    </row>
    <row r="21" spans="11:12" x14ac:dyDescent="0.5">
      <c r="K21" s="51"/>
      <c r="L21" s="50"/>
    </row>
    <row r="22" spans="11:12" x14ac:dyDescent="0.5">
      <c r="K22" s="51"/>
      <c r="L22" s="50"/>
    </row>
    <row r="23" spans="11:12" x14ac:dyDescent="0.5">
      <c r="K23" s="51"/>
      <c r="L23" s="50"/>
    </row>
    <row r="37" spans="12:12" x14ac:dyDescent="0.5">
      <c r="L37" s="50"/>
    </row>
    <row r="38" spans="12:12" x14ac:dyDescent="0.5">
      <c r="L38" s="50"/>
    </row>
    <row r="39" spans="12:12" x14ac:dyDescent="0.5">
      <c r="L39" s="50"/>
    </row>
    <row r="40" spans="12:12" x14ac:dyDescent="0.5">
      <c r="L40" s="50"/>
    </row>
    <row r="41" spans="12:12" x14ac:dyDescent="0.5">
      <c r="L41" s="50"/>
    </row>
    <row r="42" spans="12:12" x14ac:dyDescent="0.5">
      <c r="L42" s="50"/>
    </row>
    <row r="43" spans="12:12" x14ac:dyDescent="0.5">
      <c r="L43" s="50"/>
    </row>
    <row r="44" spans="12:12" x14ac:dyDescent="0.5">
      <c r="L44" s="50"/>
    </row>
    <row r="45" spans="12:12" x14ac:dyDescent="0.5">
      <c r="L45" s="50"/>
    </row>
    <row r="46" spans="12:12" x14ac:dyDescent="0.5">
      <c r="L46" s="50"/>
    </row>
  </sheetData>
  <pageMargins left="0" right="0.2" top="0" bottom="0" header="0" footer="0"/>
  <pageSetup paperSize="9" scale="32" orientation="landscape" r:id="rId1"/>
  <rowBreaks count="1" manualBreakCount="1">
    <brk id="82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E42A-3F23-4114-A9ED-B712A9105229}">
  <sheetPr codeName="Sheet2"/>
  <dimension ref="A1:AC119"/>
  <sheetViews>
    <sheetView topLeftCell="A76" zoomScale="55" zoomScaleNormal="55" workbookViewId="0">
      <selection activeCell="I81" sqref="I81"/>
    </sheetView>
  </sheetViews>
  <sheetFormatPr defaultRowHeight="21.75" x14ac:dyDescent="0.5"/>
  <cols>
    <col min="1" max="1" width="17.7109375" style="18" customWidth="1"/>
    <col min="2" max="5" width="15.7109375" style="17" customWidth="1"/>
    <col min="6" max="6" width="15.42578125" style="17" bestFit="1" customWidth="1"/>
    <col min="7" max="8" width="17.28515625" style="17" bestFit="1" customWidth="1"/>
    <col min="9" max="9" width="14.85546875" style="17" customWidth="1"/>
    <col min="10" max="10" width="10.85546875" style="17" bestFit="1" customWidth="1"/>
    <col min="11" max="13" width="11.28515625" style="17" bestFit="1" customWidth="1"/>
    <col min="14" max="15" width="11.85546875" style="17" bestFit="1" customWidth="1"/>
    <col min="16" max="16" width="10.5703125" style="17" bestFit="1" customWidth="1"/>
    <col min="17" max="17" width="19.140625" style="17" bestFit="1" customWidth="1"/>
    <col min="18" max="19" width="19.5703125" style="17" bestFit="1" customWidth="1"/>
    <col min="20" max="20" width="22.28515625" style="17" bestFit="1" customWidth="1"/>
    <col min="21" max="22" width="22.7109375" style="17" bestFit="1" customWidth="1"/>
    <col min="23" max="23" width="21.7109375" style="17" bestFit="1" customWidth="1"/>
    <col min="24" max="25" width="18.85546875" style="17" bestFit="1" customWidth="1"/>
    <col min="26" max="26" width="17.5703125" style="17" bestFit="1" customWidth="1"/>
    <col min="27" max="28" width="14.7109375" style="17" bestFit="1" customWidth="1"/>
    <col min="29" max="29" width="16.28515625" style="17" bestFit="1" customWidth="1"/>
    <col min="30" max="16384" width="9.140625" style="17"/>
  </cols>
  <sheetData>
    <row r="1" spans="1:29" s="19" customFormat="1" ht="24" x14ac:dyDescent="0.55000000000000004">
      <c r="A1" s="42" t="s">
        <v>6</v>
      </c>
      <c r="B1" s="44" t="s">
        <v>10</v>
      </c>
      <c r="C1" s="44" t="s">
        <v>11</v>
      </c>
      <c r="D1" s="44" t="s">
        <v>8</v>
      </c>
      <c r="E1" s="44" t="s">
        <v>7</v>
      </c>
      <c r="F1" s="44" t="s">
        <v>12</v>
      </c>
      <c r="G1" s="44"/>
      <c r="H1" s="44"/>
      <c r="I1" s="44"/>
      <c r="J1" s="44"/>
      <c r="K1" s="44"/>
      <c r="L1" s="44"/>
      <c r="M1" s="44"/>
      <c r="N1" s="44"/>
      <c r="O1" s="44"/>
      <c r="P1" s="44"/>
      <c r="V1" s="41"/>
    </row>
    <row r="2" spans="1:29" x14ac:dyDescent="0.5">
      <c r="B2" s="33"/>
      <c r="C2" s="3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 x14ac:dyDescent="0.5">
      <c r="B3" s="33"/>
      <c r="C3" s="3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5">
      <c r="B4" s="33"/>
      <c r="C4" s="3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5">
      <c r="B5" s="33"/>
      <c r="C5" s="3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5">
      <c r="B6" s="33"/>
      <c r="C6" s="3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5">
      <c r="B7" s="33"/>
      <c r="C7" s="3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5">
      <c r="B8" s="33"/>
      <c r="C8" s="3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x14ac:dyDescent="0.5">
      <c r="B9" s="33"/>
      <c r="C9" s="3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x14ac:dyDescent="0.5">
      <c r="B10" s="33"/>
      <c r="C10" s="3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5">
      <c r="B11" s="33"/>
      <c r="C11" s="3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 x14ac:dyDescent="0.5">
      <c r="B12" s="33"/>
      <c r="C12" s="3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 x14ac:dyDescent="0.5">
      <c r="B13" s="33"/>
      <c r="C13" s="3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 x14ac:dyDescent="0.5">
      <c r="B14" s="33"/>
      <c r="C14" s="3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 x14ac:dyDescent="0.5">
      <c r="B15" s="33"/>
      <c r="C15" s="3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5">
      <c r="B16" s="33"/>
      <c r="C16" s="3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2:29" x14ac:dyDescent="0.5">
      <c r="B17" s="33"/>
      <c r="C17" s="3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2:29" x14ac:dyDescent="0.5">
      <c r="B18" s="33"/>
      <c r="C18" s="3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2:29" x14ac:dyDescent="0.5">
      <c r="B19" s="33"/>
      <c r="C19" s="3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2:29" x14ac:dyDescent="0.5">
      <c r="B20" s="33"/>
      <c r="C20" s="3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2:29" x14ac:dyDescent="0.5">
      <c r="B21" s="33"/>
      <c r="C21" s="3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2:29" x14ac:dyDescent="0.5">
      <c r="B22" s="33"/>
      <c r="C22" s="3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2:29" x14ac:dyDescent="0.5">
      <c r="B23" s="33"/>
      <c r="C23" s="3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2:29" x14ac:dyDescent="0.5">
      <c r="B24" s="33"/>
      <c r="C24" s="3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2:29" x14ac:dyDescent="0.5">
      <c r="B25" s="33"/>
      <c r="C25" s="3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2:29" x14ac:dyDescent="0.5">
      <c r="B26" s="33"/>
      <c r="C26" s="3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2:29" x14ac:dyDescent="0.5">
      <c r="B27" s="33"/>
      <c r="C27" s="3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2:29" x14ac:dyDescent="0.5">
      <c r="B28" s="33"/>
      <c r="C28" s="3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2:29" x14ac:dyDescent="0.5">
      <c r="B29" s="33"/>
      <c r="C29" s="3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2:29" x14ac:dyDescent="0.5">
      <c r="B30" s="33"/>
      <c r="C30" s="3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2:29" x14ac:dyDescent="0.5">
      <c r="B31" s="33"/>
      <c r="C31" s="3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2:29" x14ac:dyDescent="0.5">
      <c r="B32" s="33"/>
      <c r="C32" s="3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5">
      <c r="B33" s="33"/>
      <c r="C33" s="3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5">
      <c r="B34" s="33"/>
      <c r="C34" s="3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x14ac:dyDescent="0.5">
      <c r="B35" s="33"/>
      <c r="C35" s="3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 x14ac:dyDescent="0.5">
      <c r="B36" s="33"/>
      <c r="C36" s="3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x14ac:dyDescent="0.5">
      <c r="B37" s="33"/>
      <c r="C37" s="3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 x14ac:dyDescent="0.5">
      <c r="B38" s="33"/>
      <c r="C38" s="3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 x14ac:dyDescent="0.5">
      <c r="B39" s="33"/>
      <c r="C39" s="3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 s="26" customFormat="1" ht="23.25" x14ac:dyDescent="0.5">
      <c r="A40" s="43" t="s">
        <v>6</v>
      </c>
      <c r="B40" s="47" t="s">
        <v>10</v>
      </c>
      <c r="C40" s="47" t="s">
        <v>11</v>
      </c>
      <c r="D40" s="48" t="s">
        <v>8</v>
      </c>
      <c r="E40" s="48" t="s">
        <v>7</v>
      </c>
      <c r="F40" s="48" t="s">
        <v>12</v>
      </c>
      <c r="G40" s="25"/>
      <c r="H40" s="25"/>
    </row>
    <row r="41" spans="1:29" x14ac:dyDescent="0.5">
      <c r="B41" s="33"/>
      <c r="C41" s="3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 x14ac:dyDescent="0.5">
      <c r="B42" s="33"/>
      <c r="C42" s="3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x14ac:dyDescent="0.5">
      <c r="B43" s="33"/>
      <c r="C43" s="3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x14ac:dyDescent="0.5">
      <c r="B44" s="33"/>
      <c r="C44" s="3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 x14ac:dyDescent="0.5">
      <c r="B45" s="33"/>
      <c r="C45" s="3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x14ac:dyDescent="0.5">
      <c r="B46" s="33"/>
      <c r="C46" s="3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 x14ac:dyDescent="0.5">
      <c r="B47" s="33"/>
      <c r="C47" s="3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 x14ac:dyDescent="0.5">
      <c r="B48" s="33"/>
      <c r="C48" s="3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spans="2:29" x14ac:dyDescent="0.5">
      <c r="B49" s="33"/>
      <c r="C49" s="3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spans="2:29" x14ac:dyDescent="0.5">
      <c r="B50" s="33"/>
      <c r="C50" s="3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2:29" x14ac:dyDescent="0.5">
      <c r="B51" s="33"/>
      <c r="C51" s="3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2:29" x14ac:dyDescent="0.5">
      <c r="B52" s="33"/>
      <c r="C52" s="3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2:29" x14ac:dyDescent="0.5">
      <c r="B53" s="33"/>
      <c r="C53" s="3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2:29" x14ac:dyDescent="0.5">
      <c r="B54" s="33"/>
      <c r="C54" s="3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2:29" x14ac:dyDescent="0.5">
      <c r="B55" s="33"/>
      <c r="C55" s="3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2:29" x14ac:dyDescent="0.5">
      <c r="B56" s="33"/>
      <c r="C56" s="3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2:29" x14ac:dyDescent="0.5">
      <c r="B57" s="33"/>
      <c r="C57" s="3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2:29" x14ac:dyDescent="0.5">
      <c r="B58" s="33"/>
      <c r="C58" s="3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2:29" x14ac:dyDescent="0.5">
      <c r="B59" s="33"/>
      <c r="C59" s="3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2:29" x14ac:dyDescent="0.5">
      <c r="B60" s="33"/>
      <c r="C60" s="3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2:29" x14ac:dyDescent="0.5">
      <c r="B61" s="33"/>
      <c r="C61" s="3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2:29" x14ac:dyDescent="0.5">
      <c r="B62" s="33"/>
      <c r="C62" s="3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2:29" x14ac:dyDescent="0.5">
      <c r="B63" s="33"/>
      <c r="C63" s="3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2:29" x14ac:dyDescent="0.5">
      <c r="B64" s="33"/>
      <c r="C64" s="3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 x14ac:dyDescent="0.5">
      <c r="B65" s="33"/>
      <c r="C65" s="3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 x14ac:dyDescent="0.5">
      <c r="B66" s="33"/>
      <c r="C66" s="3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 x14ac:dyDescent="0.5">
      <c r="B67" s="33"/>
      <c r="C67" s="3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 x14ac:dyDescent="0.5">
      <c r="B68" s="33"/>
      <c r="C68" s="3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 x14ac:dyDescent="0.5">
      <c r="B69" s="33"/>
      <c r="C69" s="3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x14ac:dyDescent="0.5">
      <c r="B70" s="33"/>
      <c r="C70" s="3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x14ac:dyDescent="0.5">
      <c r="B71" s="33"/>
      <c r="C71" s="3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 x14ac:dyDescent="0.5">
      <c r="B72" s="33"/>
      <c r="C72" s="3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 x14ac:dyDescent="0.5">
      <c r="B73" s="33"/>
      <c r="C73" s="3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 x14ac:dyDescent="0.5">
      <c r="B74" s="33"/>
      <c r="C74" s="3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x14ac:dyDescent="0.5">
      <c r="B75" s="33"/>
      <c r="C75" s="3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 x14ac:dyDescent="0.5">
      <c r="B76" s="33"/>
      <c r="C76" s="3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 x14ac:dyDescent="0.5">
      <c r="B77" s="33"/>
      <c r="C77" s="3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 x14ac:dyDescent="0.5">
      <c r="B78" s="33"/>
      <c r="C78" s="3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x14ac:dyDescent="0.5">
      <c r="B79" s="33"/>
      <c r="C79" s="3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 s="21" customFormat="1" ht="23.25" x14ac:dyDescent="0.5">
      <c r="A80" s="20" t="s">
        <v>2</v>
      </c>
      <c r="B80" s="46" t="s">
        <v>10</v>
      </c>
      <c r="C80" s="46" t="s">
        <v>11</v>
      </c>
      <c r="D80" s="46" t="s">
        <v>8</v>
      </c>
      <c r="E80" s="46" t="s">
        <v>7</v>
      </c>
      <c r="F80" s="46" t="s">
        <v>12</v>
      </c>
      <c r="G80" s="46" t="s">
        <v>13</v>
      </c>
      <c r="H80" s="21" t="s">
        <v>9</v>
      </c>
      <c r="I80" s="21" t="s">
        <v>14</v>
      </c>
    </row>
    <row r="81" spans="1:29" s="23" customFormat="1" x14ac:dyDescent="0.5">
      <c r="A81" s="22">
        <f>DATE(YEAR(A2),MONTH(A2),DAY(A2))</f>
        <v>0</v>
      </c>
      <c r="B81" s="23" t="str">
        <f t="shared" ref="B81:F90" si="0">IF(ISBLANK(B41),"",IF(AND(B41&gt;0,B2&gt;0),(B41-B2),0))</f>
        <v/>
      </c>
      <c r="C81" s="23" t="str">
        <f t="shared" si="0"/>
        <v/>
      </c>
      <c r="D81" s="23" t="str">
        <f t="shared" si="0"/>
        <v/>
      </c>
      <c r="E81" s="23" t="str">
        <f t="shared" si="0"/>
        <v/>
      </c>
      <c r="F81" s="23" t="str">
        <f t="shared" si="0"/>
        <v/>
      </c>
      <c r="G81" s="23" t="str">
        <f>IFERROR(SUM(B81:C81)-F81,"")</f>
        <v/>
      </c>
      <c r="H81" s="23" t="str">
        <f>IFERROR(SUM(D81:E81)+F81,"")</f>
        <v/>
      </c>
      <c r="I81" s="23" t="str">
        <f>IF(SUM(B81:D81)=0,"",SUM(B81:D81))</f>
        <v/>
      </c>
      <c r="J81" s="23" t="str">
        <f t="shared" ref="J81:AC81" si="1">IF(ISBLANK(J41),"",IF(AND(J41&gt;0,J2&gt;0),(J41-J2),0))</f>
        <v/>
      </c>
      <c r="K81" s="23" t="str">
        <f t="shared" si="1"/>
        <v/>
      </c>
      <c r="L81" s="23" t="str">
        <f t="shared" si="1"/>
        <v/>
      </c>
      <c r="M81" s="23" t="str">
        <f t="shared" si="1"/>
        <v/>
      </c>
      <c r="N81" s="23" t="str">
        <f t="shared" si="1"/>
        <v/>
      </c>
      <c r="O81" s="23" t="str">
        <f t="shared" si="1"/>
        <v/>
      </c>
      <c r="P81" s="23" t="str">
        <f t="shared" si="1"/>
        <v/>
      </c>
      <c r="Q81" s="23" t="str">
        <f t="shared" si="1"/>
        <v/>
      </c>
      <c r="R81" s="23" t="str">
        <f t="shared" si="1"/>
        <v/>
      </c>
      <c r="S81" s="23" t="str">
        <f t="shared" si="1"/>
        <v/>
      </c>
      <c r="T81" s="23" t="str">
        <f t="shared" si="1"/>
        <v/>
      </c>
      <c r="U81" s="23" t="str">
        <f t="shared" si="1"/>
        <v/>
      </c>
      <c r="V81" s="23" t="str">
        <f t="shared" si="1"/>
        <v/>
      </c>
      <c r="W81" s="23" t="str">
        <f t="shared" si="1"/>
        <v/>
      </c>
      <c r="X81" s="23" t="str">
        <f t="shared" si="1"/>
        <v/>
      </c>
      <c r="Y81" s="23" t="str">
        <f t="shared" si="1"/>
        <v/>
      </c>
      <c r="Z81" s="23" t="str">
        <f t="shared" si="1"/>
        <v/>
      </c>
      <c r="AA81" s="23" t="str">
        <f t="shared" si="1"/>
        <v/>
      </c>
      <c r="AB81" s="23" t="str">
        <f t="shared" si="1"/>
        <v/>
      </c>
      <c r="AC81" s="23" t="str">
        <f t="shared" si="1"/>
        <v/>
      </c>
    </row>
    <row r="82" spans="1:29" s="23" customFormat="1" x14ac:dyDescent="0.5">
      <c r="A82" s="22">
        <f t="shared" ref="A82:A111" si="2">DATE(YEAR(A3),MONTH(A3),DAY(A3))</f>
        <v>0</v>
      </c>
      <c r="B82" s="23" t="str">
        <f t="shared" si="0"/>
        <v/>
      </c>
      <c r="C82" s="23" t="str">
        <f t="shared" si="0"/>
        <v/>
      </c>
      <c r="D82" s="23" t="str">
        <f t="shared" si="0"/>
        <v/>
      </c>
      <c r="E82" s="23" t="str">
        <f t="shared" si="0"/>
        <v/>
      </c>
      <c r="F82" s="23" t="str">
        <f t="shared" si="0"/>
        <v/>
      </c>
      <c r="G82" s="23" t="str">
        <f t="shared" ref="G82:G110" si="3">IFERROR(SUM(B82:C82)-F82,"")</f>
        <v/>
      </c>
      <c r="H82" s="23" t="str">
        <f t="shared" ref="H82:H111" si="4">IFERROR(SUM(D82:E82)+F82,"")</f>
        <v/>
      </c>
      <c r="I82" s="23" t="str">
        <f t="shared" ref="I82:I111" si="5">IF(SUM(B82:D82)=0,"",SUM(B82:D82))</f>
        <v/>
      </c>
      <c r="J82" s="23" t="str">
        <f t="shared" ref="J82:AC82" si="6">IF(ISBLANK(J42),"",IF(AND(J42&gt;0,J3&gt;0),(J42-J3),0))</f>
        <v/>
      </c>
      <c r="K82" s="23" t="str">
        <f t="shared" si="6"/>
        <v/>
      </c>
      <c r="L82" s="23" t="str">
        <f t="shared" si="6"/>
        <v/>
      </c>
      <c r="M82" s="23" t="str">
        <f t="shared" si="6"/>
        <v/>
      </c>
      <c r="N82" s="23" t="str">
        <f t="shared" si="6"/>
        <v/>
      </c>
      <c r="O82" s="23" t="str">
        <f t="shared" si="6"/>
        <v/>
      </c>
      <c r="P82" s="23" t="str">
        <f t="shared" si="6"/>
        <v/>
      </c>
      <c r="Q82" s="23" t="str">
        <f t="shared" si="6"/>
        <v/>
      </c>
      <c r="R82" s="23" t="str">
        <f t="shared" si="6"/>
        <v/>
      </c>
      <c r="S82" s="23" t="str">
        <f t="shared" si="6"/>
        <v/>
      </c>
      <c r="T82" s="23" t="str">
        <f t="shared" si="6"/>
        <v/>
      </c>
      <c r="U82" s="23" t="str">
        <f t="shared" si="6"/>
        <v/>
      </c>
      <c r="V82" s="23" t="str">
        <f t="shared" si="6"/>
        <v/>
      </c>
      <c r="W82" s="23" t="str">
        <f t="shared" si="6"/>
        <v/>
      </c>
      <c r="X82" s="23" t="str">
        <f t="shared" si="6"/>
        <v/>
      </c>
      <c r="Y82" s="23" t="str">
        <f t="shared" si="6"/>
        <v/>
      </c>
      <c r="Z82" s="23" t="str">
        <f t="shared" si="6"/>
        <v/>
      </c>
      <c r="AA82" s="23" t="str">
        <f t="shared" si="6"/>
        <v/>
      </c>
      <c r="AB82" s="23" t="str">
        <f t="shared" si="6"/>
        <v/>
      </c>
      <c r="AC82" s="23" t="str">
        <f t="shared" si="6"/>
        <v/>
      </c>
    </row>
    <row r="83" spans="1:29" s="23" customFormat="1" x14ac:dyDescent="0.5">
      <c r="A83" s="22">
        <f t="shared" si="2"/>
        <v>0</v>
      </c>
      <c r="B83" s="23" t="str">
        <f t="shared" si="0"/>
        <v/>
      </c>
      <c r="C83" s="23" t="str">
        <f t="shared" si="0"/>
        <v/>
      </c>
      <c r="D83" s="23" t="str">
        <f t="shared" si="0"/>
        <v/>
      </c>
      <c r="E83" s="23" t="str">
        <f t="shared" si="0"/>
        <v/>
      </c>
      <c r="F83" s="23" t="str">
        <f t="shared" si="0"/>
        <v/>
      </c>
      <c r="G83" s="23" t="str">
        <f t="shared" si="3"/>
        <v/>
      </c>
      <c r="H83" s="23" t="str">
        <f t="shared" si="4"/>
        <v/>
      </c>
      <c r="I83" s="23" t="str">
        <f t="shared" si="5"/>
        <v/>
      </c>
      <c r="J83" s="23" t="str">
        <f t="shared" ref="J83:AC83" si="7">IF(ISBLANK(J43),"",IF(AND(J43&gt;0,J4&gt;0),(J43-J4),0))</f>
        <v/>
      </c>
      <c r="K83" s="23" t="str">
        <f t="shared" si="7"/>
        <v/>
      </c>
      <c r="L83" s="23" t="str">
        <f t="shared" si="7"/>
        <v/>
      </c>
      <c r="M83" s="23" t="str">
        <f t="shared" si="7"/>
        <v/>
      </c>
      <c r="N83" s="23" t="str">
        <f t="shared" si="7"/>
        <v/>
      </c>
      <c r="O83" s="23" t="str">
        <f t="shared" si="7"/>
        <v/>
      </c>
      <c r="P83" s="23" t="str">
        <f t="shared" si="7"/>
        <v/>
      </c>
      <c r="Q83" s="23" t="str">
        <f t="shared" si="7"/>
        <v/>
      </c>
      <c r="R83" s="23" t="str">
        <f t="shared" si="7"/>
        <v/>
      </c>
      <c r="S83" s="23" t="str">
        <f t="shared" si="7"/>
        <v/>
      </c>
      <c r="T83" s="23" t="str">
        <f t="shared" si="7"/>
        <v/>
      </c>
      <c r="U83" s="23" t="str">
        <f t="shared" si="7"/>
        <v/>
      </c>
      <c r="V83" s="23" t="str">
        <f t="shared" si="7"/>
        <v/>
      </c>
      <c r="W83" s="23" t="str">
        <f t="shared" si="7"/>
        <v/>
      </c>
      <c r="X83" s="23" t="str">
        <f t="shared" si="7"/>
        <v/>
      </c>
      <c r="Y83" s="23" t="str">
        <f t="shared" si="7"/>
        <v/>
      </c>
      <c r="Z83" s="23" t="str">
        <f t="shared" si="7"/>
        <v/>
      </c>
      <c r="AA83" s="23" t="str">
        <f t="shared" si="7"/>
        <v/>
      </c>
      <c r="AB83" s="23" t="str">
        <f t="shared" si="7"/>
        <v/>
      </c>
      <c r="AC83" s="23" t="str">
        <f t="shared" si="7"/>
        <v/>
      </c>
    </row>
    <row r="84" spans="1:29" s="23" customFormat="1" x14ac:dyDescent="0.5">
      <c r="A84" s="22">
        <f t="shared" si="2"/>
        <v>0</v>
      </c>
      <c r="B84" s="23" t="str">
        <f t="shared" si="0"/>
        <v/>
      </c>
      <c r="C84" s="23" t="str">
        <f t="shared" si="0"/>
        <v/>
      </c>
      <c r="D84" s="23" t="str">
        <f t="shared" si="0"/>
        <v/>
      </c>
      <c r="E84" s="23" t="str">
        <f t="shared" si="0"/>
        <v/>
      </c>
      <c r="F84" s="23" t="str">
        <f t="shared" si="0"/>
        <v/>
      </c>
      <c r="G84" s="23" t="str">
        <f t="shared" si="3"/>
        <v/>
      </c>
      <c r="H84" s="23" t="str">
        <f t="shared" si="4"/>
        <v/>
      </c>
      <c r="I84" s="23" t="str">
        <f t="shared" si="5"/>
        <v/>
      </c>
      <c r="J84" s="23" t="str">
        <f t="shared" ref="J84:AC84" si="8">IF(ISBLANK(J44),"",IF(AND(J44&gt;0,J5&gt;0),(J44-J5),0))</f>
        <v/>
      </c>
      <c r="K84" s="23" t="str">
        <f t="shared" si="8"/>
        <v/>
      </c>
      <c r="L84" s="23" t="str">
        <f t="shared" si="8"/>
        <v/>
      </c>
      <c r="M84" s="23" t="str">
        <f t="shared" si="8"/>
        <v/>
      </c>
      <c r="N84" s="23" t="str">
        <f t="shared" si="8"/>
        <v/>
      </c>
      <c r="O84" s="23" t="str">
        <f t="shared" si="8"/>
        <v/>
      </c>
      <c r="P84" s="23" t="str">
        <f t="shared" si="8"/>
        <v/>
      </c>
      <c r="Q84" s="23" t="str">
        <f t="shared" si="8"/>
        <v/>
      </c>
      <c r="R84" s="23" t="str">
        <f t="shared" si="8"/>
        <v/>
      </c>
      <c r="S84" s="23" t="str">
        <f t="shared" si="8"/>
        <v/>
      </c>
      <c r="T84" s="23" t="str">
        <f t="shared" si="8"/>
        <v/>
      </c>
      <c r="U84" s="23" t="str">
        <f t="shared" si="8"/>
        <v/>
      </c>
      <c r="V84" s="23" t="str">
        <f t="shared" si="8"/>
        <v/>
      </c>
      <c r="W84" s="23" t="str">
        <f t="shared" si="8"/>
        <v/>
      </c>
      <c r="X84" s="23" t="str">
        <f t="shared" si="8"/>
        <v/>
      </c>
      <c r="Y84" s="23" t="str">
        <f t="shared" si="8"/>
        <v/>
      </c>
      <c r="Z84" s="23" t="str">
        <f t="shared" si="8"/>
        <v/>
      </c>
      <c r="AA84" s="23" t="str">
        <f t="shared" si="8"/>
        <v/>
      </c>
      <c r="AB84" s="23" t="str">
        <f t="shared" si="8"/>
        <v/>
      </c>
      <c r="AC84" s="23" t="str">
        <f t="shared" si="8"/>
        <v/>
      </c>
    </row>
    <row r="85" spans="1:29" s="23" customFormat="1" x14ac:dyDescent="0.5">
      <c r="A85" s="22">
        <f t="shared" si="2"/>
        <v>0</v>
      </c>
      <c r="B85" s="23" t="str">
        <f t="shared" si="0"/>
        <v/>
      </c>
      <c r="C85" s="23" t="str">
        <f t="shared" si="0"/>
        <v/>
      </c>
      <c r="D85" s="23" t="str">
        <f t="shared" si="0"/>
        <v/>
      </c>
      <c r="E85" s="23" t="str">
        <f t="shared" si="0"/>
        <v/>
      </c>
      <c r="F85" s="23" t="str">
        <f t="shared" si="0"/>
        <v/>
      </c>
      <c r="G85" s="23" t="str">
        <f t="shared" si="3"/>
        <v/>
      </c>
      <c r="H85" s="23" t="str">
        <f t="shared" si="4"/>
        <v/>
      </c>
      <c r="I85" s="23" t="str">
        <f t="shared" si="5"/>
        <v/>
      </c>
      <c r="J85" s="23" t="str">
        <f t="shared" ref="J85:AC85" si="9">IF(ISBLANK(J45),"",IF(AND(J45&gt;0,J6&gt;0),(J45-J6),0))</f>
        <v/>
      </c>
      <c r="K85" s="23" t="str">
        <f t="shared" si="9"/>
        <v/>
      </c>
      <c r="L85" s="23" t="str">
        <f t="shared" si="9"/>
        <v/>
      </c>
      <c r="M85" s="23" t="str">
        <f t="shared" si="9"/>
        <v/>
      </c>
      <c r="N85" s="23" t="str">
        <f t="shared" si="9"/>
        <v/>
      </c>
      <c r="O85" s="23" t="str">
        <f t="shared" si="9"/>
        <v/>
      </c>
      <c r="P85" s="23" t="str">
        <f t="shared" si="9"/>
        <v/>
      </c>
      <c r="Q85" s="23" t="str">
        <f t="shared" si="9"/>
        <v/>
      </c>
      <c r="R85" s="23" t="str">
        <f t="shared" si="9"/>
        <v/>
      </c>
      <c r="S85" s="23" t="str">
        <f t="shared" si="9"/>
        <v/>
      </c>
      <c r="T85" s="23" t="str">
        <f t="shared" si="9"/>
        <v/>
      </c>
      <c r="U85" s="23" t="str">
        <f t="shared" si="9"/>
        <v/>
      </c>
      <c r="V85" s="23" t="str">
        <f t="shared" si="9"/>
        <v/>
      </c>
      <c r="W85" s="23" t="str">
        <f t="shared" si="9"/>
        <v/>
      </c>
      <c r="X85" s="23" t="str">
        <f t="shared" si="9"/>
        <v/>
      </c>
      <c r="Y85" s="23" t="str">
        <f t="shared" si="9"/>
        <v/>
      </c>
      <c r="Z85" s="23" t="str">
        <f t="shared" si="9"/>
        <v/>
      </c>
      <c r="AA85" s="23" t="str">
        <f t="shared" si="9"/>
        <v/>
      </c>
      <c r="AB85" s="23" t="str">
        <f t="shared" si="9"/>
        <v/>
      </c>
      <c r="AC85" s="23" t="str">
        <f t="shared" si="9"/>
        <v/>
      </c>
    </row>
    <row r="86" spans="1:29" s="23" customFormat="1" x14ac:dyDescent="0.5">
      <c r="A86" s="22">
        <f t="shared" si="2"/>
        <v>0</v>
      </c>
      <c r="B86" s="23" t="str">
        <f t="shared" si="0"/>
        <v/>
      </c>
      <c r="C86" s="23" t="str">
        <f t="shared" si="0"/>
        <v/>
      </c>
      <c r="D86" s="23" t="str">
        <f t="shared" si="0"/>
        <v/>
      </c>
      <c r="E86" s="23" t="str">
        <f t="shared" si="0"/>
        <v/>
      </c>
      <c r="F86" s="23" t="str">
        <f t="shared" si="0"/>
        <v/>
      </c>
      <c r="G86" s="23" t="str">
        <f t="shared" si="3"/>
        <v/>
      </c>
      <c r="H86" s="23" t="str">
        <f t="shared" si="4"/>
        <v/>
      </c>
      <c r="I86" s="23" t="str">
        <f t="shared" si="5"/>
        <v/>
      </c>
      <c r="J86" s="23" t="str">
        <f t="shared" ref="J86:AC86" si="10">IF(ISBLANK(J46),"",IF(AND(J46&gt;0,J7&gt;0),(J46-J7),0))</f>
        <v/>
      </c>
      <c r="K86" s="23" t="str">
        <f t="shared" si="10"/>
        <v/>
      </c>
      <c r="L86" s="23" t="str">
        <f t="shared" si="10"/>
        <v/>
      </c>
      <c r="M86" s="23" t="str">
        <f t="shared" si="10"/>
        <v/>
      </c>
      <c r="N86" s="23" t="str">
        <f t="shared" si="10"/>
        <v/>
      </c>
      <c r="O86" s="23" t="str">
        <f t="shared" si="10"/>
        <v/>
      </c>
      <c r="P86" s="23" t="str">
        <f t="shared" si="10"/>
        <v/>
      </c>
      <c r="Q86" s="23" t="str">
        <f t="shared" si="10"/>
        <v/>
      </c>
      <c r="R86" s="23" t="str">
        <f t="shared" si="10"/>
        <v/>
      </c>
      <c r="S86" s="23" t="str">
        <f t="shared" si="10"/>
        <v/>
      </c>
      <c r="T86" s="23" t="str">
        <f t="shared" si="10"/>
        <v/>
      </c>
      <c r="U86" s="23" t="str">
        <f t="shared" si="10"/>
        <v/>
      </c>
      <c r="V86" s="23" t="str">
        <f t="shared" si="10"/>
        <v/>
      </c>
      <c r="W86" s="23" t="str">
        <f t="shared" si="10"/>
        <v/>
      </c>
      <c r="X86" s="23" t="str">
        <f t="shared" si="10"/>
        <v/>
      </c>
      <c r="Y86" s="23" t="str">
        <f t="shared" si="10"/>
        <v/>
      </c>
      <c r="Z86" s="23" t="str">
        <f t="shared" si="10"/>
        <v/>
      </c>
      <c r="AA86" s="23" t="str">
        <f t="shared" si="10"/>
        <v/>
      </c>
      <c r="AB86" s="23" t="str">
        <f t="shared" si="10"/>
        <v/>
      </c>
      <c r="AC86" s="23" t="str">
        <f t="shared" si="10"/>
        <v/>
      </c>
    </row>
    <row r="87" spans="1:29" s="23" customFormat="1" x14ac:dyDescent="0.5">
      <c r="A87" s="22">
        <f t="shared" si="2"/>
        <v>0</v>
      </c>
      <c r="B87" s="23" t="str">
        <f t="shared" si="0"/>
        <v/>
      </c>
      <c r="C87" s="23" t="str">
        <f t="shared" si="0"/>
        <v/>
      </c>
      <c r="D87" s="23" t="str">
        <f t="shared" si="0"/>
        <v/>
      </c>
      <c r="E87" s="23" t="str">
        <f t="shared" si="0"/>
        <v/>
      </c>
      <c r="F87" s="23" t="str">
        <f t="shared" si="0"/>
        <v/>
      </c>
      <c r="G87" s="23" t="str">
        <f t="shared" si="3"/>
        <v/>
      </c>
      <c r="H87" s="23" t="str">
        <f t="shared" si="4"/>
        <v/>
      </c>
      <c r="I87" s="23" t="str">
        <f t="shared" si="5"/>
        <v/>
      </c>
      <c r="J87" s="23" t="str">
        <f t="shared" ref="J87:AC87" si="11">IF(ISBLANK(J47),"",IF(AND(J47&gt;0,J8&gt;0),(J47-J8),0))</f>
        <v/>
      </c>
      <c r="K87" s="23" t="str">
        <f t="shared" si="11"/>
        <v/>
      </c>
      <c r="L87" s="23" t="str">
        <f t="shared" si="11"/>
        <v/>
      </c>
      <c r="M87" s="23" t="str">
        <f t="shared" si="11"/>
        <v/>
      </c>
      <c r="N87" s="23" t="str">
        <f t="shared" si="11"/>
        <v/>
      </c>
      <c r="O87" s="23" t="str">
        <f t="shared" si="11"/>
        <v/>
      </c>
      <c r="P87" s="23" t="str">
        <f t="shared" si="11"/>
        <v/>
      </c>
      <c r="Q87" s="23" t="str">
        <f t="shared" si="11"/>
        <v/>
      </c>
      <c r="R87" s="23" t="str">
        <f t="shared" si="11"/>
        <v/>
      </c>
      <c r="S87" s="23" t="str">
        <f t="shared" si="11"/>
        <v/>
      </c>
      <c r="T87" s="23" t="str">
        <f t="shared" si="11"/>
        <v/>
      </c>
      <c r="U87" s="23" t="str">
        <f t="shared" si="11"/>
        <v/>
      </c>
      <c r="V87" s="23" t="str">
        <f t="shared" si="11"/>
        <v/>
      </c>
      <c r="W87" s="23" t="str">
        <f t="shared" si="11"/>
        <v/>
      </c>
      <c r="X87" s="23" t="str">
        <f t="shared" si="11"/>
        <v/>
      </c>
      <c r="Y87" s="23" t="str">
        <f t="shared" si="11"/>
        <v/>
      </c>
      <c r="Z87" s="23" t="str">
        <f t="shared" si="11"/>
        <v/>
      </c>
      <c r="AA87" s="23" t="str">
        <f t="shared" si="11"/>
        <v/>
      </c>
      <c r="AB87" s="23" t="str">
        <f t="shared" si="11"/>
        <v/>
      </c>
      <c r="AC87" s="23" t="str">
        <f t="shared" si="11"/>
        <v/>
      </c>
    </row>
    <row r="88" spans="1:29" s="23" customFormat="1" x14ac:dyDescent="0.5">
      <c r="A88" s="22">
        <f t="shared" si="2"/>
        <v>0</v>
      </c>
      <c r="B88" s="23" t="str">
        <f t="shared" si="0"/>
        <v/>
      </c>
      <c r="C88" s="23" t="str">
        <f t="shared" si="0"/>
        <v/>
      </c>
      <c r="D88" s="23" t="str">
        <f t="shared" si="0"/>
        <v/>
      </c>
      <c r="E88" s="23" t="str">
        <f t="shared" si="0"/>
        <v/>
      </c>
      <c r="F88" s="23" t="str">
        <f t="shared" si="0"/>
        <v/>
      </c>
      <c r="G88" s="23" t="str">
        <f t="shared" si="3"/>
        <v/>
      </c>
      <c r="H88" s="23" t="str">
        <f t="shared" si="4"/>
        <v/>
      </c>
      <c r="I88" s="23" t="str">
        <f t="shared" si="5"/>
        <v/>
      </c>
      <c r="J88" s="23" t="str">
        <f t="shared" ref="J88:AC88" si="12">IF(ISBLANK(J48),"",IF(AND(J48&gt;0,J9&gt;0),(J48-J9),0))</f>
        <v/>
      </c>
      <c r="K88" s="23" t="str">
        <f t="shared" si="12"/>
        <v/>
      </c>
      <c r="L88" s="23" t="str">
        <f t="shared" si="12"/>
        <v/>
      </c>
      <c r="M88" s="23" t="str">
        <f t="shared" si="12"/>
        <v/>
      </c>
      <c r="N88" s="23" t="str">
        <f t="shared" si="12"/>
        <v/>
      </c>
      <c r="O88" s="23" t="str">
        <f t="shared" si="12"/>
        <v/>
      </c>
      <c r="P88" s="23" t="str">
        <f t="shared" si="12"/>
        <v/>
      </c>
      <c r="Q88" s="23" t="str">
        <f t="shared" si="12"/>
        <v/>
      </c>
      <c r="R88" s="23" t="str">
        <f t="shared" si="12"/>
        <v/>
      </c>
      <c r="S88" s="23" t="str">
        <f t="shared" si="12"/>
        <v/>
      </c>
      <c r="T88" s="23" t="str">
        <f t="shared" si="12"/>
        <v/>
      </c>
      <c r="U88" s="23" t="str">
        <f t="shared" si="12"/>
        <v/>
      </c>
      <c r="V88" s="23" t="str">
        <f t="shared" si="12"/>
        <v/>
      </c>
      <c r="W88" s="23" t="str">
        <f t="shared" si="12"/>
        <v/>
      </c>
      <c r="X88" s="23" t="str">
        <f t="shared" si="12"/>
        <v/>
      </c>
      <c r="Y88" s="23" t="str">
        <f t="shared" si="12"/>
        <v/>
      </c>
      <c r="Z88" s="23" t="str">
        <f t="shared" si="12"/>
        <v/>
      </c>
      <c r="AA88" s="23" t="str">
        <f t="shared" si="12"/>
        <v/>
      </c>
      <c r="AB88" s="23" t="str">
        <f t="shared" si="12"/>
        <v/>
      </c>
      <c r="AC88" s="23" t="str">
        <f t="shared" si="12"/>
        <v/>
      </c>
    </row>
    <row r="89" spans="1:29" s="23" customFormat="1" x14ac:dyDescent="0.5">
      <c r="A89" s="22">
        <f t="shared" si="2"/>
        <v>0</v>
      </c>
      <c r="B89" s="23" t="str">
        <f t="shared" si="0"/>
        <v/>
      </c>
      <c r="C89" s="23" t="str">
        <f t="shared" si="0"/>
        <v/>
      </c>
      <c r="D89" s="23" t="str">
        <f t="shared" si="0"/>
        <v/>
      </c>
      <c r="E89" s="23" t="str">
        <f t="shared" si="0"/>
        <v/>
      </c>
      <c r="F89" s="23" t="str">
        <f t="shared" si="0"/>
        <v/>
      </c>
      <c r="G89" s="23" t="str">
        <f t="shared" si="3"/>
        <v/>
      </c>
      <c r="H89" s="23" t="str">
        <f t="shared" si="4"/>
        <v/>
      </c>
      <c r="I89" s="23" t="str">
        <f t="shared" si="5"/>
        <v/>
      </c>
      <c r="J89" s="23" t="str">
        <f t="shared" ref="J89:AC89" si="13">IF(ISBLANK(J49),"",IF(AND(J49&gt;0,J10&gt;0),(J49-J10),0))</f>
        <v/>
      </c>
      <c r="K89" s="23" t="str">
        <f t="shared" si="13"/>
        <v/>
      </c>
      <c r="L89" s="23" t="str">
        <f t="shared" si="13"/>
        <v/>
      </c>
      <c r="M89" s="23" t="str">
        <f t="shared" si="13"/>
        <v/>
      </c>
      <c r="N89" s="23" t="str">
        <f t="shared" si="13"/>
        <v/>
      </c>
      <c r="O89" s="23" t="str">
        <f t="shared" si="13"/>
        <v/>
      </c>
      <c r="P89" s="23" t="str">
        <f t="shared" si="13"/>
        <v/>
      </c>
      <c r="Q89" s="23" t="str">
        <f t="shared" si="13"/>
        <v/>
      </c>
      <c r="R89" s="23" t="str">
        <f t="shared" si="13"/>
        <v/>
      </c>
      <c r="S89" s="23" t="str">
        <f t="shared" si="13"/>
        <v/>
      </c>
      <c r="T89" s="23" t="str">
        <f t="shared" si="13"/>
        <v/>
      </c>
      <c r="U89" s="23" t="str">
        <f t="shared" si="13"/>
        <v/>
      </c>
      <c r="V89" s="23" t="str">
        <f t="shared" si="13"/>
        <v/>
      </c>
      <c r="W89" s="23" t="str">
        <f t="shared" si="13"/>
        <v/>
      </c>
      <c r="X89" s="23" t="str">
        <f t="shared" si="13"/>
        <v/>
      </c>
      <c r="Y89" s="23" t="str">
        <f t="shared" si="13"/>
        <v/>
      </c>
      <c r="Z89" s="23" t="str">
        <f t="shared" si="13"/>
        <v/>
      </c>
      <c r="AA89" s="23" t="str">
        <f t="shared" si="13"/>
        <v/>
      </c>
      <c r="AB89" s="23" t="str">
        <f t="shared" si="13"/>
        <v/>
      </c>
      <c r="AC89" s="23" t="str">
        <f t="shared" si="13"/>
        <v/>
      </c>
    </row>
    <row r="90" spans="1:29" s="23" customFormat="1" x14ac:dyDescent="0.5">
      <c r="A90" s="22">
        <f t="shared" si="2"/>
        <v>0</v>
      </c>
      <c r="B90" s="23" t="str">
        <f t="shared" si="0"/>
        <v/>
      </c>
      <c r="C90" s="23" t="str">
        <f t="shared" si="0"/>
        <v/>
      </c>
      <c r="D90" s="23" t="str">
        <f t="shared" si="0"/>
        <v/>
      </c>
      <c r="E90" s="23" t="str">
        <f t="shared" si="0"/>
        <v/>
      </c>
      <c r="F90" s="23" t="str">
        <f t="shared" si="0"/>
        <v/>
      </c>
      <c r="G90" s="23" t="str">
        <f t="shared" si="3"/>
        <v/>
      </c>
      <c r="H90" s="23" t="str">
        <f t="shared" si="4"/>
        <v/>
      </c>
      <c r="I90" s="23" t="str">
        <f t="shared" si="5"/>
        <v/>
      </c>
      <c r="J90" s="23" t="str">
        <f t="shared" ref="J90:AC90" si="14">IF(ISBLANK(J50),"",IF(AND(J50&gt;0,J11&gt;0),(J50-J11),0))</f>
        <v/>
      </c>
      <c r="K90" s="23" t="str">
        <f t="shared" si="14"/>
        <v/>
      </c>
      <c r="L90" s="23" t="str">
        <f t="shared" si="14"/>
        <v/>
      </c>
      <c r="M90" s="23" t="str">
        <f t="shared" si="14"/>
        <v/>
      </c>
      <c r="N90" s="23" t="str">
        <f t="shared" si="14"/>
        <v/>
      </c>
      <c r="O90" s="23" t="str">
        <f t="shared" si="14"/>
        <v/>
      </c>
      <c r="P90" s="23" t="str">
        <f t="shared" si="14"/>
        <v/>
      </c>
      <c r="Q90" s="23" t="str">
        <f t="shared" si="14"/>
        <v/>
      </c>
      <c r="R90" s="23" t="str">
        <f t="shared" si="14"/>
        <v/>
      </c>
      <c r="S90" s="23" t="str">
        <f t="shared" si="14"/>
        <v/>
      </c>
      <c r="T90" s="23" t="str">
        <f t="shared" si="14"/>
        <v/>
      </c>
      <c r="U90" s="23" t="str">
        <f t="shared" si="14"/>
        <v/>
      </c>
      <c r="V90" s="23" t="str">
        <f t="shared" si="14"/>
        <v/>
      </c>
      <c r="W90" s="23" t="str">
        <f t="shared" si="14"/>
        <v/>
      </c>
      <c r="X90" s="23" t="str">
        <f t="shared" si="14"/>
        <v/>
      </c>
      <c r="Y90" s="23" t="str">
        <f t="shared" si="14"/>
        <v/>
      </c>
      <c r="Z90" s="23" t="str">
        <f t="shared" si="14"/>
        <v/>
      </c>
      <c r="AA90" s="23" t="str">
        <f t="shared" si="14"/>
        <v/>
      </c>
      <c r="AB90" s="23" t="str">
        <f t="shared" si="14"/>
        <v/>
      </c>
      <c r="AC90" s="23" t="str">
        <f t="shared" si="14"/>
        <v/>
      </c>
    </row>
    <row r="91" spans="1:29" s="23" customFormat="1" x14ac:dyDescent="0.5">
      <c r="A91" s="22">
        <f t="shared" si="2"/>
        <v>0</v>
      </c>
      <c r="B91" s="23" t="str">
        <f t="shared" ref="B91:F100" si="15">IF(ISBLANK(B51),"",IF(AND(B51&gt;0,B12&gt;0),(B51-B12),0))</f>
        <v/>
      </c>
      <c r="C91" s="23" t="str">
        <f t="shared" si="15"/>
        <v/>
      </c>
      <c r="D91" s="23" t="str">
        <f t="shared" si="15"/>
        <v/>
      </c>
      <c r="E91" s="23" t="str">
        <f t="shared" si="15"/>
        <v/>
      </c>
      <c r="F91" s="23" t="str">
        <f t="shared" si="15"/>
        <v/>
      </c>
      <c r="G91" s="23" t="str">
        <f t="shared" si="3"/>
        <v/>
      </c>
      <c r="H91" s="23" t="str">
        <f t="shared" si="4"/>
        <v/>
      </c>
      <c r="I91" s="23" t="str">
        <f t="shared" si="5"/>
        <v/>
      </c>
      <c r="J91" s="23" t="str">
        <f t="shared" ref="J91:AC91" si="16">IF(ISBLANK(J51),"",IF(AND(J51&gt;0,J12&gt;0),(J51-J12),0))</f>
        <v/>
      </c>
      <c r="K91" s="23" t="str">
        <f t="shared" si="16"/>
        <v/>
      </c>
      <c r="L91" s="23" t="str">
        <f t="shared" si="16"/>
        <v/>
      </c>
      <c r="M91" s="23" t="str">
        <f t="shared" si="16"/>
        <v/>
      </c>
      <c r="N91" s="23" t="str">
        <f t="shared" si="16"/>
        <v/>
      </c>
      <c r="O91" s="23" t="str">
        <f t="shared" si="16"/>
        <v/>
      </c>
      <c r="P91" s="23" t="str">
        <f t="shared" si="16"/>
        <v/>
      </c>
      <c r="Q91" s="23" t="str">
        <f t="shared" si="16"/>
        <v/>
      </c>
      <c r="R91" s="23" t="str">
        <f t="shared" si="16"/>
        <v/>
      </c>
      <c r="S91" s="23" t="str">
        <f t="shared" si="16"/>
        <v/>
      </c>
      <c r="T91" s="23" t="str">
        <f t="shared" si="16"/>
        <v/>
      </c>
      <c r="U91" s="23" t="str">
        <f t="shared" si="16"/>
        <v/>
      </c>
      <c r="V91" s="23" t="str">
        <f t="shared" si="16"/>
        <v/>
      </c>
      <c r="W91" s="23" t="str">
        <f t="shared" si="16"/>
        <v/>
      </c>
      <c r="X91" s="23" t="str">
        <f t="shared" si="16"/>
        <v/>
      </c>
      <c r="Y91" s="23" t="str">
        <f t="shared" si="16"/>
        <v/>
      </c>
      <c r="Z91" s="23" t="str">
        <f t="shared" si="16"/>
        <v/>
      </c>
      <c r="AA91" s="23" t="str">
        <f t="shared" si="16"/>
        <v/>
      </c>
      <c r="AB91" s="23" t="str">
        <f t="shared" si="16"/>
        <v/>
      </c>
      <c r="AC91" s="23" t="str">
        <f t="shared" si="16"/>
        <v/>
      </c>
    </row>
    <row r="92" spans="1:29" s="23" customFormat="1" x14ac:dyDescent="0.5">
      <c r="A92" s="22">
        <f t="shared" si="2"/>
        <v>0</v>
      </c>
      <c r="B92" s="23" t="str">
        <f t="shared" si="15"/>
        <v/>
      </c>
      <c r="C92" s="23" t="str">
        <f t="shared" si="15"/>
        <v/>
      </c>
      <c r="D92" s="23" t="str">
        <f t="shared" si="15"/>
        <v/>
      </c>
      <c r="E92" s="23" t="str">
        <f t="shared" si="15"/>
        <v/>
      </c>
      <c r="F92" s="23" t="str">
        <f t="shared" si="15"/>
        <v/>
      </c>
      <c r="G92" s="23" t="str">
        <f t="shared" si="3"/>
        <v/>
      </c>
      <c r="H92" s="23" t="str">
        <f t="shared" si="4"/>
        <v/>
      </c>
      <c r="I92" s="23" t="str">
        <f t="shared" si="5"/>
        <v/>
      </c>
      <c r="J92" s="23" t="str">
        <f t="shared" ref="J92:AC92" si="17">IF(ISBLANK(J52),"",IF(AND(J52&gt;0,J13&gt;0),(J52-J13),0))</f>
        <v/>
      </c>
      <c r="K92" s="23" t="str">
        <f t="shared" si="17"/>
        <v/>
      </c>
      <c r="L92" s="23" t="str">
        <f t="shared" si="17"/>
        <v/>
      </c>
      <c r="M92" s="23" t="str">
        <f t="shared" si="17"/>
        <v/>
      </c>
      <c r="N92" s="23" t="str">
        <f t="shared" si="17"/>
        <v/>
      </c>
      <c r="O92" s="23" t="str">
        <f t="shared" si="17"/>
        <v/>
      </c>
      <c r="P92" s="23" t="str">
        <f t="shared" si="17"/>
        <v/>
      </c>
      <c r="Q92" s="23" t="str">
        <f t="shared" si="17"/>
        <v/>
      </c>
      <c r="R92" s="23" t="str">
        <f t="shared" si="17"/>
        <v/>
      </c>
      <c r="S92" s="23" t="str">
        <f t="shared" si="17"/>
        <v/>
      </c>
      <c r="T92" s="23" t="str">
        <f t="shared" si="17"/>
        <v/>
      </c>
      <c r="U92" s="23" t="str">
        <f t="shared" si="17"/>
        <v/>
      </c>
      <c r="V92" s="23" t="str">
        <f t="shared" si="17"/>
        <v/>
      </c>
      <c r="W92" s="23" t="str">
        <f t="shared" si="17"/>
        <v/>
      </c>
      <c r="X92" s="23" t="str">
        <f t="shared" si="17"/>
        <v/>
      </c>
      <c r="Y92" s="23" t="str">
        <f t="shared" si="17"/>
        <v/>
      </c>
      <c r="Z92" s="23" t="str">
        <f t="shared" si="17"/>
        <v/>
      </c>
      <c r="AA92" s="23" t="str">
        <f t="shared" si="17"/>
        <v/>
      </c>
      <c r="AB92" s="23" t="str">
        <f t="shared" si="17"/>
        <v/>
      </c>
      <c r="AC92" s="23" t="str">
        <f t="shared" si="17"/>
        <v/>
      </c>
    </row>
    <row r="93" spans="1:29" s="23" customFormat="1" x14ac:dyDescent="0.5">
      <c r="A93" s="22">
        <f t="shared" si="2"/>
        <v>0</v>
      </c>
      <c r="B93" s="23" t="str">
        <f t="shared" si="15"/>
        <v/>
      </c>
      <c r="C93" s="23" t="str">
        <f t="shared" si="15"/>
        <v/>
      </c>
      <c r="D93" s="23" t="str">
        <f t="shared" si="15"/>
        <v/>
      </c>
      <c r="E93" s="23" t="str">
        <f t="shared" si="15"/>
        <v/>
      </c>
      <c r="F93" s="23" t="str">
        <f t="shared" si="15"/>
        <v/>
      </c>
      <c r="G93" s="23" t="str">
        <f t="shared" si="3"/>
        <v/>
      </c>
      <c r="H93" s="23" t="str">
        <f t="shared" si="4"/>
        <v/>
      </c>
      <c r="I93" s="23" t="str">
        <f t="shared" si="5"/>
        <v/>
      </c>
      <c r="J93" s="23" t="str">
        <f t="shared" ref="J93:AC93" si="18">IF(ISBLANK(J53),"",IF(AND(J53&gt;0,J14&gt;0),(J53-J14),0))</f>
        <v/>
      </c>
      <c r="K93" s="23" t="str">
        <f t="shared" si="18"/>
        <v/>
      </c>
      <c r="L93" s="23" t="str">
        <f t="shared" si="18"/>
        <v/>
      </c>
      <c r="M93" s="23" t="str">
        <f t="shared" si="18"/>
        <v/>
      </c>
      <c r="N93" s="23" t="str">
        <f t="shared" si="18"/>
        <v/>
      </c>
      <c r="O93" s="23" t="str">
        <f t="shared" si="18"/>
        <v/>
      </c>
      <c r="P93" s="23" t="str">
        <f t="shared" si="18"/>
        <v/>
      </c>
      <c r="Q93" s="23" t="str">
        <f t="shared" si="18"/>
        <v/>
      </c>
      <c r="R93" s="23" t="str">
        <f t="shared" si="18"/>
        <v/>
      </c>
      <c r="S93" s="23" t="str">
        <f t="shared" si="18"/>
        <v/>
      </c>
      <c r="T93" s="23" t="str">
        <f t="shared" si="18"/>
        <v/>
      </c>
      <c r="U93" s="23" t="str">
        <f t="shared" si="18"/>
        <v/>
      </c>
      <c r="V93" s="23" t="str">
        <f t="shared" si="18"/>
        <v/>
      </c>
      <c r="W93" s="23" t="str">
        <f t="shared" si="18"/>
        <v/>
      </c>
      <c r="X93" s="23" t="str">
        <f t="shared" si="18"/>
        <v/>
      </c>
      <c r="Y93" s="23" t="str">
        <f t="shared" si="18"/>
        <v/>
      </c>
      <c r="Z93" s="23" t="str">
        <f t="shared" si="18"/>
        <v/>
      </c>
      <c r="AA93" s="23" t="str">
        <f t="shared" si="18"/>
        <v/>
      </c>
      <c r="AB93" s="23" t="str">
        <f t="shared" si="18"/>
        <v/>
      </c>
      <c r="AC93" s="23" t="str">
        <f t="shared" si="18"/>
        <v/>
      </c>
    </row>
    <row r="94" spans="1:29" s="23" customFormat="1" x14ac:dyDescent="0.5">
      <c r="A94" s="22">
        <f t="shared" si="2"/>
        <v>0</v>
      </c>
      <c r="B94" s="23" t="str">
        <f t="shared" si="15"/>
        <v/>
      </c>
      <c r="C94" s="23" t="str">
        <f t="shared" si="15"/>
        <v/>
      </c>
      <c r="D94" s="23" t="str">
        <f t="shared" si="15"/>
        <v/>
      </c>
      <c r="E94" s="23" t="str">
        <f t="shared" si="15"/>
        <v/>
      </c>
      <c r="F94" s="23" t="str">
        <f t="shared" si="15"/>
        <v/>
      </c>
      <c r="G94" s="23" t="str">
        <f t="shared" si="3"/>
        <v/>
      </c>
      <c r="H94" s="23" t="str">
        <f t="shared" si="4"/>
        <v/>
      </c>
      <c r="I94" s="23" t="str">
        <f t="shared" si="5"/>
        <v/>
      </c>
      <c r="J94" s="23" t="str">
        <f t="shared" ref="J94:AC94" si="19">IF(ISBLANK(J54),"",IF(AND(J54&gt;0,J15&gt;0),(J54-J15),0))</f>
        <v/>
      </c>
      <c r="K94" s="23" t="str">
        <f t="shared" si="19"/>
        <v/>
      </c>
      <c r="L94" s="23" t="str">
        <f t="shared" si="19"/>
        <v/>
      </c>
      <c r="M94" s="23" t="str">
        <f t="shared" si="19"/>
        <v/>
      </c>
      <c r="N94" s="23" t="str">
        <f t="shared" si="19"/>
        <v/>
      </c>
      <c r="O94" s="23" t="str">
        <f t="shared" si="19"/>
        <v/>
      </c>
      <c r="P94" s="23" t="str">
        <f t="shared" si="19"/>
        <v/>
      </c>
      <c r="Q94" s="23" t="str">
        <f t="shared" si="19"/>
        <v/>
      </c>
      <c r="R94" s="23" t="str">
        <f t="shared" si="19"/>
        <v/>
      </c>
      <c r="S94" s="23" t="str">
        <f t="shared" si="19"/>
        <v/>
      </c>
      <c r="T94" s="23" t="str">
        <f t="shared" si="19"/>
        <v/>
      </c>
      <c r="U94" s="23" t="str">
        <f t="shared" si="19"/>
        <v/>
      </c>
      <c r="V94" s="23" t="str">
        <f t="shared" si="19"/>
        <v/>
      </c>
      <c r="W94" s="23" t="str">
        <f t="shared" si="19"/>
        <v/>
      </c>
      <c r="X94" s="23" t="str">
        <f t="shared" si="19"/>
        <v/>
      </c>
      <c r="Y94" s="23" t="str">
        <f t="shared" si="19"/>
        <v/>
      </c>
      <c r="Z94" s="23" t="str">
        <f t="shared" si="19"/>
        <v/>
      </c>
      <c r="AA94" s="23" t="str">
        <f t="shared" si="19"/>
        <v/>
      </c>
      <c r="AB94" s="23" t="str">
        <f t="shared" si="19"/>
        <v/>
      </c>
      <c r="AC94" s="23" t="str">
        <f t="shared" si="19"/>
        <v/>
      </c>
    </row>
    <row r="95" spans="1:29" s="23" customFormat="1" x14ac:dyDescent="0.5">
      <c r="A95" s="22">
        <f t="shared" si="2"/>
        <v>0</v>
      </c>
      <c r="B95" s="23" t="str">
        <f t="shared" si="15"/>
        <v/>
      </c>
      <c r="C95" s="23" t="str">
        <f t="shared" si="15"/>
        <v/>
      </c>
      <c r="D95" s="23" t="str">
        <f t="shared" si="15"/>
        <v/>
      </c>
      <c r="E95" s="23" t="str">
        <f t="shared" si="15"/>
        <v/>
      </c>
      <c r="F95" s="23" t="str">
        <f t="shared" si="15"/>
        <v/>
      </c>
      <c r="G95" s="23" t="str">
        <f t="shared" si="3"/>
        <v/>
      </c>
      <c r="H95" s="23" t="str">
        <f t="shared" si="4"/>
        <v/>
      </c>
      <c r="I95" s="23" t="str">
        <f t="shared" si="5"/>
        <v/>
      </c>
      <c r="J95" s="23" t="str">
        <f t="shared" ref="J95:AC95" si="20">IF(ISBLANK(J55),"",IF(AND(J55&gt;0,J16&gt;0),(J55-J16),0))</f>
        <v/>
      </c>
      <c r="K95" s="23" t="str">
        <f t="shared" si="20"/>
        <v/>
      </c>
      <c r="L95" s="23" t="str">
        <f t="shared" si="20"/>
        <v/>
      </c>
      <c r="M95" s="23" t="str">
        <f t="shared" si="20"/>
        <v/>
      </c>
      <c r="N95" s="23" t="str">
        <f t="shared" si="20"/>
        <v/>
      </c>
      <c r="O95" s="23" t="str">
        <f t="shared" si="20"/>
        <v/>
      </c>
      <c r="P95" s="23" t="str">
        <f t="shared" si="20"/>
        <v/>
      </c>
      <c r="Q95" s="23" t="str">
        <f t="shared" si="20"/>
        <v/>
      </c>
      <c r="R95" s="23" t="str">
        <f t="shared" si="20"/>
        <v/>
      </c>
      <c r="S95" s="23" t="str">
        <f t="shared" si="20"/>
        <v/>
      </c>
      <c r="T95" s="23" t="str">
        <f t="shared" si="20"/>
        <v/>
      </c>
      <c r="U95" s="23" t="str">
        <f t="shared" si="20"/>
        <v/>
      </c>
      <c r="V95" s="23" t="str">
        <f t="shared" si="20"/>
        <v/>
      </c>
      <c r="W95" s="23" t="str">
        <f t="shared" si="20"/>
        <v/>
      </c>
      <c r="X95" s="23" t="str">
        <f t="shared" si="20"/>
        <v/>
      </c>
      <c r="Y95" s="23" t="str">
        <f t="shared" si="20"/>
        <v/>
      </c>
      <c r="Z95" s="23" t="str">
        <f t="shared" si="20"/>
        <v/>
      </c>
      <c r="AA95" s="23" t="str">
        <f t="shared" si="20"/>
        <v/>
      </c>
      <c r="AB95" s="23" t="str">
        <f t="shared" si="20"/>
        <v/>
      </c>
      <c r="AC95" s="23" t="str">
        <f t="shared" si="20"/>
        <v/>
      </c>
    </row>
    <row r="96" spans="1:29" s="23" customFormat="1" x14ac:dyDescent="0.5">
      <c r="A96" s="22">
        <f t="shared" si="2"/>
        <v>0</v>
      </c>
      <c r="B96" s="23" t="str">
        <f t="shared" si="15"/>
        <v/>
      </c>
      <c r="C96" s="23" t="str">
        <f t="shared" si="15"/>
        <v/>
      </c>
      <c r="D96" s="23" t="str">
        <f t="shared" si="15"/>
        <v/>
      </c>
      <c r="E96" s="23" t="str">
        <f t="shared" si="15"/>
        <v/>
      </c>
      <c r="F96" s="23" t="str">
        <f t="shared" si="15"/>
        <v/>
      </c>
      <c r="G96" s="23" t="str">
        <f t="shared" si="3"/>
        <v/>
      </c>
      <c r="H96" s="23" t="str">
        <f t="shared" si="4"/>
        <v/>
      </c>
      <c r="I96" s="23" t="str">
        <f t="shared" si="5"/>
        <v/>
      </c>
      <c r="J96" s="23" t="str">
        <f t="shared" ref="J96:AC96" si="21">IF(ISBLANK(J56),"",IF(AND(J56&gt;0,J17&gt;0),(J56-J17),0))</f>
        <v/>
      </c>
      <c r="K96" s="23" t="str">
        <f t="shared" si="21"/>
        <v/>
      </c>
      <c r="L96" s="23" t="str">
        <f t="shared" si="21"/>
        <v/>
      </c>
      <c r="M96" s="23" t="str">
        <f t="shared" si="21"/>
        <v/>
      </c>
      <c r="N96" s="23" t="str">
        <f t="shared" si="21"/>
        <v/>
      </c>
      <c r="O96" s="23" t="str">
        <f t="shared" si="21"/>
        <v/>
      </c>
      <c r="P96" s="23" t="str">
        <f t="shared" si="21"/>
        <v/>
      </c>
      <c r="Q96" s="23" t="str">
        <f t="shared" si="21"/>
        <v/>
      </c>
      <c r="R96" s="23" t="str">
        <f t="shared" si="21"/>
        <v/>
      </c>
      <c r="S96" s="23" t="str">
        <f t="shared" si="21"/>
        <v/>
      </c>
      <c r="T96" s="23" t="str">
        <f t="shared" si="21"/>
        <v/>
      </c>
      <c r="U96" s="23" t="str">
        <f t="shared" si="21"/>
        <v/>
      </c>
      <c r="V96" s="23" t="str">
        <f t="shared" si="21"/>
        <v/>
      </c>
      <c r="W96" s="23" t="str">
        <f t="shared" si="21"/>
        <v/>
      </c>
      <c r="X96" s="23" t="str">
        <f t="shared" si="21"/>
        <v/>
      </c>
      <c r="Y96" s="23" t="str">
        <f t="shared" si="21"/>
        <v/>
      </c>
      <c r="Z96" s="23" t="str">
        <f t="shared" si="21"/>
        <v/>
      </c>
      <c r="AA96" s="23" t="str">
        <f t="shared" si="21"/>
        <v/>
      </c>
      <c r="AB96" s="23" t="str">
        <f t="shared" si="21"/>
        <v/>
      </c>
      <c r="AC96" s="23" t="str">
        <f t="shared" si="21"/>
        <v/>
      </c>
    </row>
    <row r="97" spans="1:29" s="23" customFormat="1" x14ac:dyDescent="0.5">
      <c r="A97" s="22">
        <f t="shared" si="2"/>
        <v>0</v>
      </c>
      <c r="B97" s="23" t="str">
        <f t="shared" si="15"/>
        <v/>
      </c>
      <c r="C97" s="23" t="str">
        <f t="shared" si="15"/>
        <v/>
      </c>
      <c r="D97" s="23" t="str">
        <f t="shared" si="15"/>
        <v/>
      </c>
      <c r="E97" s="23" t="str">
        <f t="shared" si="15"/>
        <v/>
      </c>
      <c r="F97" s="23" t="str">
        <f t="shared" si="15"/>
        <v/>
      </c>
      <c r="G97" s="23" t="str">
        <f t="shared" si="3"/>
        <v/>
      </c>
      <c r="H97" s="23" t="str">
        <f t="shared" si="4"/>
        <v/>
      </c>
      <c r="I97" s="23" t="str">
        <f t="shared" si="5"/>
        <v/>
      </c>
      <c r="J97" s="23" t="str">
        <f t="shared" ref="J97:AC97" si="22">IF(ISBLANK(J57),"",IF(AND(J57&gt;0,J18&gt;0),(J57-J18),0))</f>
        <v/>
      </c>
      <c r="K97" s="23" t="str">
        <f t="shared" si="22"/>
        <v/>
      </c>
      <c r="L97" s="23" t="str">
        <f t="shared" si="22"/>
        <v/>
      </c>
      <c r="M97" s="23" t="str">
        <f t="shared" si="22"/>
        <v/>
      </c>
      <c r="N97" s="23" t="str">
        <f t="shared" si="22"/>
        <v/>
      </c>
      <c r="O97" s="23" t="str">
        <f t="shared" si="22"/>
        <v/>
      </c>
      <c r="P97" s="23" t="str">
        <f t="shared" si="22"/>
        <v/>
      </c>
      <c r="Q97" s="23" t="str">
        <f t="shared" si="22"/>
        <v/>
      </c>
      <c r="R97" s="23" t="str">
        <f t="shared" si="22"/>
        <v/>
      </c>
      <c r="S97" s="23" t="str">
        <f t="shared" si="22"/>
        <v/>
      </c>
      <c r="T97" s="23" t="str">
        <f t="shared" si="22"/>
        <v/>
      </c>
      <c r="U97" s="23" t="str">
        <f t="shared" si="22"/>
        <v/>
      </c>
      <c r="V97" s="23" t="str">
        <f t="shared" si="22"/>
        <v/>
      </c>
      <c r="W97" s="23" t="str">
        <f t="shared" si="22"/>
        <v/>
      </c>
      <c r="X97" s="23" t="str">
        <f t="shared" si="22"/>
        <v/>
      </c>
      <c r="Y97" s="23" t="str">
        <f t="shared" si="22"/>
        <v/>
      </c>
      <c r="Z97" s="23" t="str">
        <f t="shared" si="22"/>
        <v/>
      </c>
      <c r="AA97" s="23" t="str">
        <f t="shared" si="22"/>
        <v/>
      </c>
      <c r="AB97" s="23" t="str">
        <f t="shared" si="22"/>
        <v/>
      </c>
      <c r="AC97" s="23" t="str">
        <f t="shared" si="22"/>
        <v/>
      </c>
    </row>
    <row r="98" spans="1:29" s="23" customFormat="1" x14ac:dyDescent="0.5">
      <c r="A98" s="22">
        <f t="shared" si="2"/>
        <v>0</v>
      </c>
      <c r="B98" s="23" t="str">
        <f t="shared" si="15"/>
        <v/>
      </c>
      <c r="C98" s="23" t="str">
        <f t="shared" si="15"/>
        <v/>
      </c>
      <c r="D98" s="23" t="str">
        <f t="shared" si="15"/>
        <v/>
      </c>
      <c r="E98" s="23" t="str">
        <f t="shared" si="15"/>
        <v/>
      </c>
      <c r="F98" s="23" t="str">
        <f t="shared" si="15"/>
        <v/>
      </c>
      <c r="G98" s="23" t="str">
        <f t="shared" si="3"/>
        <v/>
      </c>
      <c r="H98" s="23" t="str">
        <f t="shared" si="4"/>
        <v/>
      </c>
      <c r="I98" s="23" t="str">
        <f t="shared" si="5"/>
        <v/>
      </c>
      <c r="J98" s="23" t="str">
        <f t="shared" ref="J98:AC98" si="23">IF(ISBLANK(J58),"",IF(AND(J58&gt;0,J19&gt;0),(J58-J19),0))</f>
        <v/>
      </c>
      <c r="K98" s="23" t="str">
        <f t="shared" si="23"/>
        <v/>
      </c>
      <c r="L98" s="23" t="str">
        <f t="shared" si="23"/>
        <v/>
      </c>
      <c r="M98" s="23" t="str">
        <f t="shared" si="23"/>
        <v/>
      </c>
      <c r="N98" s="23" t="str">
        <f t="shared" si="23"/>
        <v/>
      </c>
      <c r="O98" s="23" t="str">
        <f t="shared" si="23"/>
        <v/>
      </c>
      <c r="P98" s="23" t="str">
        <f t="shared" si="23"/>
        <v/>
      </c>
      <c r="Q98" s="23" t="str">
        <f t="shared" si="23"/>
        <v/>
      </c>
      <c r="R98" s="23" t="str">
        <f t="shared" si="23"/>
        <v/>
      </c>
      <c r="S98" s="23" t="str">
        <f t="shared" si="23"/>
        <v/>
      </c>
      <c r="T98" s="23" t="str">
        <f t="shared" si="23"/>
        <v/>
      </c>
      <c r="U98" s="23" t="str">
        <f t="shared" si="23"/>
        <v/>
      </c>
      <c r="V98" s="23" t="str">
        <f t="shared" si="23"/>
        <v/>
      </c>
      <c r="W98" s="23" t="str">
        <f t="shared" si="23"/>
        <v/>
      </c>
      <c r="X98" s="23" t="str">
        <f t="shared" si="23"/>
        <v/>
      </c>
      <c r="Y98" s="23" t="str">
        <f t="shared" si="23"/>
        <v/>
      </c>
      <c r="Z98" s="23" t="str">
        <f t="shared" si="23"/>
        <v/>
      </c>
      <c r="AA98" s="23" t="str">
        <f t="shared" si="23"/>
        <v/>
      </c>
      <c r="AB98" s="23" t="str">
        <f t="shared" si="23"/>
        <v/>
      </c>
      <c r="AC98" s="23" t="str">
        <f t="shared" si="23"/>
        <v/>
      </c>
    </row>
    <row r="99" spans="1:29" s="23" customFormat="1" x14ac:dyDescent="0.5">
      <c r="A99" s="22">
        <f t="shared" si="2"/>
        <v>0</v>
      </c>
      <c r="B99" s="23" t="str">
        <f t="shared" si="15"/>
        <v/>
      </c>
      <c r="C99" s="23" t="str">
        <f t="shared" si="15"/>
        <v/>
      </c>
      <c r="D99" s="23" t="str">
        <f t="shared" si="15"/>
        <v/>
      </c>
      <c r="E99" s="23" t="str">
        <f t="shared" si="15"/>
        <v/>
      </c>
      <c r="F99" s="23" t="str">
        <f t="shared" si="15"/>
        <v/>
      </c>
      <c r="G99" s="23" t="str">
        <f t="shared" si="3"/>
        <v/>
      </c>
      <c r="H99" s="23" t="str">
        <f t="shared" si="4"/>
        <v/>
      </c>
      <c r="I99" s="23" t="str">
        <f t="shared" si="5"/>
        <v/>
      </c>
      <c r="J99" s="23" t="str">
        <f t="shared" ref="J99:AC99" si="24">IF(ISBLANK(J59),"",IF(AND(J59&gt;0,J20&gt;0),(J59-J20),0))</f>
        <v/>
      </c>
      <c r="K99" s="23" t="str">
        <f t="shared" si="24"/>
        <v/>
      </c>
      <c r="L99" s="23" t="str">
        <f t="shared" si="24"/>
        <v/>
      </c>
      <c r="M99" s="23" t="str">
        <f t="shared" si="24"/>
        <v/>
      </c>
      <c r="N99" s="23" t="str">
        <f t="shared" si="24"/>
        <v/>
      </c>
      <c r="O99" s="23" t="str">
        <f t="shared" si="24"/>
        <v/>
      </c>
      <c r="P99" s="23" t="str">
        <f t="shared" si="24"/>
        <v/>
      </c>
      <c r="Q99" s="23" t="str">
        <f t="shared" si="24"/>
        <v/>
      </c>
      <c r="R99" s="23" t="str">
        <f t="shared" si="24"/>
        <v/>
      </c>
      <c r="S99" s="23" t="str">
        <f t="shared" si="24"/>
        <v/>
      </c>
      <c r="T99" s="23" t="str">
        <f t="shared" si="24"/>
        <v/>
      </c>
      <c r="U99" s="23" t="str">
        <f t="shared" si="24"/>
        <v/>
      </c>
      <c r="V99" s="23" t="str">
        <f t="shared" si="24"/>
        <v/>
      </c>
      <c r="W99" s="23" t="str">
        <f t="shared" si="24"/>
        <v/>
      </c>
      <c r="X99" s="23" t="str">
        <f t="shared" si="24"/>
        <v/>
      </c>
      <c r="Y99" s="23" t="str">
        <f t="shared" si="24"/>
        <v/>
      </c>
      <c r="Z99" s="23" t="str">
        <f t="shared" si="24"/>
        <v/>
      </c>
      <c r="AA99" s="23" t="str">
        <f t="shared" si="24"/>
        <v/>
      </c>
      <c r="AB99" s="23" t="str">
        <f t="shared" si="24"/>
        <v/>
      </c>
      <c r="AC99" s="23" t="str">
        <f t="shared" si="24"/>
        <v/>
      </c>
    </row>
    <row r="100" spans="1:29" s="23" customFormat="1" x14ac:dyDescent="0.5">
      <c r="A100" s="22">
        <f t="shared" si="2"/>
        <v>0</v>
      </c>
      <c r="B100" s="23" t="str">
        <f t="shared" si="15"/>
        <v/>
      </c>
      <c r="C100" s="23" t="str">
        <f t="shared" si="15"/>
        <v/>
      </c>
      <c r="D100" s="23" t="str">
        <f t="shared" si="15"/>
        <v/>
      </c>
      <c r="E100" s="23" t="str">
        <f t="shared" si="15"/>
        <v/>
      </c>
      <c r="F100" s="23" t="str">
        <f t="shared" si="15"/>
        <v/>
      </c>
      <c r="G100" s="23" t="str">
        <f t="shared" si="3"/>
        <v/>
      </c>
      <c r="H100" s="23" t="str">
        <f t="shared" si="4"/>
        <v/>
      </c>
      <c r="I100" s="23" t="str">
        <f t="shared" si="5"/>
        <v/>
      </c>
      <c r="J100" s="23" t="str">
        <f t="shared" ref="J100:AC100" si="25">IF(ISBLANK(J60),"",IF(AND(J60&gt;0,J21&gt;0),(J60-J21),0))</f>
        <v/>
      </c>
      <c r="K100" s="23" t="str">
        <f t="shared" si="25"/>
        <v/>
      </c>
      <c r="L100" s="23" t="str">
        <f t="shared" si="25"/>
        <v/>
      </c>
      <c r="M100" s="23" t="str">
        <f t="shared" si="25"/>
        <v/>
      </c>
      <c r="N100" s="23" t="str">
        <f t="shared" si="25"/>
        <v/>
      </c>
      <c r="O100" s="23" t="str">
        <f t="shared" si="25"/>
        <v/>
      </c>
      <c r="P100" s="23" t="str">
        <f t="shared" si="25"/>
        <v/>
      </c>
      <c r="Q100" s="23" t="str">
        <f t="shared" si="25"/>
        <v/>
      </c>
      <c r="R100" s="23" t="str">
        <f t="shared" si="25"/>
        <v/>
      </c>
      <c r="S100" s="23" t="str">
        <f t="shared" si="25"/>
        <v/>
      </c>
      <c r="T100" s="23" t="str">
        <f t="shared" si="25"/>
        <v/>
      </c>
      <c r="U100" s="23" t="str">
        <f t="shared" si="25"/>
        <v/>
      </c>
      <c r="V100" s="23" t="str">
        <f t="shared" si="25"/>
        <v/>
      </c>
      <c r="W100" s="23" t="str">
        <f t="shared" si="25"/>
        <v/>
      </c>
      <c r="X100" s="23" t="str">
        <f t="shared" si="25"/>
        <v/>
      </c>
      <c r="Y100" s="23" t="str">
        <f t="shared" si="25"/>
        <v/>
      </c>
      <c r="Z100" s="23" t="str">
        <f t="shared" si="25"/>
        <v/>
      </c>
      <c r="AA100" s="23" t="str">
        <f t="shared" si="25"/>
        <v/>
      </c>
      <c r="AB100" s="23" t="str">
        <f t="shared" si="25"/>
        <v/>
      </c>
      <c r="AC100" s="23" t="str">
        <f t="shared" si="25"/>
        <v/>
      </c>
    </row>
    <row r="101" spans="1:29" s="23" customFormat="1" x14ac:dyDescent="0.5">
      <c r="A101" s="22">
        <f t="shared" si="2"/>
        <v>0</v>
      </c>
      <c r="B101" s="23" t="str">
        <f t="shared" ref="B101:F110" si="26">IF(ISBLANK(B61),"",IF(AND(B61&gt;0,B22&gt;0),(B61-B22),0))</f>
        <v/>
      </c>
      <c r="C101" s="23" t="str">
        <f t="shared" si="26"/>
        <v/>
      </c>
      <c r="D101" s="23" t="str">
        <f t="shared" si="26"/>
        <v/>
      </c>
      <c r="E101" s="23" t="str">
        <f t="shared" si="26"/>
        <v/>
      </c>
      <c r="F101" s="23" t="str">
        <f t="shared" si="26"/>
        <v/>
      </c>
      <c r="G101" s="23" t="str">
        <f t="shared" si="3"/>
        <v/>
      </c>
      <c r="H101" s="23" t="str">
        <f t="shared" si="4"/>
        <v/>
      </c>
      <c r="I101" s="23" t="str">
        <f t="shared" si="5"/>
        <v/>
      </c>
      <c r="J101" s="23" t="str">
        <f t="shared" ref="J101:AC101" si="27">IF(ISBLANK(J61),"",IF(AND(J61&gt;0,J22&gt;0),(J61-J22),0))</f>
        <v/>
      </c>
      <c r="K101" s="23" t="str">
        <f t="shared" si="27"/>
        <v/>
      </c>
      <c r="L101" s="23" t="str">
        <f t="shared" si="27"/>
        <v/>
      </c>
      <c r="M101" s="23" t="str">
        <f t="shared" si="27"/>
        <v/>
      </c>
      <c r="N101" s="23" t="str">
        <f t="shared" si="27"/>
        <v/>
      </c>
      <c r="O101" s="23" t="str">
        <f t="shared" si="27"/>
        <v/>
      </c>
      <c r="P101" s="23" t="str">
        <f t="shared" si="27"/>
        <v/>
      </c>
      <c r="Q101" s="23" t="str">
        <f t="shared" si="27"/>
        <v/>
      </c>
      <c r="R101" s="23" t="str">
        <f t="shared" si="27"/>
        <v/>
      </c>
      <c r="S101" s="23" t="str">
        <f t="shared" si="27"/>
        <v/>
      </c>
      <c r="T101" s="23" t="str">
        <f t="shared" si="27"/>
        <v/>
      </c>
      <c r="U101" s="23" t="str">
        <f t="shared" si="27"/>
        <v/>
      </c>
      <c r="V101" s="23" t="str">
        <f t="shared" si="27"/>
        <v/>
      </c>
      <c r="W101" s="23" t="str">
        <f t="shared" si="27"/>
        <v/>
      </c>
      <c r="X101" s="23" t="str">
        <f t="shared" si="27"/>
        <v/>
      </c>
      <c r="Y101" s="23" t="str">
        <f t="shared" si="27"/>
        <v/>
      </c>
      <c r="Z101" s="23" t="str">
        <f t="shared" si="27"/>
        <v/>
      </c>
      <c r="AA101" s="23" t="str">
        <f t="shared" si="27"/>
        <v/>
      </c>
      <c r="AB101" s="23" t="str">
        <f t="shared" si="27"/>
        <v/>
      </c>
      <c r="AC101" s="23" t="str">
        <f t="shared" si="27"/>
        <v/>
      </c>
    </row>
    <row r="102" spans="1:29" s="23" customFormat="1" x14ac:dyDescent="0.5">
      <c r="A102" s="22">
        <f t="shared" si="2"/>
        <v>0</v>
      </c>
      <c r="B102" s="23" t="str">
        <f t="shared" si="26"/>
        <v/>
      </c>
      <c r="C102" s="23" t="str">
        <f t="shared" si="26"/>
        <v/>
      </c>
      <c r="D102" s="23" t="str">
        <f t="shared" si="26"/>
        <v/>
      </c>
      <c r="E102" s="23" t="str">
        <f t="shared" si="26"/>
        <v/>
      </c>
      <c r="F102" s="23" t="str">
        <f t="shared" si="26"/>
        <v/>
      </c>
      <c r="G102" s="23" t="str">
        <f t="shared" si="3"/>
        <v/>
      </c>
      <c r="H102" s="23" t="str">
        <f t="shared" si="4"/>
        <v/>
      </c>
      <c r="I102" s="23" t="str">
        <f t="shared" si="5"/>
        <v/>
      </c>
      <c r="J102" s="23" t="str">
        <f t="shared" ref="J102:AC102" si="28">IF(ISBLANK(J62),"",IF(AND(J62&gt;0,J23&gt;0),(J62-J23),0))</f>
        <v/>
      </c>
      <c r="K102" s="23" t="str">
        <f t="shared" si="28"/>
        <v/>
      </c>
      <c r="L102" s="23" t="str">
        <f t="shared" si="28"/>
        <v/>
      </c>
      <c r="M102" s="23" t="str">
        <f t="shared" si="28"/>
        <v/>
      </c>
      <c r="N102" s="23" t="str">
        <f t="shared" si="28"/>
        <v/>
      </c>
      <c r="O102" s="23" t="str">
        <f t="shared" si="28"/>
        <v/>
      </c>
      <c r="P102" s="23" t="str">
        <f t="shared" si="28"/>
        <v/>
      </c>
      <c r="Q102" s="23" t="str">
        <f t="shared" si="28"/>
        <v/>
      </c>
      <c r="R102" s="23" t="str">
        <f t="shared" si="28"/>
        <v/>
      </c>
      <c r="S102" s="23" t="str">
        <f t="shared" si="28"/>
        <v/>
      </c>
      <c r="T102" s="23" t="str">
        <f t="shared" si="28"/>
        <v/>
      </c>
      <c r="U102" s="23" t="str">
        <f t="shared" si="28"/>
        <v/>
      </c>
      <c r="V102" s="23" t="str">
        <f t="shared" si="28"/>
        <v/>
      </c>
      <c r="W102" s="23" t="str">
        <f t="shared" si="28"/>
        <v/>
      </c>
      <c r="X102" s="23" t="str">
        <f t="shared" si="28"/>
        <v/>
      </c>
      <c r="Y102" s="23" t="str">
        <f t="shared" si="28"/>
        <v/>
      </c>
      <c r="Z102" s="23" t="str">
        <f t="shared" si="28"/>
        <v/>
      </c>
      <c r="AA102" s="23" t="str">
        <f t="shared" si="28"/>
        <v/>
      </c>
      <c r="AB102" s="23" t="str">
        <f t="shared" si="28"/>
        <v/>
      </c>
      <c r="AC102" s="23" t="str">
        <f t="shared" si="28"/>
        <v/>
      </c>
    </row>
    <row r="103" spans="1:29" s="23" customFormat="1" x14ac:dyDescent="0.5">
      <c r="A103" s="22">
        <f t="shared" si="2"/>
        <v>0</v>
      </c>
      <c r="B103" s="23" t="str">
        <f t="shared" si="26"/>
        <v/>
      </c>
      <c r="C103" s="23" t="str">
        <f t="shared" si="26"/>
        <v/>
      </c>
      <c r="D103" s="23" t="str">
        <f t="shared" si="26"/>
        <v/>
      </c>
      <c r="E103" s="23" t="str">
        <f t="shared" si="26"/>
        <v/>
      </c>
      <c r="F103" s="23" t="str">
        <f t="shared" si="26"/>
        <v/>
      </c>
      <c r="G103" s="23" t="str">
        <f t="shared" si="3"/>
        <v/>
      </c>
      <c r="H103" s="23" t="str">
        <f t="shared" si="4"/>
        <v/>
      </c>
      <c r="I103" s="23" t="str">
        <f t="shared" si="5"/>
        <v/>
      </c>
      <c r="J103" s="23" t="str">
        <f t="shared" ref="J103:AC103" si="29">IF(ISBLANK(J63),"",IF(AND(J63&gt;0,J24&gt;0),(J63-J24),0))</f>
        <v/>
      </c>
      <c r="K103" s="23" t="str">
        <f t="shared" si="29"/>
        <v/>
      </c>
      <c r="L103" s="23" t="str">
        <f t="shared" si="29"/>
        <v/>
      </c>
      <c r="M103" s="23" t="str">
        <f t="shared" si="29"/>
        <v/>
      </c>
      <c r="N103" s="23" t="str">
        <f t="shared" si="29"/>
        <v/>
      </c>
      <c r="O103" s="23" t="str">
        <f t="shared" si="29"/>
        <v/>
      </c>
      <c r="P103" s="23" t="str">
        <f t="shared" si="29"/>
        <v/>
      </c>
      <c r="Q103" s="23" t="str">
        <f t="shared" si="29"/>
        <v/>
      </c>
      <c r="R103" s="23" t="str">
        <f t="shared" si="29"/>
        <v/>
      </c>
      <c r="S103" s="23" t="str">
        <f t="shared" si="29"/>
        <v/>
      </c>
      <c r="T103" s="23" t="str">
        <f t="shared" si="29"/>
        <v/>
      </c>
      <c r="U103" s="23" t="str">
        <f t="shared" si="29"/>
        <v/>
      </c>
      <c r="V103" s="23" t="str">
        <f t="shared" si="29"/>
        <v/>
      </c>
      <c r="W103" s="23" t="str">
        <f t="shared" si="29"/>
        <v/>
      </c>
      <c r="X103" s="23" t="str">
        <f t="shared" si="29"/>
        <v/>
      </c>
      <c r="Y103" s="23" t="str">
        <f t="shared" si="29"/>
        <v/>
      </c>
      <c r="Z103" s="23" t="str">
        <f t="shared" si="29"/>
        <v/>
      </c>
      <c r="AA103" s="23" t="str">
        <f t="shared" si="29"/>
        <v/>
      </c>
      <c r="AB103" s="23" t="str">
        <f t="shared" si="29"/>
        <v/>
      </c>
      <c r="AC103" s="23" t="str">
        <f t="shared" si="29"/>
        <v/>
      </c>
    </row>
    <row r="104" spans="1:29" s="23" customFormat="1" x14ac:dyDescent="0.5">
      <c r="A104" s="22">
        <f t="shared" si="2"/>
        <v>0</v>
      </c>
      <c r="B104" s="23" t="str">
        <f t="shared" si="26"/>
        <v/>
      </c>
      <c r="C104" s="23" t="str">
        <f t="shared" si="26"/>
        <v/>
      </c>
      <c r="D104" s="23" t="str">
        <f t="shared" si="26"/>
        <v/>
      </c>
      <c r="E104" s="23" t="str">
        <f t="shared" si="26"/>
        <v/>
      </c>
      <c r="F104" s="23" t="str">
        <f t="shared" si="26"/>
        <v/>
      </c>
      <c r="G104" s="23" t="str">
        <f t="shared" si="3"/>
        <v/>
      </c>
      <c r="H104" s="23" t="str">
        <f t="shared" si="4"/>
        <v/>
      </c>
      <c r="I104" s="23" t="str">
        <f t="shared" si="5"/>
        <v/>
      </c>
      <c r="J104" s="23" t="str">
        <f t="shared" ref="J104:AC104" si="30">IF(ISBLANK(J64),"",IF(AND(J64&gt;0,J25&gt;0),(J64-J25),0))</f>
        <v/>
      </c>
      <c r="K104" s="23" t="str">
        <f t="shared" si="30"/>
        <v/>
      </c>
      <c r="L104" s="23" t="str">
        <f t="shared" si="30"/>
        <v/>
      </c>
      <c r="M104" s="23" t="str">
        <f t="shared" si="30"/>
        <v/>
      </c>
      <c r="N104" s="23" t="str">
        <f t="shared" si="30"/>
        <v/>
      </c>
      <c r="O104" s="23" t="str">
        <f t="shared" si="30"/>
        <v/>
      </c>
      <c r="P104" s="23" t="str">
        <f t="shared" si="30"/>
        <v/>
      </c>
      <c r="Q104" s="23" t="str">
        <f t="shared" si="30"/>
        <v/>
      </c>
      <c r="R104" s="23" t="str">
        <f t="shared" si="30"/>
        <v/>
      </c>
      <c r="S104" s="23" t="str">
        <f t="shared" si="30"/>
        <v/>
      </c>
      <c r="T104" s="23" t="str">
        <f t="shared" si="30"/>
        <v/>
      </c>
      <c r="U104" s="23" t="str">
        <f t="shared" si="30"/>
        <v/>
      </c>
      <c r="V104" s="23" t="str">
        <f t="shared" si="30"/>
        <v/>
      </c>
      <c r="W104" s="23" t="str">
        <f t="shared" si="30"/>
        <v/>
      </c>
      <c r="X104" s="23" t="str">
        <f t="shared" si="30"/>
        <v/>
      </c>
      <c r="Y104" s="23" t="str">
        <f t="shared" si="30"/>
        <v/>
      </c>
      <c r="Z104" s="23" t="str">
        <f t="shared" si="30"/>
        <v/>
      </c>
      <c r="AA104" s="23" t="str">
        <f t="shared" si="30"/>
        <v/>
      </c>
      <c r="AB104" s="23" t="str">
        <f t="shared" si="30"/>
        <v/>
      </c>
      <c r="AC104" s="23" t="str">
        <f t="shared" si="30"/>
        <v/>
      </c>
    </row>
    <row r="105" spans="1:29" s="23" customFormat="1" x14ac:dyDescent="0.5">
      <c r="A105" s="22">
        <f t="shared" si="2"/>
        <v>0</v>
      </c>
      <c r="B105" s="23" t="str">
        <f t="shared" si="26"/>
        <v/>
      </c>
      <c r="C105" s="23" t="str">
        <f t="shared" si="26"/>
        <v/>
      </c>
      <c r="D105" s="23" t="str">
        <f t="shared" si="26"/>
        <v/>
      </c>
      <c r="E105" s="23" t="str">
        <f t="shared" si="26"/>
        <v/>
      </c>
      <c r="F105" s="23" t="str">
        <f t="shared" si="26"/>
        <v/>
      </c>
      <c r="G105" s="23" t="str">
        <f t="shared" si="3"/>
        <v/>
      </c>
      <c r="H105" s="23" t="str">
        <f t="shared" si="4"/>
        <v/>
      </c>
      <c r="I105" s="23" t="str">
        <f t="shared" si="5"/>
        <v/>
      </c>
      <c r="J105" s="23" t="str">
        <f t="shared" ref="J105:AC105" si="31">IF(ISBLANK(J65),"",IF(AND(J65&gt;0,J26&gt;0),(J65-J26),0))</f>
        <v/>
      </c>
      <c r="K105" s="23" t="str">
        <f t="shared" si="31"/>
        <v/>
      </c>
      <c r="L105" s="23" t="str">
        <f t="shared" si="31"/>
        <v/>
      </c>
      <c r="M105" s="23" t="str">
        <f t="shared" si="31"/>
        <v/>
      </c>
      <c r="N105" s="23" t="str">
        <f t="shared" si="31"/>
        <v/>
      </c>
      <c r="O105" s="23" t="str">
        <f t="shared" si="31"/>
        <v/>
      </c>
      <c r="P105" s="23" t="str">
        <f t="shared" si="31"/>
        <v/>
      </c>
      <c r="Q105" s="23" t="str">
        <f t="shared" si="31"/>
        <v/>
      </c>
      <c r="R105" s="23" t="str">
        <f t="shared" si="31"/>
        <v/>
      </c>
      <c r="S105" s="23" t="str">
        <f t="shared" si="31"/>
        <v/>
      </c>
      <c r="T105" s="23" t="str">
        <f t="shared" si="31"/>
        <v/>
      </c>
      <c r="U105" s="23" t="str">
        <f t="shared" si="31"/>
        <v/>
      </c>
      <c r="V105" s="23" t="str">
        <f t="shared" si="31"/>
        <v/>
      </c>
      <c r="W105" s="23" t="str">
        <f t="shared" si="31"/>
        <v/>
      </c>
      <c r="X105" s="23" t="str">
        <f t="shared" si="31"/>
        <v/>
      </c>
      <c r="Y105" s="23" t="str">
        <f t="shared" si="31"/>
        <v/>
      </c>
      <c r="Z105" s="23" t="str">
        <f t="shared" si="31"/>
        <v/>
      </c>
      <c r="AA105" s="23" t="str">
        <f t="shared" si="31"/>
        <v/>
      </c>
      <c r="AB105" s="23" t="str">
        <f t="shared" si="31"/>
        <v/>
      </c>
      <c r="AC105" s="23" t="str">
        <f t="shared" si="31"/>
        <v/>
      </c>
    </row>
    <row r="106" spans="1:29" s="23" customFormat="1" x14ac:dyDescent="0.5">
      <c r="A106" s="22">
        <f t="shared" si="2"/>
        <v>0</v>
      </c>
      <c r="B106" s="23" t="str">
        <f t="shared" si="26"/>
        <v/>
      </c>
      <c r="C106" s="23" t="str">
        <f t="shared" si="26"/>
        <v/>
      </c>
      <c r="D106" s="23" t="str">
        <f t="shared" si="26"/>
        <v/>
      </c>
      <c r="E106" s="23" t="str">
        <f t="shared" si="26"/>
        <v/>
      </c>
      <c r="F106" s="23" t="str">
        <f t="shared" si="26"/>
        <v/>
      </c>
      <c r="G106" s="23" t="str">
        <f t="shared" si="3"/>
        <v/>
      </c>
      <c r="H106" s="23" t="str">
        <f t="shared" si="4"/>
        <v/>
      </c>
      <c r="I106" s="23" t="str">
        <f t="shared" si="5"/>
        <v/>
      </c>
      <c r="J106" s="23" t="str">
        <f t="shared" ref="J106:AC106" si="32">IF(ISBLANK(J66),"",IF(AND(J66&gt;0,J27&gt;0),(J66-J27),0))</f>
        <v/>
      </c>
      <c r="K106" s="23" t="str">
        <f t="shared" si="32"/>
        <v/>
      </c>
      <c r="L106" s="23" t="str">
        <f t="shared" si="32"/>
        <v/>
      </c>
      <c r="M106" s="23" t="str">
        <f t="shared" si="32"/>
        <v/>
      </c>
      <c r="N106" s="23" t="str">
        <f t="shared" si="32"/>
        <v/>
      </c>
      <c r="O106" s="23" t="str">
        <f t="shared" si="32"/>
        <v/>
      </c>
      <c r="P106" s="23" t="str">
        <f t="shared" si="32"/>
        <v/>
      </c>
      <c r="Q106" s="23" t="str">
        <f t="shared" si="32"/>
        <v/>
      </c>
      <c r="R106" s="23" t="str">
        <f t="shared" si="32"/>
        <v/>
      </c>
      <c r="S106" s="23" t="str">
        <f t="shared" si="32"/>
        <v/>
      </c>
      <c r="T106" s="23" t="str">
        <f t="shared" si="32"/>
        <v/>
      </c>
      <c r="U106" s="23" t="str">
        <f t="shared" si="32"/>
        <v/>
      </c>
      <c r="V106" s="23" t="str">
        <f t="shared" si="32"/>
        <v/>
      </c>
      <c r="W106" s="23" t="str">
        <f t="shared" si="32"/>
        <v/>
      </c>
      <c r="X106" s="23" t="str">
        <f t="shared" si="32"/>
        <v/>
      </c>
      <c r="Y106" s="23" t="str">
        <f t="shared" si="32"/>
        <v/>
      </c>
      <c r="Z106" s="23" t="str">
        <f t="shared" si="32"/>
        <v/>
      </c>
      <c r="AA106" s="23" t="str">
        <f t="shared" si="32"/>
        <v/>
      </c>
      <c r="AB106" s="23" t="str">
        <f t="shared" si="32"/>
        <v/>
      </c>
      <c r="AC106" s="23" t="str">
        <f t="shared" si="32"/>
        <v/>
      </c>
    </row>
    <row r="107" spans="1:29" s="23" customFormat="1" x14ac:dyDescent="0.5">
      <c r="A107" s="22">
        <f t="shared" si="2"/>
        <v>0</v>
      </c>
      <c r="B107" s="23" t="str">
        <f t="shared" si="26"/>
        <v/>
      </c>
      <c r="C107" s="23" t="str">
        <f t="shared" si="26"/>
        <v/>
      </c>
      <c r="D107" s="23" t="str">
        <f t="shared" si="26"/>
        <v/>
      </c>
      <c r="E107" s="23" t="str">
        <f t="shared" si="26"/>
        <v/>
      </c>
      <c r="F107" s="23" t="str">
        <f t="shared" si="26"/>
        <v/>
      </c>
      <c r="G107" s="23" t="str">
        <f t="shared" si="3"/>
        <v/>
      </c>
      <c r="H107" s="23" t="str">
        <f t="shared" si="4"/>
        <v/>
      </c>
      <c r="I107" s="23" t="str">
        <f t="shared" si="5"/>
        <v/>
      </c>
      <c r="J107" s="23" t="str">
        <f t="shared" ref="J107:AC107" si="33">IF(ISBLANK(J67),"",IF(AND(J67&gt;0,J28&gt;0),(J67-J28),0))</f>
        <v/>
      </c>
      <c r="K107" s="23" t="str">
        <f t="shared" si="33"/>
        <v/>
      </c>
      <c r="L107" s="23" t="str">
        <f t="shared" si="33"/>
        <v/>
      </c>
      <c r="M107" s="23" t="str">
        <f t="shared" si="33"/>
        <v/>
      </c>
      <c r="N107" s="23" t="str">
        <f t="shared" si="33"/>
        <v/>
      </c>
      <c r="O107" s="23" t="str">
        <f t="shared" si="33"/>
        <v/>
      </c>
      <c r="P107" s="23" t="str">
        <f t="shared" si="33"/>
        <v/>
      </c>
      <c r="Q107" s="23" t="str">
        <f t="shared" si="33"/>
        <v/>
      </c>
      <c r="R107" s="23" t="str">
        <f t="shared" si="33"/>
        <v/>
      </c>
      <c r="S107" s="23" t="str">
        <f t="shared" si="33"/>
        <v/>
      </c>
      <c r="T107" s="23" t="str">
        <f t="shared" si="33"/>
        <v/>
      </c>
      <c r="U107" s="23" t="str">
        <f t="shared" si="33"/>
        <v/>
      </c>
      <c r="V107" s="23" t="str">
        <f t="shared" si="33"/>
        <v/>
      </c>
      <c r="W107" s="23" t="str">
        <f t="shared" si="33"/>
        <v/>
      </c>
      <c r="X107" s="23" t="str">
        <f t="shared" si="33"/>
        <v/>
      </c>
      <c r="Y107" s="23" t="str">
        <f t="shared" si="33"/>
        <v/>
      </c>
      <c r="Z107" s="23" t="str">
        <f t="shared" si="33"/>
        <v/>
      </c>
      <c r="AA107" s="23" t="str">
        <f t="shared" si="33"/>
        <v/>
      </c>
      <c r="AB107" s="23" t="str">
        <f t="shared" si="33"/>
        <v/>
      </c>
      <c r="AC107" s="23" t="str">
        <f t="shared" si="33"/>
        <v/>
      </c>
    </row>
    <row r="108" spans="1:29" s="23" customFormat="1" x14ac:dyDescent="0.5">
      <c r="A108" s="22">
        <f t="shared" si="2"/>
        <v>0</v>
      </c>
      <c r="B108" s="23" t="str">
        <f t="shared" si="26"/>
        <v/>
      </c>
      <c r="C108" s="23" t="str">
        <f t="shared" si="26"/>
        <v/>
      </c>
      <c r="D108" s="23" t="str">
        <f t="shared" si="26"/>
        <v/>
      </c>
      <c r="E108" s="23" t="str">
        <f t="shared" si="26"/>
        <v/>
      </c>
      <c r="F108" s="23" t="str">
        <f t="shared" si="26"/>
        <v/>
      </c>
      <c r="G108" s="23" t="str">
        <f t="shared" si="3"/>
        <v/>
      </c>
      <c r="H108" s="23" t="str">
        <f t="shared" si="4"/>
        <v/>
      </c>
      <c r="I108" s="23" t="str">
        <f t="shared" si="5"/>
        <v/>
      </c>
      <c r="J108" s="23" t="str">
        <f t="shared" ref="J108:AC108" si="34">IF(ISBLANK(J68),"",IF(AND(J68&gt;0,J29&gt;0),(J68-J29),0))</f>
        <v/>
      </c>
      <c r="K108" s="23" t="str">
        <f t="shared" si="34"/>
        <v/>
      </c>
      <c r="L108" s="23" t="str">
        <f t="shared" si="34"/>
        <v/>
      </c>
      <c r="M108" s="23" t="str">
        <f t="shared" si="34"/>
        <v/>
      </c>
      <c r="N108" s="23" t="str">
        <f t="shared" si="34"/>
        <v/>
      </c>
      <c r="O108" s="23" t="str">
        <f t="shared" si="34"/>
        <v/>
      </c>
      <c r="P108" s="23" t="str">
        <f t="shared" si="34"/>
        <v/>
      </c>
      <c r="Q108" s="23" t="str">
        <f t="shared" si="34"/>
        <v/>
      </c>
      <c r="R108" s="23" t="str">
        <f t="shared" si="34"/>
        <v/>
      </c>
      <c r="S108" s="23" t="str">
        <f t="shared" si="34"/>
        <v/>
      </c>
      <c r="T108" s="23" t="str">
        <f t="shared" si="34"/>
        <v/>
      </c>
      <c r="U108" s="23" t="str">
        <f t="shared" si="34"/>
        <v/>
      </c>
      <c r="V108" s="23" t="str">
        <f t="shared" si="34"/>
        <v/>
      </c>
      <c r="W108" s="23" t="str">
        <f t="shared" si="34"/>
        <v/>
      </c>
      <c r="X108" s="23" t="str">
        <f t="shared" si="34"/>
        <v/>
      </c>
      <c r="Y108" s="23" t="str">
        <f t="shared" si="34"/>
        <v/>
      </c>
      <c r="Z108" s="23" t="str">
        <f t="shared" si="34"/>
        <v/>
      </c>
      <c r="AA108" s="23" t="str">
        <f t="shared" si="34"/>
        <v/>
      </c>
      <c r="AB108" s="23" t="str">
        <f t="shared" si="34"/>
        <v/>
      </c>
      <c r="AC108" s="23" t="str">
        <f t="shared" si="34"/>
        <v/>
      </c>
    </row>
    <row r="109" spans="1:29" s="23" customFormat="1" x14ac:dyDescent="0.5">
      <c r="A109" s="22">
        <f t="shared" si="2"/>
        <v>0</v>
      </c>
      <c r="B109" s="23" t="str">
        <f t="shared" si="26"/>
        <v/>
      </c>
      <c r="C109" s="23" t="str">
        <f t="shared" si="26"/>
        <v/>
      </c>
      <c r="D109" s="23" t="str">
        <f t="shared" si="26"/>
        <v/>
      </c>
      <c r="E109" s="23" t="str">
        <f t="shared" si="26"/>
        <v/>
      </c>
      <c r="F109" s="23" t="str">
        <f t="shared" si="26"/>
        <v/>
      </c>
      <c r="G109" s="23" t="str">
        <f t="shared" si="3"/>
        <v/>
      </c>
      <c r="H109" s="23" t="str">
        <f t="shared" si="4"/>
        <v/>
      </c>
      <c r="I109" s="23" t="str">
        <f t="shared" si="5"/>
        <v/>
      </c>
      <c r="J109" s="23" t="str">
        <f t="shared" ref="J109:AC109" si="35">IF(ISBLANK(J69),"",IF(AND(J69&gt;0,J30&gt;0),(J69-J30),0))</f>
        <v/>
      </c>
      <c r="K109" s="23" t="str">
        <f t="shared" si="35"/>
        <v/>
      </c>
      <c r="L109" s="23" t="str">
        <f t="shared" si="35"/>
        <v/>
      </c>
      <c r="M109" s="23" t="str">
        <f t="shared" si="35"/>
        <v/>
      </c>
      <c r="N109" s="23" t="str">
        <f t="shared" si="35"/>
        <v/>
      </c>
      <c r="O109" s="23" t="str">
        <f t="shared" si="35"/>
        <v/>
      </c>
      <c r="P109" s="23" t="str">
        <f t="shared" si="35"/>
        <v/>
      </c>
      <c r="Q109" s="23" t="str">
        <f t="shared" si="35"/>
        <v/>
      </c>
      <c r="R109" s="23" t="str">
        <f t="shared" si="35"/>
        <v/>
      </c>
      <c r="S109" s="23" t="str">
        <f t="shared" si="35"/>
        <v/>
      </c>
      <c r="T109" s="23" t="str">
        <f t="shared" si="35"/>
        <v/>
      </c>
      <c r="U109" s="23" t="str">
        <f t="shared" si="35"/>
        <v/>
      </c>
      <c r="V109" s="23" t="str">
        <f t="shared" si="35"/>
        <v/>
      </c>
      <c r="W109" s="23" t="str">
        <f t="shared" si="35"/>
        <v/>
      </c>
      <c r="X109" s="23" t="str">
        <f t="shared" si="35"/>
        <v/>
      </c>
      <c r="Y109" s="23" t="str">
        <f t="shared" si="35"/>
        <v/>
      </c>
      <c r="Z109" s="23" t="str">
        <f t="shared" si="35"/>
        <v/>
      </c>
      <c r="AA109" s="23" t="str">
        <f t="shared" si="35"/>
        <v/>
      </c>
      <c r="AB109" s="23" t="str">
        <f t="shared" si="35"/>
        <v/>
      </c>
      <c r="AC109" s="23" t="str">
        <f t="shared" si="35"/>
        <v/>
      </c>
    </row>
    <row r="110" spans="1:29" s="23" customFormat="1" x14ac:dyDescent="0.5">
      <c r="A110" s="22">
        <f t="shared" si="2"/>
        <v>0</v>
      </c>
      <c r="B110" s="23" t="str">
        <f t="shared" si="26"/>
        <v/>
      </c>
      <c r="C110" s="23" t="str">
        <f t="shared" si="26"/>
        <v/>
      </c>
      <c r="D110" s="23" t="str">
        <f t="shared" si="26"/>
        <v/>
      </c>
      <c r="E110" s="23" t="str">
        <f t="shared" si="26"/>
        <v/>
      </c>
      <c r="F110" s="23" t="str">
        <f t="shared" si="26"/>
        <v/>
      </c>
      <c r="G110" s="23" t="str">
        <f t="shared" si="3"/>
        <v/>
      </c>
      <c r="H110" s="23" t="str">
        <f t="shared" si="4"/>
        <v/>
      </c>
      <c r="I110" s="23" t="str">
        <f t="shared" si="5"/>
        <v/>
      </c>
      <c r="J110" s="23" t="str">
        <f t="shared" ref="J110:AC110" si="36">IF(ISBLANK(J70),"",IF(AND(J70&gt;0,J31&gt;0),(J70-J31),0))</f>
        <v/>
      </c>
      <c r="K110" s="23" t="str">
        <f t="shared" si="36"/>
        <v/>
      </c>
      <c r="L110" s="23" t="str">
        <f t="shared" si="36"/>
        <v/>
      </c>
      <c r="M110" s="23" t="str">
        <f t="shared" si="36"/>
        <v/>
      </c>
      <c r="N110" s="23" t="str">
        <f t="shared" si="36"/>
        <v/>
      </c>
      <c r="O110" s="23" t="str">
        <f t="shared" si="36"/>
        <v/>
      </c>
      <c r="P110" s="23" t="str">
        <f t="shared" si="36"/>
        <v/>
      </c>
      <c r="Q110" s="23" t="str">
        <f t="shared" si="36"/>
        <v/>
      </c>
      <c r="R110" s="23" t="str">
        <f t="shared" si="36"/>
        <v/>
      </c>
      <c r="S110" s="23" t="str">
        <f t="shared" si="36"/>
        <v/>
      </c>
      <c r="T110" s="23" t="str">
        <f t="shared" si="36"/>
        <v/>
      </c>
      <c r="U110" s="23" t="str">
        <f t="shared" si="36"/>
        <v/>
      </c>
      <c r="V110" s="23" t="str">
        <f t="shared" si="36"/>
        <v/>
      </c>
      <c r="W110" s="23" t="str">
        <f t="shared" si="36"/>
        <v/>
      </c>
      <c r="X110" s="23" t="str">
        <f t="shared" si="36"/>
        <v/>
      </c>
      <c r="Y110" s="23" t="str">
        <f t="shared" si="36"/>
        <v/>
      </c>
      <c r="Z110" s="23" t="str">
        <f t="shared" si="36"/>
        <v/>
      </c>
      <c r="AA110" s="23" t="str">
        <f t="shared" si="36"/>
        <v/>
      </c>
      <c r="AB110" s="23" t="str">
        <f t="shared" si="36"/>
        <v/>
      </c>
      <c r="AC110" s="23" t="str">
        <f t="shared" si="36"/>
        <v/>
      </c>
    </row>
    <row r="111" spans="1:29" s="23" customFormat="1" x14ac:dyDescent="0.5">
      <c r="A111" s="22">
        <f t="shared" si="2"/>
        <v>0</v>
      </c>
      <c r="B111" s="23" t="str">
        <f>IF(ISBLANK(B71),"",IF(AND(B71&gt;0,B32&gt;0),(B71-B32),0))</f>
        <v/>
      </c>
      <c r="C111" s="23" t="str">
        <f>IF(ISBLANK(C71),"",IF(AND(C71&gt;0,C32&gt;0),(C71-C32),0))</f>
        <v/>
      </c>
      <c r="D111" s="23" t="str">
        <f>IF(ISBLANK(D71),"",IF(AND(D71&gt;0,D32&gt;0),(D71-D32),0))</f>
        <v/>
      </c>
      <c r="E111" s="23" t="str">
        <f>IF(ISBLANK(E71),"",IF(AND(E71&gt;0,E32&gt;0),(E71-E32),0))</f>
        <v/>
      </c>
      <c r="F111" s="23" t="str">
        <f>IF(ISBLANK(F71),"",IF(AND(F71&gt;0,F32&gt;0),(F71-F32),0))</f>
        <v/>
      </c>
      <c r="G111" s="23" t="str">
        <f>IFERROR(SUM(B111:C111)-F111,"")</f>
        <v/>
      </c>
      <c r="H111" s="23" t="str">
        <f t="shared" si="4"/>
        <v/>
      </c>
      <c r="I111" s="23" t="str">
        <f t="shared" si="5"/>
        <v/>
      </c>
      <c r="J111" s="23" t="str">
        <f t="shared" ref="J111:AC111" si="37">IF(ISBLANK(J71),"",IF(AND(J71&gt;0,J32&gt;0),(J71-J32),0))</f>
        <v/>
      </c>
      <c r="K111" s="23" t="str">
        <f t="shared" si="37"/>
        <v/>
      </c>
      <c r="L111" s="23" t="str">
        <f t="shared" si="37"/>
        <v/>
      </c>
      <c r="M111" s="23" t="str">
        <f t="shared" si="37"/>
        <v/>
      </c>
      <c r="N111" s="23" t="str">
        <f t="shared" si="37"/>
        <v/>
      </c>
      <c r="O111" s="23" t="str">
        <f t="shared" si="37"/>
        <v/>
      </c>
      <c r="P111" s="23" t="str">
        <f t="shared" si="37"/>
        <v/>
      </c>
      <c r="Q111" s="23" t="str">
        <f t="shared" si="37"/>
        <v/>
      </c>
      <c r="R111" s="23" t="str">
        <f t="shared" si="37"/>
        <v/>
      </c>
      <c r="S111" s="23" t="str">
        <f t="shared" si="37"/>
        <v/>
      </c>
      <c r="T111" s="23" t="str">
        <f t="shared" si="37"/>
        <v/>
      </c>
      <c r="U111" s="23" t="str">
        <f t="shared" si="37"/>
        <v/>
      </c>
      <c r="V111" s="23" t="str">
        <f t="shared" si="37"/>
        <v/>
      </c>
      <c r="W111" s="23" t="str">
        <f t="shared" si="37"/>
        <v/>
      </c>
      <c r="X111" s="23" t="str">
        <f t="shared" si="37"/>
        <v/>
      </c>
      <c r="Y111" s="23" t="str">
        <f t="shared" si="37"/>
        <v/>
      </c>
      <c r="Z111" s="23" t="str">
        <f t="shared" si="37"/>
        <v/>
      </c>
      <c r="AA111" s="23" t="str">
        <f t="shared" si="37"/>
        <v/>
      </c>
      <c r="AB111" s="23" t="str">
        <f t="shared" si="37"/>
        <v/>
      </c>
      <c r="AC111" s="23" t="str">
        <f t="shared" si="37"/>
        <v/>
      </c>
    </row>
    <row r="112" spans="1:29" s="23" customFormat="1" x14ac:dyDescent="0.5">
      <c r="A112" s="24"/>
    </row>
    <row r="113" spans="1:1" s="23" customFormat="1" x14ac:dyDescent="0.5">
      <c r="A113" s="24"/>
    </row>
    <row r="114" spans="1:1" s="23" customFormat="1" x14ac:dyDescent="0.5">
      <c r="A114" s="24"/>
    </row>
    <row r="115" spans="1:1" s="23" customFormat="1" x14ac:dyDescent="0.5">
      <c r="A115" s="24"/>
    </row>
    <row r="116" spans="1:1" s="23" customFormat="1" x14ac:dyDescent="0.5">
      <c r="A116" s="24"/>
    </row>
    <row r="117" spans="1:1" s="23" customFormat="1" x14ac:dyDescent="0.5">
      <c r="A117" s="24"/>
    </row>
    <row r="118" spans="1:1" s="23" customFormat="1" x14ac:dyDescent="0.5">
      <c r="A118" s="24"/>
    </row>
    <row r="119" spans="1:1" s="23" customFormat="1" x14ac:dyDescent="0.5">
      <c r="A119" s="24"/>
    </row>
  </sheetData>
  <phoneticPr fontId="11" type="noConversion"/>
  <pageMargins left="0.7" right="0.7" top="0.75" bottom="0.75" header="0.3" footer="0.3"/>
  <pageSetup paperSize="9" orientation="portrait" r:id="rId1"/>
  <ignoredErrors>
    <ignoredError sqref="G82:G1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ENERGY</vt:lpstr>
      <vt:lpstr>Graph01</vt:lpstr>
      <vt:lpstr>Graph02</vt:lpstr>
      <vt:lpstr>RAWDATA</vt:lpstr>
      <vt:lpstr>ENERGY!Print_Area</vt:lpstr>
      <vt:lpstr>Graph01!Print_Area</vt:lpstr>
      <vt:lpstr>Graph02!Print_Area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2025-12-04T09:04:02Z</cp:lastPrinted>
  <dcterms:created xsi:type="dcterms:W3CDTF">2000-08-29T10:04:06Z</dcterms:created>
  <dcterms:modified xsi:type="dcterms:W3CDTF">2025-12-04T09:04:02Z</dcterms:modified>
</cp:coreProperties>
</file>