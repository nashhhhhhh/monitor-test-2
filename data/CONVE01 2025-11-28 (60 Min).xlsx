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updateLinks="always" codeName="ThisWorkbook"/>
  <mc:AlternateContent xmlns:mc="http://schemas.openxmlformats.org/markup-compatibility/2006">
    <mc:Choice Requires="x15">
      <x15ac:absPath xmlns:x15ac="http://schemas.microsoft.com/office/spreadsheetml/2010/11/ac" url="D:\DATA Report\CONVE01\"/>
    </mc:Choice>
  </mc:AlternateContent>
  <xr:revisionPtr revIDLastSave="0" documentId="8_{47D6304D-E3B4-42CC-9BFD-3E0F9483C2A7}" xr6:coauthVersionLast="47" xr6:coauthVersionMax="47" xr10:uidLastSave="{00000000-0000-0000-0000-000000000000}"/>
  <bookViews>
    <workbookView xWindow="-120" yWindow="-120" windowWidth="29040" windowHeight="15720" tabRatio="714" xr2:uid="{52F308C2-26C6-44F1-A3CB-67D45FF3DCC8}"/>
  </bookViews>
  <sheets>
    <sheet name="Data" sheetId="3" r:id="rId1"/>
  </sheets>
  <definedNames>
    <definedName name="_xlnm.Print_Area" localSheetId="0">Data!$A$1:$V$26</definedName>
    <definedName name="_xlnm.Print_Titles" localSheetId="0">Data!$8:$10</definedName>
  </definedNames>
  <calcPr calcId="191029"/>
</workbook>
</file>

<file path=xl/calcChain.xml><?xml version="1.0" encoding="utf-8"?>
<calcChain xmlns="http://schemas.openxmlformats.org/spreadsheetml/2006/main">
  <c r="B7" i="3" l="1"/>
  <c r="A7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12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X11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12" i="3"/>
</calcChain>
</file>

<file path=xl/sharedStrings.xml><?xml version="1.0" encoding="utf-8"?>
<sst xmlns="http://schemas.openxmlformats.org/spreadsheetml/2006/main" count="53" uniqueCount="49">
  <si>
    <t>REMARK</t>
  </si>
  <si>
    <t xml:space="preserve"> </t>
  </si>
  <si>
    <t>TIME</t>
  </si>
  <si>
    <t>(hh:mm:ss)</t>
  </si>
  <si>
    <t>Time</t>
  </si>
  <si>
    <t>Use kWh</t>
  </si>
  <si>
    <t>SATS Food Solutions (Thailand) Co., Ltd.</t>
  </si>
  <si>
    <t>Hr.</t>
  </si>
  <si>
    <t>Conveyer report</t>
  </si>
  <si>
    <t>Accumulate</t>
  </si>
  <si>
    <t>ALL</t>
  </si>
  <si>
    <t>M01</t>
  </si>
  <si>
    <t>M02</t>
  </si>
  <si>
    <t>M03A</t>
  </si>
  <si>
    <t>M03B</t>
  </si>
  <si>
    <t>M07</t>
  </si>
  <si>
    <t>M08</t>
  </si>
  <si>
    <t>M09</t>
  </si>
  <si>
    <t>M10</t>
  </si>
  <si>
    <t>Belt Speed (Hz)</t>
  </si>
  <si>
    <t>INFEED CONVEYER</t>
  </si>
  <si>
    <t>OUTFEED CONVEYER</t>
  </si>
  <si>
    <t>M11</t>
  </si>
  <si>
    <t>M12</t>
  </si>
  <si>
    <t>M13</t>
  </si>
  <si>
    <t>Operation time</t>
  </si>
  <si>
    <t>LINE 1A</t>
  </si>
  <si>
    <t>LINE 1B</t>
  </si>
  <si>
    <t>Capacity (Pcs/Min)</t>
  </si>
  <si>
    <t>Accumulate (Pcs/Day)</t>
  </si>
  <si>
    <t>Pcs/Day</t>
  </si>
  <si>
    <t>CONVEYER LINE 1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</si>
  <si>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</si>
  <si>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</si>
  <si>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</si>
  <si>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</si>
  <si>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</si>
  <si>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</si>
  <si>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</si>
  <si>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</si>
  <si>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</si>
  <si>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10:00:00</t>
  </si>
  <si>
    <t>11:00:00</t>
  </si>
  <si>
    <t>12:00:00</t>
  </si>
  <si>
    <t>13:00:00</t>
  </si>
  <si>
    <t>14:00:00</t>
  </si>
  <si>
    <t>16:00:00</t>
  </si>
  <si>
    <t>17:00:00</t>
  </si>
  <si>
    <t xml:space="preserve">Datetime: 2025-11-28   SamplingRate:  60 Minute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</si>
</sst>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h:mm;@"/>
    <numFmt numFmtId="166" formatCode="h:mm:ss;@"/>
    <numFmt numFmtId="167" formatCode="\≈\ #,##0"/>
    <numFmt numFmtId="168" formatCode="0.0"/>
  </numFmts>
  <fonts count="27" x14ac:knownFonts="1">
    <font>
      <sz val="14"/>
      <name val="Cordia New"/>
      <charset val="222"/>
    </font>
    <font>
      <sz val="14"/>
      <name val="Cordia New"/>
      <family val="2"/>
    </font>
    <font>
      <sz val="14"/>
      <name val="Cordia New"/>
      <family val="2"/>
    </font>
    <font>
      <b/>
      <sz val="20"/>
      <name val="LilyUPC"/>
      <family val="2"/>
      <charset val="222"/>
    </font>
    <font>
      <b/>
      <sz val="16"/>
      <color indexed="10"/>
      <name val="Arial Black"/>
      <family val="2"/>
    </font>
    <font>
      <b/>
      <sz val="14"/>
      <name val="AngsanaUPC"/>
      <family val="1"/>
      <charset val="222"/>
    </font>
    <font>
      <b/>
      <sz val="9"/>
      <name val="Angsana New"/>
      <family val="1"/>
      <charset val="222"/>
    </font>
    <font>
      <sz val="9"/>
      <name val="Angsana New"/>
      <family val="1"/>
      <charset val="222"/>
    </font>
    <font>
      <sz val="12"/>
      <name val="Angsana New"/>
      <family val="1"/>
      <charset val="222"/>
    </font>
    <font>
      <b/>
      <sz val="1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6"/>
      <name val="AngsanaUPC"/>
      <family val="1"/>
      <charset val="222"/>
    </font>
    <font>
      <sz val="14"/>
      <name val="Angsana New"/>
      <family val="1"/>
      <charset val="222"/>
    </font>
    <font>
      <sz val="14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20"/>
      <color rgb="FF0000FF"/>
      <name val="Times New Roman"/>
      <family val="1"/>
    </font>
    <font>
      <sz val="14"/>
      <color theme="0"/>
      <name val="Cordia New"/>
      <family val="2"/>
    </font>
    <font>
      <b/>
      <sz val="14"/>
      <color theme="0" tint="-0.34998626667073579"/>
      <name val="Angsana New"/>
      <family val="1"/>
      <charset val="222"/>
    </font>
    <font>
      <sz val="16"/>
      <color theme="0" tint="-0.34998626667073579"/>
      <name val="Angsana New"/>
      <family val="1"/>
      <charset val="222"/>
    </font>
    <font>
      <sz val="14"/>
      <color theme="0" tint="-0.34998626667073579"/>
      <name val="Cordia New"/>
      <family val="2"/>
    </font>
    <font>
      <b/>
      <sz val="9"/>
      <color theme="0" tint="-0.34998626667073579"/>
      <name val="Angsana New"/>
      <family val="1"/>
      <charset val="222"/>
    </font>
    <font>
      <sz val="9"/>
      <color theme="0" tint="-0.34998626667073579"/>
      <name val="Angsana New"/>
      <family val="1"/>
      <charset val="222"/>
    </font>
    <font>
      <b/>
      <sz val="12"/>
      <color theme="0" tint="-0.34998626667073579"/>
      <name val="Angsana New"/>
      <family val="1"/>
      <charset val="222"/>
    </font>
    <font>
      <b/>
      <sz val="14"/>
      <color theme="0" tint="-0.34998626667073579"/>
      <name val="Cordia New"/>
      <family val="2"/>
    </font>
    <font>
      <b/>
      <sz val="24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166" fontId="1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165" fontId="2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4" fontId="21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14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6" fontId="10" fillId="0" borderId="9" xfId="0" applyNumberFormat="1" applyFont="1" applyBorder="1" applyAlignment="1">
      <alignment vertical="center"/>
    </xf>
    <xf numFmtId="166" fontId="10" fillId="0" borderId="10" xfId="0" applyNumberFormat="1" applyFont="1" applyBorder="1" applyAlignment="1">
      <alignment horizontal="center" vertical="center"/>
    </xf>
    <xf numFmtId="166" fontId="10" fillId="0" borderId="11" xfId="0" applyNumberFormat="1" applyFont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166" fontId="2" fillId="0" borderId="10" xfId="0" applyNumberFormat="1" applyFont="1" applyBorder="1" applyAlignment="1">
      <alignment horizontal="center" vertical="center"/>
    </xf>
    <xf numFmtId="168" fontId="11" fillId="0" borderId="6" xfId="0" applyNumberFormat="1" applyFont="1" applyBorder="1" applyAlignment="1">
      <alignment horizontal="center" vertical="center"/>
    </xf>
    <xf numFmtId="2" fontId="11" fillId="0" borderId="2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2" fontId="11" fillId="0" borderId="0" xfId="0" applyNumberFormat="1" applyFont="1" applyAlignment="1">
      <alignment horizontal="left" vertical="center"/>
    </xf>
    <xf numFmtId="2" fontId="18" fillId="0" borderId="3" xfId="0" applyNumberFormat="1" applyFont="1" applyBorder="1" applyAlignment="1">
      <alignment horizontal="center" vertical="center"/>
    </xf>
    <xf numFmtId="2" fontId="14" fillId="0" borderId="8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vertical="center"/>
    </xf>
    <xf numFmtId="168" fontId="1" fillId="0" borderId="0" xfId="0" applyNumberFormat="1" applyFont="1" applyAlignment="1">
      <alignment vertical="center"/>
    </xf>
    <xf numFmtId="168" fontId="4" fillId="0" borderId="0" xfId="0" applyNumberFormat="1" applyFont="1" applyAlignment="1">
      <alignment vertical="center"/>
    </xf>
    <xf numFmtId="168" fontId="12" fillId="0" borderId="0" xfId="0" applyNumberFormat="1" applyFont="1" applyAlignment="1">
      <alignment vertical="center"/>
    </xf>
    <xf numFmtId="168" fontId="5" fillId="0" borderId="0" xfId="0" applyNumberFormat="1" applyFont="1" applyAlignment="1">
      <alignment vertical="center"/>
    </xf>
    <xf numFmtId="168" fontId="12" fillId="0" borderId="0" xfId="0" applyNumberFormat="1" applyFont="1" applyAlignment="1">
      <alignment horizontal="center" vertical="center"/>
    </xf>
    <xf numFmtId="168" fontId="5" fillId="0" borderId="0" xfId="0" applyNumberFormat="1" applyFont="1" applyAlignment="1">
      <alignment horizontal="left" vertical="center"/>
    </xf>
    <xf numFmtId="168" fontId="5" fillId="0" borderId="0" xfId="0" applyNumberFormat="1" applyFont="1" applyAlignment="1">
      <alignment horizontal="center" vertical="center"/>
    </xf>
    <xf numFmtId="168" fontId="0" fillId="0" borderId="3" xfId="0" applyNumberForma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18" fillId="0" borderId="0" xfId="0" applyNumberFormat="1" applyFont="1" applyAlignment="1">
      <alignment horizontal="center" vertical="center"/>
    </xf>
    <xf numFmtId="168" fontId="16" fillId="0" borderId="6" xfId="0" applyNumberFormat="1" applyFont="1" applyBorder="1" applyAlignment="1">
      <alignment horizontal="center" vertical="center"/>
    </xf>
    <xf numFmtId="168" fontId="11" fillId="0" borderId="24" xfId="0" applyNumberFormat="1" applyFont="1" applyBorder="1" applyAlignment="1">
      <alignment horizontal="center" vertical="center"/>
    </xf>
    <xf numFmtId="168" fontId="14" fillId="0" borderId="8" xfId="0" applyNumberFormat="1" applyFont="1" applyBorder="1" applyAlignment="1">
      <alignment horizontal="center" vertical="center"/>
    </xf>
    <xf numFmtId="168" fontId="14" fillId="0" borderId="4" xfId="0" applyNumberFormat="1" applyFont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1" fontId="0" fillId="0" borderId="0" xfId="0" applyNumberFormat="1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4" fontId="16" fillId="0" borderId="15" xfId="0" applyNumberFormat="1" applyFont="1" applyBorder="1" applyAlignment="1">
      <alignment horizontal="center" vertical="center"/>
    </xf>
    <xf numFmtId="4" fontId="16" fillId="0" borderId="22" xfId="0" applyNumberFormat="1" applyFont="1" applyBorder="1" applyAlignment="1">
      <alignment vertical="center"/>
    </xf>
    <xf numFmtId="4" fontId="16" fillId="0" borderId="15" xfId="0" applyNumberFormat="1" applyFont="1" applyBorder="1" applyAlignment="1">
      <alignment vertical="center"/>
    </xf>
    <xf numFmtId="168" fontId="16" fillId="0" borderId="26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2" fontId="16" fillId="0" borderId="24" xfId="0" applyNumberFormat="1" applyFont="1" applyBorder="1" applyAlignment="1">
      <alignment horizontal="center" vertical="center"/>
    </xf>
    <xf numFmtId="2" fontId="16" fillId="0" borderId="26" xfId="0" applyNumberFormat="1" applyFont="1" applyBorder="1" applyAlignment="1">
      <alignment horizontal="center" vertical="center"/>
    </xf>
    <xf numFmtId="2" fontId="16" fillId="0" borderId="25" xfId="0" applyNumberFormat="1" applyFont="1" applyBorder="1" applyAlignment="1">
      <alignment horizontal="center" vertical="center"/>
    </xf>
    <xf numFmtId="168" fontId="16" fillId="0" borderId="24" xfId="0" applyNumberFormat="1" applyFont="1" applyBorder="1" applyAlignment="1">
      <alignment horizontal="center" vertical="center"/>
    </xf>
    <xf numFmtId="168" fontId="16" fillId="0" borderId="26" xfId="0" applyNumberFormat="1" applyFont="1" applyBorder="1" applyAlignment="1">
      <alignment horizontal="center" vertical="center"/>
    </xf>
    <xf numFmtId="168" fontId="16" fillId="0" borderId="25" xfId="0" applyNumberFormat="1" applyFont="1" applyBorder="1" applyAlignment="1">
      <alignment horizontal="center" vertical="center"/>
    </xf>
    <xf numFmtId="1" fontId="16" fillId="0" borderId="24" xfId="0" applyNumberFormat="1" applyFont="1" applyBorder="1" applyAlignment="1">
      <alignment horizontal="center" vertical="center"/>
    </xf>
    <xf numFmtId="1" fontId="16" fillId="0" borderId="26" xfId="0" applyNumberFormat="1" applyFont="1" applyBorder="1" applyAlignment="1">
      <alignment horizontal="center" vertical="center"/>
    </xf>
    <xf numFmtId="1" fontId="16" fillId="0" borderId="25" xfId="0" applyNumberFormat="1" applyFont="1" applyBorder="1" applyAlignment="1">
      <alignment horizontal="center" vertical="center"/>
    </xf>
    <xf numFmtId="4" fontId="16" fillId="0" borderId="22" xfId="0" applyNumberFormat="1" applyFont="1" applyBorder="1" applyAlignment="1">
      <alignment horizontal="center" vertical="center"/>
    </xf>
    <xf numFmtId="4" fontId="16" fillId="0" borderId="15" xfId="0" applyNumberFormat="1" applyFont="1" applyBorder="1" applyAlignment="1">
      <alignment horizontal="center" vertical="center"/>
    </xf>
    <xf numFmtId="4" fontId="16" fillId="0" borderId="7" xfId="0" applyNumberFormat="1" applyFont="1" applyBorder="1" applyAlignment="1">
      <alignment horizontal="center" vertical="center"/>
    </xf>
    <xf numFmtId="164" fontId="15" fillId="0" borderId="23" xfId="0" applyNumberFormat="1" applyFont="1" applyBorder="1" applyAlignment="1">
      <alignment horizontal="center" vertical="center"/>
    </xf>
    <xf numFmtId="164" fontId="15" fillId="0" borderId="2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3" fontId="15" fillId="0" borderId="23" xfId="0" applyNumberFormat="1" applyFont="1" applyBorder="1" applyAlignment="1">
      <alignment horizontal="center" vertical="center"/>
    </xf>
    <xf numFmtId="3" fontId="15" fillId="0" borderId="2" xfId="0" applyNumberFormat="1" applyFont="1" applyBorder="1" applyAlignment="1">
      <alignment horizontal="center" vertical="center"/>
    </xf>
    <xf numFmtId="167" fontId="15" fillId="0" borderId="23" xfId="0" applyNumberFormat="1" applyFont="1" applyBorder="1" applyAlignment="1">
      <alignment horizontal="center" vertical="center"/>
    </xf>
    <xf numFmtId="167" fontId="15" fillId="0" borderId="2" xfId="0" applyNumberFormat="1" applyFont="1" applyBorder="1" applyAlignment="1">
      <alignment horizontal="center" vertical="center"/>
    </xf>
    <xf numFmtId="166" fontId="14" fillId="0" borderId="13" xfId="0" applyNumberFormat="1" applyFont="1" applyBorder="1" applyAlignment="1">
      <alignment horizontal="center" vertical="center"/>
    </xf>
    <xf numFmtId="2" fontId="14" fillId="0" borderId="14" xfId="0" applyNumberFormat="1" applyFont="1" applyBorder="1" applyAlignment="1">
      <alignment horizontal="center" vertical="center"/>
    </xf>
    <xf numFmtId="168" fontId="14" fillId="0" borderId="14" xfId="0" applyNumberFormat="1" applyFont="1" applyBorder="1" applyAlignment="1">
      <alignment horizontal="center" vertical="center"/>
    </xf>
    <xf numFmtId="168" fontId="14" fillId="0" borderId="5" xfId="0" applyNumberFormat="1" applyFont="1" applyBorder="1" applyAlignment="1">
      <alignment horizontal="center" vertical="center"/>
    </xf>
    <xf numFmtId="1" fontId="14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28015</xdr:colOff>
      <xdr:row>0</xdr:row>
      <xdr:rowOff>193302</xdr:rowOff>
    </xdr:from>
    <xdr:to>
      <xdr:col>0</xdr:col>
      <xdr:colOff>1089772</xdr:colOff>
      <xdr:row>4</xdr:row>
      <xdr:rowOff>212912</xdr:rowOff>
    </xdr:to>
    <xdr:pic>
      <xdr:nvPicPr>
        <xdr:cNvPr id="1971" name="Picture 2">
          <a:extLst>
            <a:ext uri="{FF2B5EF4-FFF2-40B4-BE49-F238E27FC236}">
              <a16:creationId xmlns:a16="http://schemas.microsoft.com/office/drawing/2014/main" id="{69A2677C-7047-2553-AC2B-CA9EE192D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8015" y="193302"/>
          <a:ext cx="1061757" cy="10617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E842-AF99-43CE-BE76-BE0A7C9A0F01}">
  <sheetPr codeName="Sheet1"/>
  <dimension ref="A1:AL27"/>
  <sheetViews>
    <sheetView showGridLines="0" tabSelected="1" view="pageBreakPreview" zoomScale="85" zoomScaleNormal="115" zoomScaleSheetLayoutView="85" zoomScalePageLayoutView="130" workbookViewId="0">
      <selection activeCell="H9" sqref="H9:O9"/>
    </sheetView>
  </sheetViews>
  <sheetFormatPr defaultRowHeight="21.75" x14ac:dyDescent="0.5"/>
  <cols>
    <col min="1" max="1" width="16.42578125" style="31" customWidth="1"/>
    <col min="2" max="2" width="12.28515625" style="39" customWidth="1"/>
    <col min="3" max="15" width="12.28515625" style="55" customWidth="1"/>
    <col min="16" max="16" width="17.140625" style="55" bestFit="1" customWidth="1"/>
    <col min="17" max="17" width="15.42578125" style="55" customWidth="1"/>
    <col min="18" max="18" width="12.28515625" style="55" customWidth="1"/>
    <col min="19" max="19" width="12.28515625" style="60" customWidth="1"/>
    <col min="20" max="20" width="12.28515625" style="55" customWidth="1"/>
    <col min="21" max="22" width="12.7109375" style="1" customWidth="1"/>
    <col min="23" max="23" width="9.140625" style="1"/>
    <col min="24" max="24" width="11.85546875" style="1" customWidth="1"/>
    <col min="25" max="25" width="12.28515625" style="1" customWidth="1"/>
    <col min="26" max="26" width="16" style="1" customWidth="1"/>
    <col min="27" max="27" width="13" style="1" customWidth="1"/>
    <col min="28" max="28" width="14.28515625" style="1" bestFit="1" customWidth="1"/>
    <col min="29" max="16384" width="9.140625" style="1"/>
  </cols>
  <sheetData>
    <row r="1" spans="1:38" s="5" customFormat="1" ht="19.5" customHeight="1" x14ac:dyDescent="0.5">
      <c r="A1" s="12" t="s">
        <v>1</v>
      </c>
      <c r="B1" s="34"/>
      <c r="C1" s="40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56"/>
      <c r="T1" s="41"/>
    </row>
    <row r="2" spans="1:38" s="5" customFormat="1" ht="30" x14ac:dyDescent="0.5">
      <c r="A2" s="65" t="s">
        <v>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11"/>
    </row>
    <row r="3" spans="1:38" s="5" customFormat="1" ht="9.75" customHeight="1" x14ac:dyDescent="0.5">
      <c r="A3" s="12"/>
      <c r="B3" s="35"/>
      <c r="C3" s="42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56"/>
      <c r="T3" s="41"/>
    </row>
    <row r="4" spans="1:38" s="5" customFormat="1" ht="22.5" customHeight="1" x14ac:dyDescent="0.5">
      <c r="A4" s="66" t="s">
        <v>31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</row>
    <row r="5" spans="1:38" s="5" customFormat="1" ht="22.5" x14ac:dyDescent="0.5">
      <c r="A5" s="66" t="s">
        <v>8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</row>
    <row r="6" spans="1:38" s="7" customFormat="1" ht="21" customHeight="1" x14ac:dyDescent="0.5">
      <c r="A6" s="14"/>
      <c r="B6" s="36" t="s">
        <v>48</v>
      </c>
      <c r="C6" s="43"/>
      <c r="D6" s="43"/>
      <c r="E6" s="44"/>
      <c r="F6" s="45"/>
      <c r="G6" s="46"/>
      <c r="H6" s="47"/>
      <c r="I6" s="47"/>
      <c r="J6" s="47"/>
      <c r="K6" s="47"/>
      <c r="L6" s="40"/>
      <c r="M6" s="40"/>
      <c r="N6" s="40"/>
      <c r="O6" s="40"/>
      <c r="P6" s="40"/>
      <c r="Q6" s="40"/>
      <c r="R6" s="40"/>
      <c r="S6" s="57"/>
      <c r="T6" s="40"/>
      <c r="U6" s="6"/>
      <c r="V6" s="6"/>
    </row>
    <row r="7" spans="1:38" s="7" customFormat="1" ht="3" customHeight="1" thickBot="1" x14ac:dyDescent="0.55000000000000004">
      <c r="A7" s="15">
        <f>K7-1</f>
        <v>-1</v>
      </c>
      <c r="B7" s="37">
        <f>K7+1</f>
        <v>1</v>
      </c>
      <c r="C7" s="48"/>
      <c r="D7" s="48"/>
      <c r="E7" s="49"/>
      <c r="F7" s="49"/>
      <c r="G7" s="49"/>
      <c r="H7" s="49"/>
      <c r="I7" s="50"/>
      <c r="J7" s="50"/>
      <c r="K7" s="50"/>
      <c r="L7" s="49"/>
      <c r="M7" s="49"/>
      <c r="N7" s="49"/>
      <c r="O7" s="49"/>
      <c r="P7" s="49"/>
      <c r="Q7" s="49"/>
      <c r="R7" s="49"/>
      <c r="S7" s="58"/>
      <c r="T7" s="49"/>
    </row>
    <row r="8" spans="1:38" s="4" customFormat="1" ht="18" customHeight="1" x14ac:dyDescent="0.5">
      <c r="A8" s="27"/>
      <c r="B8" s="82" t="s">
        <v>20</v>
      </c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4"/>
      <c r="Q8" s="61"/>
      <c r="R8" s="62" t="s">
        <v>21</v>
      </c>
      <c r="S8" s="63"/>
      <c r="T8" s="63"/>
      <c r="U8" s="67" t="s">
        <v>0</v>
      </c>
      <c r="V8" s="68"/>
      <c r="W8" s="2"/>
      <c r="X8" s="2"/>
      <c r="Y8" s="2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38" s="4" customFormat="1" ht="18.75" customHeight="1" x14ac:dyDescent="0.5">
      <c r="A9" s="28" t="s">
        <v>2</v>
      </c>
      <c r="B9" s="73" t="s">
        <v>28</v>
      </c>
      <c r="C9" s="74"/>
      <c r="D9" s="75"/>
      <c r="E9" s="76" t="s">
        <v>29</v>
      </c>
      <c r="F9" s="77"/>
      <c r="G9" s="78"/>
      <c r="H9" s="76" t="s">
        <v>19</v>
      </c>
      <c r="I9" s="77"/>
      <c r="J9" s="77"/>
      <c r="K9" s="77"/>
      <c r="L9" s="77"/>
      <c r="M9" s="77"/>
      <c r="N9" s="77"/>
      <c r="O9" s="78"/>
      <c r="P9" s="51" t="s">
        <v>25</v>
      </c>
      <c r="Q9" s="64" t="s">
        <v>9</v>
      </c>
      <c r="R9" s="79" t="s">
        <v>19</v>
      </c>
      <c r="S9" s="80"/>
      <c r="T9" s="81"/>
      <c r="U9" s="69"/>
      <c r="V9" s="70"/>
      <c r="W9" s="8"/>
      <c r="X9" s="2"/>
      <c r="Y9" s="21"/>
      <c r="Z9" s="22"/>
      <c r="AA9" s="22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38" s="10" customFormat="1" ht="17.25" customHeight="1" thickBot="1" x14ac:dyDescent="0.55000000000000004">
      <c r="A10" s="29" t="s">
        <v>3</v>
      </c>
      <c r="B10" s="33" t="s">
        <v>10</v>
      </c>
      <c r="C10" s="33" t="s">
        <v>26</v>
      </c>
      <c r="D10" s="33" t="s">
        <v>27</v>
      </c>
      <c r="E10" s="33" t="s">
        <v>10</v>
      </c>
      <c r="F10" s="33" t="s">
        <v>26</v>
      </c>
      <c r="G10" s="33" t="s">
        <v>27</v>
      </c>
      <c r="H10" s="52" t="s">
        <v>11</v>
      </c>
      <c r="I10" s="52" t="s">
        <v>12</v>
      </c>
      <c r="J10" s="52" t="s">
        <v>13</v>
      </c>
      <c r="K10" s="52" t="s">
        <v>14</v>
      </c>
      <c r="L10" s="52" t="s">
        <v>15</v>
      </c>
      <c r="M10" s="52" t="s">
        <v>16</v>
      </c>
      <c r="N10" s="52" t="s">
        <v>17</v>
      </c>
      <c r="O10" s="52" t="s">
        <v>18</v>
      </c>
      <c r="P10" s="52" t="s">
        <v>7</v>
      </c>
      <c r="Q10" s="33" t="s">
        <v>30</v>
      </c>
      <c r="R10" s="32" t="s">
        <v>22</v>
      </c>
      <c r="S10" s="32" t="s">
        <v>23</v>
      </c>
      <c r="T10" s="32" t="s">
        <v>24</v>
      </c>
      <c r="U10" s="71"/>
      <c r="V10" s="72"/>
      <c r="W10" s="8"/>
      <c r="X10" s="16" t="s">
        <v>4</v>
      </c>
      <c r="Y10" s="16" t="s">
        <v>5</v>
      </c>
      <c r="Z10" s="17"/>
      <c r="AA10" s="23"/>
      <c r="AB10" s="13"/>
      <c r="AC10" s="9"/>
      <c r="AD10" s="9"/>
      <c r="AE10" s="9"/>
      <c r="AF10" s="9"/>
      <c r="AG10" s="9"/>
      <c r="AH10" s="9"/>
      <c r="AI10" s="9"/>
      <c r="AJ10" s="9"/>
      <c r="AK10" s="9"/>
      <c r="AL10" s="9"/>
    </row>
    <row r="11" spans="1:38" s="5" customFormat="1" ht="32.1" customHeight="1" x14ac:dyDescent="0.5">
      <c r="A11" s="30" t="s">
        <v>32</v>
      </c>
      <c r="B11" s="38">
        <v>0</v>
      </c>
      <c r="C11" s="53">
        <v>0</v>
      </c>
      <c r="D11" s="53">
        <v>0</v>
      </c>
      <c r="E11" s="53">
        <v>0</v>
      </c>
      <c r="F11" s="53">
        <v>0</v>
      </c>
      <c r="G11" s="53">
        <v>0</v>
      </c>
      <c r="H11" s="54">
        <v>20</v>
      </c>
      <c r="I11" s="54">
        <v>80</v>
      </c>
      <c r="J11" s="54">
        <v>25</v>
      </c>
      <c r="K11" s="54">
        <v>25</v>
      </c>
      <c r="L11" s="54">
        <v>100</v>
      </c>
      <c r="M11" s="54">
        <v>100</v>
      </c>
      <c r="N11" s="54">
        <v>50</v>
      </c>
      <c r="O11" s="54">
        <v>40</v>
      </c>
      <c r="P11" s="54">
        <v>17</v>
      </c>
      <c r="Q11" s="54">
        <v>1</v>
      </c>
      <c r="R11" s="54">
        <v>30</v>
      </c>
      <c r="S11" s="59">
        <v>80</v>
      </c>
      <c r="T11" s="54">
        <v>80</v>
      </c>
      <c r="U11" s="85"/>
      <c r="V11" s="86"/>
      <c r="X11" s="18" t="str">
        <f t="shared" ref="X11:X26" si="0">LEFT(A11,5)</f>
        <v>00:00</v>
      </c>
      <c r="Y11" s="19"/>
      <c r="Z11" s="19"/>
      <c r="AA11" s="24"/>
    </row>
    <row r="12" spans="1:38" s="5" customFormat="1" ht="32.1" customHeight="1" x14ac:dyDescent="0.5">
      <c r="A12" s="30" t="s">
        <v>33</v>
      </c>
      <c r="B12" s="38">
        <v>0</v>
      </c>
      <c r="C12" s="53">
        <v>0</v>
      </c>
      <c r="D12" s="53">
        <v>0</v>
      </c>
      <c r="E12" s="53">
        <v>0</v>
      </c>
      <c r="F12" s="53">
        <v>0</v>
      </c>
      <c r="G12" s="53">
        <v>0</v>
      </c>
      <c r="H12" s="54">
        <v>20</v>
      </c>
      <c r="I12" s="54">
        <v>80</v>
      </c>
      <c r="J12" s="54">
        <v>25</v>
      </c>
      <c r="K12" s="54">
        <v>25</v>
      </c>
      <c r="L12" s="54">
        <v>100</v>
      </c>
      <c r="M12" s="54">
        <v>100</v>
      </c>
      <c r="N12" s="54">
        <v>50</v>
      </c>
      <c r="O12" s="54">
        <v>40</v>
      </c>
      <c r="P12" s="54">
        <v>17</v>
      </c>
      <c r="Q12" s="54">
        <v>1</v>
      </c>
      <c r="R12" s="54">
        <v>30</v>
      </c>
      <c r="S12" s="59">
        <v>80</v>
      </c>
      <c r="T12" s="54">
        <v>80</v>
      </c>
      <c r="U12" s="89"/>
      <c r="V12" s="90"/>
      <c r="X12" s="18" t="str">
        <f t="shared" si="0"/>
        <v>01:00</v>
      </c>
      <c r="Y12" s="20" t="e">
        <f>ROUND((#REF!-#REF!),2)</f>
        <v>#REF!</v>
      </c>
      <c r="Z12" s="19"/>
      <c r="AA12" s="24"/>
    </row>
    <row r="13" spans="1:38" s="5" customFormat="1" ht="32.1" customHeight="1" x14ac:dyDescent="0.5">
      <c r="A13" s="30" t="s">
        <v>34</v>
      </c>
      <c r="B13" s="38">
        <v>0</v>
      </c>
      <c r="C13" s="53">
        <v>0</v>
      </c>
      <c r="D13" s="53">
        <v>0</v>
      </c>
      <c r="E13" s="53">
        <v>0</v>
      </c>
      <c r="F13" s="53">
        <v>0</v>
      </c>
      <c r="G13" s="53">
        <v>0</v>
      </c>
      <c r="H13" s="54">
        <v>20</v>
      </c>
      <c r="I13" s="54">
        <v>80</v>
      </c>
      <c r="J13" s="54">
        <v>25</v>
      </c>
      <c r="K13" s="54">
        <v>25</v>
      </c>
      <c r="L13" s="54">
        <v>100</v>
      </c>
      <c r="M13" s="54">
        <v>100</v>
      </c>
      <c r="N13" s="54">
        <v>50</v>
      </c>
      <c r="O13" s="54">
        <v>40</v>
      </c>
      <c r="P13" s="54">
        <v>17</v>
      </c>
      <c r="Q13" s="54">
        <v>1</v>
      </c>
      <c r="R13" s="54">
        <v>30</v>
      </c>
      <c r="S13" s="59">
        <v>80</v>
      </c>
      <c r="T13" s="54">
        <v>80</v>
      </c>
      <c r="U13" s="87"/>
      <c r="V13" s="88"/>
      <c r="X13" s="18" t="str">
        <f t="shared" si="0"/>
        <v>02:00</v>
      </c>
      <c r="Y13" s="20" t="e">
        <f>ROUND((#REF!-#REF!),2)</f>
        <v>#REF!</v>
      </c>
      <c r="Z13" s="19"/>
      <c r="AA13" s="24"/>
    </row>
    <row r="14" spans="1:38" s="5" customFormat="1" ht="32.1" customHeight="1" x14ac:dyDescent="0.5">
      <c r="A14" s="30" t="s">
        <v>35</v>
      </c>
      <c r="B14" s="38">
        <v>0</v>
      </c>
      <c r="C14" s="53">
        <v>0</v>
      </c>
      <c r="D14" s="53">
        <v>0</v>
      </c>
      <c r="E14" s="53">
        <v>0</v>
      </c>
      <c r="F14" s="53">
        <v>0</v>
      </c>
      <c r="G14" s="53">
        <v>0</v>
      </c>
      <c r="H14" s="54">
        <v>20</v>
      </c>
      <c r="I14" s="54">
        <v>80</v>
      </c>
      <c r="J14" s="54">
        <v>25</v>
      </c>
      <c r="K14" s="54">
        <v>25</v>
      </c>
      <c r="L14" s="54">
        <v>100</v>
      </c>
      <c r="M14" s="54">
        <v>100</v>
      </c>
      <c r="N14" s="54">
        <v>50</v>
      </c>
      <c r="O14" s="54">
        <v>40</v>
      </c>
      <c r="P14" s="54">
        <v>17</v>
      </c>
      <c r="Q14" s="54">
        <v>1</v>
      </c>
      <c r="R14" s="54">
        <v>30</v>
      </c>
      <c r="S14" s="59">
        <v>80</v>
      </c>
      <c r="T14" s="54">
        <v>80</v>
      </c>
      <c r="U14" s="91"/>
      <c r="V14" s="92"/>
      <c r="X14" s="18" t="str">
        <f t="shared" si="0"/>
        <v>03:00</v>
      </c>
      <c r="Y14" s="20" t="e">
        <f>ROUND((#REF!-#REF!),2)</f>
        <v>#REF!</v>
      </c>
      <c r="Z14" s="19">
        <f t="shared" ref="Z14:Z26" si="1">IFERROR(ROUND((L14/O14),2),"")</f>
        <v>2.5</v>
      </c>
      <c r="AA14" s="24"/>
    </row>
    <row r="15" spans="1:38" s="5" customFormat="1" ht="32.1" customHeight="1" x14ac:dyDescent="0.5">
      <c r="A15" s="30" t="s">
        <v>36</v>
      </c>
      <c r="B15" s="38">
        <v>0</v>
      </c>
      <c r="C15" s="53">
        <v>0</v>
      </c>
      <c r="D15" s="53">
        <v>0</v>
      </c>
      <c r="E15" s="53">
        <v>0</v>
      </c>
      <c r="F15" s="53">
        <v>0</v>
      </c>
      <c r="G15" s="53">
        <v>0</v>
      </c>
      <c r="H15" s="54">
        <v>20</v>
      </c>
      <c r="I15" s="54">
        <v>80</v>
      </c>
      <c r="J15" s="54">
        <v>25</v>
      </c>
      <c r="K15" s="54">
        <v>25</v>
      </c>
      <c r="L15" s="54">
        <v>100</v>
      </c>
      <c r="M15" s="54">
        <v>100</v>
      </c>
      <c r="N15" s="54">
        <v>50</v>
      </c>
      <c r="O15" s="54">
        <v>40</v>
      </c>
      <c r="P15" s="54">
        <v>17</v>
      </c>
      <c r="Q15" s="54">
        <v>1</v>
      </c>
      <c r="R15" s="54">
        <v>30</v>
      </c>
      <c r="S15" s="59">
        <v>80</v>
      </c>
      <c r="T15" s="54">
        <v>80</v>
      </c>
      <c r="U15" s="87"/>
      <c r="V15" s="88"/>
      <c r="X15" s="18" t="str">
        <f t="shared" si="0"/>
        <v>04:00</v>
      </c>
      <c r="Y15" s="20" t="e">
        <f>ROUND((#REF!-#REF!),2)</f>
        <v>#REF!</v>
      </c>
      <c r="Z15" s="19">
        <f t="shared" si="1"/>
        <v>2.5</v>
      </c>
      <c r="AA15" s="24"/>
    </row>
    <row r="16" spans="1:38" s="5" customFormat="1" ht="32.1" customHeight="1" x14ac:dyDescent="0.5">
      <c r="A16" s="30" t="s">
        <v>37</v>
      </c>
      <c r="B16" s="38">
        <v>0</v>
      </c>
      <c r="C16" s="53">
        <v>0</v>
      </c>
      <c r="D16" s="53">
        <v>0</v>
      </c>
      <c r="E16" s="53">
        <v>0</v>
      </c>
      <c r="F16" s="53">
        <v>0</v>
      </c>
      <c r="G16" s="53">
        <v>0</v>
      </c>
      <c r="H16" s="54">
        <v>20</v>
      </c>
      <c r="I16" s="54">
        <v>80</v>
      </c>
      <c r="J16" s="54">
        <v>25</v>
      </c>
      <c r="K16" s="54">
        <v>25</v>
      </c>
      <c r="L16" s="54">
        <v>100</v>
      </c>
      <c r="M16" s="54">
        <v>100</v>
      </c>
      <c r="N16" s="54">
        <v>50</v>
      </c>
      <c r="O16" s="54">
        <v>40</v>
      </c>
      <c r="P16" s="54">
        <v>17</v>
      </c>
      <c r="Q16" s="54">
        <v>1</v>
      </c>
      <c r="R16" s="54">
        <v>30</v>
      </c>
      <c r="S16" s="59">
        <v>80</v>
      </c>
      <c r="T16" s="54">
        <v>80</v>
      </c>
      <c r="U16" s="91"/>
      <c r="V16" s="92"/>
      <c r="X16" s="18" t="str">
        <f t="shared" si="0"/>
        <v>05:00</v>
      </c>
      <c r="Y16" s="20" t="e">
        <f>ROUND((#REF!-#REF!),2)</f>
        <v>#REF!</v>
      </c>
      <c r="Z16" s="19">
        <f t="shared" si="1"/>
        <v>2.5</v>
      </c>
      <c r="AA16" s="24"/>
    </row>
    <row r="17" spans="1:27" s="5" customFormat="1" ht="32.1" customHeight="1" x14ac:dyDescent="0.5">
      <c r="A17" s="30" t="s">
        <v>38</v>
      </c>
      <c r="B17" s="38">
        <v>0</v>
      </c>
      <c r="C17" s="53">
        <v>0</v>
      </c>
      <c r="D17" s="53">
        <v>0</v>
      </c>
      <c r="E17" s="53">
        <v>0</v>
      </c>
      <c r="F17" s="53">
        <v>0</v>
      </c>
      <c r="G17" s="53">
        <v>0</v>
      </c>
      <c r="H17" s="54">
        <v>20</v>
      </c>
      <c r="I17" s="54">
        <v>80</v>
      </c>
      <c r="J17" s="54">
        <v>25</v>
      </c>
      <c r="K17" s="54">
        <v>25</v>
      </c>
      <c r="L17" s="54">
        <v>100</v>
      </c>
      <c r="M17" s="54">
        <v>100</v>
      </c>
      <c r="N17" s="54">
        <v>50</v>
      </c>
      <c r="O17" s="54">
        <v>40</v>
      </c>
      <c r="P17" s="54">
        <v>17</v>
      </c>
      <c r="Q17" s="54">
        <v>1</v>
      </c>
      <c r="R17" s="54">
        <v>30</v>
      </c>
      <c r="S17" s="59">
        <v>80</v>
      </c>
      <c r="T17" s="54">
        <v>80</v>
      </c>
      <c r="U17" s="87"/>
      <c r="V17" s="88"/>
      <c r="X17" s="18" t="str">
        <f t="shared" si="0"/>
        <v>06:00</v>
      </c>
      <c r="Y17" s="20" t="e">
        <f>ROUND((#REF!-#REF!),2)</f>
        <v>#REF!</v>
      </c>
      <c r="Z17" s="19">
        <f t="shared" si="1"/>
        <v>2.5</v>
      </c>
      <c r="AA17" s="24"/>
    </row>
    <row r="18" spans="1:27" s="5" customFormat="1" ht="32.1" customHeight="1" x14ac:dyDescent="0.5">
      <c r="A18" s="30" t="s">
        <v>39</v>
      </c>
      <c r="B18" s="38">
        <v>0</v>
      </c>
      <c r="C18" s="53">
        <v>0</v>
      </c>
      <c r="D18" s="53">
        <v>0</v>
      </c>
      <c r="E18" s="53">
        <v>0</v>
      </c>
      <c r="F18" s="53">
        <v>0</v>
      </c>
      <c r="G18" s="53">
        <v>0</v>
      </c>
      <c r="H18" s="54">
        <v>20</v>
      </c>
      <c r="I18" s="54">
        <v>80</v>
      </c>
      <c r="J18" s="54">
        <v>25</v>
      </c>
      <c r="K18" s="54">
        <v>25</v>
      </c>
      <c r="L18" s="54">
        <v>100</v>
      </c>
      <c r="M18" s="54">
        <v>100</v>
      </c>
      <c r="N18" s="54">
        <v>50</v>
      </c>
      <c r="O18" s="54">
        <v>40</v>
      </c>
      <c r="P18" s="54">
        <v>17</v>
      </c>
      <c r="Q18" s="54">
        <v>1</v>
      </c>
      <c r="R18" s="54">
        <v>30</v>
      </c>
      <c r="S18" s="59">
        <v>80</v>
      </c>
      <c r="T18" s="54">
        <v>80</v>
      </c>
      <c r="U18" s="26"/>
      <c r="V18" s="25"/>
      <c r="X18" s="18" t="str">
        <f t="shared" si="0"/>
        <v>07:00</v>
      </c>
      <c r="Y18" s="20" t="e">
        <f>ROUND((#REF!-#REF!),2)</f>
        <v>#REF!</v>
      </c>
      <c r="Z18" s="19">
        <f t="shared" si="1"/>
        <v>2.5</v>
      </c>
      <c r="AA18" s="19"/>
    </row>
    <row r="19" spans="1:27" s="5" customFormat="1" ht="32.1" customHeight="1" x14ac:dyDescent="0.5">
      <c r="A19" s="30" t="s">
        <v>40</v>
      </c>
      <c r="B19" s="38">
        <v>0</v>
      </c>
      <c r="C19" s="53">
        <v>0</v>
      </c>
      <c r="D19" s="53">
        <v>0</v>
      </c>
      <c r="E19" s="53">
        <v>0</v>
      </c>
      <c r="F19" s="53">
        <v>0</v>
      </c>
      <c r="G19" s="53">
        <v>0</v>
      </c>
      <c r="H19" s="54">
        <v>20</v>
      </c>
      <c r="I19" s="54">
        <v>80</v>
      </c>
      <c r="J19" s="54">
        <v>25</v>
      </c>
      <c r="K19" s="54">
        <v>25</v>
      </c>
      <c r="L19" s="54">
        <v>100</v>
      </c>
      <c r="M19" s="54">
        <v>100</v>
      </c>
      <c r="N19" s="54">
        <v>50</v>
      </c>
      <c r="O19" s="54">
        <v>40</v>
      </c>
      <c r="P19" s="54">
        <v>17</v>
      </c>
      <c r="Q19" s="54">
        <v>1</v>
      </c>
      <c r="R19" s="54">
        <v>30</v>
      </c>
      <c r="S19" s="59">
        <v>80</v>
      </c>
      <c r="T19" s="54">
        <v>80</v>
      </c>
      <c r="U19" s="26"/>
      <c r="V19" s="25"/>
      <c r="X19" s="18" t="str">
        <f t="shared" si="0"/>
        <v>08:00</v>
      </c>
      <c r="Y19" s="20" t="e">
        <f>ROUND((#REF!-#REF!),2)</f>
        <v>#REF!</v>
      </c>
      <c r="Z19" s="19">
        <f t="shared" si="1"/>
        <v>2.5</v>
      </c>
      <c r="AA19" s="19"/>
    </row>
    <row r="20" spans="1:27" s="5" customFormat="1" ht="32.1" customHeight="1" x14ac:dyDescent="0.5">
      <c r="A20" s="30" t="s">
        <v>41</v>
      </c>
      <c r="B20" s="38">
        <v>0</v>
      </c>
      <c r="C20" s="53">
        <v>0</v>
      </c>
      <c r="D20" s="53">
        <v>0</v>
      </c>
      <c r="E20" s="53">
        <v>1</v>
      </c>
      <c r="F20" s="53">
        <v>0</v>
      </c>
      <c r="G20" s="53">
        <v>1</v>
      </c>
      <c r="H20" s="54">
        <v>20</v>
      </c>
      <c r="I20" s="54">
        <v>80</v>
      </c>
      <c r="J20" s="54">
        <v>25</v>
      </c>
      <c r="K20" s="54">
        <v>25</v>
      </c>
      <c r="L20" s="54">
        <v>100</v>
      </c>
      <c r="M20" s="54">
        <v>100</v>
      </c>
      <c r="N20" s="54">
        <v>50</v>
      </c>
      <c r="O20" s="54">
        <v>40</v>
      </c>
      <c r="P20" s="54">
        <v>17</v>
      </c>
      <c r="Q20" s="54">
        <v>3</v>
      </c>
      <c r="R20" s="54">
        <v>30</v>
      </c>
      <c r="S20" s="59">
        <v>80</v>
      </c>
      <c r="T20" s="54">
        <v>80</v>
      </c>
      <c r="U20" s="26"/>
      <c r="V20" s="25"/>
      <c r="X20" s="18" t="str">
        <f t="shared" si="0"/>
        <v>10:00</v>
      </c>
      <c r="Y20" s="20" t="e">
        <f>ROUND((#REF!-#REF!),2)</f>
        <v>#REF!</v>
      </c>
      <c r="Z20" s="19">
        <f t="shared" si="1"/>
        <v>2.5</v>
      </c>
      <c r="AA20" s="19"/>
    </row>
    <row r="21" spans="1:27" s="5" customFormat="1" ht="32.1" customHeight="1" x14ac:dyDescent="0.5">
      <c r="A21" s="30" t="s">
        <v>42</v>
      </c>
      <c r="B21" s="38">
        <v>0</v>
      </c>
      <c r="C21" s="53">
        <v>0</v>
      </c>
      <c r="D21" s="53">
        <v>0</v>
      </c>
      <c r="E21" s="53">
        <v>1</v>
      </c>
      <c r="F21" s="53">
        <v>0</v>
      </c>
      <c r="G21" s="53">
        <v>1</v>
      </c>
      <c r="H21" s="54">
        <v>20</v>
      </c>
      <c r="I21" s="54">
        <v>80</v>
      </c>
      <c r="J21" s="54">
        <v>25</v>
      </c>
      <c r="K21" s="54">
        <v>25</v>
      </c>
      <c r="L21" s="54">
        <v>100</v>
      </c>
      <c r="M21" s="54">
        <v>100</v>
      </c>
      <c r="N21" s="54">
        <v>50</v>
      </c>
      <c r="O21" s="54">
        <v>40</v>
      </c>
      <c r="P21" s="54">
        <v>17</v>
      </c>
      <c r="Q21" s="54">
        <v>3</v>
      </c>
      <c r="R21" s="54">
        <v>30</v>
      </c>
      <c r="S21" s="59">
        <v>80</v>
      </c>
      <c r="T21" s="54">
        <v>80</v>
      </c>
      <c r="U21" s="26"/>
      <c r="V21" s="25"/>
      <c r="X21" s="18" t="str">
        <f t="shared" si="0"/>
        <v>11:00</v>
      </c>
      <c r="Y21" s="20" t="e">
        <f>ROUND((#REF!-#REF!),2)</f>
        <v>#REF!</v>
      </c>
      <c r="Z21" s="19">
        <f t="shared" si="1"/>
        <v>2.5</v>
      </c>
      <c r="AA21" s="19"/>
    </row>
    <row r="22" spans="1:27" s="5" customFormat="1" ht="32.1" customHeight="1" x14ac:dyDescent="0.5">
      <c r="A22" s="30" t="s">
        <v>43</v>
      </c>
      <c r="B22" s="38">
        <v>0</v>
      </c>
      <c r="C22" s="53">
        <v>0</v>
      </c>
      <c r="D22" s="53">
        <v>0</v>
      </c>
      <c r="E22" s="53">
        <v>1</v>
      </c>
      <c r="F22" s="53">
        <v>0</v>
      </c>
      <c r="G22" s="53">
        <v>1</v>
      </c>
      <c r="H22" s="54">
        <v>20</v>
      </c>
      <c r="I22" s="54">
        <v>80</v>
      </c>
      <c r="J22" s="54">
        <v>25</v>
      </c>
      <c r="K22" s="54">
        <v>25</v>
      </c>
      <c r="L22" s="54">
        <v>100</v>
      </c>
      <c r="M22" s="54">
        <v>100</v>
      </c>
      <c r="N22" s="54">
        <v>50</v>
      </c>
      <c r="O22" s="54">
        <v>40</v>
      </c>
      <c r="P22" s="54">
        <v>17</v>
      </c>
      <c r="Q22" s="54">
        <v>3</v>
      </c>
      <c r="R22" s="54">
        <v>30</v>
      </c>
      <c r="S22" s="59">
        <v>80</v>
      </c>
      <c r="T22" s="54">
        <v>80</v>
      </c>
      <c r="U22" s="26"/>
      <c r="V22" s="25"/>
      <c r="X22" s="18" t="str">
        <f t="shared" si="0"/>
        <v>12:00</v>
      </c>
      <c r="Y22" s="20" t="e">
        <f>ROUND((#REF!-#REF!),2)</f>
        <v>#REF!</v>
      </c>
      <c r="Z22" s="19">
        <f t="shared" si="1"/>
        <v>2.5</v>
      </c>
      <c r="AA22" s="19"/>
    </row>
    <row r="23" spans="1:27" s="5" customFormat="1" ht="32.1" customHeight="1" x14ac:dyDescent="0.5">
      <c r="A23" s="30" t="s">
        <v>44</v>
      </c>
      <c r="B23" s="38">
        <v>0</v>
      </c>
      <c r="C23" s="53">
        <v>0</v>
      </c>
      <c r="D23" s="53">
        <v>0</v>
      </c>
      <c r="E23" s="53">
        <v>1</v>
      </c>
      <c r="F23" s="53">
        <v>0</v>
      </c>
      <c r="G23" s="53">
        <v>1</v>
      </c>
      <c r="H23" s="54">
        <v>20</v>
      </c>
      <c r="I23" s="54">
        <v>80</v>
      </c>
      <c r="J23" s="54">
        <v>25</v>
      </c>
      <c r="K23" s="54">
        <v>25</v>
      </c>
      <c r="L23" s="54">
        <v>100</v>
      </c>
      <c r="M23" s="54">
        <v>100</v>
      </c>
      <c r="N23" s="54">
        <v>50</v>
      </c>
      <c r="O23" s="54">
        <v>40</v>
      </c>
      <c r="P23" s="54">
        <v>17</v>
      </c>
      <c r="Q23" s="54">
        <v>3</v>
      </c>
      <c r="R23" s="54">
        <v>30</v>
      </c>
      <c r="S23" s="59">
        <v>80</v>
      </c>
      <c r="T23" s="54">
        <v>80</v>
      </c>
      <c r="U23" s="26"/>
      <c r="V23" s="25"/>
      <c r="X23" s="18" t="str">
        <f t="shared" si="0"/>
        <v>13:00</v>
      </c>
      <c r="Y23" s="20" t="e">
        <f>ROUND((#REF!-#REF!),2)</f>
        <v>#REF!</v>
      </c>
      <c r="Z23" s="19">
        <f t="shared" si="1"/>
        <v>2.5</v>
      </c>
      <c r="AA23" s="19"/>
    </row>
    <row r="24" spans="1:27" s="5" customFormat="1" ht="32.1" customHeight="1" x14ac:dyDescent="0.5">
      <c r="A24" s="30" t="s">
        <v>45</v>
      </c>
      <c r="B24" s="38">
        <v>0</v>
      </c>
      <c r="C24" s="53">
        <v>0</v>
      </c>
      <c r="D24" s="53">
        <v>0</v>
      </c>
      <c r="E24" s="53">
        <v>1</v>
      </c>
      <c r="F24" s="53">
        <v>0</v>
      </c>
      <c r="G24" s="53">
        <v>1</v>
      </c>
      <c r="H24" s="54">
        <v>20</v>
      </c>
      <c r="I24" s="54">
        <v>80</v>
      </c>
      <c r="J24" s="54">
        <v>25</v>
      </c>
      <c r="K24" s="54">
        <v>25</v>
      </c>
      <c r="L24" s="54">
        <v>100</v>
      </c>
      <c r="M24" s="54">
        <v>100</v>
      </c>
      <c r="N24" s="54">
        <v>50</v>
      </c>
      <c r="O24" s="54">
        <v>40</v>
      </c>
      <c r="P24" s="54">
        <v>17</v>
      </c>
      <c r="Q24" s="54">
        <v>3</v>
      </c>
      <c r="R24" s="54">
        <v>30</v>
      </c>
      <c r="S24" s="59">
        <v>80</v>
      </c>
      <c r="T24" s="54">
        <v>80</v>
      </c>
      <c r="U24" s="26"/>
      <c r="V24" s="25"/>
      <c r="X24" s="18" t="str">
        <f t="shared" si="0"/>
        <v>14:00</v>
      </c>
      <c r="Y24" s="20" t="e">
        <f>ROUND((#REF!-#REF!),2)</f>
        <v>#REF!</v>
      </c>
      <c r="Z24" s="19">
        <f t="shared" si="1"/>
        <v>2.5</v>
      </c>
      <c r="AA24" s="19"/>
    </row>
    <row r="25" spans="1:27" s="5" customFormat="1" ht="32.1" customHeight="1" x14ac:dyDescent="0.5">
      <c r="A25" s="30" t="s">
        <v>46</v>
      </c>
      <c r="B25" s="38">
        <v>0</v>
      </c>
      <c r="C25" s="53">
        <v>0</v>
      </c>
      <c r="D25" s="53">
        <v>0</v>
      </c>
      <c r="E25" s="53">
        <v>0</v>
      </c>
      <c r="F25" s="53">
        <v>0</v>
      </c>
      <c r="G25" s="53">
        <v>0</v>
      </c>
      <c r="H25" s="54">
        <v>20</v>
      </c>
      <c r="I25" s="54">
        <v>80</v>
      </c>
      <c r="J25" s="54">
        <v>25</v>
      </c>
      <c r="K25" s="54">
        <v>25</v>
      </c>
      <c r="L25" s="54">
        <v>100</v>
      </c>
      <c r="M25" s="54">
        <v>100</v>
      </c>
      <c r="N25" s="54">
        <v>50</v>
      </c>
      <c r="O25" s="54">
        <v>40</v>
      </c>
      <c r="P25" s="54">
        <v>18</v>
      </c>
      <c r="Q25" s="54">
        <v>0</v>
      </c>
      <c r="R25" s="54">
        <v>60</v>
      </c>
      <c r="S25" s="59">
        <v>25</v>
      </c>
      <c r="T25" s="54">
        <v>60</v>
      </c>
      <c r="U25" s="26"/>
      <c r="V25" s="25"/>
      <c r="X25" s="18" t="str">
        <f t="shared" si="0"/>
        <v>16:00</v>
      </c>
      <c r="Y25" s="20" t="e">
        <f>ROUND((#REF!-#REF!),2)</f>
        <v>#REF!</v>
      </c>
      <c r="Z25" s="19">
        <f t="shared" si="1"/>
        <v>2.5</v>
      </c>
      <c r="AA25" s="19"/>
    </row>
    <row r="26" spans="1:27" s="5" customFormat="1" ht="32.1" customHeight="1" thickBot="1" x14ac:dyDescent="0.55000000000000004">
      <c r="A26" s="93" t="s">
        <v>47</v>
      </c>
      <c r="B26" s="94">
        <v>0</v>
      </c>
      <c r="C26" s="95">
        <v>0</v>
      </c>
      <c r="D26" s="95">
        <v>0</v>
      </c>
      <c r="E26" s="95">
        <v>7</v>
      </c>
      <c r="F26" s="95">
        <v>2</v>
      </c>
      <c r="G26" s="95">
        <v>5</v>
      </c>
      <c r="H26" s="96">
        <v>20</v>
      </c>
      <c r="I26" s="96">
        <v>80</v>
      </c>
      <c r="J26" s="96">
        <v>25</v>
      </c>
      <c r="K26" s="96">
        <v>25</v>
      </c>
      <c r="L26" s="96">
        <v>100</v>
      </c>
      <c r="M26" s="96">
        <v>100</v>
      </c>
      <c r="N26" s="96">
        <v>50</v>
      </c>
      <c r="O26" s="96">
        <v>40</v>
      </c>
      <c r="P26" s="96">
        <v>18</v>
      </c>
      <c r="Q26" s="96">
        <v>0</v>
      </c>
      <c r="R26" s="96">
        <v>60</v>
      </c>
      <c r="S26" s="97">
        <v>25</v>
      </c>
      <c r="T26" s="96">
        <v>60</v>
      </c>
      <c r="U26" s="26"/>
      <c r="V26" s="25"/>
      <c r="X26" s="18" t="str">
        <f t="shared" si="0"/>
        <v>17:00</v>
      </c>
      <c r="Y26" s="20" t="e">
        <f>ROUND((#REF!-#REF!),2)</f>
        <v>#REF!</v>
      </c>
      <c r="Z26" s="19">
        <f t="shared" si="1"/>
        <v>2.5</v>
      </c>
      <c r="AA26" s="19"/>
    </row>
    <row r="27" spans="1:27" ht="22.5" thickTop="1" x14ac:dyDescent="0.5"/>
  </sheetData>
  <dataConsolidate/>
  <mergeCells count="16">
    <mergeCell ref="U11:V11"/>
    <mergeCell ref="U17:V17"/>
    <mergeCell ref="U13:V13"/>
    <mergeCell ref="U12:V12"/>
    <mergeCell ref="U16:V16"/>
    <mergeCell ref="U14:V14"/>
    <mergeCell ref="U15:V15"/>
    <mergeCell ref="A2:V2"/>
    <mergeCell ref="A4:V4"/>
    <mergeCell ref="U8:V10"/>
    <mergeCell ref="A5:V5"/>
    <mergeCell ref="B9:D9"/>
    <mergeCell ref="E9:G9"/>
    <mergeCell ref="H9:O9"/>
    <mergeCell ref="R9:T9"/>
    <mergeCell ref="B8:P8"/>
  </mergeCells>
  <phoneticPr fontId="0" type="noConversion"/>
  <printOptions horizontalCentered="1"/>
  <pageMargins left="0.23622047244094499" right="0.23622047244094499" top="0.23622047244094499" bottom="1" header="0" footer="0"/>
  <pageSetup paperSize="9" scale="50" orientation="landscape" r:id="rId1"/>
  <headerFooter alignWithMargins="0">
    <oddFooter>&amp;C&amp;"Times New Roman,Bold"&amp;16PAGE &amp;P&amp;R&amp;"Times New Roman,Regular"&amp;11ACKNOWLEDGE BY : ................................................. | CHECK BY : .................................................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USER2000</dc:creator>
  <cp:lastModifiedBy>SCADA-PC</cp:lastModifiedBy>
  <cp:lastPrinted>2025-11-28T10:30:41Z</cp:lastPrinted>
  <dcterms:created xsi:type="dcterms:W3CDTF">2000-08-29T10:04:06Z</dcterms:created>
  <dcterms:modified xsi:type="dcterms:W3CDTF">2025-11-28T10:30:41Z</dcterms:modified>
</cp:coreProperties>
</file>